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media/image1.png" ContentType="image/png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comments17.xml" ContentType="application/vnd.openxmlformats-officedocument.spreadsheetml.comment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styles.xml" ContentType="application/vnd.openxmlformats-officedocument.spreadsheetml.styles+xml"/>
  <Override PartName="/xl/worksheets/_rels/sheet19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vmlDrawing5.vml" ContentType="application/vnd.openxmlformats-officedocument.vmlDrawing"/>
  <Override PartName="/xl/drawings/drawing3.xml" ContentType="application/vnd.openxmlformats-officedocument.drawing+xml"/>
  <Override PartName="/xl/drawings/vmlDrawing6.vml" ContentType="application/vnd.openxmlformats-officedocument.vmlDrawing"/>
  <Override PartName="/xl/drawings/drawing4.xml" ContentType="application/vnd.openxmlformats-officedocument.drawing+xml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charts/chart9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PESTEL" sheetId="2" state="visible" r:id="rId4"/>
    <sheet name="Five Forces" sheetId="3" state="visible" r:id="rId5"/>
    <sheet name="KSF Scorecard" sheetId="4" state="visible" r:id="rId6"/>
    <sheet name="VRIO" sheetId="5" state="visible" r:id="rId7"/>
    <sheet name="SWOT-TOWS" sheetId="6" state="visible" r:id="rId8"/>
    <sheet name="Decision Matrix" sheetId="7" state="visible" r:id="rId9"/>
    <sheet name="Expected Value" sheetId="8" state="visible" r:id="rId10"/>
    <sheet name="Business Case" sheetId="9" state="visible" r:id="rId11"/>
    <sheet name="Risk Analysis" sheetId="10" state="visible" r:id="rId12"/>
    <sheet name="Balanced Scorecard" sheetId="11" state="visible" r:id="rId13"/>
    <sheet name="Strategy Map" sheetId="12" state="visible" r:id="rId14"/>
    <sheet name="GLO-BUS CIR" sheetId="13" state="visible" r:id="rId15"/>
    <sheet name="GLO-BUS Planner" sheetId="14" state="visible" r:id="rId16"/>
    <sheet name="Y6 Results" sheetId="15" state="visible" r:id="rId17"/>
    <sheet name="Y7 Results" sheetId="16" state="visible" r:id="rId18"/>
    <sheet name="Y8 Results" sheetId="17" state="visible" r:id="rId19"/>
    <sheet name="Tracking" sheetId="18" state="visible" r:id="rId20"/>
    <sheet name="Rivals" sheetId="19" state="visible" r:id="rId21"/>
  </sheets>
  <definedNames>
    <definedName function="false" hidden="false" name="CreditScale" vbProcedure="false">Tracking!$L$6:$L$26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Green = strategic focus (16+), amber = scenario-plan (9-15), red = monitor.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5" authorId="0">
      <text>
        <r>
          <rPr>
            <sz val="10"/>
            <rFont val="Arial"/>
            <family val="2"/>
          </rPr>
          <t xml:space="preserve">Competence trap: passes V, R and I but delivers a KSF weighted under 10% — rare and hard to copy, but not what this industry rewards.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Example values from the StratOS Business Case template (illustrative).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Every objective except financial ones should drive one above it; every objective except learning-and-growth ones should be driven by one below it.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" authorId="0">
      <text>
        <r>
          <rPr>
            <sz val="10"/>
            <rFont val="Arial"/>
            <family val="2"/>
          </rPr>
          <t xml:space="preserve">Course guardrail: incremental changes, one direction at a time. Moves bigger than this are flagged below.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Credit rating gap is in notches (positive = at or above expectation).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Credit rating gap is in notches (positive = at or above expectation).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Credit rating gap is in notches (positive = at or above expectation).</t>
        </r>
      </text>
    </comment>
  </commentList>
</comments>
</file>

<file path=xl/sharedStrings.xml><?xml version="1.0" encoding="utf-8"?>
<sst xmlns="http://schemas.openxmlformats.org/spreadsheetml/2006/main" count="1120" uniqueCount="664">
  <si>
    <t xml:space="preserve">StratOS Workbook</t>
  </si>
  <si>
    <t xml:space="preserve">Strategy analysis worksheets</t>
  </si>
  <si>
    <t xml:space="preserve">Template with one example row per sheet. Replace the examples with your own work.</t>
  </si>
  <si>
    <t xml:space="preserve">How to use</t>
  </si>
  <si>
    <t xml:space="preserve">Each sheet is one StratOS framework. Type only in the cream cells (blue text). Grey cells are formulas: they score, rank and flag automatically. Every finding should name its evidence in the Source column, the same rule StratOS follows.</t>
  </si>
  <si>
    <t xml:space="preserve">Colour key</t>
  </si>
  <si>
    <t xml:space="preserve">Blue on cream = input · black on grey = formula · green / amber / red = status.</t>
  </si>
  <si>
    <t xml:space="preserve">PESTEL</t>
  </si>
  <si>
    <t xml:space="preserve">Macro findings with impact × certainty priority and the P&amp;L line each one hits.</t>
  </si>
  <si>
    <t xml:space="preserve">Five Forces</t>
  </si>
  <si>
    <t xml:space="preserve">Sub-factor scores roll up to each force and to an industry attractiveness score.</t>
  </si>
  <si>
    <t xml:space="preserve">KSF Scorecard</t>
  </si>
  <si>
    <t xml:space="preserve">Weighted KSFs, every competitor scored, totals and rank; weights must sum to 100%.</t>
  </si>
  <si>
    <t xml:space="preserve">VRIO</t>
  </si>
  <si>
    <t xml:space="preserve">Yes / No / ? for each test; the verdict and the KSF reality check are calculated.</t>
  </si>
  <si>
    <t xml:space="preserve">SWOT-TOWS</t>
  </si>
  <si>
    <t xml:space="preserve">Four traced lists and the TOWS options that pair them.</t>
  </si>
  <si>
    <t xml:space="preserve">Decision Matrix</t>
  </si>
  <si>
    <t xml:space="preserve">Criteria weights × option scores, with a weighted total and rank; do nothing included.</t>
  </si>
  <si>
    <t xml:space="preserve">Expected Value</t>
  </si>
  <si>
    <t xml:space="preserve">Scenario probabilities × NPVs, expected NPV, worst case, maximin, value of information, and a Bayes' rule pilot check (EVSI).</t>
  </si>
  <si>
    <t xml:space="preserve">Business Case</t>
  </si>
  <si>
    <t xml:space="preserve">Driver-based cash flows, NPV, IRR and cumulative cash.</t>
  </si>
  <si>
    <t xml:space="preserve">Risk Analysis</t>
  </si>
  <si>
    <t xml:space="preserve">Exhibit Q-3: a tornado chart (which driver moves NPV most) and a 1,000-run Monte Carlo simulation (median, P10-P90, chance NPV is below zero) over your low / likely / high ranges.</t>
  </si>
  <si>
    <t xml:space="preserve">Balanced Scorecard</t>
  </si>
  <si>
    <t xml:space="preserve">Objectives and measures in four perspectives, leading vs lagging, status vs target, balance check.</t>
  </si>
  <si>
    <t xml:space="preserve">Strategy Map</t>
  </si>
  <si>
    <t xml:space="preserve">Objectives by perspective and their cause-and-effect links; picture included when built from a ledger.</t>
  </si>
  <si>
    <t xml:space="preserve">GLO-BUS CIR</t>
  </si>
  <si>
    <t xml:space="preserve">Paste the CIR figures; each company is placed in a strategic group automatically.</t>
  </si>
  <si>
    <t xml:space="preserve">Y# Results</t>
  </si>
  <si>
    <t xml:space="preserve">One tab per GLO-BUS year: the five scored KPIs against investor expectations, company and product results, market share by region, the decisions entered and the CIR.</t>
  </si>
  <si>
    <t xml:space="preserve">Tracking</t>
  </si>
  <si>
    <t xml:space="preserve">Trends across the years, pulled from the Year tabs, with charts: EPS, ROE, stock price, image and credit rating, market share, cost per unit, revenue and profit, margins.</t>
  </si>
  <si>
    <t xml:space="preserve">Rivals</t>
  </si>
  <si>
    <t xml:space="preserve">Where you stand in the contest: every company's overall score, rank, price, P/Q and market share by year, from the class-wide reports only, with charts.</t>
  </si>
  <si>
    <t xml:space="preserve">GLO-BUS Planner</t>
  </si>
  <si>
    <t xml:space="preserve">Plan every decision for each year in one place, in screen order; flags changes bigger than your threshold and years where price and advertising are both cut. You enter the decisions in GLO-BUS yourself; the capture skill can then check them against this plan.</t>
  </si>
  <si>
    <t xml:space="preserve">Your work stays yours</t>
  </si>
  <si>
    <t xml:space="preserve">In graded work, the inputs, choices and every Impact Summary are the student's. The workbook calculates; it never decides.</t>
  </si>
  <si>
    <t xml:space="preserve">© 2026 Brad Scheller · StratOS Strategy Lab · Apache-2.0</t>
  </si>
  <si>
    <t xml:space="preserve">PESTEL Analysis</t>
  </si>
  <si>
    <t xml:space="preserve">Macro findings, each tied to a P&amp;L line. Priority = impact × certainty (1-25).</t>
  </si>
  <si>
    <t xml:space="preserve">Blue text on cream = your inputs.  Black on grey = formulas (do not type over them).  Delete the example row before you start.</t>
  </si>
  <si>
    <t xml:space="preserve">ID</t>
  </si>
  <si>
    <t xml:space="preserve">Dimension</t>
  </si>
  <si>
    <t xml:space="preserve">Finding</t>
  </si>
  <si>
    <t xml:space="preserve">Direction (+ / - / ±)</t>
  </si>
  <si>
    <t xml:space="preserve">Impact 1-5</t>
  </si>
  <si>
    <t xml:space="preserve">Certainty 1-5</t>
  </si>
  <si>
    <t xml:space="preserve">Priority</t>
  </si>
  <si>
    <t xml:space="preserve">P&amp;L line</t>
  </si>
  <si>
    <t xml:space="preserve">Source / evidence</t>
  </si>
  <si>
    <t xml:space="preserve">P1</t>
  </si>
  <si>
    <t xml:space="preserve">Economic</t>
  </si>
  <si>
    <t xml:space="preserve">Battery cell prices keep falling as LFP capacity grows</t>
  </si>
  <si>
    <t xml:space="preserve">+</t>
  </si>
  <si>
    <t xml:space="preserve">cogs.inputs</t>
  </si>
  <si>
    <t xml:space="preserve">Example: industry price survey, 2026</t>
  </si>
  <si>
    <t xml:space="preserve">Findings</t>
  </si>
  <si>
    <t xml:space="preserve">High priority (≥16)</t>
  </si>
  <si>
    <t xml:space="preserve">Missing a source</t>
  </si>
  <si>
    <t xml:space="preserve">Porter's Five Forces</t>
  </si>
  <si>
    <t xml:space="preserve">Score each sub-factor 1 (weak force, good for profit) to 5 (strong force). A force score you enter overrides the sub-factor average.</t>
  </si>
  <si>
    <t xml:space="preserve">Force</t>
  </si>
  <si>
    <t xml:space="preserve">Sub-factor</t>
  </si>
  <si>
    <t xml:space="preserve">Score 1-5</t>
  </si>
  <si>
    <t xml:space="preserve">Evidence / source</t>
  </si>
  <si>
    <t xml:space="preserve">Competitive rivalry</t>
  </si>
  <si>
    <t xml:space="preserve">Current competition</t>
  </si>
  <si>
    <t xml:space="preserve">Market growth</t>
  </si>
  <si>
    <t xml:space="preserve">Exit barriers</t>
  </si>
  <si>
    <t xml:space="preserve">Differentiation</t>
  </si>
  <si>
    <t xml:space="preserve">Supplier power</t>
  </si>
  <si>
    <t xml:space="preserve">Supplier concentration</t>
  </si>
  <si>
    <t xml:space="preserve">Example: top three cell makers hold most global capacity</t>
  </si>
  <si>
    <t xml:space="preserve">Switching costs</t>
  </si>
  <si>
    <t xml:space="preserve">Forward integration</t>
  </si>
  <si>
    <t xml:space="preserve">Input uniqueness</t>
  </si>
  <si>
    <t xml:space="preserve">Buyer power</t>
  </si>
  <si>
    <t xml:space="preserve">Buyer concentration</t>
  </si>
  <si>
    <t xml:space="preserve">Purchase volume</t>
  </si>
  <si>
    <t xml:space="preserve">Price sensitivity</t>
  </si>
  <si>
    <t xml:space="preserve">Threat of new entrants</t>
  </si>
  <si>
    <t xml:space="preserve">Entry barriers</t>
  </si>
  <si>
    <t xml:space="preserve">Capital requirements</t>
  </si>
  <si>
    <t xml:space="preserve">Scale economies</t>
  </si>
  <si>
    <t xml:space="preserve">Distribution access</t>
  </si>
  <si>
    <t xml:space="preserve">Threat of substitutes</t>
  </si>
  <si>
    <t xml:space="preserve">Available substitutes</t>
  </si>
  <si>
    <t xml:space="preserve">Price-performance</t>
  </si>
  <si>
    <t xml:space="preserve">Buyer propensity</t>
  </si>
  <si>
    <t xml:space="preserve">Sub-factor average</t>
  </si>
  <si>
    <t xml:space="preserve">Your force score (optional)</t>
  </si>
  <si>
    <t xml:space="preserve">Score used</t>
  </si>
  <si>
    <t xml:space="preserve">Strength</t>
  </si>
  <si>
    <t xml:space="preserve">Horizon score (optional)</t>
  </si>
  <si>
    <t xml:space="preserve">Industry attractiveness (1-5)</t>
  </si>
  <si>
    <t xml:space="preserve">At the horizon</t>
  </si>
  <si>
    <t xml:space="preserve">Attractiveness = 6 minus the average force score (1-5; higher is more attractive).</t>
  </si>
  <si>
    <t xml:space="preserve">The horizon score appears once all five horizon scores are entered.</t>
  </si>
  <si>
    <t xml:space="preserve">Key Success Factors Scorecard</t>
  </si>
  <si>
    <t xml:space="preserve">Weights are fractions that must sum to 100%. Score each competitor 1 (weak) to 5 (strong) on each KSF.</t>
  </si>
  <si>
    <t xml:space="preserve">Key success factor</t>
  </si>
  <si>
    <t xml:space="preserve">Weight</t>
  </si>
  <si>
    <t xml:space="preserve">Traces to (force / driver)</t>
  </si>
  <si>
    <t xml:space="preserve">BYD</t>
  </si>
  <si>
    <t xml:space="preserve">Stellantis</t>
  </si>
  <si>
    <t xml:space="preserve">Xiaomi</t>
  </si>
  <si>
    <t xml:space="preserve">Competitor 4</t>
  </si>
  <si>
    <t xml:space="preserve">Competitor 5</t>
  </si>
  <si>
    <t xml:space="preserve">Competitor 6</t>
  </si>
  <si>
    <t xml:space="preserve">K1</t>
  </si>
  <si>
    <t xml:space="preserve">Battery cost per kWh</t>
  </si>
  <si>
    <t xml:space="preserve">suppliers, D2</t>
  </si>
  <si>
    <t xml:space="preserve">Weight check (must be 100%)</t>
  </si>
  <si>
    <t xml:space="preserve">Weighted score (out of 5)</t>
  </si>
  <si>
    <t xml:space="preserve">Rank</t>
  </si>
  <si>
    <t xml:space="preserve">VRIO Analysis</t>
  </si>
  <si>
    <t xml:space="preserve">Answer the four tests in order with Yes / No / ?. The verdict stops at the first No or ?. KSF weight (a fraction) drives the reality check.</t>
  </si>
  <si>
    <t xml:space="preserve">Resource or capability</t>
  </si>
  <si>
    <t xml:space="preserve">Type</t>
  </si>
  <si>
    <t xml:space="preserve">Valuable?</t>
  </si>
  <si>
    <t xml:space="preserve">Rare?</t>
  </si>
  <si>
    <t xml:space="preserve">Inimitable?</t>
  </si>
  <si>
    <t xml:space="preserve">Organized?</t>
  </si>
  <si>
    <t xml:space="preserve">Verdict</t>
  </si>
  <si>
    <t xml:space="preserve">KSF it delivers</t>
  </si>
  <si>
    <t xml:space="preserve">KSF weight</t>
  </si>
  <si>
    <t xml:space="preserve">Reality check</t>
  </si>
  <si>
    <t xml:space="preserve">Evidence</t>
  </si>
  <si>
    <t xml:space="preserve">Blade-cell battery know-how</t>
  </si>
  <si>
    <t xml:space="preserve">capability</t>
  </si>
  <si>
    <t xml:space="preserve">Yes</t>
  </si>
  <si>
    <t xml:space="preserve">Example: patents and cost lead in filings</t>
  </si>
  <si>
    <t xml:space="preserve">SWOT and TOWS</t>
  </si>
  <si>
    <t xml:space="preserve">Every item names the finding it came from. TOWS options pair the items by ID.</t>
  </si>
  <si>
    <t xml:space="preserve">Strengths (internal, helpful)</t>
  </si>
  <si>
    <t xml:space="preserve">Source</t>
  </si>
  <si>
    <t xml:space="preserve">Weaknesses (internal, harmful)</t>
  </si>
  <si>
    <t xml:space="preserve">S1</t>
  </si>
  <si>
    <t xml:space="preserve">Lowest battery cost in the peer set</t>
  </si>
  <si>
    <t xml:space="preserve">VRIO: C1</t>
  </si>
  <si>
    <t xml:space="preserve">W1</t>
  </si>
  <si>
    <t xml:space="preserve">No dealer network in Europe</t>
  </si>
  <si>
    <t xml:space="preserve">Value chain: A6</t>
  </si>
  <si>
    <t xml:space="preserve">S2</t>
  </si>
  <si>
    <t xml:space="preserve">W2</t>
  </si>
  <si>
    <t xml:space="preserve">S3</t>
  </si>
  <si>
    <t xml:space="preserve">W3</t>
  </si>
  <si>
    <t xml:space="preserve">S4</t>
  </si>
  <si>
    <t xml:space="preserve">W4</t>
  </si>
  <si>
    <t xml:space="preserve">S5</t>
  </si>
  <si>
    <t xml:space="preserve">W5</t>
  </si>
  <si>
    <t xml:space="preserve">S6</t>
  </si>
  <si>
    <t xml:space="preserve">W6</t>
  </si>
  <si>
    <t xml:space="preserve">Opportunities (external, helpful)</t>
  </si>
  <si>
    <t xml:space="preserve">Threats (external, harmful)</t>
  </si>
  <si>
    <t xml:space="preserve">O1</t>
  </si>
  <si>
    <t xml:space="preserve">EU fleet electrification mandates</t>
  </si>
  <si>
    <t xml:space="preserve">PESTEL: P7</t>
  </si>
  <si>
    <t xml:space="preserve">T1</t>
  </si>
  <si>
    <t xml:space="preserve">EU tariffs on imported EVs</t>
  </si>
  <si>
    <t xml:space="preserve">PESTEL: P2</t>
  </si>
  <si>
    <t xml:space="preserve">O2</t>
  </si>
  <si>
    <t xml:space="preserve">T2</t>
  </si>
  <si>
    <t xml:space="preserve">O3</t>
  </si>
  <si>
    <t xml:space="preserve">T3</t>
  </si>
  <si>
    <t xml:space="preserve">O4</t>
  </si>
  <si>
    <t xml:space="preserve">T4</t>
  </si>
  <si>
    <t xml:space="preserve">O5</t>
  </si>
  <si>
    <t xml:space="preserve">T5</t>
  </si>
  <si>
    <t xml:space="preserve">O6</t>
  </si>
  <si>
    <t xml:space="preserve">T6</t>
  </si>
  <si>
    <t xml:space="preserve">Cell</t>
  </si>
  <si>
    <t xml:space="preserve">TOWS strategic option</t>
  </si>
  <si>
    <t xml:space="preserve">Pairs (e.g. S1 × O1)</t>
  </si>
  <si>
    <t xml:space="preserve">SO</t>
  </si>
  <si>
    <t xml:space="preserve">Use the battery cost lead to price fleet vans below diesel TCO</t>
  </si>
  <si>
    <t xml:space="preserve">S1 × O1</t>
  </si>
  <si>
    <t xml:space="preserve">Weight each criterion 1-5 and score each option 1-5. Include do nothing.</t>
  </si>
  <si>
    <t xml:space="preserve">Criterion</t>
  </si>
  <si>
    <t xml:space="preserve">Weight 1-5</t>
  </si>
  <si>
    <t xml:space="preserve">Tied to goal</t>
  </si>
  <si>
    <t xml:space="preserve">A. Build in-house</t>
  </si>
  <si>
    <t xml:space="preserve">B. Partner for cells</t>
  </si>
  <si>
    <t xml:space="preserve">C. Reposition</t>
  </si>
  <si>
    <t xml:space="preserve">0. Do nothing</t>
  </si>
  <si>
    <t xml:space="preserve">Option 5</t>
  </si>
  <si>
    <t xml:space="preserve">Fits the 2029 profit goal</t>
  </si>
  <si>
    <t xml:space="preserve">Exhibit B, goal 1</t>
  </si>
  <si>
    <t xml:space="preserve">The matrix ranks; it does not choose. The recommendation is yours.</t>
  </si>
  <si>
    <t xml:space="preserve">Probabilities as percentages that sum to 100% per option; NPV in $M. Follows the course handout 'Choosing Among Strategic Alternatives'.</t>
  </si>
  <si>
    <t xml:space="preserve">Option</t>
  </si>
  <si>
    <t xml:space="preserve">P strong</t>
  </si>
  <si>
    <t xml:space="preserve">NPV strong ($M)</t>
  </si>
  <si>
    <t xml:space="preserve">P moderate</t>
  </si>
  <si>
    <t xml:space="preserve">NPV moderate ($M)</t>
  </si>
  <si>
    <t xml:space="preserve">P weak</t>
  </si>
  <si>
    <t xml:space="preserve">NPV weak ($M)</t>
  </si>
  <si>
    <t xml:space="preserve">Probability check</t>
  </si>
  <si>
    <t xml:space="preserve">Expected NPV ($M)</t>
  </si>
  <si>
    <t xml:space="preserve">Worst case</t>
  </si>
  <si>
    <t xml:space="preserve">Best case</t>
  </si>
  <si>
    <t xml:space="preserve">A. Move upmarket</t>
  </si>
  <si>
    <t xml:space="preserve">B. Cut costs</t>
  </si>
  <si>
    <t xml:space="preserve">C. Do nothing</t>
  </si>
  <si>
    <t xml:space="preserve">Leader on expected value</t>
  </si>
  <si>
    <t xml:space="preserve">Maximin choice (best worst case)</t>
  </si>
  <si>
    <t xml:space="preserve">Value of perfect information ($M)</t>
  </si>
  <si>
    <t xml:space="preserve">The most worth paying for a pilot that reveals the scenario first (leader's probabilities).</t>
  </si>
  <si>
    <t xml:space="preserve">Is a pilot worth it? (Bayes' rule)</t>
  </si>
  <si>
    <t xml:space="preserve">How likely the pilot shows each result IF that scenario is real. Each row sums to 100%. Uses the first option's scenario probabilities as the prior.</t>
  </si>
  <si>
    <t xml:space="preserve">Scenario</t>
  </si>
  <si>
    <t xml:space="preserve">Prior</t>
  </si>
  <si>
    <t xml:space="preserve">P(positive | scenario)</t>
  </si>
  <si>
    <t xml:space="preserve">P(negative | scenario)</t>
  </si>
  <si>
    <t xml:space="preserve">Row check</t>
  </si>
  <si>
    <t xml:space="preserve">Posterior if positive</t>
  </si>
  <si>
    <t xml:space="preserve">Posterior if negative</t>
  </si>
  <si>
    <t xml:space="preserve">Strong</t>
  </si>
  <si>
    <t xml:space="preserve">Moderate</t>
  </si>
  <si>
    <t xml:space="preserve">Weak</t>
  </si>
  <si>
    <t xml:space="preserve">P(result)</t>
  </si>
  <si>
    <t xml:space="preserve">Expected NPV now</t>
  </si>
  <si>
    <t xml:space="preserve">If positive</t>
  </si>
  <si>
    <t xml:space="preserve">If negative</t>
  </si>
  <si>
    <t xml:space="preserve">Best option if the pilot is positive</t>
  </si>
  <si>
    <t xml:space="preserve">If both results point to the same option, the pilot cannot change the choice and is worth nothing for this decision.</t>
  </si>
  <si>
    <t xml:space="preserve">Best option if the pilot is negative</t>
  </si>
  <si>
    <t xml:space="preserve">Expected NPV with the pilot ($M)</t>
  </si>
  <si>
    <t xml:space="preserve">Value of the pilot, EVSI ($M)</t>
  </si>
  <si>
    <t xml:space="preserve">Pilot cost ($M)</t>
  </si>
  <si>
    <t xml:space="preserve">Net value of running the pilot ($M)</t>
  </si>
  <si>
    <t xml:space="preserve">Share of perfect information</t>
  </si>
  <si>
    <t xml:space="preserve">One option. Year 0 is the investment year. Working capital is released in the final year. Money in $.</t>
  </si>
  <si>
    <t xml:space="preserve">Assumptions</t>
  </si>
  <si>
    <t xml:space="preserve">Discount rate</t>
  </si>
  <si>
    <t xml:space="preserve">Tax rate</t>
  </si>
  <si>
    <t xml:space="preserve">Working capital (% of revenue)</t>
  </si>
  <si>
    <t xml:space="preserve">$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</si>
  <si>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</si>
  <si>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</si>
  <si>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</si>
  <si>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</si>
  <si>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</si>
  <si>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</si>
  <si>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Units</t>
  </si>
  <si>
    <t xml:space="preserve">Price per unit</t>
  </si>
  <si>
    <t xml:space="preserve">Variable cost per unit</t>
  </si>
  <si>
    <t xml:space="preserve">Fixed costs</t>
  </si>
  <si>
    <t xml:space="preserve">Capex</t>
  </si>
  <si>
    <t xml:space="preserve">Revenue</t>
  </si>
  <si>
    <t xml:space="preserve">Contribution</t>
  </si>
  <si>
    <t xml:space="preserve">Operating profit (EBIT)</t>
  </si>
  <si>
    <t xml:space="preserve">Tax</t>
  </si>
  <si>
    <t xml:space="preserve">Working capital</t>
  </si>
  <si>
    <t xml:space="preserve">Change in working capital</t>
  </si>
  <si>
    <t xml:space="preserve">Cash flow</t>
  </si>
  <si>
    <t xml:space="preserve">Cumulative cash flow</t>
  </si>
  <si>
    <t xml:space="preserve">NPV</t>
  </si>
  <si>
    <t xml:space="preserve">IRR</t>
  </si>
  <si>
    <t xml:space="preserve">Clears the hurdle?</t>
  </si>
  <si>
    <t xml:space="preserve">State the break-even in words in your exhibit (the Business Case skill computes it).</t>
  </si>
  <si>
    <t xml:space="preserve">Risk Analysis (Exhibit Q-3)</t>
  </si>
  <si>
    <t xml:space="preserve">Works on the Business Case sheet. Set a low / likely / high for each driver: % change from plan, except the discount rate (an absolute rate). Blank = no uncertainty.</t>
  </si>
  <si>
    <t xml:space="preserve">Driver</t>
  </si>
  <si>
    <t xml:space="preserve">Low</t>
  </si>
  <si>
    <t xml:space="preserve">Likely</t>
  </si>
  <si>
    <t xml:space="preserve">High</t>
  </si>
  <si>
    <t xml:space="preserve">Eff. low</t>
  </si>
  <si>
    <t xml:space="preserve">Eff. likely</t>
  </si>
  <si>
    <t xml:space="preserve">Eff. high</t>
  </si>
  <si>
    <t xml:space="preserve">Discount rate (absolute)</t>
  </si>
  <si>
    <t xml:space="preserve">Range check</t>
  </si>
  <si>
    <t xml:space="preserve">Tornado: NPV with one driver at its low or high, the others at plan</t>
  </si>
  <si>
    <t xml:space="preserve">Price ×</t>
  </si>
  <si>
    <t xml:space="preserve">Units ×</t>
  </si>
  <si>
    <t xml:space="preserve">Var. cost ×</t>
  </si>
  <si>
    <t xml:space="preserve">Fixed ×</t>
  </si>
  <si>
    <t xml:space="preserve">Capex ×</t>
  </si>
  <si>
    <t xml:space="preserve">Rate</t>
  </si>
  <si>
    <t xml:space="preserve">CF Y0</t>
  </si>
  <si>
    <t xml:space="preserve">CF Y1</t>
  </si>
  <si>
    <t xml:space="preserve">CF Y2</t>
  </si>
  <si>
    <t xml:space="preserve">CF Y3</t>
  </si>
  <si>
    <t xml:space="preserve">CF Y4</t>
  </si>
  <si>
    <t xml:space="preserve">CF Y5</t>
  </si>
  <si>
    <t xml:space="preserve">Plan</t>
  </si>
  <si>
    <t xml:space="preserve">Price per unit low</t>
  </si>
  <si>
    <t xml:space="preserve">Price per unit high</t>
  </si>
  <si>
    <t xml:space="preserve">Units low</t>
  </si>
  <si>
    <t xml:space="preserve">Units high</t>
  </si>
  <si>
    <t xml:space="preserve">Variable cost per unit low</t>
  </si>
  <si>
    <t xml:space="preserve">Variable cost per unit high</t>
  </si>
  <si>
    <t xml:space="preserve">Fixed costs low</t>
  </si>
  <si>
    <t xml:space="preserve">Fixed costs high</t>
  </si>
  <si>
    <t xml:space="preserve">Capex low</t>
  </si>
  <si>
    <t xml:space="preserve">Capex high</t>
  </si>
  <si>
    <t xml:space="preserve">Discount rate (absolute) low</t>
  </si>
  <si>
    <t xml:space="preserve">Discount rate (absolute) high</t>
  </si>
  <si>
    <t xml:space="preserve">Tornado table (sorted by swing; the chart reads this)</t>
  </si>
  <si>
    <t xml:space="preserve">NPV at low</t>
  </si>
  <si>
    <t xml:space="preserve">NPV at high</t>
  </si>
  <si>
    <t xml:space="preserve">Swing</t>
  </si>
  <si>
    <t xml:space="preserve">Low − plan</t>
  </si>
  <si>
    <t xml:space="preserve">High − plan</t>
  </si>
  <si>
    <t xml:space="preserve">Crosses zero?</t>
  </si>
  <si>
    <t xml:space="preserve">Rank key</t>
  </si>
  <si>
    <t xml:space="preserve">Helper (unsorted)</t>
  </si>
  <si>
    <t xml:space="preserve">Monte Carlo simulation: 1,000 futures, each driver drawn from a triangular (low, likely, high) distribution. Press F9 to draw again; results move slightly each time.</t>
  </si>
  <si>
    <t xml:space="preserve">Mean NPV</t>
  </si>
  <si>
    <t xml:space="preserve">Median NPV</t>
  </si>
  <si>
    <t xml:space="preserve">P10 (1 in 10 worse than this)</t>
  </si>
  <si>
    <t xml:space="preserve">P90 (1 in 10 better than this)</t>
  </si>
  <si>
    <t xml:space="preserve">Standard deviation</t>
  </si>
  <si>
    <t xml:space="preserve">Probability NPV &lt; 0</t>
  </si>
  <si>
    <t xml:space="preserve">NPV at plan (for comparison)</t>
  </si>
  <si>
    <t xml:space="preserve">Drivers are drawn independently. If two move together (e.g. a price cut that lifts volume), the real spread differs. For exact, repeatable figures use the Business Case skill's risk_analysis.py.</t>
  </si>
  <si>
    <t xml:space="preserve">Bin from</t>
  </si>
  <si>
    <t xml:space="preserve">Bin to</t>
  </si>
  <si>
    <t xml:space="preserve">Count</t>
  </si>
  <si>
    <t xml:space="preserve">Run</t>
  </si>
  <si>
    <t xml:space="preserve">Random 1</t>
  </si>
  <si>
    <t xml:space="preserve">Random 2</t>
  </si>
  <si>
    <t xml:space="preserve">Random 3</t>
  </si>
  <si>
    <t xml:space="preserve">Random 4</t>
  </si>
  <si>
    <t xml:space="preserve">Random 5</t>
  </si>
  <si>
    <t xml:space="preserve">Random 6</t>
  </si>
  <si>
    <t xml:space="preserve">1-2 measures per objective, 8-16 in all. Status: on target ≥100% of target, caution 90-99%, below plan &lt;90% (inverted when lower is better).</t>
  </si>
  <si>
    <t xml:space="preserve">Perspective</t>
  </si>
  <si>
    <t xml:space="preserve">Objective</t>
  </si>
  <si>
    <t xml:space="preserve">Measure</t>
  </si>
  <si>
    <t xml:space="preserve">Leading / lagging</t>
  </si>
  <si>
    <t xml:space="preserve">Better when</t>
  </si>
  <si>
    <t xml:space="preserve">Target</t>
  </si>
  <si>
    <t xml:space="preserve">Actual</t>
  </si>
  <si>
    <t xml:space="preserve">% of target</t>
  </si>
  <si>
    <t xml:space="preserve">Status</t>
  </si>
  <si>
    <t xml:space="preserve">Owner</t>
  </si>
  <si>
    <t xml:space="preserve">Initiative</t>
  </si>
  <si>
    <t xml:space="preserve">Traces to</t>
  </si>
  <si>
    <t xml:space="preserve">Financial</t>
  </si>
  <si>
    <t xml:space="preserve">Grow operating profit to full potential</t>
  </si>
  <si>
    <t xml:space="preserve">Contribution per car ($)</t>
  </si>
  <si>
    <t xml:space="preserve">Lagging</t>
  </si>
  <si>
    <t xml:space="preserve">Higher</t>
  </si>
  <si>
    <t xml:space="preserve">CFO</t>
  </si>
  <si>
    <t xml:space="preserve">I2 Close variable-cost gap</t>
  </si>
  <si>
    <t xml:space="preserve">Unit Economics</t>
  </si>
  <si>
    <t xml:space="preserve">Internal process</t>
  </si>
  <si>
    <t xml:space="preserve">Secure a second qualified cell supplier</t>
  </si>
  <si>
    <t xml:space="preserve">Supplier qualification pass rate</t>
  </si>
  <si>
    <t xml:space="preserve">Leading</t>
  </si>
  <si>
    <t xml:space="preserve">VP Quality</t>
  </si>
  <si>
    <t xml:space="preserve">I1 Second cell supplier</t>
  </si>
  <si>
    <t xml:space="preserve">Growth Barriers: supply</t>
  </si>
  <si>
    <t xml:space="preserve">Balance check</t>
  </si>
  <si>
    <t xml:space="preserve">Customer</t>
  </si>
  <si>
    <t xml:space="preserve">Learning and growth</t>
  </si>
  <si>
    <t xml:space="preserve">Measures</t>
  </si>
  <si>
    <t xml:space="preserve">Share that are leading</t>
  </si>
  <si>
    <t xml:space="preserve">Measures with no owner</t>
  </si>
  <si>
    <t xml:space="preserve">Objectives by perspective, bottom to top. 'Drives' lists the IDs of the objectives each one leads to in the level above.</t>
  </si>
  <si>
    <t xml:space="preserve">Drives (IDs, ; separated)</t>
  </si>
  <si>
    <t xml:space="preserve">Check</t>
  </si>
  <si>
    <t xml:space="preserve">F1</t>
  </si>
  <si>
    <t xml:space="preserve">C1</t>
  </si>
  <si>
    <t xml:space="preserve">Win the beachhead: urban fleets</t>
  </si>
  <si>
    <t xml:space="preserve">I1</t>
  </si>
  <si>
    <t xml:space="preserve">L1</t>
  </si>
  <si>
    <t xml:space="preserve">Supplier-quality engineering capability</t>
  </si>
  <si>
    <t xml:space="preserve">GLO-BUS Competitive Intelligence Report</t>
  </si>
  <si>
    <t xml:space="preserve">One row per company and product. Groups are set against the share-weighted industry average for that product. Analogues, not answers: you decide.</t>
  </si>
  <si>
    <t xml:space="preserve">Company</t>
  </si>
  <si>
    <t xml:space="preserve">Product</t>
  </si>
  <si>
    <t xml:space="preserve">Price ($)</t>
  </si>
  <si>
    <t xml:space="preserve">P/Q (stars)</t>
  </si>
  <si>
    <t xml:space="preserve">Share (%)</t>
  </si>
  <si>
    <t xml:space="preserve">Models</t>
  </si>
  <si>
    <t xml:space="preserve">Strategic group</t>
  </si>
  <si>
    <t xml:space="preserve">A</t>
  </si>
  <si>
    <t xml:space="preserve">Camera</t>
  </si>
  <si>
    <t xml:space="preserve">B</t>
  </si>
  <si>
    <t xml:space="preserve">C</t>
  </si>
  <si>
    <t xml:space="preserve">D</t>
  </si>
  <si>
    <t xml:space="preserve">E</t>
  </si>
  <si>
    <t xml:space="preserve">Industry averages (share-weighted)</t>
  </si>
  <si>
    <t xml:space="preserve">Price</t>
  </si>
  <si>
    <t xml:space="preserve">P/Q</t>
  </si>
  <si>
    <t xml:space="preserve">Drone</t>
  </si>
  <si>
    <t xml:space="preserve">GLO-BUS Decision Planner</t>
  </si>
  <si>
    <t xml:space="preserve">Plan each year's decisions here, test them in the game's projections, then enter them in GLO-BUS screen by screen in this order. Your team makes and enters every decision.</t>
  </si>
  <si>
    <t xml:space="preserve">Change threshold for the incremental-change check:</t>
  </si>
  <si>
    <t xml:space="preserve">Key (do not edit)</t>
  </si>
  <si>
    <t xml:space="preserve">Decision area</t>
  </si>
  <si>
    <t xml:space="preserve">Decision</t>
  </si>
  <si>
    <t xml:space="preserve">Unit</t>
  </si>
  <si>
    <t xml:space="preserve">Year 6</t>
  </si>
  <si>
    <t xml:space="preserve">Year 7</t>
  </si>
  <si>
    <t xml:space="preserve">Year 8</t>
  </si>
  <si>
    <t xml:space="preserve">Year 9</t>
  </si>
  <si>
    <t xml:space="preserve">Year 10</t>
  </si>
  <si>
    <t xml:space="preserve">Year 11</t>
  </si>
  <si>
    <t xml:space="preserve">Year 12</t>
  </si>
  <si>
    <t xml:space="preserve">Year 13</t>
  </si>
  <si>
    <t xml:space="preserve">Year 14</t>
  </si>
  <si>
    <t xml:space="preserve">Year 15</t>
  </si>
  <si>
    <t xml:space="preserve">strategy.camera</t>
  </si>
  <si>
    <t xml:space="preserve">Strategy anchor</t>
  </si>
  <si>
    <t xml:space="preserve">Strategy (Cameras)</t>
  </si>
  <si>
    <t xml:space="preserve">text</t>
  </si>
  <si>
    <t xml:space="preserve">Best-cost</t>
  </si>
  <si>
    <t xml:space="preserve">strategy.drone</t>
  </si>
  <si>
    <t xml:space="preserve">Strategy (Drones)</t>
  </si>
  <si>
    <t xml:space="preserve">Focused differentiation</t>
  </si>
  <si>
    <t xml:space="preserve">design.camera.pq</t>
  </si>
  <si>
    <t xml:space="preserve">Product design</t>
  </si>
  <si>
    <t xml:space="preserve">P/Q rating target (Cameras)</t>
  </si>
  <si>
    <t xml:space="preserve">stars</t>
  </si>
  <si>
    <t xml:space="preserve">design.drone.pq</t>
  </si>
  <si>
    <t xml:space="preserve">P/Q rating target (Drones)</t>
  </si>
  <si>
    <t xml:space="preserve">design.camera.models</t>
  </si>
  <si>
    <t xml:space="preserve">Number of models (Cameras)</t>
  </si>
  <si>
    <t xml:space="preserve">count</t>
  </si>
  <si>
    <t xml:space="preserve">design.drone.models</t>
  </si>
  <si>
    <t xml:space="preserve">Number of models (Drones)</t>
  </si>
  <si>
    <t xml:space="preserve">design.camera.rd</t>
  </si>
  <si>
    <t xml:space="preserve">R&amp;D / component quality spend (Cameras)</t>
  </si>
  <si>
    <t xml:space="preserve">$000s</t>
  </si>
  <si>
    <t xml:space="preserve">design.drone.rd</t>
  </si>
  <si>
    <t xml:space="preserve">R&amp;D / component quality spend (Drones)</t>
  </si>
  <si>
    <t xml:space="preserve">mkt.camera.na.price</t>
  </si>
  <si>
    <t xml:space="preserve">Marketing</t>
  </si>
  <si>
    <t xml:space="preserve">Price (Cameras, North America)</t>
  </si>
  <si>
    <t xml:space="preserve">mkt.camera.ea.price</t>
  </si>
  <si>
    <t xml:space="preserve">Price (Cameras, Europe-Africa)</t>
  </si>
  <si>
    <t xml:space="preserve">mkt.camera.ap.price</t>
  </si>
  <si>
    <t xml:space="preserve">Price (Cameras, Asia-Pacific)</t>
  </si>
  <si>
    <t xml:space="preserve">mkt.camera.la.price</t>
  </si>
  <si>
    <t xml:space="preserve">Price (Cameras, Latin America)</t>
  </si>
  <si>
    <t xml:space="preserve">mkt.drone.na.price</t>
  </si>
  <si>
    <t xml:space="preserve">Price (Drones, North America)</t>
  </si>
  <si>
    <t xml:space="preserve">mkt.drone.ea.price</t>
  </si>
  <si>
    <t xml:space="preserve">Price (Drones, Europe-Africa)</t>
  </si>
  <si>
    <t xml:space="preserve">mkt.drone.ap.price</t>
  </si>
  <si>
    <t xml:space="preserve">Price (Drones, Asia-Pacific)</t>
  </si>
  <si>
    <t xml:space="preserve">mkt.drone.la.price</t>
  </si>
  <si>
    <t xml:space="preserve">Price (Drones, Latin America)</t>
  </si>
  <si>
    <t xml:space="preserve">mkt.camera.na.ads</t>
  </si>
  <si>
    <t xml:space="preserve">Advertising (Cameras, North America)</t>
  </si>
  <si>
    <t xml:space="preserve">mkt.camera.ea.ads</t>
  </si>
  <si>
    <t xml:space="preserve">Advertising (Cameras, Europe-Africa)</t>
  </si>
  <si>
    <t xml:space="preserve">mkt.camera.ap.ads</t>
  </si>
  <si>
    <t xml:space="preserve">Advertising (Cameras, Asia-Pacific)</t>
  </si>
  <si>
    <t xml:space="preserve">mkt.camera.la.ads</t>
  </si>
  <si>
    <t xml:space="preserve">Advertising (Cameras, Latin America)</t>
  </si>
  <si>
    <t xml:space="preserve">mkt.drone.na.ads</t>
  </si>
  <si>
    <t xml:space="preserve">Advertising (Drones, North America)</t>
  </si>
  <si>
    <t xml:space="preserve">mkt.drone.ea.ads</t>
  </si>
  <si>
    <t xml:space="preserve">Advertising (Drones, Europe-Africa)</t>
  </si>
  <si>
    <t xml:space="preserve">mkt.drone.ap.ads</t>
  </si>
  <si>
    <t xml:space="preserve">Advertising (Drones, Asia-Pacific)</t>
  </si>
  <si>
    <t xml:space="preserve">mkt.drone.la.ads</t>
  </si>
  <si>
    <t xml:space="preserve">Advertising (Drones, Latin America)</t>
  </si>
  <si>
    <t xml:space="preserve">mkt.camera.na.promo</t>
  </si>
  <si>
    <t xml:space="preserve">Retailer support / promotions (Cameras, North America)</t>
  </si>
  <si>
    <t xml:space="preserve">per screen</t>
  </si>
  <si>
    <t xml:space="preserve">mkt.camera.ea.promo</t>
  </si>
  <si>
    <t xml:space="preserve">Retailer support / promotions (Cameras, Europe-Africa)</t>
  </si>
  <si>
    <t xml:space="preserve">mkt.camera.ap.promo</t>
  </si>
  <si>
    <t xml:space="preserve">Retailer support / promotions (Cameras, Asia-Pacific)</t>
  </si>
  <si>
    <t xml:space="preserve">mkt.camera.la.promo</t>
  </si>
  <si>
    <t xml:space="preserve">Retailer support / promotions (Cameras, Latin America)</t>
  </si>
  <si>
    <t xml:space="preserve">mkt.drone.na.promo</t>
  </si>
  <si>
    <t xml:space="preserve">Retailer support / promotions (Drones, North America)</t>
  </si>
  <si>
    <t xml:space="preserve">mkt.drone.ea.promo</t>
  </si>
  <si>
    <t xml:space="preserve">Retailer support / promotions (Drones, Europe-Africa)</t>
  </si>
  <si>
    <t xml:space="preserve">mkt.drone.ap.promo</t>
  </si>
  <si>
    <t xml:space="preserve">Retailer support / promotions (Drones, Asia-Pacific)</t>
  </si>
  <si>
    <t xml:space="preserve">mkt.drone.la.promo</t>
  </si>
  <si>
    <t xml:space="preserve">Retailer support / promotions (Drones, Latin America)</t>
  </si>
  <si>
    <t xml:space="preserve">mkt.camera.na.warranty</t>
  </si>
  <si>
    <t xml:space="preserve">Warranty (Cameras, North America)</t>
  </si>
  <si>
    <t xml:space="preserve">days</t>
  </si>
  <si>
    <t xml:space="preserve">mkt.camera.ea.warranty</t>
  </si>
  <si>
    <t xml:space="preserve">Warranty (Cameras, Europe-Africa)</t>
  </si>
  <si>
    <t xml:space="preserve">mkt.camera.ap.warranty</t>
  </si>
  <si>
    <t xml:space="preserve">Warranty (Cameras, Asia-Pacific)</t>
  </si>
  <si>
    <t xml:space="preserve">mkt.camera.la.warranty</t>
  </si>
  <si>
    <t xml:space="preserve">Warranty (Cameras, Latin America)</t>
  </si>
  <si>
    <t xml:space="preserve">mkt.drone.na.warranty</t>
  </si>
  <si>
    <t xml:space="preserve">Warranty (Drones, North America)</t>
  </si>
  <si>
    <t xml:space="preserve">mkt.drone.ea.warranty</t>
  </si>
  <si>
    <t xml:space="preserve">Warranty (Drones, Europe-Africa)</t>
  </si>
  <si>
    <t xml:space="preserve">mkt.drone.ap.warranty</t>
  </si>
  <si>
    <t xml:space="preserve">Warranty (Drones, Asia-Pacific)</t>
  </si>
  <si>
    <t xml:space="preserve">mkt.drone.la.warranty</t>
  </si>
  <si>
    <t xml:space="preserve">Warranty (Drones, Latin America)</t>
  </si>
  <si>
    <t xml:space="preserve">ops.camera.workstations</t>
  </si>
  <si>
    <t xml:space="preserve">Assembly operations</t>
  </si>
  <si>
    <t xml:space="preserve">Workstations (Cameras)</t>
  </si>
  <si>
    <t xml:space="preserve">ops.drone.workstations</t>
  </si>
  <si>
    <t xml:space="preserve">Workstations (Drones)</t>
  </si>
  <si>
    <t xml:space="preserve">ops.camera.overtime</t>
  </si>
  <si>
    <t xml:space="preserve">Overtime (Cameras)</t>
  </si>
  <si>
    <t xml:space="preserve">%</t>
  </si>
  <si>
    <t xml:space="preserve">ops.drone.overtime</t>
  </si>
  <si>
    <t xml:space="preserve">Overtime (Drones)</t>
  </si>
  <si>
    <t xml:space="preserve">ops.camera.training</t>
  </si>
  <si>
    <t xml:space="preserve">Best-practice training (Cameras)</t>
  </si>
  <si>
    <t xml:space="preserve">$ per worker</t>
  </si>
  <si>
    <t xml:space="preserve">ops.drone.training</t>
  </si>
  <si>
    <t xml:space="preserve">Best-practice training (Drones)</t>
  </si>
  <si>
    <t xml:space="preserve">comp.base</t>
  </si>
  <si>
    <t xml:space="preserve">Compensation</t>
  </si>
  <si>
    <t xml:space="preserve">Base wage</t>
  </si>
  <si>
    <t xml:space="preserve">comp.incentive</t>
  </si>
  <si>
    <t xml:space="preserve">Incentive pay</t>
  </si>
  <si>
    <t xml:space="preserve">$ per unit</t>
  </si>
  <si>
    <t xml:space="preserve">comp.fringe</t>
  </si>
  <si>
    <t xml:space="preserve">Fringe benefits</t>
  </si>
  <si>
    <t xml:space="preserve">csr.budget</t>
  </si>
  <si>
    <t xml:space="preserve">Corporate citizenship</t>
  </si>
  <si>
    <t xml:space="preserve">CSR / citizenship spending</t>
  </si>
  <si>
    <t xml:space="preserve">csr.programs</t>
  </si>
  <si>
    <t xml:space="preserve">Programs in place</t>
  </si>
  <si>
    <t xml:space="preserve">fin.st_loan</t>
  </si>
  <si>
    <t xml:space="preserve">Finance</t>
  </si>
  <si>
    <t xml:space="preserve">Short-term loan</t>
  </si>
  <si>
    <t xml:space="preserve">fin.lt_loan</t>
  </si>
  <si>
    <t xml:space="preserve">Long-term loan</t>
  </si>
  <si>
    <t xml:space="preserve">fin.stock_issue</t>
  </si>
  <si>
    <t xml:space="preserve">Stock issue</t>
  </si>
  <si>
    <t xml:space="preserve">000s shares</t>
  </si>
  <si>
    <t xml:space="preserve">fin.buyback</t>
  </si>
  <si>
    <t xml:space="preserve">Stock buyback</t>
  </si>
  <si>
    <t xml:space="preserve">fin.dividend</t>
  </si>
  <si>
    <t xml:space="preserve">Dividend per share</t>
  </si>
  <si>
    <t xml:space="preserve">kpi.eps</t>
  </si>
  <si>
    <t xml:space="preserve">Projected KPIs (from the game's projections)</t>
  </si>
  <si>
    <t xml:space="preserve">Projected EPS</t>
  </si>
  <si>
    <t xml:space="preserve">kpi.roe</t>
  </si>
  <si>
    <t xml:space="preserve">Projected ROE</t>
  </si>
  <si>
    <t xml:space="preserve">kpi.stock</t>
  </si>
  <si>
    <t xml:space="preserve">Projected stock price</t>
  </si>
  <si>
    <t xml:space="preserve">kpi.credit</t>
  </si>
  <si>
    <t xml:space="preserve">Projected credit rating</t>
  </si>
  <si>
    <t xml:space="preserve">kpi.image</t>
  </si>
  <si>
    <t xml:space="preserve">Projected image rating</t>
  </si>
  <si>
    <t xml:space="preserve">score</t>
  </si>
  <si>
    <t xml:space="preserve">Change vs the year before (numbers only); amber = bigger than the threshold</t>
  </si>
  <si>
    <t xml:space="preserve">Key</t>
  </si>
  <si>
    <t xml:space="preserve">Guardrail: price and advertising cut in the same year (course rule: protect gross margin)</t>
  </si>
  <si>
    <t xml:space="preserve">Product, region</t>
  </si>
  <si>
    <t xml:space="preserve">Cameras, North America</t>
  </si>
  <si>
    <t xml:space="preserve">Cameras, Europe-Africa</t>
  </si>
  <si>
    <t xml:space="preserve">Cameras, Asia-Pacific</t>
  </si>
  <si>
    <t xml:space="preserve">Cameras, Latin America</t>
  </si>
  <si>
    <t xml:space="preserve">Drones, North America</t>
  </si>
  <si>
    <t xml:space="preserve">Drones, Europe-Africa</t>
  </si>
  <si>
    <t xml:space="preserve">Drones, Asia-Pacific</t>
  </si>
  <si>
    <t xml:space="preserve">Drones, Latin America</t>
  </si>
  <si>
    <t xml:space="preserve">How to use: 1) plan the year in its column; 2) enter the same values in GLO-BUS and test the projections; 3) record the projected KPIs; 4) after entering, run 'check our GLO-BUS entries against the plan' (GLO-BUS Capture), which reads the screens and flags any difference. Nothing is uploaded or entered for you.</t>
  </si>
  <si>
    <t xml:space="preserve">Labels follow the usual GLO-BUS screens; if your version differs, rename the Decision column but keep the Key column unchanged (the plan check uses it).</t>
  </si>
  <si>
    <t xml:space="preserve">GLO-BUS Year 6 results</t>
  </si>
  <si>
    <t xml:space="preserve">Example values (illustrative). Figures in the units shown; edit the cream cells.</t>
  </si>
  <si>
    <t xml:space="preserve">Scored KPI</t>
  </si>
  <si>
    <t xml:space="preserve">Investor expectation</t>
  </si>
  <si>
    <t xml:space="preserve">Gap</t>
  </si>
  <si>
    <t xml:space="preserve">Met?</t>
  </si>
  <si>
    <t xml:space="preserve">Earnings per share (EPS)</t>
  </si>
  <si>
    <t xml:space="preserve">Return on equity (ROE)</t>
  </si>
  <si>
    <t xml:space="preserve">Stock price</t>
  </si>
  <si>
    <t xml:space="preserve">Credit rating</t>
  </si>
  <si>
    <t xml:space="preserve">B+</t>
  </si>
  <si>
    <t xml:space="preserve">BB</t>
  </si>
  <si>
    <t xml:space="preserve">Image rating</t>
  </si>
  <si>
    <t xml:space="preserve">Company result</t>
  </si>
  <si>
    <t xml:space="preserve">Value</t>
  </si>
  <si>
    <t xml:space="preserve">Overall score (points)</t>
  </si>
  <si>
    <t xml:space="preserve">Rank in the industry (rank)</t>
  </si>
  <si>
    <t xml:space="preserve">Net revenues ($000s)</t>
  </si>
  <si>
    <t xml:space="preserve">Net profit ($000s)</t>
  </si>
  <si>
    <t xml:space="preserve">Ending cash ($000s)</t>
  </si>
  <si>
    <t xml:space="preserve">Product result</t>
  </si>
  <si>
    <t xml:space="preserve">Cameras</t>
  </si>
  <si>
    <t xml:space="preserve">Drones</t>
  </si>
  <si>
    <t xml:space="preserve">Units sold (000s)</t>
  </si>
  <si>
    <t xml:space="preserve">Average price ($)</t>
  </si>
  <si>
    <t xml:space="preserve">P/Q rating (stars)</t>
  </si>
  <si>
    <t xml:space="preserve">Cost per unit ($)</t>
  </si>
  <si>
    <t xml:space="preserve">Operating margin (%)</t>
  </si>
  <si>
    <t xml:space="preserve">Industry average price ($)</t>
  </si>
  <si>
    <t xml:space="preserve">Industry average P/Q (stars)</t>
  </si>
  <si>
    <t xml:space="preserve">Industry average cost per unit ($)</t>
  </si>
  <si>
    <t xml:space="preserve">Price vs industry average</t>
  </si>
  <si>
    <t xml:space="preserve">Cost per unit vs industry average</t>
  </si>
  <si>
    <t xml:space="preserve">Market share (%)</t>
  </si>
  <si>
    <t xml:space="preserve">North America</t>
  </si>
  <si>
    <t xml:space="preserve">Europe-Africa</t>
  </si>
  <si>
    <t xml:space="preserve">Asia-Pacific</t>
  </si>
  <si>
    <t xml:space="preserve">Latin America</t>
  </si>
  <si>
    <t xml:space="preserve">Average across regions</t>
  </si>
  <si>
    <t xml:space="preserve">GLO-BUS Year 7 results</t>
  </si>
  <si>
    <t xml:space="preserve">BB-</t>
  </si>
  <si>
    <t xml:space="preserve">GLO-BUS Year 8 results</t>
  </si>
  <si>
    <t xml:space="preserve">GLO-BUS trends</t>
  </si>
  <si>
    <t xml:space="preserve">Pulled by formula from the Year tabs. Rebuild the workbook after each round to add the new year. Charts update when a Year tab changes.</t>
  </si>
  <si>
    <t xml:space="preserve">EPS</t>
  </si>
  <si>
    <t xml:space="preserve">AAA</t>
  </si>
  <si>
    <t xml:space="preserve">EPS expectation</t>
  </si>
  <si>
    <t xml:space="preserve">AA+</t>
  </si>
  <si>
    <t xml:space="preserve">ROE</t>
  </si>
  <si>
    <t xml:space="preserve">AA</t>
  </si>
  <si>
    <t xml:space="preserve">ROE expectation</t>
  </si>
  <si>
    <t xml:space="preserve">AA-</t>
  </si>
  <si>
    <t xml:space="preserve">A+</t>
  </si>
  <si>
    <t xml:space="preserve">Stock price expectation</t>
  </si>
  <si>
    <t xml:space="preserve">A-</t>
  </si>
  <si>
    <t xml:space="preserve">Credit rating score (AAA = 21)</t>
  </si>
  <si>
    <t xml:space="preserve">BBB+</t>
  </si>
  <si>
    <t xml:space="preserve">BBB</t>
  </si>
  <si>
    <t xml:space="preserve">Image rating expectation</t>
  </si>
  <si>
    <t xml:space="preserve">BBB-</t>
  </si>
  <si>
    <t xml:space="preserve">Overall score</t>
  </si>
  <si>
    <t xml:space="preserve">BB+</t>
  </si>
  <si>
    <t xml:space="preserve">Cameras: market share (avg %)</t>
  </si>
  <si>
    <t xml:space="preserve">B-</t>
  </si>
  <si>
    <t xml:space="preserve">Drones: market share (avg %)</t>
  </si>
  <si>
    <t xml:space="preserve">CCC+</t>
  </si>
  <si>
    <t xml:space="preserve">Cameras: cost per unit ($)</t>
  </si>
  <si>
    <t xml:space="preserve">CCC</t>
  </si>
  <si>
    <t xml:space="preserve">Cameras: industry cost per unit ($)</t>
  </si>
  <si>
    <t xml:space="preserve">CCC-</t>
  </si>
  <si>
    <t xml:space="preserve">Drones: cost per unit ($)</t>
  </si>
  <si>
    <t xml:space="preserve">CC</t>
  </si>
  <si>
    <t xml:space="preserve">Drones: industry cost per unit ($)</t>
  </si>
  <si>
    <t xml:space="preserve">Cameras: price ($)</t>
  </si>
  <si>
    <t xml:space="preserve">Drones: price ($)</t>
  </si>
  <si>
    <t xml:space="preserve">Cameras: P/Q</t>
  </si>
  <si>
    <t xml:space="preserve">Drones: P/Q</t>
  </si>
  <si>
    <t xml:space="preserve">Cameras: operating margin</t>
  </si>
  <si>
    <t xml:space="preserve">Drones: operating margin</t>
  </si>
  <si>
    <t xml:space="preserve">Cameras: industry price ($)</t>
  </si>
  <si>
    <t xml:space="preserve">Drones: industry price ($)</t>
  </si>
  <si>
    <t xml:space="preserve">Cameras: industry P/Q</t>
  </si>
  <si>
    <t xml:space="preserve">Drones: industry P/Q</t>
  </si>
  <si>
    <t xml:space="preserve">Cameras: price vs industry</t>
  </si>
  <si>
    <t xml:space="preserve">Cameras: cost per unit vs industry</t>
  </si>
  <si>
    <t xml:space="preserve">Drones: price vs industry</t>
  </si>
  <si>
    <t xml:space="preserve">Drones: cost per unit vs industry</t>
  </si>
  <si>
    <t xml:space="preserve">Where you stand: the rivals</t>
  </si>
  <si>
    <t xml:space="preserve">Only what the class-wide reports show every team (scoreboard, Competitive Intelligence Report). Nothing is taken from another team's screens. Rebuild after each round.</t>
  </si>
  <si>
    <t xml:space="preserve">Company A</t>
  </si>
  <si>
    <t xml:space="preserve">Company B</t>
  </si>
  <si>
    <t xml:space="preserve">Company C  (you)</t>
  </si>
  <si>
    <t xml:space="preserve">Company D</t>
  </si>
  <si>
    <t xml:space="preserve">Company E</t>
  </si>
  <si>
    <t xml:space="preserve">Company F</t>
  </si>
  <si>
    <t xml:space="preserve">Company G</t>
  </si>
  <si>
    <t xml:space="preserve">Company H</t>
  </si>
  <si>
    <t xml:space="preserve">Cameras: market share (%)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</si>
</sst>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0"/>
    <numFmt numFmtId="166" formatCode="0.0"/>
    <numFmt numFmtId="167" formatCode="0%"/>
    <numFmt numFmtId="168" formatCode="0.00"/>
    <numFmt numFmtId="169" formatCode="0.0%"/>
    <numFmt numFmtId="170" formatCode="#,##0"/>
    <numFmt numFmtId="171" formatCode="\$#,##0"/>
    <numFmt numFmtId="172" formatCode="\$#,##0;&quot;($&quot;#,##0\);\-"/>
    <numFmt numFmtId="173" formatCode="\$#,##0,,\M"/>
    <numFmt numFmtId="174" formatCode="General"/>
    <numFmt numFmtId="175" formatCode="#,##0.00"/>
    <numFmt numFmtId="176" formatCode="\$#,##0.00"/>
    <numFmt numFmtId="177" formatCode="\$0.00"/>
    <numFmt numFmtId="178" formatCode="\+0;\-0;0"/>
    <numFmt numFmtId="179" formatCode="\+0.0%;\-0.0%;0.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D3557"/>
      <name val="Arial"/>
      <family val="0"/>
      <charset val="1"/>
    </font>
    <font>
      <b val="true"/>
      <sz val="12"/>
      <color rgb="FFC9A55C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1D3557"/>
      <name val="Arial"/>
      <family val="0"/>
      <charset val="1"/>
    </font>
    <font>
      <sz val="10"/>
      <name val="Arial"/>
      <family val="0"/>
      <charset val="1"/>
    </font>
    <font>
      <b val="true"/>
      <sz val="16"/>
      <color rgb="FF1D3557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name val="Arial"/>
      <family val="2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8"/>
      <color rgb="FF000000"/>
      <name val="Arial"/>
      <family val="0"/>
      <charset val="1"/>
    </font>
    <font>
      <sz val="8"/>
      <color rgb="FF99999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8"/>
      <color rgb="FF888888"/>
      <name val="Arial"/>
      <family val="0"/>
      <charset val="1"/>
    </font>
    <font>
      <i val="true"/>
      <sz val="9"/>
      <name val="Arial"/>
      <family val="0"/>
      <charset val="1"/>
    </font>
    <font>
      <sz val="8"/>
      <color rgb="FFBBBBBB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D3557"/>
        <bgColor rgb="FF333399"/>
      </patternFill>
    </fill>
    <fill>
      <patternFill patternType="solid">
        <fgColor rgb="FFFFF9DB"/>
        <bgColor rgb="FFFFF0C2"/>
      </patternFill>
    </fill>
    <fill>
      <patternFill patternType="solid">
        <fgColor rgb="FFEEF2F7"/>
        <bgColor rgb="FFFFFFFF"/>
      </patternFill>
    </fill>
    <fill>
      <patternFill patternType="solid">
        <fgColor rgb="FFFBE9C9"/>
        <bgColor rgb="FFFFF0C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CDD3"/>
      </left>
      <right style="thin">
        <color rgb="FFC8CDD3"/>
      </right>
      <top style="thin">
        <color rgb="FFC8CDD3"/>
      </top>
      <bottom style="thin">
        <color rgb="FFC8CD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7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7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8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9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D8F0DF"/>
        </patternFill>
      </fill>
    </dxf>
    <dxf>
      <fill>
        <patternFill>
          <bgColor rgb="FFFFF0C2"/>
        </patternFill>
      </fill>
    </dxf>
    <dxf>
      <fill>
        <patternFill>
          <bgColor rgb="FFF8D7D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651D"/>
      <rgbColor rgb="FF800080"/>
      <rgbColor rgb="FF008080"/>
      <rgbColor rgb="FFBBBBBB"/>
      <rgbColor rgb="FF878787"/>
      <rgbColor rgb="FF888888"/>
      <rgbColor rgb="FFC44536"/>
      <rgbColor rgb="FFFFF9DB"/>
      <rgbColor rgb="FFEEF2F7"/>
      <rgbColor rgb="FF660066"/>
      <rgbColor rgb="FFC9A55C"/>
      <rgbColor rgb="FF0066CC"/>
      <rgbColor rgb="FFC8CD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D8F0DF"/>
      <rgbColor rgb="FFFFF0C2"/>
      <rgbColor rgb="FFA8DADC"/>
      <rgbColor rgb="FFFBE9C9"/>
      <rgbColor rgb="FFCC99FF"/>
      <rgbColor rgb="FFF8D7D3"/>
      <rgbColor rgb="FF457B9D"/>
      <rgbColor rgb="FF33CCCC"/>
      <rgbColor rgb="FF99CC00"/>
      <rgbColor rgb="FFFFCC00"/>
      <rgbColor rgb="FFFF9900"/>
      <rgbColor rgb="FFFF6600"/>
      <rgbColor rgb="FF6C757D"/>
      <rgbColor rgb="FF999999"/>
      <rgbColor rgb="FF1D3557"/>
      <rgbColor rgb="FF2D936C"/>
      <rgbColor rgb="FF003300"/>
      <rgbColor rgb="FF333300"/>
      <rgbColor rgb="FF993300"/>
      <rgbColor rgb="FF8D6A9F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Tornado: change in NPV from plan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'Risk Analysis'!E31</c:f>
              <c:strCache>
                <c:ptCount val="1"/>
                <c:pt idx="0">
                  <c:v>Low − plan</c:v>
                </c:pt>
              </c:strCache>
            </c:strRef>
          </c:tx>
          <c:spPr>
            <a:solidFill>
              <a:srgbClr val="c44536"/>
            </a:solidFill>
            <a:ln w="0">
              <a:solidFill>
                <a:srgbClr val="c4453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Analysis'!$A$32:$A$37</c:f>
              <c:strCache>
                <c:ptCount val="6"/>
                <c:pt idx="0">
                  <c:v>Units</c:v>
                </c:pt>
                <c:pt idx="1">
                  <c:v>Price per unit</c:v>
                </c:pt>
                <c:pt idx="2">
                  <c:v>Variable cost per unit</c:v>
                </c:pt>
                <c:pt idx="3">
                  <c:v>Capex</c:v>
                </c:pt>
                <c:pt idx="4">
                  <c:v>Discount rate (absolute)</c:v>
                </c:pt>
                <c:pt idx="5">
                  <c:v>Fixed costs</c:v>
                </c:pt>
              </c:strCache>
            </c:strRef>
          </c:cat>
          <c:val>
            <c:numRef>
              <c:f>'Risk Analysis'!$E$32:$E$37</c:f>
              <c:numCache>
                <c:formatCode>\$#,##0;"($"#,##0\);\-</c:formatCode>
                <c:ptCount val="6"/>
                <c:pt idx="0">
                  <c:v>-834245036.019646</c:v>
                </c:pt>
                <c:pt idx="1">
                  <c:v>-747122088.978025</c:v>
                </c:pt>
                <c:pt idx="2">
                  <c:v>234520205.152405</c:v>
                </c:pt>
                <c:pt idx="3">
                  <c:v>113815809.898728</c:v>
                </c:pt>
                <c:pt idx="4">
                  <c:v>141203349.272976</c:v>
                </c:pt>
                <c:pt idx="5">
                  <c:v>53904987.8609884</c:v>
                </c:pt>
              </c:numCache>
            </c:numRef>
          </c:val>
        </c:ser>
        <c:ser>
          <c:idx val="1"/>
          <c:order val="1"/>
          <c:tx>
            <c:strRef>
              <c:f>'Risk Analysis'!F31</c:f>
              <c:strCache>
                <c:ptCount val="1"/>
                <c:pt idx="0">
                  <c:v>High − plan</c:v>
                </c:pt>
              </c:strCache>
            </c:strRef>
          </c:tx>
          <c:spPr>
            <a:solidFill>
              <a:srgbClr val="1d3557"/>
            </a:solidFill>
            <a:ln w="0">
              <a:solidFill>
                <a:srgbClr val="1d355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Analysis'!$A$32:$A$37</c:f>
              <c:strCache>
                <c:ptCount val="6"/>
                <c:pt idx="0">
                  <c:v>Units</c:v>
                </c:pt>
                <c:pt idx="1">
                  <c:v>Price per unit</c:v>
                </c:pt>
                <c:pt idx="2">
                  <c:v>Variable cost per unit</c:v>
                </c:pt>
                <c:pt idx="3">
                  <c:v>Capex</c:v>
                </c:pt>
                <c:pt idx="4">
                  <c:v>Discount rate (absolute)</c:v>
                </c:pt>
                <c:pt idx="5">
                  <c:v>Fixed costs</c:v>
                </c:pt>
              </c:strCache>
            </c:strRef>
          </c:cat>
          <c:val>
            <c:numRef>
              <c:f>'Risk Analysis'!$F$32:$F$37</c:f>
              <c:numCache>
                <c:formatCode>\$#,##0;"($"#,##0\);\-</c:formatCode>
                <c:ptCount val="6"/>
                <c:pt idx="0">
                  <c:v>417122518.009823</c:v>
                </c:pt>
                <c:pt idx="1">
                  <c:v>373561044.489013</c:v>
                </c:pt>
                <c:pt idx="2">
                  <c:v>-469040410.30481</c:v>
                </c:pt>
                <c:pt idx="3">
                  <c:v>-569079049.493639</c:v>
                </c:pt>
                <c:pt idx="4">
                  <c:v>-188918183.002911</c:v>
                </c:pt>
                <c:pt idx="5">
                  <c:v>-80857481.791482</c:v>
                </c:pt>
              </c:numCache>
            </c:numRef>
          </c:val>
        </c:ser>
        <c:gapWidth val="150"/>
        <c:overlap val="100"/>
        <c:axId val="87889650"/>
        <c:axId val="78362369"/>
      </c:barChart>
      <c:catAx>
        <c:axId val="8788965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362369"/>
        <c:crosses val="autoZero"/>
        <c:auto val="1"/>
        <c:lblAlgn val="ctr"/>
        <c:lblOffset val="100"/>
        <c:noMultiLvlLbl val="0"/>
      </c:catAx>
      <c:valAx>
        <c:axId val="78362369"/>
        <c:scaling>
          <c:orientation val="minMax"/>
        </c:scaling>
        <c:delete val="0"/>
        <c:axPos val="l"/>
        <c:numFmt formatCode="\$#,##0,,\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88965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Distribution of simulated NPV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'Risk Analysis'!C58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1d355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Analysis'!$B$59:$B$78</c:f>
              <c:strCache>
                <c:ptCount val="20"/>
                <c:pt idx="0">
                  <c:v>-$1,559M</c:v>
                </c:pt>
                <c:pt idx="1">
                  <c:v>-$1,429M</c:v>
                </c:pt>
                <c:pt idx="2">
                  <c:v>-$1,299M</c:v>
                </c:pt>
                <c:pt idx="3">
                  <c:v>-$1,170M</c:v>
                </c:pt>
                <c:pt idx="4">
                  <c:v>-$1,040M</c:v>
                </c:pt>
                <c:pt idx="5">
                  <c:v>-$910M</c:v>
                </c:pt>
                <c:pt idx="6">
                  <c:v>-$781M</c:v>
                </c:pt>
                <c:pt idx="7">
                  <c:v>-$651M</c:v>
                </c:pt>
                <c:pt idx="8">
                  <c:v>-$521M</c:v>
                </c:pt>
                <c:pt idx="9">
                  <c:v>-$392M</c:v>
                </c:pt>
                <c:pt idx="10">
                  <c:v>-$262M</c:v>
                </c:pt>
                <c:pt idx="11">
                  <c:v>-$132M</c:v>
                </c:pt>
                <c:pt idx="12">
                  <c:v>-$3M</c:v>
                </c:pt>
                <c:pt idx="13">
                  <c:v>$127M</c:v>
                </c:pt>
                <c:pt idx="14">
                  <c:v>$257M</c:v>
                </c:pt>
                <c:pt idx="15">
                  <c:v>$386M</c:v>
                </c:pt>
                <c:pt idx="16">
                  <c:v>$516M</c:v>
                </c:pt>
                <c:pt idx="17">
                  <c:v>$646M</c:v>
                </c:pt>
                <c:pt idx="18">
                  <c:v>$775M</c:v>
                </c:pt>
                <c:pt idx="19">
                  <c:v>$905M</c:v>
                </c:pt>
              </c:strCache>
            </c:strRef>
          </c:cat>
          <c:val>
            <c:numRef>
              <c:f>'Risk Analysis'!$C$59:$C$78</c:f>
              <c:numCache>
                <c:formatCode>0</c:formatCode>
                <c:ptCount val="20"/>
                <c:pt idx="0">
                  <c:v>3</c:v>
                </c:pt>
                <c:pt idx="1">
                  <c:v>5</c:v>
                </c:pt>
                <c:pt idx="2">
                  <c:v>10</c:v>
                </c:pt>
                <c:pt idx="3">
                  <c:v>34</c:v>
                </c:pt>
                <c:pt idx="4">
                  <c:v>37</c:v>
                </c:pt>
                <c:pt idx="5">
                  <c:v>69</c:v>
                </c:pt>
                <c:pt idx="6">
                  <c:v>85</c:v>
                </c:pt>
                <c:pt idx="7">
                  <c:v>139</c:v>
                </c:pt>
                <c:pt idx="8">
                  <c:v>133</c:v>
                </c:pt>
                <c:pt idx="9">
                  <c:v>128</c:v>
                </c:pt>
                <c:pt idx="10">
                  <c:v>117</c:v>
                </c:pt>
                <c:pt idx="11">
                  <c:v>91</c:v>
                </c:pt>
                <c:pt idx="12">
                  <c:v>62</c:v>
                </c:pt>
                <c:pt idx="13">
                  <c:v>43</c:v>
                </c:pt>
                <c:pt idx="14">
                  <c:v>24</c:v>
                </c:pt>
                <c:pt idx="15">
                  <c:v>14</c:v>
                </c:pt>
                <c:pt idx="16">
                  <c:v>4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</c:numCache>
            </c:numRef>
          </c:val>
        </c:ser>
        <c:gapWidth val="10"/>
        <c:overlap val="0"/>
        <c:axId val="59128170"/>
        <c:axId val="549237"/>
      </c:barChart>
      <c:catAx>
        <c:axId val="59128170"/>
        <c:scaling>
          <c:orientation val="minMax"/>
        </c:scaling>
        <c:delete val="0"/>
        <c:axPos val="b"/>
        <c:numFmt formatCode="\$#,##0,,\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9237"/>
        <c:crosses val="autoZero"/>
        <c:auto val="1"/>
        <c:lblAlgn val="ctr"/>
        <c:lblOffset val="100"/>
        <c:noMultiLvlLbl val="0"/>
      </c:catAx>
      <c:valAx>
        <c:axId val="54923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12817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EPS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Tracking!A6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Tracking!$B$6:$D$6</c:f>
              <c:numCache>
                <c:formatCode>\$0.00</c:formatCode>
                <c:ptCount val="3"/>
                <c:pt idx="0">
                  <c:v>1.85</c:v>
                </c:pt>
                <c:pt idx="1">
                  <c:v>2.1</c:v>
                </c:pt>
                <c:pt idx="2">
                  <c:v>2.32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Tracking!A7</c:f>
              <c:strCache>
                <c:ptCount val="1"/>
                <c:pt idx="0">
                  <c:v>EPS expectation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Tracking!$B$7:$D$7</c:f>
              <c:numCache>
                <c:formatCode>\$0.00</c:formatCode>
                <c:ptCount val="3"/>
                <c:pt idx="0">
                  <c:v>2</c:v>
                </c:pt>
                <c:pt idx="1">
                  <c:v>2.15</c:v>
                </c:pt>
                <c:pt idx="2">
                  <c:v>2.3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233272"/>
        <c:axId val="35745870"/>
      </c:lineChart>
      <c:catAx>
        <c:axId val="2233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745870"/>
        <c:crosses val="autoZero"/>
        <c:auto val="1"/>
        <c:lblAlgn val="ctr"/>
        <c:lblOffset val="100"/>
        <c:noMultiLvlLbl val="0"/>
      </c:catAx>
      <c:valAx>
        <c:axId val="35745870"/>
        <c:scaling>
          <c:orientation val="minMax"/>
        </c:scaling>
        <c:delete val="0"/>
        <c:axPos val="l"/>
        <c:numFmt formatCode="\$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3327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ROE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Tracking!A8</c:f>
              <c:strCache>
                <c:ptCount val="1"/>
                <c:pt idx="0">
                  <c:v>ROE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Tracking!$B$8:$D$8</c:f>
              <c:numCache>
                <c:formatCode>0.0%</c:formatCode>
                <c:ptCount val="3"/>
                <c:pt idx="0">
                  <c:v>0.142</c:v>
                </c:pt>
                <c:pt idx="1">
                  <c:v>0.155</c:v>
                </c:pt>
                <c:pt idx="2">
                  <c:v>0.168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Tracking!A9</c:f>
              <c:strCache>
                <c:ptCount val="1"/>
                <c:pt idx="0">
                  <c:v>ROE expectation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Tracking!$B$9:$D$9</c:f>
              <c:numCache>
                <c:formatCode>0.0%</c:formatCode>
                <c:ptCount val="3"/>
                <c:pt idx="0">
                  <c:v>0.15</c:v>
                </c:pt>
                <c:pt idx="1">
                  <c:v>0.155</c:v>
                </c:pt>
                <c:pt idx="2">
                  <c:v>0.16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3473779"/>
        <c:axId val="65449943"/>
      </c:lineChart>
      <c:catAx>
        <c:axId val="934737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449943"/>
        <c:crosses val="autoZero"/>
        <c:auto val="1"/>
        <c:lblAlgn val="ctr"/>
        <c:lblOffset val="100"/>
        <c:noMultiLvlLbl val="0"/>
      </c:catAx>
      <c:valAx>
        <c:axId val="6544994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47377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Stock price vs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Tracking!A10</c:f>
              <c:strCache>
                <c:ptCount val="1"/>
                <c:pt idx="0">
                  <c:v>Stock price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Tracking!$B$10:$D$10</c:f>
              <c:numCache>
                <c:formatCode>\$0.00</c:formatCode>
                <c:ptCount val="3"/>
                <c:pt idx="0">
                  <c:v>22.4</c:v>
                </c:pt>
                <c:pt idx="1">
                  <c:v>26.1</c:v>
                </c:pt>
                <c:pt idx="2">
                  <c:v>29.5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Tracking!A11</c:f>
              <c:strCache>
                <c:ptCount val="1"/>
                <c:pt idx="0">
                  <c:v>Stock price expectation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Tracking!$B$11:$D$11</c:f>
              <c:numCache>
                <c:formatCode>\$0.00</c:formatCode>
                <c:ptCount val="3"/>
                <c:pt idx="0">
                  <c:v>25</c:v>
                </c:pt>
                <c:pt idx="1">
                  <c:v>27</c:v>
                </c:pt>
                <c:pt idx="2">
                  <c:v>29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0988965"/>
        <c:axId val="34319724"/>
      </c:lineChart>
      <c:catAx>
        <c:axId val="609889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319724"/>
        <c:crosses val="autoZero"/>
        <c:auto val="1"/>
        <c:lblAlgn val="ctr"/>
        <c:lblOffset val="100"/>
        <c:noMultiLvlLbl val="0"/>
      </c:catAx>
      <c:valAx>
        <c:axId val="34319724"/>
        <c:scaling>
          <c:orientation val="minMax"/>
        </c:scaling>
        <c:delete val="0"/>
        <c:axPos val="l"/>
        <c:numFmt formatCode="\$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98896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Image rating and credit score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Tracking!A14</c:f>
              <c:strCache>
                <c:ptCount val="1"/>
                <c:pt idx="0">
                  <c:v>Image rating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Tracking!$B$14:$D$14</c:f>
              <c:numCache>
                <c:formatCode>0</c:formatCode>
                <c:ptCount val="3"/>
                <c:pt idx="0">
                  <c:v>68</c:v>
                </c:pt>
                <c:pt idx="1">
                  <c:v>71</c:v>
                </c:pt>
                <c:pt idx="2">
                  <c:v>74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Tracking!A15</c:f>
              <c:strCache>
                <c:ptCount val="1"/>
                <c:pt idx="0">
                  <c:v>Image rating expectation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Tracking!$B$15:$D$15</c:f>
              <c:numCache>
                <c:formatCode>0</c:formatCode>
                <c:ptCount val="3"/>
                <c:pt idx="0">
                  <c:v>70</c:v>
                </c:pt>
                <c:pt idx="1">
                  <c:v>72</c:v>
                </c:pt>
                <c:pt idx="2">
                  <c:v>74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Tracking!A13</c:f>
              <c:strCache>
                <c:ptCount val="1"/>
                <c:pt idx="0">
                  <c:v>Credit rating score (AAA = 21)</c:v>
                </c:pt>
              </c:strCache>
            </c:strRef>
          </c:tx>
          <c:spPr>
            <a:solidFill>
              <a:srgbClr val="2d936c"/>
            </a:solidFill>
            <a:ln w="2808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Tracking!$B$13:$D$13</c:f>
              <c:numCache>
                <c:formatCode>0</c:formatCode>
                <c:ptCount val="3"/>
                <c:pt idx="0">
                  <c:v>8</c:v>
                </c:pt>
                <c:pt idx="1">
                  <c:v>9</c:v>
                </c:pt>
                <c:pt idx="2">
                  <c:v>10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7091188"/>
        <c:axId val="8759280"/>
      </c:lineChart>
      <c:catAx>
        <c:axId val="670911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59280"/>
        <c:crosses val="autoZero"/>
        <c:auto val="1"/>
        <c:lblAlgn val="ctr"/>
        <c:lblOffset val="100"/>
        <c:noMultiLvlLbl val="0"/>
      </c:catAx>
      <c:valAx>
        <c:axId val="8759280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09118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Market share (average of regions, 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Tracking!A21</c:f>
              <c:strCache>
                <c:ptCount val="1"/>
                <c:pt idx="0">
                  <c:v>Cameras: market share (avg %)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Tracking!$B$21:$D$21</c:f>
              <c:numCache>
                <c:formatCode>0.0</c:formatCode>
                <c:ptCount val="3"/>
                <c:pt idx="0">
                  <c:v>12.225</c:v>
                </c:pt>
                <c:pt idx="1">
                  <c:v>12.975</c:v>
                </c:pt>
                <c:pt idx="2">
                  <c:v>13.575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Tracking!A22</c:f>
              <c:strCache>
                <c:ptCount val="1"/>
                <c:pt idx="0">
                  <c:v>Drones: market share (avg %)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Tracking!$B$22:$D$22</c:f>
              <c:numCache>
                <c:formatCode>0.0</c:formatCode>
                <c:ptCount val="3"/>
                <c:pt idx="0">
                  <c:v>11.975</c:v>
                </c:pt>
                <c:pt idx="1">
                  <c:v>12.55</c:v>
                </c:pt>
                <c:pt idx="2">
                  <c:v>13.125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1948022"/>
        <c:axId val="34533837"/>
      </c:lineChart>
      <c:catAx>
        <c:axId val="5194802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533837"/>
        <c:crosses val="autoZero"/>
        <c:auto val="1"/>
        <c:lblAlgn val="ctr"/>
        <c:lblOffset val="100"/>
        <c:noMultiLvlLbl val="0"/>
      </c:catAx>
      <c:valAx>
        <c:axId val="34533837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194802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per unit vs industry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Tracking!A23</c:f>
              <c:strCache>
                <c:ptCount val="1"/>
                <c:pt idx="0">
                  <c:v>Cameras: cost per unit ($)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Tracking!$B$23:$D$23</c:f>
              <c:numCache>
                <c:formatCode>\$#,##0</c:formatCode>
                <c:ptCount val="3"/>
                <c:pt idx="0">
                  <c:v>182</c:v>
                </c:pt>
                <c:pt idx="1">
                  <c:v>176</c:v>
                </c:pt>
                <c:pt idx="2">
                  <c:v>171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Tracking!A24</c:f>
              <c:strCache>
                <c:ptCount val="1"/>
                <c:pt idx="0">
                  <c:v>Cameras: industry cost per unit ($)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Tracking!$B$24:$D$24</c:f>
              <c:numCache>
                <c:formatCode>\$#,##0</c:formatCode>
                <c:ptCount val="3"/>
                <c:pt idx="0">
                  <c:v>186</c:v>
                </c:pt>
                <c:pt idx="1">
                  <c:v>184</c:v>
                </c:pt>
                <c:pt idx="2">
                  <c:v>181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Tracking!A25</c:f>
              <c:strCache>
                <c:ptCount val="1"/>
                <c:pt idx="0">
                  <c:v>Drones: cost per unit ($)</c:v>
                </c:pt>
              </c:strCache>
            </c:strRef>
          </c:tx>
          <c:spPr>
            <a:solidFill>
              <a:srgbClr val="2d936c"/>
            </a:solidFill>
            <a:ln w="2808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Tracking!$B$25:$D$25</c:f>
              <c:numCache>
                <c:formatCode>\$#,##0</c:formatCode>
                <c:ptCount val="3"/>
                <c:pt idx="0">
                  <c:v>905</c:v>
                </c:pt>
                <c:pt idx="1">
                  <c:v>884</c:v>
                </c:pt>
                <c:pt idx="2">
                  <c:v>870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Tracking!A26</c:f>
              <c:strCache>
                <c:ptCount val="1"/>
                <c:pt idx="0">
                  <c:v>Drones: industry cost per unit ($)</c:v>
                </c:pt>
              </c:strCache>
            </c:strRef>
          </c:tx>
          <c:spPr>
            <a:solidFill>
              <a:srgbClr val="c44536"/>
            </a:solidFill>
            <a:ln w="28080">
              <a:solidFill>
                <a:srgbClr val="c4453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Tracking!$B$26:$D$26</c:f>
              <c:numCache>
                <c:formatCode>\$#,##0</c:formatCode>
                <c:ptCount val="3"/>
                <c:pt idx="0">
                  <c:v>890</c:v>
                </c:pt>
                <c:pt idx="1">
                  <c:v>879</c:v>
                </c:pt>
                <c:pt idx="2">
                  <c:v>871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3301991"/>
        <c:axId val="33466496"/>
      </c:lineChart>
      <c:catAx>
        <c:axId val="33301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466496"/>
        <c:crosses val="autoZero"/>
        <c:auto val="1"/>
        <c:lblAlgn val="ctr"/>
        <c:lblOffset val="100"/>
        <c:noMultiLvlLbl val="0"/>
      </c:catAx>
      <c:valAx>
        <c:axId val="33466496"/>
        <c:scaling>
          <c:orientation val="minMax"/>
        </c:scaling>
        <c:delete val="0"/>
        <c:axPos val="l"/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30199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revenues and net profit ($000s)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Tracking!A18</c:f>
              <c:strCache>
                <c:ptCount val="1"/>
                <c:pt idx="0">
                  <c:v>Net revenues ($000s)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Tracking!$B$18:$D$18</c:f>
              <c:numCache>
                <c:formatCode>#,##0</c:formatCode>
                <c:ptCount val="3"/>
                <c:pt idx="0">
                  <c:v>412000</c:v>
                </c:pt>
                <c:pt idx="1">
                  <c:v>455000</c:v>
                </c:pt>
                <c:pt idx="2">
                  <c:v>498000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Tracking!A19</c:f>
              <c:strCache>
                <c:ptCount val="1"/>
                <c:pt idx="0">
                  <c:v>Net profit ($000s)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Tracking!$B$19:$D$19</c:f>
              <c:numCache>
                <c:formatCode>#,##0</c:formatCode>
                <c:ptCount val="3"/>
                <c:pt idx="0">
                  <c:v>18500</c:v>
                </c:pt>
                <c:pt idx="1">
                  <c:v>21900</c:v>
                </c:pt>
                <c:pt idx="2">
                  <c:v>24800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9305560"/>
        <c:axId val="595420"/>
      </c:lineChart>
      <c:catAx>
        <c:axId val="89305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5420"/>
        <c:crosses val="autoZero"/>
        <c:auto val="1"/>
        <c:lblAlgn val="ctr"/>
        <c:lblOffset val="100"/>
        <c:noMultiLvlLbl val="0"/>
      </c:catAx>
      <c:valAx>
        <c:axId val="595420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30556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Operating margin by product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Tracking!A31</c:f>
              <c:strCache>
                <c:ptCount val="1"/>
                <c:pt idx="0">
                  <c:v>Cameras: operating margin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Tracking!$B$31:$D$31</c:f>
              <c:numCache>
                <c:formatCode>0.0%</c:formatCode>
                <c:ptCount val="3"/>
                <c:pt idx="0">
                  <c:v>0.11</c:v>
                </c:pt>
                <c:pt idx="1">
                  <c:v>0.125</c:v>
                </c:pt>
                <c:pt idx="2">
                  <c:v>0.135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Tracking!A32</c:f>
              <c:strCache>
                <c:ptCount val="1"/>
                <c:pt idx="0">
                  <c:v>Drones: operating margin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Tracking!$B$32:$D$32</c:f>
              <c:numCache>
                <c:formatCode>0.0%</c:formatCode>
                <c:ptCount val="3"/>
                <c:pt idx="0">
                  <c:v>0.09</c:v>
                </c:pt>
                <c:pt idx="1">
                  <c:v>0.105</c:v>
                </c:pt>
                <c:pt idx="2">
                  <c:v>0.112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2349146"/>
        <c:axId val="56663686"/>
      </c:lineChart>
      <c:catAx>
        <c:axId val="9234914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663686"/>
        <c:crosses val="autoZero"/>
        <c:auto val="1"/>
        <c:lblAlgn val="ctr"/>
        <c:lblOffset val="100"/>
        <c:noMultiLvlLbl val="0"/>
      </c:catAx>
      <c:valAx>
        <c:axId val="5666368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34914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Cameras: P/Q vs industry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Tracking!A29</c:f>
              <c:strCache>
                <c:ptCount val="1"/>
                <c:pt idx="0">
                  <c:v>Cameras: P/Q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Tracking!$B$29:$D$29</c:f>
              <c:numCache>
                <c:formatCode>0.0</c:formatCode>
                <c:ptCount val="3"/>
                <c:pt idx="0">
                  <c:v>4</c:v>
                </c:pt>
                <c:pt idx="1">
                  <c:v>4.2</c:v>
                </c:pt>
                <c:pt idx="2">
                  <c:v>4.3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Tracking!A35</c:f>
              <c:strCache>
                <c:ptCount val="1"/>
                <c:pt idx="0">
                  <c:v>Cameras: industry P/Q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Tracking!$B$35:$D$35</c:f>
              <c:numCache>
                <c:formatCode>0.0</c:formatCode>
                <c:ptCount val="3"/>
                <c:pt idx="0">
                  <c:v>4</c:v>
                </c:pt>
                <c:pt idx="1">
                  <c:v>4.1</c:v>
                </c:pt>
                <c:pt idx="2">
                  <c:v>4.2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60825"/>
        <c:axId val="99855639"/>
      </c:lineChart>
      <c:catAx>
        <c:axId val="2608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855639"/>
        <c:crosses val="autoZero"/>
        <c:auto val="1"/>
        <c:lblAlgn val="ctr"/>
        <c:lblOffset val="100"/>
        <c:noMultiLvlLbl val="0"/>
      </c:catAx>
      <c:valAx>
        <c:axId val="99855639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082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Position vs industry: price premium and cost gap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Tracking!A37</c:f>
              <c:strCache>
                <c:ptCount val="1"/>
                <c:pt idx="0">
                  <c:v>Cameras: price vs industry</c:v>
                </c:pt>
              </c:strCache>
            </c:strRef>
          </c:tx>
          <c:spPr>
            <a:solidFill>
              <a:srgbClr val="1d3557"/>
            </a:solidFill>
            <a:ln w="2808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Tracking!$B$37:$D$37</c:f>
              <c:numCache>
                <c:formatCode>\+0.0%;\-0.0%;0.0%</c:formatCode>
                <c:ptCount val="3"/>
                <c:pt idx="0">
                  <c:v>-0.0434782608695652</c:v>
                </c:pt>
                <c:pt idx="1">
                  <c:v>-0.044280442804428</c:v>
                </c:pt>
                <c:pt idx="2">
                  <c:v>-0.0485074626865671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Tracking!A38</c:f>
              <c:strCache>
                <c:ptCount val="1"/>
                <c:pt idx="0">
                  <c:v>Cameras: cost per unit vs industry</c:v>
                </c:pt>
              </c:strCache>
            </c:strRef>
          </c:tx>
          <c:spPr>
            <a:solidFill>
              <a:srgbClr val="c9a55c"/>
            </a:solidFill>
            <a:ln w="2808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Tracking!$B$38:$D$38</c:f>
              <c:numCache>
                <c:formatCode>\+0.0%;\-0.0%;0.0%</c:formatCode>
                <c:ptCount val="3"/>
                <c:pt idx="0">
                  <c:v>-0.021505376344086</c:v>
                </c:pt>
                <c:pt idx="1">
                  <c:v>-0.0434782608695652</c:v>
                </c:pt>
                <c:pt idx="2">
                  <c:v>-0.0552486187845304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Tracking!A39</c:f>
              <c:strCache>
                <c:ptCount val="1"/>
                <c:pt idx="0">
                  <c:v>Drones: price vs industry</c:v>
                </c:pt>
              </c:strCache>
            </c:strRef>
          </c:tx>
          <c:spPr>
            <a:solidFill>
              <a:srgbClr val="2d936c"/>
            </a:solidFill>
            <a:ln w="2808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Tracking!$B$39:$D$39</c:f>
              <c:numCache>
                <c:formatCode>\+0.0%;\-0.0%;0.0%</c:formatCode>
                <c:ptCount val="3"/>
                <c:pt idx="0">
                  <c:v>0.0351464435146442</c:v>
                </c:pt>
                <c:pt idx="1">
                  <c:v>0.0345117845117846</c:v>
                </c:pt>
                <c:pt idx="2">
                  <c:v>0.0321761219305674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Tracking!A40</c:f>
              <c:strCache>
                <c:ptCount val="1"/>
                <c:pt idx="0">
                  <c:v>Drones: cost per unit vs industry</c:v>
                </c:pt>
              </c:strCache>
            </c:strRef>
          </c:tx>
          <c:spPr>
            <a:solidFill>
              <a:srgbClr val="c44536"/>
            </a:solidFill>
            <a:ln w="28080">
              <a:solidFill>
                <a:srgbClr val="c4453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Tracking!$B$5:$D$5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Tracking!$B$40:$D$40</c:f>
              <c:numCache>
                <c:formatCode>\+0.0%;\-0.0%;0.0%</c:formatCode>
                <c:ptCount val="3"/>
                <c:pt idx="0">
                  <c:v>0.0168539325842696</c:v>
                </c:pt>
                <c:pt idx="1">
                  <c:v>0.00568828213879402</c:v>
                </c:pt>
                <c:pt idx="2">
                  <c:v>-0.00114810562571754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4382603"/>
        <c:axId val="47964040"/>
      </c:lineChart>
      <c:catAx>
        <c:axId val="443826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964040"/>
        <c:crosses val="autoZero"/>
        <c:auto val="1"/>
        <c:lblAlgn val="ctr"/>
        <c:lblOffset val="100"/>
        <c:noMultiLvlLbl val="0"/>
      </c:catAx>
      <c:valAx>
        <c:axId val="4796404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38260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Overall score by company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Rivals!A6</c:f>
              <c:strCache>
                <c:ptCount val="1"/>
                <c:pt idx="0">
                  <c:v>Company A</c:v>
                </c:pt>
              </c:strCache>
            </c:strRef>
          </c:tx>
          <c:spPr>
            <a:solidFill>
              <a:srgbClr val="1d3557"/>
            </a:solidFill>
            <a:ln w="1512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Rivals!$B$5:$D$5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Rivals!$B$6:$D$6</c:f>
              <c:numCache>
                <c:formatCode>0</c:formatCode>
                <c:ptCount val="3"/>
                <c:pt idx="0">
                  <c:v>80</c:v>
                </c:pt>
                <c:pt idx="1">
                  <c:v>84</c:v>
                </c:pt>
                <c:pt idx="2">
                  <c:v>84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Rivals!A7</c:f>
              <c:strCache>
                <c:ptCount val="1"/>
                <c:pt idx="0">
                  <c:v>Company B</c:v>
                </c:pt>
              </c:strCache>
            </c:strRef>
          </c:tx>
          <c:spPr>
            <a:solidFill>
              <a:srgbClr val="6c757d"/>
            </a:solidFill>
            <a:ln w="15120">
              <a:solidFill>
                <a:srgbClr val="6c757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Rivals!$B$5:$D$5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Rivals!$B$7:$D$7</c:f>
              <c:numCache>
                <c:formatCode>0</c:formatCode>
                <c:ptCount val="3"/>
                <c:pt idx="0">
                  <c:v>72</c:v>
                </c:pt>
                <c:pt idx="1">
                  <c:v>75</c:v>
                </c:pt>
                <c:pt idx="2">
                  <c:v>72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Rivals!A8</c:f>
              <c:strCache>
                <c:ptCount val="1"/>
                <c:pt idx="0">
                  <c:v>Company C  (you)</c:v>
                </c:pt>
              </c:strCache>
            </c:strRef>
          </c:tx>
          <c:spPr>
            <a:solidFill>
              <a:srgbClr val="c9a55c"/>
            </a:solidFill>
            <a:ln w="4212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Rivals!$B$5:$D$5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Rivals!$B$8:$D$8</c:f>
              <c:numCache>
                <c:formatCode>0</c:formatCode>
                <c:ptCount val="3"/>
                <c:pt idx="0">
                  <c:v>78</c:v>
                </c:pt>
                <c:pt idx="1">
                  <c:v>84</c:v>
                </c:pt>
                <c:pt idx="2">
                  <c:v>89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Rivals!A9</c:f>
              <c:strCache>
                <c:ptCount val="1"/>
                <c:pt idx="0">
                  <c:v>Company D</c:v>
                </c:pt>
              </c:strCache>
            </c:strRef>
          </c:tx>
          <c:spPr>
            <a:solidFill>
              <a:srgbClr val="c44536"/>
            </a:solidFill>
            <a:ln w="15120">
              <a:solidFill>
                <a:srgbClr val="c4453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Rivals!$B$5:$D$5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Rivals!$B$9:$D$9</c:f>
              <c:numCache>
                <c:formatCode>0</c:formatCode>
                <c:ptCount val="3"/>
                <c:pt idx="0">
                  <c:v>85</c:v>
                </c:pt>
                <c:pt idx="1">
                  <c:v>85</c:v>
                </c:pt>
                <c:pt idx="2">
                  <c:v>93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Rivals!A10</c:f>
              <c:strCache>
                <c:ptCount val="1"/>
                <c:pt idx="0">
                  <c:v>Company E</c:v>
                </c:pt>
              </c:strCache>
            </c:strRef>
          </c:tx>
          <c:spPr>
            <a:solidFill>
              <a:srgbClr val="457b9d"/>
            </a:solidFill>
            <a:ln w="15120">
              <a:solidFill>
                <a:srgbClr val="457b9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Rivals!$B$5:$D$5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Rivals!$B$10:$D$10</c:f>
              <c:numCache>
                <c:formatCode>0</c:formatCode>
                <c:ptCount val="3"/>
                <c:pt idx="0">
                  <c:v>70</c:v>
                </c:pt>
                <c:pt idx="1">
                  <c:v>71</c:v>
                </c:pt>
                <c:pt idx="2">
                  <c:v>68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Rivals!A11</c:f>
              <c:strCache>
                <c:ptCount val="1"/>
                <c:pt idx="0">
                  <c:v>Company F</c:v>
                </c:pt>
              </c:strCache>
            </c:strRef>
          </c:tx>
          <c:spPr>
            <a:solidFill>
              <a:srgbClr val="8d6a9f"/>
            </a:solidFill>
            <a:ln w="15120">
              <a:solidFill>
                <a:srgbClr val="8d6a9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Rivals!$B$5:$D$5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Rivals!$B$11:$D$11</c:f>
              <c:numCache>
                <c:formatCode>0</c:formatCode>
                <c:ptCount val="3"/>
                <c:pt idx="0">
                  <c:v>75</c:v>
                </c:pt>
                <c:pt idx="1">
                  <c:v>77</c:v>
                </c:pt>
                <c:pt idx="2">
                  <c:v>71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Rivals!A12</c:f>
              <c:strCache>
                <c:ptCount val="1"/>
                <c:pt idx="0">
                  <c:v>Company G</c:v>
                </c:pt>
              </c:strCache>
            </c:strRef>
          </c:tx>
          <c:spPr>
            <a:solidFill>
              <a:srgbClr val="a8dadc"/>
            </a:solidFill>
            <a:ln w="15120">
              <a:solidFill>
                <a:srgbClr val="a8dad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Rivals!$B$5:$D$5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Rivals!$B$12:$D$12</c:f>
              <c:numCache>
                <c:formatCode>0</c:formatCode>
                <c:ptCount val="3"/>
                <c:pt idx="0">
                  <c:v>82</c:v>
                </c:pt>
                <c:pt idx="1">
                  <c:v>84</c:v>
                </c:pt>
                <c:pt idx="2">
                  <c:v>88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Rivals!A13</c:f>
              <c:strCache>
                <c:ptCount val="1"/>
                <c:pt idx="0">
                  <c:v>Company H</c:v>
                </c:pt>
              </c:strCache>
            </c:strRef>
          </c:tx>
          <c:spPr>
            <a:solidFill>
              <a:srgbClr val="b5651d"/>
            </a:solidFill>
            <a:ln w="15120">
              <a:solidFill>
                <a:srgbClr val="b5651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Rivals!$B$5:$D$5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Rivals!$B$13:$D$13</c:f>
              <c:numCache>
                <c:formatCode>0</c:formatCode>
                <c:ptCount val="3"/>
                <c:pt idx="0">
                  <c:v>68</c:v>
                </c:pt>
                <c:pt idx="1">
                  <c:v>69</c:v>
                </c:pt>
                <c:pt idx="2">
                  <c:v>70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812242"/>
        <c:axId val="86712583"/>
      </c:lineChart>
      <c:catAx>
        <c:axId val="481224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712583"/>
        <c:crosses val="autoZero"/>
        <c:auto val="1"/>
        <c:lblAlgn val="ctr"/>
        <c:lblOffset val="100"/>
        <c:noMultiLvlLbl val="0"/>
      </c:catAx>
      <c:valAx>
        <c:axId val="86712583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1224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Cameras: market share by company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Rivals!A46</c:f>
              <c:strCache>
                <c:ptCount val="1"/>
                <c:pt idx="0">
                  <c:v>Company A</c:v>
                </c:pt>
              </c:strCache>
            </c:strRef>
          </c:tx>
          <c:spPr>
            <a:solidFill>
              <a:srgbClr val="1d3557"/>
            </a:solidFill>
            <a:ln w="1512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Rivals!$B$45:$D$45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Rivals!$B$46:$D$46</c:f>
              <c:numCache>
                <c:formatCode>0.0</c:formatCode>
                <c:ptCount val="3"/>
                <c:pt idx="0">
                  <c:v>11.7</c:v>
                </c:pt>
                <c:pt idx="1">
                  <c:v>14.8</c:v>
                </c:pt>
                <c:pt idx="2">
                  <c:v>12.9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Rivals!A47</c:f>
              <c:strCache>
                <c:ptCount val="1"/>
                <c:pt idx="0">
                  <c:v>Company B</c:v>
                </c:pt>
              </c:strCache>
            </c:strRef>
          </c:tx>
          <c:spPr>
            <a:solidFill>
              <a:srgbClr val="6c757d"/>
            </a:solidFill>
            <a:ln w="15120">
              <a:solidFill>
                <a:srgbClr val="6c757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Rivals!$B$45:$D$45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Rivals!$B$47:$D$47</c:f>
              <c:numCache>
                <c:formatCode>0.0</c:formatCode>
                <c:ptCount val="3"/>
                <c:pt idx="0">
                  <c:v>13.1</c:v>
                </c:pt>
                <c:pt idx="1">
                  <c:v>13</c:v>
                </c:pt>
                <c:pt idx="2">
                  <c:v>12.9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Rivals!A48</c:f>
              <c:strCache>
                <c:ptCount val="1"/>
                <c:pt idx="0">
                  <c:v>Company C  (you)</c:v>
                </c:pt>
              </c:strCache>
            </c:strRef>
          </c:tx>
          <c:spPr>
            <a:solidFill>
              <a:srgbClr val="c9a55c"/>
            </a:solidFill>
            <a:ln w="4212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Rivals!$B$45:$D$45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Rivals!$B$48:$D$48</c:f>
              <c:numCache>
                <c:formatCode>0.0</c:formatCode>
                <c:ptCount val="3"/>
                <c:pt idx="0">
                  <c:v>10.7</c:v>
                </c:pt>
                <c:pt idx="1">
                  <c:v>10.3</c:v>
                </c:pt>
                <c:pt idx="2">
                  <c:v>14.6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Rivals!A49</c:f>
              <c:strCache>
                <c:ptCount val="1"/>
                <c:pt idx="0">
                  <c:v>Company D</c:v>
                </c:pt>
              </c:strCache>
            </c:strRef>
          </c:tx>
          <c:spPr>
            <a:solidFill>
              <a:srgbClr val="c44536"/>
            </a:solidFill>
            <a:ln w="15120">
              <a:solidFill>
                <a:srgbClr val="c4453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Rivals!$B$45:$D$45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Rivals!$B$49:$D$49</c:f>
              <c:numCache>
                <c:formatCode>0.0</c:formatCode>
                <c:ptCount val="3"/>
                <c:pt idx="0">
                  <c:v>12.4</c:v>
                </c:pt>
                <c:pt idx="1">
                  <c:v>12.1</c:v>
                </c:pt>
                <c:pt idx="2">
                  <c:v>9.9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Rivals!A50</c:f>
              <c:strCache>
                <c:ptCount val="1"/>
                <c:pt idx="0">
                  <c:v>Company E</c:v>
                </c:pt>
              </c:strCache>
            </c:strRef>
          </c:tx>
          <c:spPr>
            <a:solidFill>
              <a:srgbClr val="457b9d"/>
            </a:solidFill>
            <a:ln w="15120">
              <a:solidFill>
                <a:srgbClr val="457b9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Rivals!$B$45:$D$45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Rivals!$B$50:$D$50</c:f>
              <c:numCache>
                <c:formatCode>0.0</c:formatCode>
                <c:ptCount val="3"/>
                <c:pt idx="0">
                  <c:v>14.7</c:v>
                </c:pt>
                <c:pt idx="1">
                  <c:v>11.8</c:v>
                </c:pt>
                <c:pt idx="2">
                  <c:v>14.1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Rivals!A51</c:f>
              <c:strCache>
                <c:ptCount val="1"/>
                <c:pt idx="0">
                  <c:v>Company F</c:v>
                </c:pt>
              </c:strCache>
            </c:strRef>
          </c:tx>
          <c:spPr>
            <a:solidFill>
              <a:srgbClr val="8d6a9f"/>
            </a:solidFill>
            <a:ln w="15120">
              <a:solidFill>
                <a:srgbClr val="8d6a9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Rivals!$B$45:$D$45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Rivals!$B$51:$D$51</c:f>
              <c:numCache>
                <c:formatCode>0.0</c:formatCode>
                <c:ptCount val="3"/>
                <c:pt idx="0">
                  <c:v>13.5</c:v>
                </c:pt>
                <c:pt idx="1">
                  <c:v>13</c:v>
                </c:pt>
                <c:pt idx="2">
                  <c:v>14.1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Rivals!A52</c:f>
              <c:strCache>
                <c:ptCount val="1"/>
                <c:pt idx="0">
                  <c:v>Company G</c:v>
                </c:pt>
              </c:strCache>
            </c:strRef>
          </c:tx>
          <c:spPr>
            <a:solidFill>
              <a:srgbClr val="a8dadc"/>
            </a:solidFill>
            <a:ln w="15120">
              <a:solidFill>
                <a:srgbClr val="a8dad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Rivals!$B$45:$D$45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Rivals!$B$52:$D$52</c:f>
              <c:numCache>
                <c:formatCode>0.0</c:formatCode>
                <c:ptCount val="3"/>
                <c:pt idx="0">
                  <c:v>13</c:v>
                </c:pt>
                <c:pt idx="1">
                  <c:v>9.7</c:v>
                </c:pt>
                <c:pt idx="2">
                  <c:v>12.8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Rivals!A53</c:f>
              <c:strCache>
                <c:ptCount val="1"/>
                <c:pt idx="0">
                  <c:v>Company H</c:v>
                </c:pt>
              </c:strCache>
            </c:strRef>
          </c:tx>
          <c:spPr>
            <a:solidFill>
              <a:srgbClr val="b5651d"/>
            </a:solidFill>
            <a:ln w="15120">
              <a:solidFill>
                <a:srgbClr val="b5651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Rivals!$B$45:$D$45</c:f>
              <c:strCache>
                <c:ptCount val="3"/>
                <c:pt idx="0">
                  <c:v>Year 6</c:v>
                </c:pt>
                <c:pt idx="1">
                  <c:v>Year 7</c:v>
                </c:pt>
                <c:pt idx="2">
                  <c:v>Year 8</c:v>
                </c:pt>
              </c:strCache>
            </c:strRef>
          </c:cat>
          <c:val>
            <c:numRef>
              <c:f>Rivals!$B$53:$D$53</c:f>
              <c:numCache>
                <c:formatCode>0.0</c:formatCode>
                <c:ptCount val="3"/>
                <c:pt idx="0">
                  <c:v>14.7</c:v>
                </c:pt>
                <c:pt idx="1">
                  <c:v>10.5</c:v>
                </c:pt>
                <c:pt idx="2">
                  <c:v>9.7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1415351"/>
        <c:axId val="37134579"/>
      </c:lineChart>
      <c:catAx>
        <c:axId val="314153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134579"/>
        <c:crosses val="autoZero"/>
        <c:auto val="1"/>
        <c:lblAlgn val="ctr"/>
        <c:lblOffset val="100"/>
        <c:noMultiLvlLbl val="0"/>
      </c:catAx>
      <c:valAx>
        <c:axId val="37134579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41535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Relationship Id="rId4" Type="http://schemas.openxmlformats.org/officeDocument/2006/relationships/chart" Target="../charts/chart6.xml"/><Relationship Id="rId5" Type="http://schemas.openxmlformats.org/officeDocument/2006/relationships/chart" Target="../charts/chart7.xml"/><Relationship Id="rId6" Type="http://schemas.openxmlformats.org/officeDocument/2006/relationships/chart" Target="../charts/chart8.xml"/><Relationship Id="rId7" Type="http://schemas.openxmlformats.org/officeDocument/2006/relationships/chart" Target="../charts/chart9.xml"/><Relationship Id="rId8" Type="http://schemas.openxmlformats.org/officeDocument/2006/relationships/chart" Target="../charts/chart10.xml"/><Relationship Id="rId9" Type="http://schemas.openxmlformats.org/officeDocument/2006/relationships/chart" Target="../charts/chart11.xml"/><Relationship Id="rId10" Type="http://schemas.openxmlformats.org/officeDocument/2006/relationships/chart" Target="../charts/chart1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27</xdr:row>
      <xdr:rowOff>66600</xdr:rowOff>
    </xdr:from>
    <xdr:to>
      <xdr:col>14</xdr:col>
      <xdr:colOff>536400</xdr:colOff>
      <xdr:row>36</xdr:row>
      <xdr:rowOff>186840</xdr:rowOff>
    </xdr:to>
    <xdr:graphicFrame>
      <xdr:nvGraphicFramePr>
        <xdr:cNvPr id="0" name="Chart 1"/>
        <xdr:cNvGraphicFramePr/>
      </xdr:nvGraphicFramePr>
      <xdr:xfrm>
        <a:off x="8951760" y="5715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48</xdr:row>
      <xdr:rowOff>129600</xdr:rowOff>
    </xdr:from>
    <xdr:to>
      <xdr:col>9</xdr:col>
      <xdr:colOff>747360</xdr:colOff>
      <xdr:row>57</xdr:row>
      <xdr:rowOff>249840</xdr:rowOff>
    </xdr:to>
    <xdr:graphicFrame>
      <xdr:nvGraphicFramePr>
        <xdr:cNvPr id="1" name="Chart 2"/>
        <xdr:cNvGraphicFramePr/>
      </xdr:nvGraphicFramePr>
      <xdr:xfrm>
        <a:off x="4299480" y="11430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131040</xdr:rowOff>
    </xdr:from>
    <xdr:to>
      <xdr:col>17</xdr:col>
      <xdr:colOff>131040</xdr:colOff>
      <xdr:row>28</xdr:row>
      <xdr:rowOff>92520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8646840" y="762120"/>
          <a:ext cx="6857640" cy="4914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41</xdr:row>
      <xdr:rowOff>130680</xdr:rowOff>
    </xdr:from>
    <xdr:to>
      <xdr:col>3</xdr:col>
      <xdr:colOff>630360</xdr:colOff>
      <xdr:row>55</xdr:row>
      <xdr:rowOff>55440</xdr:rowOff>
    </xdr:to>
    <xdr:graphicFrame>
      <xdr:nvGraphicFramePr>
        <xdr:cNvPr id="3" name="Chart 1"/>
        <xdr:cNvGraphicFramePr/>
      </xdr:nvGraphicFramePr>
      <xdr:xfrm>
        <a:off x="0" y="819144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41</xdr:row>
      <xdr:rowOff>130680</xdr:rowOff>
    </xdr:from>
    <xdr:to>
      <xdr:col>15</xdr:col>
      <xdr:colOff>579240</xdr:colOff>
      <xdr:row>55</xdr:row>
      <xdr:rowOff>55440</xdr:rowOff>
    </xdr:to>
    <xdr:graphicFrame>
      <xdr:nvGraphicFramePr>
        <xdr:cNvPr id="4" name="Chart 2"/>
        <xdr:cNvGraphicFramePr/>
      </xdr:nvGraphicFramePr>
      <xdr:xfrm>
        <a:off x="6909480" y="819144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57</xdr:row>
      <xdr:rowOff>131040</xdr:rowOff>
    </xdr:from>
    <xdr:to>
      <xdr:col>3</xdr:col>
      <xdr:colOff>630360</xdr:colOff>
      <xdr:row>71</xdr:row>
      <xdr:rowOff>55440</xdr:rowOff>
    </xdr:to>
    <xdr:graphicFrame>
      <xdr:nvGraphicFramePr>
        <xdr:cNvPr id="5" name="Chart 3"/>
        <xdr:cNvGraphicFramePr/>
      </xdr:nvGraphicFramePr>
      <xdr:xfrm>
        <a:off x="0" y="1123956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57</xdr:row>
      <xdr:rowOff>131040</xdr:rowOff>
    </xdr:from>
    <xdr:to>
      <xdr:col>15</xdr:col>
      <xdr:colOff>579240</xdr:colOff>
      <xdr:row>71</xdr:row>
      <xdr:rowOff>55440</xdr:rowOff>
    </xdr:to>
    <xdr:graphicFrame>
      <xdr:nvGraphicFramePr>
        <xdr:cNvPr id="6" name="Chart 4"/>
        <xdr:cNvGraphicFramePr/>
      </xdr:nvGraphicFramePr>
      <xdr:xfrm>
        <a:off x="6909480" y="1123956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73</xdr:row>
      <xdr:rowOff>131040</xdr:rowOff>
    </xdr:from>
    <xdr:to>
      <xdr:col>3</xdr:col>
      <xdr:colOff>630360</xdr:colOff>
      <xdr:row>87</xdr:row>
      <xdr:rowOff>55800</xdr:rowOff>
    </xdr:to>
    <xdr:graphicFrame>
      <xdr:nvGraphicFramePr>
        <xdr:cNvPr id="7" name="Chart 5"/>
        <xdr:cNvGraphicFramePr/>
      </xdr:nvGraphicFramePr>
      <xdr:xfrm>
        <a:off x="0" y="1428768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73</xdr:row>
      <xdr:rowOff>131040</xdr:rowOff>
    </xdr:from>
    <xdr:to>
      <xdr:col>15</xdr:col>
      <xdr:colOff>579240</xdr:colOff>
      <xdr:row>87</xdr:row>
      <xdr:rowOff>55800</xdr:rowOff>
    </xdr:to>
    <xdr:graphicFrame>
      <xdr:nvGraphicFramePr>
        <xdr:cNvPr id="8" name="Chart 6"/>
        <xdr:cNvGraphicFramePr/>
      </xdr:nvGraphicFramePr>
      <xdr:xfrm>
        <a:off x="6909480" y="1428768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89</xdr:row>
      <xdr:rowOff>130680</xdr:rowOff>
    </xdr:from>
    <xdr:to>
      <xdr:col>3</xdr:col>
      <xdr:colOff>630360</xdr:colOff>
      <xdr:row>103</xdr:row>
      <xdr:rowOff>55440</xdr:rowOff>
    </xdr:to>
    <xdr:graphicFrame>
      <xdr:nvGraphicFramePr>
        <xdr:cNvPr id="9" name="Chart 7"/>
        <xdr:cNvGraphicFramePr/>
      </xdr:nvGraphicFramePr>
      <xdr:xfrm>
        <a:off x="0" y="1733544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0</xdr:colOff>
      <xdr:row>89</xdr:row>
      <xdr:rowOff>130680</xdr:rowOff>
    </xdr:from>
    <xdr:to>
      <xdr:col>15</xdr:col>
      <xdr:colOff>579240</xdr:colOff>
      <xdr:row>103</xdr:row>
      <xdr:rowOff>55440</xdr:rowOff>
    </xdr:to>
    <xdr:graphicFrame>
      <xdr:nvGraphicFramePr>
        <xdr:cNvPr id="10" name="Chart 8"/>
        <xdr:cNvGraphicFramePr/>
      </xdr:nvGraphicFramePr>
      <xdr:xfrm>
        <a:off x="6909480" y="1733544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105</xdr:row>
      <xdr:rowOff>131040</xdr:rowOff>
    </xdr:from>
    <xdr:to>
      <xdr:col>3</xdr:col>
      <xdr:colOff>630360</xdr:colOff>
      <xdr:row>119</xdr:row>
      <xdr:rowOff>55440</xdr:rowOff>
    </xdr:to>
    <xdr:graphicFrame>
      <xdr:nvGraphicFramePr>
        <xdr:cNvPr id="11" name="Chart 9"/>
        <xdr:cNvGraphicFramePr/>
      </xdr:nvGraphicFramePr>
      <xdr:xfrm>
        <a:off x="0" y="2038356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7</xdr:col>
      <xdr:colOff>0</xdr:colOff>
      <xdr:row>105</xdr:row>
      <xdr:rowOff>131040</xdr:rowOff>
    </xdr:from>
    <xdr:to>
      <xdr:col>15</xdr:col>
      <xdr:colOff>579240</xdr:colOff>
      <xdr:row>119</xdr:row>
      <xdr:rowOff>55440</xdr:rowOff>
    </xdr:to>
    <xdr:graphicFrame>
      <xdr:nvGraphicFramePr>
        <xdr:cNvPr id="12" name="Chart 10"/>
        <xdr:cNvGraphicFramePr/>
      </xdr:nvGraphicFramePr>
      <xdr:xfrm>
        <a:off x="6909480" y="20383560"/>
        <a:ext cx="485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3</xdr:row>
      <xdr:rowOff>131040</xdr:rowOff>
    </xdr:from>
    <xdr:to>
      <xdr:col>13</xdr:col>
      <xdr:colOff>507600</xdr:colOff>
      <xdr:row>15</xdr:row>
      <xdr:rowOff>163440</xdr:rowOff>
    </xdr:to>
    <xdr:graphicFrame>
      <xdr:nvGraphicFramePr>
        <xdr:cNvPr id="13" name="Chart 1"/>
        <xdr:cNvGraphicFramePr/>
      </xdr:nvGraphicFramePr>
      <xdr:xfrm>
        <a:off x="4770000" y="76212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20</xdr:row>
      <xdr:rowOff>131040</xdr:rowOff>
    </xdr:from>
    <xdr:to>
      <xdr:col>13</xdr:col>
      <xdr:colOff>507600</xdr:colOff>
      <xdr:row>33</xdr:row>
      <xdr:rowOff>163440</xdr:rowOff>
    </xdr:to>
    <xdr:graphicFrame>
      <xdr:nvGraphicFramePr>
        <xdr:cNvPr id="14" name="Chart 2"/>
        <xdr:cNvGraphicFramePr/>
      </xdr:nvGraphicFramePr>
      <xdr:xfrm>
        <a:off x="4770000" y="438156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3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5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6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7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8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false"/>
  </sheetPr>
  <dimension ref="B2:C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90"/>
  </cols>
  <sheetData>
    <row r="2" customFormat="false" ht="26.8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35.05" hidden="false" customHeight="false" outlineLevel="0" collapsed="false">
      <c r="B6" s="4" t="s">
        <v>3</v>
      </c>
      <c r="C6" s="5" t="s">
        <v>4</v>
      </c>
    </row>
    <row r="7" customFormat="false" ht="15" hidden="false" customHeight="false" outlineLevel="0" collapsed="false">
      <c r="B7" s="4" t="s">
        <v>5</v>
      </c>
      <c r="C7" s="5" t="s">
        <v>6</v>
      </c>
    </row>
    <row r="8" customFormat="false" ht="15" hidden="false" customHeight="false" outlineLevel="0" collapsed="false">
      <c r="B8" s="4" t="s">
        <v>7</v>
      </c>
      <c r="C8" s="5" t="s">
        <v>8</v>
      </c>
    </row>
    <row r="9" customFormat="false" ht="15" hidden="false" customHeight="false" outlineLevel="0" collapsed="false">
      <c r="B9" s="4" t="s">
        <v>9</v>
      </c>
      <c r="C9" s="5" t="s">
        <v>10</v>
      </c>
    </row>
    <row r="10" customFormat="false" ht="15" hidden="false" customHeight="false" outlineLevel="0" collapsed="false">
      <c r="B10" s="4" t="s">
        <v>11</v>
      </c>
      <c r="C10" s="5" t="s">
        <v>12</v>
      </c>
    </row>
    <row r="11" customFormat="false" ht="15" hidden="false" customHeight="false" outlineLevel="0" collapsed="false">
      <c r="B11" s="4" t="s">
        <v>13</v>
      </c>
      <c r="C11" s="5" t="s">
        <v>14</v>
      </c>
    </row>
    <row r="12" customFormat="false" ht="15" hidden="false" customHeight="false" outlineLevel="0" collapsed="false">
      <c r="B12" s="4" t="s">
        <v>15</v>
      </c>
      <c r="C12" s="5" t="s">
        <v>16</v>
      </c>
    </row>
    <row r="13" customFormat="false" ht="15" hidden="false" customHeight="false" outlineLevel="0" collapsed="false">
      <c r="B13" s="4" t="s">
        <v>17</v>
      </c>
      <c r="C13" s="5" t="s">
        <v>18</v>
      </c>
    </row>
    <row r="14" customFormat="false" ht="23.85" hidden="false" customHeight="false" outlineLevel="0" collapsed="false">
      <c r="B14" s="4" t="s">
        <v>19</v>
      </c>
      <c r="C14" s="5" t="s">
        <v>20</v>
      </c>
    </row>
    <row r="15" customFormat="false" ht="15" hidden="false" customHeight="false" outlineLevel="0" collapsed="false">
      <c r="B15" s="4" t="s">
        <v>21</v>
      </c>
      <c r="C15" s="5" t="s">
        <v>22</v>
      </c>
    </row>
    <row r="16" customFormat="false" ht="23.85" hidden="false" customHeight="false" outlineLevel="0" collapsed="false">
      <c r="B16" s="4" t="s">
        <v>23</v>
      </c>
      <c r="C16" s="5" t="s">
        <v>24</v>
      </c>
    </row>
    <row r="17" customFormat="false" ht="15" hidden="false" customHeight="false" outlineLevel="0" collapsed="false">
      <c r="B17" s="4" t="s">
        <v>25</v>
      </c>
      <c r="C17" s="5" t="s">
        <v>26</v>
      </c>
    </row>
    <row r="18" customFormat="false" ht="15" hidden="false" customHeight="false" outlineLevel="0" collapsed="false">
      <c r="B18" s="4" t="s">
        <v>27</v>
      </c>
      <c r="C18" s="5" t="s">
        <v>28</v>
      </c>
    </row>
    <row r="19" customFormat="false" ht="15" hidden="false" customHeight="false" outlineLevel="0" collapsed="false">
      <c r="B19" s="4" t="s">
        <v>29</v>
      </c>
      <c r="C19" s="5" t="s">
        <v>30</v>
      </c>
    </row>
    <row r="20" customFormat="false" ht="23.85" hidden="false" customHeight="false" outlineLevel="0" collapsed="false">
      <c r="B20" s="4" t="s">
        <v>31</v>
      </c>
      <c r="C20" s="5" t="s">
        <v>32</v>
      </c>
    </row>
    <row r="21" customFormat="false" ht="23.85" hidden="false" customHeight="false" outlineLevel="0" collapsed="false">
      <c r="B21" s="4" t="s">
        <v>33</v>
      </c>
      <c r="C21" s="5" t="s">
        <v>34</v>
      </c>
    </row>
    <row r="22" customFormat="false" ht="23.85" hidden="false" customHeight="false" outlineLevel="0" collapsed="false">
      <c r="B22" s="4" t="s">
        <v>35</v>
      </c>
      <c r="C22" s="5" t="s">
        <v>36</v>
      </c>
    </row>
    <row r="23" customFormat="false" ht="35.05" hidden="false" customHeight="false" outlineLevel="0" collapsed="false">
      <c r="B23" s="4" t="s">
        <v>37</v>
      </c>
      <c r="C23" s="5" t="s">
        <v>38</v>
      </c>
    </row>
    <row r="24" customFormat="false" ht="23.85" hidden="false" customHeight="false" outlineLevel="0" collapsed="false">
      <c r="B24" s="4" t="s">
        <v>39</v>
      </c>
      <c r="C24" s="5" t="s">
        <v>40</v>
      </c>
    </row>
    <row r="26" customFormat="false" ht="15" hidden="false" customHeight="false" outlineLevel="0" collapsed="false">
      <c r="B26" s="3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52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18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6" t="s">
        <v>42</v>
      </c>
    </row>
    <row r="2" customFormat="false" ht="15" hidden="false" customHeight="false" outlineLevel="0" collapsed="false">
      <c r="A2" s="3" t="s">
        <v>43</v>
      </c>
    </row>
    <row r="3" customFormat="false" ht="15" hidden="false" customHeight="false" outlineLevel="0" collapsed="false">
      <c r="A3" s="7" t="s">
        <v>44</v>
      </c>
    </row>
    <row r="5" customFormat="false" ht="30" hidden="false" customHeight="true" outlineLevel="0" collapsed="false">
      <c r="A5" s="8" t="s">
        <v>45</v>
      </c>
      <c r="B5" s="8" t="s">
        <v>46</v>
      </c>
      <c r="C5" s="8" t="s">
        <v>47</v>
      </c>
      <c r="D5" s="8" t="s">
        <v>48</v>
      </c>
      <c r="E5" s="8" t="s">
        <v>49</v>
      </c>
      <c r="F5" s="8" t="s">
        <v>50</v>
      </c>
      <c r="G5" s="8" t="s">
        <v>51</v>
      </c>
      <c r="H5" s="8" t="s">
        <v>52</v>
      </c>
      <c r="I5" s="8" t="s">
        <v>53</v>
      </c>
    </row>
    <row r="6" customFormat="false" ht="15" hidden="false" customHeight="false" outlineLevel="0" collapsed="false">
      <c r="A6" s="9" t="s">
        <v>54</v>
      </c>
      <c r="B6" s="9" t="s">
        <v>55</v>
      </c>
      <c r="C6" s="9" t="s">
        <v>56</v>
      </c>
      <c r="D6" s="9" t="s">
        <v>57</v>
      </c>
      <c r="E6" s="9" t="n">
        <v>4</v>
      </c>
      <c r="F6" s="9" t="n">
        <v>4</v>
      </c>
      <c r="G6" s="10" t="n">
        <f aca="false">IF(AND(ISNUMBER(E6),ISNUMBER(F6)),E6*F6,"")</f>
        <v>16</v>
      </c>
      <c r="H6" s="9" t="s">
        <v>58</v>
      </c>
      <c r="I6" s="9" t="s">
        <v>59</v>
      </c>
    </row>
    <row r="7" customFormat="false" ht="15" hidden="false" customHeight="false" outlineLevel="0" collapsed="false">
      <c r="A7" s="9"/>
      <c r="B7" s="9"/>
      <c r="C7" s="9"/>
      <c r="D7" s="9"/>
      <c r="E7" s="9"/>
      <c r="F7" s="9"/>
      <c r="G7" s="10" t="str">
        <f aca="false">IF(AND(ISNUMBER(E7),ISNUMBER(F7)),E7*F7,"")</f>
        <v/>
      </c>
      <c r="H7" s="9"/>
      <c r="I7" s="9"/>
    </row>
    <row r="8" customFormat="false" ht="15" hidden="false" customHeight="false" outlineLevel="0" collapsed="false">
      <c r="A8" s="9"/>
      <c r="B8" s="9"/>
      <c r="C8" s="9"/>
      <c r="D8" s="9"/>
      <c r="E8" s="9"/>
      <c r="F8" s="9"/>
      <c r="G8" s="10" t="str">
        <f aca="false">IF(AND(ISNUMBER(E8),ISNUMBER(F8)),E8*F8,"")</f>
        <v/>
      </c>
      <c r="H8" s="9"/>
      <c r="I8" s="9"/>
    </row>
    <row r="9" customFormat="false" ht="15" hidden="false" customHeight="false" outlineLevel="0" collapsed="false">
      <c r="A9" s="9"/>
      <c r="B9" s="9"/>
      <c r="C9" s="9"/>
      <c r="D9" s="9"/>
      <c r="E9" s="9"/>
      <c r="F9" s="9"/>
      <c r="G9" s="10" t="str">
        <f aca="false">IF(AND(ISNUMBER(E9),ISNUMBER(F9)),E9*F9,"")</f>
        <v/>
      </c>
      <c r="H9" s="9"/>
      <c r="I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  <c r="G10" s="10" t="str">
        <f aca="false">IF(AND(ISNUMBER(E10),ISNUMBER(F10)),E10*F10,"")</f>
        <v/>
      </c>
      <c r="H10" s="9"/>
      <c r="I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10" t="str">
        <f aca="false">IF(AND(ISNUMBER(E11),ISNUMBER(F11)),E11*F11,"")</f>
        <v/>
      </c>
      <c r="H11" s="9"/>
      <c r="I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10" t="str">
        <f aca="false">IF(AND(ISNUMBER(E12),ISNUMBER(F12)),E12*F12,"")</f>
        <v/>
      </c>
      <c r="H12" s="9"/>
      <c r="I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9"/>
      <c r="G13" s="10" t="str">
        <f aca="false">IF(AND(ISNUMBER(E13),ISNUMBER(F13)),E13*F13,"")</f>
        <v/>
      </c>
      <c r="H13" s="9"/>
      <c r="I13" s="9"/>
    </row>
    <row r="14" customFormat="false" ht="15" hidden="false" customHeight="false" outlineLevel="0" collapsed="false">
      <c r="A14" s="9"/>
      <c r="B14" s="9"/>
      <c r="C14" s="9"/>
      <c r="D14" s="9"/>
      <c r="E14" s="9"/>
      <c r="F14" s="9"/>
      <c r="G14" s="10" t="str">
        <f aca="false">IF(AND(ISNUMBER(E14),ISNUMBER(F14)),E14*F14,"")</f>
        <v/>
      </c>
      <c r="H14" s="9"/>
      <c r="I14" s="9"/>
    </row>
    <row r="15" customFormat="false" ht="15" hidden="false" customHeight="false" outlineLevel="0" collapsed="false">
      <c r="A15" s="9"/>
      <c r="B15" s="9"/>
      <c r="C15" s="9"/>
      <c r="D15" s="9"/>
      <c r="E15" s="9"/>
      <c r="F15" s="9"/>
      <c r="G15" s="10" t="str">
        <f aca="false">IF(AND(ISNUMBER(E15),ISNUMBER(F15)),E15*F15,"")</f>
        <v/>
      </c>
      <c r="H15" s="9"/>
      <c r="I15" s="9"/>
    </row>
    <row r="16" customFormat="false" ht="15" hidden="false" customHeight="false" outlineLevel="0" collapsed="false">
      <c r="A16" s="9"/>
      <c r="B16" s="9"/>
      <c r="C16" s="9"/>
      <c r="D16" s="9"/>
      <c r="E16" s="9"/>
      <c r="F16" s="9"/>
      <c r="G16" s="10" t="str">
        <f aca="false">IF(AND(ISNUMBER(E16),ISNUMBER(F16)),E16*F16,"")</f>
        <v/>
      </c>
      <c r="H16" s="9"/>
      <c r="I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10" t="str">
        <f aca="false">IF(AND(ISNUMBER(E17),ISNUMBER(F17)),E17*F17,"")</f>
        <v/>
      </c>
      <c r="H17" s="9"/>
      <c r="I17" s="9"/>
    </row>
    <row r="18" customFormat="false" ht="15" hidden="false" customHeight="false" outlineLevel="0" collapsed="false">
      <c r="A18" s="9"/>
      <c r="B18" s="9"/>
      <c r="C18" s="9"/>
      <c r="D18" s="9"/>
      <c r="E18" s="9"/>
      <c r="F18" s="9"/>
      <c r="G18" s="10" t="str">
        <f aca="false">IF(AND(ISNUMBER(E18),ISNUMBER(F18)),E18*F18,"")</f>
        <v/>
      </c>
      <c r="H18" s="9"/>
      <c r="I18" s="9"/>
    </row>
    <row r="19" customFormat="false" ht="15" hidden="false" customHeight="false" outlineLevel="0" collapsed="false">
      <c r="A19" s="9"/>
      <c r="B19" s="9"/>
      <c r="C19" s="9"/>
      <c r="D19" s="9"/>
      <c r="E19" s="9"/>
      <c r="F19" s="9"/>
      <c r="G19" s="10" t="str">
        <f aca="false">IF(AND(ISNUMBER(E19),ISNUMBER(F19)),E19*F19,"")</f>
        <v/>
      </c>
      <c r="H19" s="9"/>
      <c r="I19" s="9"/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10" t="str">
        <f aca="false">IF(AND(ISNUMBER(E20),ISNUMBER(F20)),E20*F20,"")</f>
        <v/>
      </c>
      <c r="H20" s="9"/>
      <c r="I20" s="9"/>
    </row>
    <row r="21" customFormat="false" ht="15" hidden="false" customHeight="false" outlineLevel="0" collapsed="false">
      <c r="A21" s="9"/>
      <c r="B21" s="9"/>
      <c r="C21" s="9"/>
      <c r="D21" s="9"/>
      <c r="E21" s="9"/>
      <c r="F21" s="9"/>
      <c r="G21" s="10" t="str">
        <f aca="false">IF(AND(ISNUMBER(E21),ISNUMBER(F21)),E21*F21,"")</f>
        <v/>
      </c>
      <c r="H21" s="9"/>
      <c r="I21" s="9"/>
    </row>
    <row r="22" customFormat="false" ht="15" hidden="false" customHeight="false" outlineLevel="0" collapsed="false">
      <c r="A22" s="9"/>
      <c r="B22" s="9"/>
      <c r="C22" s="9"/>
      <c r="D22" s="9"/>
      <c r="E22" s="9"/>
      <c r="F22" s="9"/>
      <c r="G22" s="10" t="str">
        <f aca="false">IF(AND(ISNUMBER(E22),ISNUMBER(F22)),E22*F22,"")</f>
        <v/>
      </c>
      <c r="H22" s="9"/>
      <c r="I22" s="9"/>
    </row>
    <row r="23" customFormat="false" ht="15" hidden="false" customHeight="false" outlineLevel="0" collapsed="false">
      <c r="A23" s="9"/>
      <c r="B23" s="9"/>
      <c r="C23" s="9"/>
      <c r="D23" s="9"/>
      <c r="E23" s="9"/>
      <c r="F23" s="9"/>
      <c r="G23" s="10" t="str">
        <f aca="false">IF(AND(ISNUMBER(E23),ISNUMBER(F23)),E23*F23,"")</f>
        <v/>
      </c>
      <c r="H23" s="9"/>
      <c r="I23" s="9"/>
    </row>
    <row r="24" customFormat="false" ht="15" hidden="false" customHeight="false" outlineLevel="0" collapsed="false">
      <c r="A24" s="9"/>
      <c r="B24" s="9"/>
      <c r="C24" s="9"/>
      <c r="D24" s="9"/>
      <c r="E24" s="9"/>
      <c r="F24" s="9"/>
      <c r="G24" s="10" t="str">
        <f aca="false">IF(AND(ISNUMBER(E24),ISNUMBER(F24)),E24*F24,"")</f>
        <v/>
      </c>
      <c r="H24" s="9"/>
      <c r="I24" s="9"/>
    </row>
    <row r="25" customFormat="false" ht="15" hidden="false" customHeight="false" outlineLevel="0" collapsed="false">
      <c r="A25" s="9"/>
      <c r="B25" s="9"/>
      <c r="C25" s="9"/>
      <c r="D25" s="9"/>
      <c r="E25" s="9"/>
      <c r="F25" s="9"/>
      <c r="G25" s="10" t="str">
        <f aca="false">IF(AND(ISNUMBER(E25),ISNUMBER(F25)),E25*F25,"")</f>
        <v/>
      </c>
      <c r="H25" s="9"/>
      <c r="I25" s="9"/>
    </row>
    <row r="26" customFormat="false" ht="15" hidden="false" customHeight="false" outlineLevel="0" collapsed="false">
      <c r="A26" s="9"/>
      <c r="B26" s="9"/>
      <c r="C26" s="9"/>
      <c r="D26" s="9"/>
      <c r="E26" s="9"/>
      <c r="F26" s="9"/>
      <c r="G26" s="10" t="str">
        <f aca="false">IF(AND(ISNUMBER(E26),ISNUMBER(F26)),E26*F26,"")</f>
        <v/>
      </c>
      <c r="H26" s="9"/>
      <c r="I26" s="9"/>
    </row>
    <row r="27" customFormat="false" ht="15" hidden="false" customHeight="false" outlineLevel="0" collapsed="false">
      <c r="A27" s="9"/>
      <c r="B27" s="9"/>
      <c r="C27" s="9"/>
      <c r="D27" s="9"/>
      <c r="E27" s="9"/>
      <c r="F27" s="9"/>
      <c r="G27" s="10" t="str">
        <f aca="false">IF(AND(ISNUMBER(E27),ISNUMBER(F27)),E27*F27,"")</f>
        <v/>
      </c>
      <c r="H27" s="9"/>
      <c r="I27" s="9"/>
    </row>
    <row r="28" customFormat="false" ht="15" hidden="false" customHeight="false" outlineLevel="0" collapsed="false">
      <c r="A28" s="9"/>
      <c r="B28" s="9"/>
      <c r="C28" s="9"/>
      <c r="D28" s="9"/>
      <c r="E28" s="9"/>
      <c r="F28" s="9"/>
      <c r="G28" s="10" t="str">
        <f aca="false">IF(AND(ISNUMBER(E28),ISNUMBER(F28)),E28*F28,"")</f>
        <v/>
      </c>
      <c r="H28" s="9"/>
      <c r="I28" s="9"/>
    </row>
    <row r="29" customFormat="false" ht="15" hidden="false" customHeight="false" outlineLevel="0" collapsed="false">
      <c r="A29" s="9"/>
      <c r="B29" s="9"/>
      <c r="C29" s="9"/>
      <c r="D29" s="9"/>
      <c r="E29" s="9"/>
      <c r="F29" s="9"/>
      <c r="G29" s="10" t="str">
        <f aca="false">IF(AND(ISNUMBER(E29),ISNUMBER(F29)),E29*F29,"")</f>
        <v/>
      </c>
      <c r="H29" s="9"/>
      <c r="I29" s="9"/>
    </row>
    <row r="30" customFormat="false" ht="15" hidden="false" customHeight="false" outlineLevel="0" collapsed="false">
      <c r="A30" s="9"/>
      <c r="B30" s="9"/>
      <c r="C30" s="9"/>
      <c r="D30" s="9"/>
      <c r="E30" s="9"/>
      <c r="F30" s="9"/>
      <c r="G30" s="10" t="str">
        <f aca="false">IF(AND(ISNUMBER(E30),ISNUMBER(F30)),E30*F30,"")</f>
        <v/>
      </c>
      <c r="H30" s="9"/>
      <c r="I30" s="9"/>
    </row>
    <row r="32" customFormat="false" ht="15" hidden="false" customHeight="false" outlineLevel="0" collapsed="false">
      <c r="B32" s="11" t="s">
        <v>60</v>
      </c>
      <c r="C32" s="10" t="n">
        <f aca="false">COUNTA(C6:C30)</f>
        <v>1</v>
      </c>
    </row>
    <row r="33" customFormat="false" ht="23.85" hidden="false" customHeight="false" outlineLevel="0" collapsed="false">
      <c r="B33" s="11" t="s">
        <v>61</v>
      </c>
      <c r="C33" s="10" t="n">
        <f aca="false">COUNTIF(G6:G30,"&gt;=16")</f>
        <v>1</v>
      </c>
    </row>
    <row r="34" customFormat="false" ht="23.85" hidden="false" customHeight="false" outlineLevel="0" collapsed="false">
      <c r="B34" s="11" t="s">
        <v>62</v>
      </c>
      <c r="C34" s="10" t="n">
        <f aca="false">SUMPRODUCT((C6:C30&lt;&gt;"")*(I6:I30=""))</f>
        <v>0</v>
      </c>
    </row>
  </sheetData>
  <conditionalFormatting sqref="G6:G30">
    <cfRule type="expression" priority="2" aboveAverage="0" equalAverage="0" bottom="0" percent="0" rank="0" text="" dxfId="0">
      <formula>AND(ISNUMBER(G6),G6&gt;=16)</formula>
    </cfRule>
    <cfRule type="expression" priority="3" aboveAverage="0" equalAverage="0" bottom="0" percent="0" rank="0" text="" dxfId="1">
      <formula>AND(ISNUMBER(G6),G6&gt;=9,G6&lt;16)</formula>
    </cfRule>
    <cfRule type="expression" priority="4" aboveAverage="0" equalAverage="0" bottom="0" percent="0" rank="0" text="" dxfId="2">
      <formula>AND(ISNUMBER(G6),G6&lt;9)</formula>
    </cfRule>
  </conditionalFormatting>
  <dataValidations count="4">
    <dataValidation allowBlank="true" errorStyle="stop" operator="between" showDropDown="false" showErrorMessage="false" showInputMessage="false" sqref="B6:B30" type="list">
      <formula1>"Political,Economic,Social,Technological,Environmental,Legal"</formula1>
      <formula2>0</formula2>
    </dataValidation>
    <dataValidation allowBlank="true" errorStyle="stop" operator="between" showDropDown="false" showErrorMessage="false" showInputMessage="false" sqref="D6:D30" type="list">
      <formula1>"+,-,±"</formula1>
      <formula2>0</formula2>
    </dataValidation>
    <dataValidation allowBlank="true" error="Enter a whole number from 1 to 5." errorStyle="stop" errorTitle="StratOS" operator="between" showDropDown="false" showErrorMessage="false" showInputMessage="false" sqref="E6:F30" type="whole">
      <formula1>1</formula1>
      <formula2>5</formula2>
    </dataValidation>
    <dataValidation allowBlank="true" errorStyle="stop" operator="between" showDropDown="false" showErrorMessage="false" showInputMessage="false" sqref="H6:H30" type="list">
      <formula1>"revenue.price,revenue.volume,revenue.mix,cogs.inputs,cogs.labor,opex.sga,opex.rnd,capex,working_capital,financing,tax_and_levies"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12"/>
    <col collapsed="false" customWidth="true" hidden="false" outlineLevel="0" max="4" min="4" style="0" width="50"/>
    <col collapsed="false" customWidth="true" hidden="false" outlineLevel="0" max="6" min="5" style="0" width="16"/>
  </cols>
  <sheetData>
    <row r="1" customFormat="false" ht="19.7" hidden="false" customHeight="false" outlineLevel="0" collapsed="false">
      <c r="A1" s="6" t="s">
        <v>63</v>
      </c>
    </row>
    <row r="2" customFormat="false" ht="15" hidden="false" customHeight="false" outlineLevel="0" collapsed="false">
      <c r="A2" s="3" t="s">
        <v>64</v>
      </c>
    </row>
    <row r="3" customFormat="false" ht="15" hidden="false" customHeight="false" outlineLevel="0" collapsed="false">
      <c r="A3" s="7" t="s">
        <v>44</v>
      </c>
    </row>
    <row r="5" customFormat="false" ht="30" hidden="false" customHeight="true" outlineLevel="0" collapsed="false">
      <c r="A5" s="8" t="s">
        <v>65</v>
      </c>
      <c r="B5" s="8" t="s">
        <v>66</v>
      </c>
      <c r="C5" s="8" t="s">
        <v>67</v>
      </c>
      <c r="D5" s="8" t="s">
        <v>68</v>
      </c>
    </row>
    <row r="6" customFormat="false" ht="15" hidden="false" customHeight="false" outlineLevel="0" collapsed="false">
      <c r="A6" s="5" t="s">
        <v>69</v>
      </c>
      <c r="B6" s="5" t="s">
        <v>70</v>
      </c>
      <c r="C6" s="9"/>
      <c r="D6" s="9"/>
    </row>
    <row r="7" customFormat="false" ht="15" hidden="false" customHeight="false" outlineLevel="0" collapsed="false">
      <c r="A7" s="5" t="s">
        <v>69</v>
      </c>
      <c r="B7" s="5" t="s">
        <v>71</v>
      </c>
      <c r="C7" s="9"/>
      <c r="D7" s="9"/>
    </row>
    <row r="8" customFormat="false" ht="15" hidden="false" customHeight="false" outlineLevel="0" collapsed="false">
      <c r="A8" s="5" t="s">
        <v>69</v>
      </c>
      <c r="B8" s="5" t="s">
        <v>72</v>
      </c>
      <c r="C8" s="9"/>
      <c r="D8" s="9"/>
    </row>
    <row r="9" customFormat="false" ht="15" hidden="false" customHeight="false" outlineLevel="0" collapsed="false">
      <c r="A9" s="5" t="s">
        <v>69</v>
      </c>
      <c r="B9" s="5" t="s">
        <v>73</v>
      </c>
      <c r="C9" s="9"/>
      <c r="D9" s="9"/>
    </row>
    <row r="10" customFormat="false" ht="15" hidden="false" customHeight="false" outlineLevel="0" collapsed="false">
      <c r="A10" s="5" t="s">
        <v>74</v>
      </c>
      <c r="B10" s="5" t="s">
        <v>75</v>
      </c>
      <c r="C10" s="9" t="n">
        <v>4</v>
      </c>
      <c r="D10" s="9" t="s">
        <v>76</v>
      </c>
    </row>
    <row r="11" customFormat="false" ht="15" hidden="false" customHeight="false" outlineLevel="0" collapsed="false">
      <c r="A11" s="5" t="s">
        <v>74</v>
      </c>
      <c r="B11" s="5" t="s">
        <v>77</v>
      </c>
      <c r="C11" s="9"/>
      <c r="D11" s="9"/>
    </row>
    <row r="12" customFormat="false" ht="15" hidden="false" customHeight="false" outlineLevel="0" collapsed="false">
      <c r="A12" s="5" t="s">
        <v>74</v>
      </c>
      <c r="B12" s="5" t="s">
        <v>78</v>
      </c>
      <c r="C12" s="9"/>
      <c r="D12" s="9"/>
    </row>
    <row r="13" customFormat="false" ht="15" hidden="false" customHeight="false" outlineLevel="0" collapsed="false">
      <c r="A13" s="5" t="s">
        <v>74</v>
      </c>
      <c r="B13" s="5" t="s">
        <v>79</v>
      </c>
      <c r="C13" s="9"/>
      <c r="D13" s="9"/>
    </row>
    <row r="14" customFormat="false" ht="15" hidden="false" customHeight="false" outlineLevel="0" collapsed="false">
      <c r="A14" s="5" t="s">
        <v>80</v>
      </c>
      <c r="B14" s="5" t="s">
        <v>81</v>
      </c>
      <c r="C14" s="9"/>
      <c r="D14" s="9"/>
    </row>
    <row r="15" customFormat="false" ht="15" hidden="false" customHeight="false" outlineLevel="0" collapsed="false">
      <c r="A15" s="5" t="s">
        <v>80</v>
      </c>
      <c r="B15" s="5" t="s">
        <v>82</v>
      </c>
      <c r="C15" s="9"/>
      <c r="D15" s="9"/>
    </row>
    <row r="16" customFormat="false" ht="15" hidden="false" customHeight="false" outlineLevel="0" collapsed="false">
      <c r="A16" s="5" t="s">
        <v>80</v>
      </c>
      <c r="B16" s="5" t="s">
        <v>77</v>
      </c>
      <c r="C16" s="9"/>
      <c r="D16" s="9"/>
    </row>
    <row r="17" customFormat="false" ht="15" hidden="false" customHeight="false" outlineLevel="0" collapsed="false">
      <c r="A17" s="5" t="s">
        <v>80</v>
      </c>
      <c r="B17" s="5" t="s">
        <v>83</v>
      </c>
      <c r="C17" s="9"/>
      <c r="D17" s="9"/>
    </row>
    <row r="18" customFormat="false" ht="15" hidden="false" customHeight="false" outlineLevel="0" collapsed="false">
      <c r="A18" s="5" t="s">
        <v>84</v>
      </c>
      <c r="B18" s="5" t="s">
        <v>85</v>
      </c>
      <c r="C18" s="9"/>
      <c r="D18" s="9"/>
    </row>
    <row r="19" customFormat="false" ht="15" hidden="false" customHeight="false" outlineLevel="0" collapsed="false">
      <c r="A19" s="5" t="s">
        <v>84</v>
      </c>
      <c r="B19" s="5" t="s">
        <v>86</v>
      </c>
      <c r="C19" s="9"/>
      <c r="D19" s="9"/>
    </row>
    <row r="20" customFormat="false" ht="15" hidden="false" customHeight="false" outlineLevel="0" collapsed="false">
      <c r="A20" s="5" t="s">
        <v>84</v>
      </c>
      <c r="B20" s="5" t="s">
        <v>87</v>
      </c>
      <c r="C20" s="9"/>
      <c r="D20" s="9"/>
    </row>
    <row r="21" customFormat="false" ht="15" hidden="false" customHeight="false" outlineLevel="0" collapsed="false">
      <c r="A21" s="5" t="s">
        <v>84</v>
      </c>
      <c r="B21" s="5" t="s">
        <v>88</v>
      </c>
      <c r="C21" s="9"/>
      <c r="D21" s="9"/>
    </row>
    <row r="22" customFormat="false" ht="15" hidden="false" customHeight="false" outlineLevel="0" collapsed="false">
      <c r="A22" s="5" t="s">
        <v>89</v>
      </c>
      <c r="B22" s="5" t="s">
        <v>90</v>
      </c>
      <c r="C22" s="9"/>
      <c r="D22" s="9"/>
    </row>
    <row r="23" customFormat="false" ht="15" hidden="false" customHeight="false" outlineLevel="0" collapsed="false">
      <c r="A23" s="5" t="s">
        <v>89</v>
      </c>
      <c r="B23" s="5" t="s">
        <v>77</v>
      </c>
      <c r="C23" s="9"/>
      <c r="D23" s="9"/>
    </row>
    <row r="24" customFormat="false" ht="15" hidden="false" customHeight="false" outlineLevel="0" collapsed="false">
      <c r="A24" s="5" t="s">
        <v>89</v>
      </c>
      <c r="B24" s="5" t="s">
        <v>91</v>
      </c>
      <c r="C24" s="9"/>
      <c r="D24" s="9"/>
    </row>
    <row r="25" customFormat="false" ht="15" hidden="false" customHeight="false" outlineLevel="0" collapsed="false">
      <c r="A25" s="5" t="s">
        <v>89</v>
      </c>
      <c r="B25" s="5" t="s">
        <v>92</v>
      </c>
      <c r="C25" s="9"/>
      <c r="D25" s="9"/>
    </row>
    <row r="27" customFormat="false" ht="35.05" hidden="false" customHeight="false" outlineLevel="0" collapsed="false">
      <c r="A27" s="8" t="s">
        <v>65</v>
      </c>
      <c r="B27" s="8" t="s">
        <v>93</v>
      </c>
      <c r="C27" s="8" t="s">
        <v>94</v>
      </c>
      <c r="D27" s="8" t="s">
        <v>95</v>
      </c>
      <c r="E27" s="8" t="s">
        <v>96</v>
      </c>
      <c r="F27" s="8" t="s">
        <v>97</v>
      </c>
    </row>
    <row r="28" customFormat="false" ht="15" hidden="false" customHeight="false" outlineLevel="0" collapsed="false">
      <c r="A28" s="11" t="s">
        <v>69</v>
      </c>
      <c r="B28" s="12" t="str">
        <f aca="false">IFERROR(AVERAGEIF($A$6:$A$25,A28,$C$6:$C$25),"")</f>
        <v/>
      </c>
      <c r="C28" s="13"/>
      <c r="D28" s="12" t="str">
        <f aca="false">IF(ISNUMBER(C28),C28,B28)</f>
        <v/>
      </c>
      <c r="E28" s="14" t="str">
        <f aca="false">IF(D28="","",IF(D28&gt;=4,"Strong",IF(D28&gt;=2.5,"Moderate","Weak")))</f>
        <v/>
      </c>
      <c r="F28" s="13"/>
    </row>
    <row r="29" customFormat="false" ht="15" hidden="false" customHeight="false" outlineLevel="0" collapsed="false">
      <c r="A29" s="11" t="s">
        <v>74</v>
      </c>
      <c r="B29" s="12" t="n">
        <f aca="false">IFERROR(AVERAGEIF($A$6:$A$25,A29,$C$6:$C$25),"")</f>
        <v>4</v>
      </c>
      <c r="C29" s="13"/>
      <c r="D29" s="12" t="n">
        <f aca="false">IF(ISNUMBER(C29),C29,B29)</f>
        <v>4</v>
      </c>
      <c r="E29" s="14" t="str">
        <f aca="false">IF(D29="","",IF(D29&gt;=4,"Strong",IF(D29&gt;=2.5,"Moderate","Weak")))</f>
        <v>Strong</v>
      </c>
      <c r="F29" s="13"/>
    </row>
    <row r="30" customFormat="false" ht="15" hidden="false" customHeight="false" outlineLevel="0" collapsed="false">
      <c r="A30" s="11" t="s">
        <v>80</v>
      </c>
      <c r="B30" s="12" t="str">
        <f aca="false">IFERROR(AVERAGEIF($A$6:$A$25,A30,$C$6:$C$25),"")</f>
        <v/>
      </c>
      <c r="C30" s="13"/>
      <c r="D30" s="12" t="str">
        <f aca="false">IF(ISNUMBER(C30),C30,B30)</f>
        <v/>
      </c>
      <c r="E30" s="14" t="str">
        <f aca="false">IF(D30="","",IF(D30&gt;=4,"Strong",IF(D30&gt;=2.5,"Moderate","Weak")))</f>
        <v/>
      </c>
      <c r="F30" s="13"/>
    </row>
    <row r="31" customFormat="false" ht="15" hidden="false" customHeight="false" outlineLevel="0" collapsed="false">
      <c r="A31" s="11" t="s">
        <v>84</v>
      </c>
      <c r="B31" s="12" t="str">
        <f aca="false">IFERROR(AVERAGEIF($A$6:$A$25,A31,$C$6:$C$25),"")</f>
        <v/>
      </c>
      <c r="C31" s="13"/>
      <c r="D31" s="12" t="str">
        <f aca="false">IF(ISNUMBER(C31),C31,B31)</f>
        <v/>
      </c>
      <c r="E31" s="14" t="str">
        <f aca="false">IF(D31="","",IF(D31&gt;=4,"Strong",IF(D31&gt;=2.5,"Moderate","Weak")))</f>
        <v/>
      </c>
      <c r="F31" s="13"/>
    </row>
    <row r="32" customFormat="false" ht="15" hidden="false" customHeight="false" outlineLevel="0" collapsed="false">
      <c r="A32" s="11" t="s">
        <v>89</v>
      </c>
      <c r="B32" s="12" t="str">
        <f aca="false">IFERROR(AVERAGEIF($A$6:$A$25,A32,$C$6:$C$25),"")</f>
        <v/>
      </c>
      <c r="C32" s="13"/>
      <c r="D32" s="12" t="str">
        <f aca="false">IF(ISNUMBER(C32),C32,B32)</f>
        <v/>
      </c>
      <c r="E32" s="14" t="str">
        <f aca="false">IF(D32="","",IF(D32&gt;=4,"Strong",IF(D32&gt;=2.5,"Moderate","Weak")))</f>
        <v/>
      </c>
      <c r="F32" s="13"/>
    </row>
    <row r="34" customFormat="false" ht="15" hidden="false" customHeight="false" outlineLevel="0" collapsed="false">
      <c r="A34" s="11" t="s">
        <v>98</v>
      </c>
      <c r="B34" s="15" t="n">
        <f aca="false">IFERROR(6-AVERAGE(D28:D32),"")</f>
        <v>2</v>
      </c>
    </row>
    <row r="35" customFormat="false" ht="15" hidden="false" customHeight="false" outlineLevel="0" collapsed="false">
      <c r="A35" s="11" t="s">
        <v>99</v>
      </c>
      <c r="B35" s="12" t="str">
        <f aca="false">IF(COUNT(F28:F32)=5,6-AVERAGE(F28:F32),"")</f>
        <v/>
      </c>
    </row>
    <row r="37" customFormat="false" ht="15" hidden="false" customHeight="false" outlineLevel="0" collapsed="false">
      <c r="A37" s="3" t="s">
        <v>100</v>
      </c>
    </row>
    <row r="38" customFormat="false" ht="15" hidden="false" customHeight="false" outlineLevel="0" collapsed="false">
      <c r="A38" s="3" t="s">
        <v>101</v>
      </c>
    </row>
  </sheetData>
  <conditionalFormatting sqref="E28:E32">
    <cfRule type="expression" priority="2" aboveAverage="0" equalAverage="0" bottom="0" percent="0" rank="0" text="" dxfId="0">
      <formula>E28="Weak"</formula>
    </cfRule>
    <cfRule type="expression" priority="3" aboveAverage="0" equalAverage="0" bottom="0" percent="0" rank="0" text="" dxfId="1">
      <formula>E28="Moderate"</formula>
    </cfRule>
    <cfRule type="expression" priority="4" aboveAverage="0" equalAverage="0" bottom="0" percent="0" rank="0" text="" dxfId="2">
      <formula>E28="Strong"</formula>
    </cfRule>
  </conditionalFormatting>
  <dataValidations count="1">
    <dataValidation allowBlank="true" error="Enter a whole number from 1 to 5." errorStyle="stop" errorTitle="StratOS" operator="between" showDropDown="false" showErrorMessage="false" showInputMessage="false" sqref="C6:C2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10" min="5" style="0" width="13"/>
  </cols>
  <sheetData>
    <row r="1" customFormat="false" ht="19.7" hidden="false" customHeight="false" outlineLevel="0" collapsed="false">
      <c r="A1" s="6" t="s">
        <v>102</v>
      </c>
    </row>
    <row r="2" customFormat="false" ht="15" hidden="false" customHeight="false" outlineLevel="0" collapsed="false">
      <c r="A2" s="3" t="s">
        <v>103</v>
      </c>
    </row>
    <row r="3" customFormat="false" ht="15" hidden="false" customHeight="false" outlineLevel="0" collapsed="false">
      <c r="A3" s="7" t="s">
        <v>44</v>
      </c>
    </row>
    <row r="5" customFormat="false" ht="30" hidden="false" customHeight="true" outlineLevel="0" collapsed="false">
      <c r="A5" s="8" t="s">
        <v>45</v>
      </c>
      <c r="B5" s="8" t="s">
        <v>104</v>
      </c>
      <c r="C5" s="8" t="s">
        <v>105</v>
      </c>
      <c r="D5" s="8" t="s">
        <v>106</v>
      </c>
      <c r="E5" s="16" t="s">
        <v>107</v>
      </c>
      <c r="F5" s="16" t="s">
        <v>108</v>
      </c>
      <c r="G5" s="16" t="s">
        <v>109</v>
      </c>
      <c r="H5" s="16" t="s">
        <v>110</v>
      </c>
      <c r="I5" s="16" t="s">
        <v>111</v>
      </c>
      <c r="J5" s="16" t="s">
        <v>112</v>
      </c>
    </row>
    <row r="6" customFormat="false" ht="15" hidden="false" customHeight="false" outlineLevel="0" collapsed="false">
      <c r="A6" s="9" t="s">
        <v>113</v>
      </c>
      <c r="B6" s="9" t="s">
        <v>114</v>
      </c>
      <c r="C6" s="17" t="n">
        <v>0.25</v>
      </c>
      <c r="D6" s="9" t="s">
        <v>115</v>
      </c>
      <c r="E6" s="9" t="n">
        <v>5</v>
      </c>
      <c r="F6" s="9" t="n">
        <v>2</v>
      </c>
      <c r="G6" s="9" t="n">
        <v>3</v>
      </c>
      <c r="H6" s="9"/>
      <c r="I6" s="9"/>
      <c r="J6" s="9"/>
    </row>
    <row r="7" customFormat="false" ht="15" hidden="false" customHeight="false" outlineLevel="0" collapsed="false">
      <c r="A7" s="9"/>
      <c r="B7" s="9"/>
      <c r="C7" s="17"/>
      <c r="D7" s="9"/>
      <c r="E7" s="9"/>
      <c r="F7" s="9"/>
      <c r="G7" s="9"/>
      <c r="H7" s="9"/>
      <c r="I7" s="9"/>
      <c r="J7" s="9"/>
    </row>
    <row r="8" customFormat="false" ht="15" hidden="false" customHeight="false" outlineLevel="0" collapsed="false">
      <c r="A8" s="9"/>
      <c r="B8" s="9"/>
      <c r="C8" s="17"/>
      <c r="D8" s="9"/>
      <c r="E8" s="9"/>
      <c r="F8" s="9"/>
      <c r="G8" s="9"/>
      <c r="H8" s="9"/>
      <c r="I8" s="9"/>
      <c r="J8" s="9"/>
    </row>
    <row r="9" customFormat="false" ht="15" hidden="false" customHeight="false" outlineLevel="0" collapsed="false">
      <c r="A9" s="9"/>
      <c r="B9" s="9"/>
      <c r="C9" s="17"/>
      <c r="D9" s="9"/>
      <c r="E9" s="9"/>
      <c r="F9" s="9"/>
      <c r="G9" s="9"/>
      <c r="H9" s="9"/>
      <c r="I9" s="9"/>
      <c r="J9" s="9"/>
    </row>
    <row r="10" customFormat="false" ht="15" hidden="false" customHeight="false" outlineLevel="0" collapsed="false">
      <c r="A10" s="9"/>
      <c r="B10" s="9"/>
      <c r="C10" s="17"/>
      <c r="D10" s="9"/>
      <c r="E10" s="9"/>
      <c r="F10" s="9"/>
      <c r="G10" s="9"/>
      <c r="H10" s="9"/>
      <c r="I10" s="9"/>
      <c r="J10" s="9"/>
    </row>
    <row r="11" customFormat="false" ht="15" hidden="false" customHeight="false" outlineLevel="0" collapsed="false">
      <c r="A11" s="9"/>
      <c r="B11" s="9"/>
      <c r="C11" s="17"/>
      <c r="D11" s="9"/>
      <c r="E11" s="9"/>
      <c r="F11" s="9"/>
      <c r="G11" s="9"/>
      <c r="H11" s="9"/>
      <c r="I11" s="9"/>
      <c r="J11" s="9"/>
    </row>
    <row r="12" customFormat="false" ht="15" hidden="false" customHeight="false" outlineLevel="0" collapsed="false">
      <c r="A12" s="9"/>
      <c r="B12" s="9"/>
      <c r="C12" s="17"/>
      <c r="D12" s="9"/>
      <c r="E12" s="9"/>
      <c r="F12" s="9"/>
      <c r="G12" s="9"/>
      <c r="H12" s="9"/>
      <c r="I12" s="9"/>
      <c r="J12" s="9"/>
    </row>
    <row r="13" customFormat="false" ht="15" hidden="false" customHeight="false" outlineLevel="0" collapsed="false">
      <c r="A13" s="9"/>
      <c r="B13" s="9"/>
      <c r="C13" s="17"/>
      <c r="D13" s="9"/>
      <c r="E13" s="9"/>
      <c r="F13" s="9"/>
      <c r="G13" s="9"/>
      <c r="H13" s="9"/>
      <c r="I13" s="9"/>
      <c r="J13" s="9"/>
    </row>
    <row r="14" customFormat="false" ht="15" hidden="false" customHeight="false" outlineLevel="0" collapsed="false">
      <c r="A14" s="9"/>
      <c r="B14" s="9"/>
      <c r="C14" s="17"/>
      <c r="D14" s="9"/>
      <c r="E14" s="9"/>
      <c r="F14" s="9"/>
      <c r="G14" s="9"/>
      <c r="H14" s="9"/>
      <c r="I14" s="9"/>
      <c r="J14" s="9"/>
    </row>
    <row r="15" customFormat="false" ht="15" hidden="false" customHeight="false" outlineLevel="0" collapsed="false">
      <c r="A15" s="9"/>
      <c r="B15" s="9"/>
      <c r="C15" s="17"/>
      <c r="D15" s="9"/>
      <c r="E15" s="9"/>
      <c r="F15" s="9"/>
      <c r="G15" s="9"/>
      <c r="H15" s="9"/>
      <c r="I15" s="9"/>
      <c r="J15" s="9"/>
    </row>
    <row r="16" customFormat="false" ht="23.85" hidden="false" customHeight="false" outlineLevel="0" collapsed="false">
      <c r="B16" s="11" t="s">
        <v>116</v>
      </c>
      <c r="C16" s="18" t="n">
        <f aca="false">SUM(C6:C15)</f>
        <v>0.25</v>
      </c>
      <c r="D16" s="14" t="str">
        <f aca="false">IF(ABS(C16-1)&lt;0.001,"OK","Weights must sum to 100%")</f>
        <v>Weights must sum to 100%</v>
      </c>
    </row>
    <row r="17" customFormat="false" ht="15" hidden="false" customHeight="false" outlineLevel="0" collapsed="false">
      <c r="B17" s="11" t="s">
        <v>117</v>
      </c>
      <c r="E17" s="19" t="n">
        <f aca="false">IF(COUNT(E6:E15)=0,"",SUMPRODUCT($C$6:$C$15,E6:E15))</f>
        <v>1.25</v>
      </c>
      <c r="F17" s="19" t="n">
        <f aca="false">IF(COUNT(F6:F15)=0,"",SUMPRODUCT($C$6:$C$15,F6:F15))</f>
        <v>0.5</v>
      </c>
      <c r="G17" s="19" t="n">
        <f aca="false">IF(COUNT(G6:G15)=0,"",SUMPRODUCT($C$6:$C$15,G6:G15))</f>
        <v>0.75</v>
      </c>
      <c r="H17" s="19" t="str">
        <f aca="false">IF(COUNT(H6:H15)=0,"",SUMPRODUCT($C$6:$C$15,H6:H15))</f>
        <v/>
      </c>
      <c r="I17" s="19" t="str">
        <f aca="false">IF(COUNT(I6:I15)=0,"",SUMPRODUCT($C$6:$C$15,I6:I15))</f>
        <v/>
      </c>
      <c r="J17" s="19" t="str">
        <f aca="false">IF(COUNT(J6:J15)=0,"",SUMPRODUCT($C$6:$C$15,J6:J15))</f>
        <v/>
      </c>
    </row>
    <row r="18" customFormat="false" ht="15" hidden="false" customHeight="false" outlineLevel="0" collapsed="false">
      <c r="B18" s="11" t="s">
        <v>118</v>
      </c>
      <c r="E18" s="10" t="n">
        <f aca="false">IF(E17="","",RANK(E17,$E$17:$J$17))</f>
        <v>1</v>
      </c>
      <c r="F18" s="10" t="n">
        <f aca="false">IF(F17="","",RANK(F17,$E$17:$J$17))</f>
        <v>3</v>
      </c>
      <c r="G18" s="10" t="n">
        <f aca="false">IF(G17="","",RANK(G17,$E$17:$J$17))</f>
        <v>2</v>
      </c>
      <c r="H18" s="10" t="str">
        <f aca="false">IF(H17="","",RANK(H17,$E$17:$J$17))</f>
        <v/>
      </c>
      <c r="I18" s="10" t="str">
        <f aca="false">IF(I17="","",RANK(I17,$E$17:$J$17))</f>
        <v/>
      </c>
      <c r="J18" s="10" t="str">
        <f aca="false">IF(J17="","",RANK(J17,$E$17:$J$17))</f>
        <v/>
      </c>
    </row>
  </sheetData>
  <conditionalFormatting sqref="D16">
    <cfRule type="expression" priority="2" aboveAverage="0" equalAverage="0" bottom="0" percent="0" rank="0" text="" dxfId="0">
      <formula>D16="OK"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D16&lt;&gt;"OK"</formula>
    </cfRule>
  </conditionalFormatting>
  <dataValidations count="1">
    <dataValidation allowBlank="true" error="Enter a whole number from 1 to 5." errorStyle="stop" errorTitle="StratOS" operator="between" showDropDown="false" showErrorMessage="false" showInputMessage="false" sqref="E6:J1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6" min="5" style="0" width="11"/>
    <col collapsed="false" customWidth="true" hidden="false" outlineLevel="0" max="7" min="7" style="0" width="2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8"/>
    <col collapsed="false" customWidth="true" hidden="false" outlineLevel="0" max="11" min="11" style="0" width="36"/>
  </cols>
  <sheetData>
    <row r="1" customFormat="false" ht="19.7" hidden="false" customHeight="false" outlineLevel="0" collapsed="false">
      <c r="A1" s="6" t="s">
        <v>119</v>
      </c>
    </row>
    <row r="2" customFormat="false" ht="15" hidden="false" customHeight="false" outlineLevel="0" collapsed="false">
      <c r="A2" s="3" t="s">
        <v>120</v>
      </c>
    </row>
    <row r="3" customFormat="false" ht="15" hidden="false" customHeight="false" outlineLevel="0" collapsed="false">
      <c r="A3" s="7" t="s">
        <v>44</v>
      </c>
    </row>
    <row r="5" customFormat="false" ht="30" hidden="false" customHeight="true" outlineLevel="0" collapsed="false">
      <c r="A5" s="8" t="s">
        <v>121</v>
      </c>
      <c r="B5" s="8" t="s">
        <v>122</v>
      </c>
      <c r="C5" s="8" t="s">
        <v>123</v>
      </c>
      <c r="D5" s="8" t="s">
        <v>124</v>
      </c>
      <c r="E5" s="8" t="s">
        <v>125</v>
      </c>
      <c r="F5" s="8" t="s">
        <v>126</v>
      </c>
      <c r="G5" s="8" t="s">
        <v>127</v>
      </c>
      <c r="H5" s="8" t="s">
        <v>128</v>
      </c>
      <c r="I5" s="8" t="s">
        <v>129</v>
      </c>
      <c r="J5" s="8" t="s">
        <v>130</v>
      </c>
      <c r="K5" s="8" t="s">
        <v>131</v>
      </c>
    </row>
    <row r="6" customFormat="false" ht="15" hidden="false" customHeight="false" outlineLevel="0" collapsed="false">
      <c r="A6" s="9" t="s">
        <v>132</v>
      </c>
      <c r="B6" s="9" t="s">
        <v>133</v>
      </c>
      <c r="C6" s="9" t="s">
        <v>134</v>
      </c>
      <c r="D6" s="9" t="s">
        <v>134</v>
      </c>
      <c r="E6" s="9" t="s">
        <v>134</v>
      </c>
      <c r="F6" s="9" t="s">
        <v>134</v>
      </c>
      <c r="G6" s="14" t="str">
        <f aca="false">IF(A6="","",IF(C6&lt;&gt;"Yes",IF(C6="No","Competitive disadvantage","Undetermined"),IF(D6&lt;&gt;"Yes",IF(D6="No","Competitive parity","Undetermined beyond valuable"),IF(E6&lt;&gt;"Yes",IF(E6="No","Temporary advantage","Undetermined beyond rare"),IF(F6="Yes","Sustained advantage",IF(F6="No","Unexploited advantage","Undetermined beyond inimitable"))))))</f>
        <v>Sustained advantage</v>
      </c>
      <c r="H6" s="9" t="s">
        <v>113</v>
      </c>
      <c r="I6" s="17" t="n">
        <v>0.25</v>
      </c>
      <c r="J6" s="14" t="str">
        <f aca="false">IF(A6="","",IF(AND(C6="Yes",D6="Yes",E6="Yes",N(I6)&lt;0.1),"Competence trap",IF(AND(OR(G6="Temporary advantage",G6="Unexploited advantage",G6="Sustained advantage"),N(I6)&gt;=0.1),"Supported",IF(AND(G6="Competitive parity",N(I6)&gt;=0.1),"Table stakes",""))))</f>
        <v>Supported</v>
      </c>
      <c r="K6" s="9" t="s">
        <v>135</v>
      </c>
    </row>
    <row r="7" customFormat="false" ht="15" hidden="false" customHeight="false" outlineLevel="0" collapsed="false">
      <c r="A7" s="9"/>
      <c r="B7" s="9"/>
      <c r="C7" s="9"/>
      <c r="D7" s="9"/>
      <c r="E7" s="9"/>
      <c r="F7" s="9"/>
      <c r="G7" s="14" t="str">
        <f aca="false">IF(A7="","",IF(C7&lt;&gt;"Yes",IF(C7="No","Competitive disadvantage","Undetermined"),IF(D7&lt;&gt;"Yes",IF(D7="No","Competitive parity","Undetermined beyond valuable"),IF(E7&lt;&gt;"Yes",IF(E7="No","Temporary advantage","Undetermined beyond rare"),IF(F7="Yes","Sustained advantage",IF(F7="No","Unexploited advantage","Undetermined beyond inimitable"))))))</f>
        <v/>
      </c>
      <c r="H7" s="9"/>
      <c r="I7" s="17"/>
      <c r="J7" s="14" t="str">
        <f aca="false">IF(A7="","",IF(AND(C7="Yes",D7="Yes",E7="Yes",N(I7)&lt;0.1),"Competence trap",IF(AND(OR(G7="Temporary advantage",G7="Unexploited advantage",G7="Sustained advantage"),N(I7)&gt;=0.1),"Supported",IF(AND(G7="Competitive parity",N(I7)&gt;=0.1),"Table stakes",""))))</f>
        <v/>
      </c>
      <c r="K7" s="9"/>
    </row>
    <row r="8" customFormat="false" ht="15" hidden="false" customHeight="false" outlineLevel="0" collapsed="false">
      <c r="A8" s="9"/>
      <c r="B8" s="9"/>
      <c r="C8" s="9"/>
      <c r="D8" s="9"/>
      <c r="E8" s="9"/>
      <c r="F8" s="9"/>
      <c r="G8" s="14" t="str">
        <f aca="false">IF(A8="","",IF(C8&lt;&gt;"Yes",IF(C8="No","Competitive disadvantage","Undetermined"),IF(D8&lt;&gt;"Yes",IF(D8="No","Competitive parity","Undetermined beyond valuable"),IF(E8&lt;&gt;"Yes",IF(E8="No","Temporary advantage","Undetermined beyond rare"),IF(F8="Yes","Sustained advantage",IF(F8="No","Unexploited advantage","Undetermined beyond inimitable"))))))</f>
        <v/>
      </c>
      <c r="H8" s="9"/>
      <c r="I8" s="17"/>
      <c r="J8" s="14" t="str">
        <f aca="false">IF(A8="","",IF(AND(C8="Yes",D8="Yes",E8="Yes",N(I8)&lt;0.1),"Competence trap",IF(AND(OR(G8="Temporary advantage",G8="Unexploited advantage",G8="Sustained advantage"),N(I8)&gt;=0.1),"Supported",IF(AND(G8="Competitive parity",N(I8)&gt;=0.1),"Table stakes",""))))</f>
        <v/>
      </c>
      <c r="K8" s="9"/>
    </row>
    <row r="9" customFormat="false" ht="15" hidden="false" customHeight="false" outlineLevel="0" collapsed="false">
      <c r="A9" s="9"/>
      <c r="B9" s="9"/>
      <c r="C9" s="9"/>
      <c r="D9" s="9"/>
      <c r="E9" s="9"/>
      <c r="F9" s="9"/>
      <c r="G9" s="14" t="str">
        <f aca="false">IF(A9="","",IF(C9&lt;&gt;"Yes",IF(C9="No","Competitive disadvantage","Undetermined"),IF(D9&lt;&gt;"Yes",IF(D9="No","Competitive parity","Undetermined beyond valuable"),IF(E9&lt;&gt;"Yes",IF(E9="No","Temporary advantage","Undetermined beyond rare"),IF(F9="Yes","Sustained advantage",IF(F9="No","Unexploited advantage","Undetermined beyond inimitable"))))))</f>
        <v/>
      </c>
      <c r="H9" s="9"/>
      <c r="I9" s="17"/>
      <c r="J9" s="14" t="str">
        <f aca="false">IF(A9="","",IF(AND(C9="Yes",D9="Yes",E9="Yes",N(I9)&lt;0.1),"Competence trap",IF(AND(OR(G9="Temporary advantage",G9="Unexploited advantage",G9="Sustained advantage"),N(I9)&gt;=0.1),"Supported",IF(AND(G9="Competitive parity",N(I9)&gt;=0.1),"Table stakes",""))))</f>
        <v/>
      </c>
      <c r="K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  <c r="G10" s="14" t="str">
        <f aca="false">IF(A10="","",IF(C10&lt;&gt;"Yes",IF(C10="No","Competitive disadvantage","Undetermined"),IF(D10&lt;&gt;"Yes",IF(D10="No","Competitive parity","Undetermined beyond valuable"),IF(E10&lt;&gt;"Yes",IF(E10="No","Temporary advantage","Undetermined beyond rare"),IF(F10="Yes","Sustained advantage",IF(F10="No","Unexploited advantage","Undetermined beyond inimitable"))))))</f>
        <v/>
      </c>
      <c r="H10" s="9"/>
      <c r="I10" s="17"/>
      <c r="J10" s="14" t="str">
        <f aca="false">IF(A10="","",IF(AND(C10="Yes",D10="Yes",E10="Yes",N(I10)&lt;0.1),"Competence trap",IF(AND(OR(G10="Temporary advantage",G10="Unexploited advantage",G10="Sustained advantage"),N(I10)&gt;=0.1),"Supported",IF(AND(G10="Competitive parity",N(I10)&gt;=0.1),"Table stakes",""))))</f>
        <v/>
      </c>
      <c r="K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14" t="str">
        <f aca="false">IF(A11="","",IF(C11&lt;&gt;"Yes",IF(C11="No","Competitive disadvantage","Undetermined"),IF(D11&lt;&gt;"Yes",IF(D11="No","Competitive parity","Undetermined beyond valuable"),IF(E11&lt;&gt;"Yes",IF(E11="No","Temporary advantage","Undetermined beyond rare"),IF(F11="Yes","Sustained advantage",IF(F11="No","Unexploited advantage","Undetermined beyond inimitable"))))))</f>
        <v/>
      </c>
      <c r="H11" s="9"/>
      <c r="I11" s="17"/>
      <c r="J11" s="14" t="str">
        <f aca="false">IF(A11="","",IF(AND(C11="Yes",D11="Yes",E11="Yes",N(I11)&lt;0.1),"Competence trap",IF(AND(OR(G11="Temporary advantage",G11="Unexploited advantage",G11="Sustained advantage"),N(I11)&gt;=0.1),"Supported",IF(AND(G11="Competitive parity",N(I11)&gt;=0.1),"Table stakes",""))))</f>
        <v/>
      </c>
      <c r="K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14" t="str">
        <f aca="false">IF(A12="","",IF(C12&lt;&gt;"Yes",IF(C12="No","Competitive disadvantage","Undetermined"),IF(D12&lt;&gt;"Yes",IF(D12="No","Competitive parity","Undetermined beyond valuable"),IF(E12&lt;&gt;"Yes",IF(E12="No","Temporary advantage","Undetermined beyond rare"),IF(F12="Yes","Sustained advantage",IF(F12="No","Unexploited advantage","Undetermined beyond inimitable"))))))</f>
        <v/>
      </c>
      <c r="H12" s="9"/>
      <c r="I12" s="17"/>
      <c r="J12" s="14" t="str">
        <f aca="false">IF(A12="","",IF(AND(C12="Yes",D12="Yes",E12="Yes",N(I12)&lt;0.1),"Competence trap",IF(AND(OR(G12="Temporary advantage",G12="Unexploited advantage",G12="Sustained advantage"),N(I12)&gt;=0.1),"Supported",IF(AND(G12="Competitive parity",N(I12)&gt;=0.1),"Table stakes",""))))</f>
        <v/>
      </c>
      <c r="K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9"/>
      <c r="G13" s="14" t="str">
        <f aca="false">IF(A13="","",IF(C13&lt;&gt;"Yes",IF(C13="No","Competitive disadvantage","Undetermined"),IF(D13&lt;&gt;"Yes",IF(D13="No","Competitive parity","Undetermined beyond valuable"),IF(E13&lt;&gt;"Yes",IF(E13="No","Temporary advantage","Undetermined beyond rare"),IF(F13="Yes","Sustained advantage",IF(F13="No","Unexploited advantage","Undetermined beyond inimitable"))))))</f>
        <v/>
      </c>
      <c r="H13" s="9"/>
      <c r="I13" s="17"/>
      <c r="J13" s="14" t="str">
        <f aca="false">IF(A13="","",IF(AND(C13="Yes",D13="Yes",E13="Yes",N(I13)&lt;0.1),"Competence trap",IF(AND(OR(G13="Temporary advantage",G13="Unexploited advantage",G13="Sustained advantage"),N(I13)&gt;=0.1),"Supported",IF(AND(G13="Competitive parity",N(I13)&gt;=0.1),"Table stakes",""))))</f>
        <v/>
      </c>
      <c r="K13" s="9"/>
    </row>
    <row r="14" customFormat="false" ht="15" hidden="false" customHeight="false" outlineLevel="0" collapsed="false">
      <c r="A14" s="9"/>
      <c r="B14" s="9"/>
      <c r="C14" s="9"/>
      <c r="D14" s="9"/>
      <c r="E14" s="9"/>
      <c r="F14" s="9"/>
      <c r="G14" s="14" t="str">
        <f aca="false">IF(A14="","",IF(C14&lt;&gt;"Yes",IF(C14="No","Competitive disadvantage","Undetermined"),IF(D14&lt;&gt;"Yes",IF(D14="No","Competitive parity","Undetermined beyond valuable"),IF(E14&lt;&gt;"Yes",IF(E14="No","Temporary advantage","Undetermined beyond rare"),IF(F14="Yes","Sustained advantage",IF(F14="No","Unexploited advantage","Undetermined beyond inimitable"))))))</f>
        <v/>
      </c>
      <c r="H14" s="9"/>
      <c r="I14" s="17"/>
      <c r="J14" s="14" t="str">
        <f aca="false">IF(A14="","",IF(AND(C14="Yes",D14="Yes",E14="Yes",N(I14)&lt;0.1),"Competence trap",IF(AND(OR(G14="Temporary advantage",G14="Unexploited advantage",G14="Sustained advantage"),N(I14)&gt;=0.1),"Supported",IF(AND(G14="Competitive parity",N(I14)&gt;=0.1),"Table stakes",""))))</f>
        <v/>
      </c>
      <c r="K14" s="9"/>
    </row>
    <row r="15" customFormat="false" ht="15" hidden="false" customHeight="false" outlineLevel="0" collapsed="false">
      <c r="A15" s="9"/>
      <c r="B15" s="9"/>
      <c r="C15" s="9"/>
      <c r="D15" s="9"/>
      <c r="E15" s="9"/>
      <c r="F15" s="9"/>
      <c r="G15" s="14" t="str">
        <f aca="false">IF(A15="","",IF(C15&lt;&gt;"Yes",IF(C15="No","Competitive disadvantage","Undetermined"),IF(D15&lt;&gt;"Yes",IF(D15="No","Competitive parity","Undetermined beyond valuable"),IF(E15&lt;&gt;"Yes",IF(E15="No","Temporary advantage","Undetermined beyond rare"),IF(F15="Yes","Sustained advantage",IF(F15="No","Unexploited advantage","Undetermined beyond inimitable"))))))</f>
        <v/>
      </c>
      <c r="H15" s="9"/>
      <c r="I15" s="17"/>
      <c r="J15" s="14" t="str">
        <f aca="false">IF(A15="","",IF(AND(C15="Yes",D15="Yes",E15="Yes",N(I15)&lt;0.1),"Competence trap",IF(AND(OR(G15="Temporary advantage",G15="Unexploited advantage",G15="Sustained advantage"),N(I15)&gt;=0.1),"Supported",IF(AND(G15="Competitive parity",N(I15)&gt;=0.1),"Table stakes",""))))</f>
        <v/>
      </c>
      <c r="K15" s="9"/>
    </row>
    <row r="16" customFormat="false" ht="15" hidden="false" customHeight="false" outlineLevel="0" collapsed="false">
      <c r="A16" s="9"/>
      <c r="B16" s="9"/>
      <c r="C16" s="9"/>
      <c r="D16" s="9"/>
      <c r="E16" s="9"/>
      <c r="F16" s="9"/>
      <c r="G16" s="14" t="str">
        <f aca="false">IF(A16="","",IF(C16&lt;&gt;"Yes",IF(C16="No","Competitive disadvantage","Undetermined"),IF(D16&lt;&gt;"Yes",IF(D16="No","Competitive parity","Undetermined beyond valuable"),IF(E16&lt;&gt;"Yes",IF(E16="No","Temporary advantage","Undetermined beyond rare"),IF(F16="Yes","Sustained advantage",IF(F16="No","Unexploited advantage","Undetermined beyond inimitable"))))))</f>
        <v/>
      </c>
      <c r="H16" s="9"/>
      <c r="I16" s="17"/>
      <c r="J16" s="14" t="str">
        <f aca="false">IF(A16="","",IF(AND(C16="Yes",D16="Yes",E16="Yes",N(I16)&lt;0.1),"Competence trap",IF(AND(OR(G16="Temporary advantage",G16="Unexploited advantage",G16="Sustained advantage"),N(I16)&gt;=0.1),"Supported",IF(AND(G16="Competitive parity",N(I16)&gt;=0.1),"Table stakes",""))))</f>
        <v/>
      </c>
      <c r="K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9"/>
      <c r="G17" s="14" t="str">
        <f aca="false">IF(A17="","",IF(C17&lt;&gt;"Yes",IF(C17="No","Competitive disadvantage","Undetermined"),IF(D17&lt;&gt;"Yes",IF(D17="No","Competitive parity","Undetermined beyond valuable"),IF(E17&lt;&gt;"Yes",IF(E17="No","Temporary advantage","Undetermined beyond rare"),IF(F17="Yes","Sustained advantage",IF(F17="No","Unexploited advantage","Undetermined beyond inimitable"))))))</f>
        <v/>
      </c>
      <c r="H17" s="9"/>
      <c r="I17" s="17"/>
      <c r="J17" s="14" t="str">
        <f aca="false">IF(A17="","",IF(AND(C17="Yes",D17="Yes",E17="Yes",N(I17)&lt;0.1),"Competence trap",IF(AND(OR(G17="Temporary advantage",G17="Unexploited advantage",G17="Sustained advantage"),N(I17)&gt;=0.1),"Supported",IF(AND(G17="Competitive parity",N(I17)&gt;=0.1),"Table stakes",""))))</f>
        <v/>
      </c>
      <c r="K17" s="9"/>
    </row>
    <row r="18" customFormat="false" ht="15" hidden="false" customHeight="false" outlineLevel="0" collapsed="false">
      <c r="A18" s="9"/>
      <c r="B18" s="9"/>
      <c r="C18" s="9"/>
      <c r="D18" s="9"/>
      <c r="E18" s="9"/>
      <c r="F18" s="9"/>
      <c r="G18" s="14" t="str">
        <f aca="false">IF(A18="","",IF(C18&lt;&gt;"Yes",IF(C18="No","Competitive disadvantage","Undetermined"),IF(D18&lt;&gt;"Yes",IF(D18="No","Competitive parity","Undetermined beyond valuable"),IF(E18&lt;&gt;"Yes",IF(E18="No","Temporary advantage","Undetermined beyond rare"),IF(F18="Yes","Sustained advantage",IF(F18="No","Unexploited advantage","Undetermined beyond inimitable"))))))</f>
        <v/>
      </c>
      <c r="H18" s="9"/>
      <c r="I18" s="17"/>
      <c r="J18" s="14" t="str">
        <f aca="false">IF(A18="","",IF(AND(C18="Yes",D18="Yes",E18="Yes",N(I18)&lt;0.1),"Competence trap",IF(AND(OR(G18="Temporary advantage",G18="Unexploited advantage",G18="Sustained advantage"),N(I18)&gt;=0.1),"Supported",IF(AND(G18="Competitive parity",N(I18)&gt;=0.1),"Table stakes",""))))</f>
        <v/>
      </c>
      <c r="K18" s="9"/>
    </row>
    <row r="19" customFormat="false" ht="15" hidden="false" customHeight="false" outlineLevel="0" collapsed="false">
      <c r="A19" s="9"/>
      <c r="B19" s="9"/>
      <c r="C19" s="9"/>
      <c r="D19" s="9"/>
      <c r="E19" s="9"/>
      <c r="F19" s="9"/>
      <c r="G19" s="14" t="str">
        <f aca="false">IF(A19="","",IF(C19&lt;&gt;"Yes",IF(C19="No","Competitive disadvantage","Undetermined"),IF(D19&lt;&gt;"Yes",IF(D19="No","Competitive parity","Undetermined beyond valuable"),IF(E19&lt;&gt;"Yes",IF(E19="No","Temporary advantage","Undetermined beyond rare"),IF(F19="Yes","Sustained advantage",IF(F19="No","Unexploited advantage","Undetermined beyond inimitable"))))))</f>
        <v/>
      </c>
      <c r="H19" s="9"/>
      <c r="I19" s="17"/>
      <c r="J19" s="14" t="str">
        <f aca="false">IF(A19="","",IF(AND(C19="Yes",D19="Yes",E19="Yes",N(I19)&lt;0.1),"Competence trap",IF(AND(OR(G19="Temporary advantage",G19="Unexploited advantage",G19="Sustained advantage"),N(I19)&gt;=0.1),"Supported",IF(AND(G19="Competitive parity",N(I19)&gt;=0.1),"Table stakes",""))))</f>
        <v/>
      </c>
      <c r="K19" s="9"/>
    </row>
    <row r="20" customFormat="false" ht="15" hidden="false" customHeight="false" outlineLevel="0" collapsed="false">
      <c r="A20" s="9"/>
      <c r="B20" s="9"/>
      <c r="C20" s="9"/>
      <c r="D20" s="9"/>
      <c r="E20" s="9"/>
      <c r="F20" s="9"/>
      <c r="G20" s="14" t="str">
        <f aca="false">IF(A20="","",IF(C20&lt;&gt;"Yes",IF(C20="No","Competitive disadvantage","Undetermined"),IF(D20&lt;&gt;"Yes",IF(D20="No","Competitive parity","Undetermined beyond valuable"),IF(E20&lt;&gt;"Yes",IF(E20="No","Temporary advantage","Undetermined beyond rare"),IF(F20="Yes","Sustained advantage",IF(F20="No","Unexploited advantage","Undetermined beyond inimitable"))))))</f>
        <v/>
      </c>
      <c r="H20" s="9"/>
      <c r="I20" s="17"/>
      <c r="J20" s="14" t="str">
        <f aca="false">IF(A20="","",IF(AND(C20="Yes",D20="Yes",E20="Yes",N(I20)&lt;0.1),"Competence trap",IF(AND(OR(G20="Temporary advantage",G20="Unexploited advantage",G20="Sustained advantage"),N(I20)&gt;=0.1),"Supported",IF(AND(G20="Competitive parity",N(I20)&gt;=0.1),"Table stakes",""))))</f>
        <v/>
      </c>
      <c r="K20" s="9"/>
    </row>
  </sheetData>
  <conditionalFormatting sqref="G6:G20">
    <cfRule type="expression" priority="2" aboveAverage="0" equalAverage="0" bottom="0" percent="0" rank="0" text="" dxfId="0">
      <formula>G6="Sustained advantage"</formula>
    </cfRule>
    <cfRule type="expression" priority="3" aboveAverage="0" equalAverage="0" bottom="0" percent="0" rank="0" text="" dxfId="1">
      <formula>OR(G6="Temporary advantage",G6="Unexploited advantage",G6="Competitive parity")</formula>
    </cfRule>
    <cfRule type="expression" priority="4" aboveAverage="0" equalAverage="0" bottom="0" percent="0" rank="0" text="" dxfId="2">
      <formula>G6="Competitive disadvantage"</formula>
    </cfRule>
  </conditionalFormatting>
  <conditionalFormatting sqref="J6:J20">
    <cfRule type="expression" priority="5" aboveAverage="0" equalAverage="0" bottom="0" percent="0" rank="0" text="" dxfId="2">
      <formula>J6="Competence trap"</formula>
    </cfRule>
    <cfRule type="expression" priority="6" aboveAverage="0" equalAverage="0" bottom="0" percent="0" rank="0" text="" dxfId="0">
      <formula>J6="Supported"</formula>
    </cfRule>
  </conditionalFormatting>
  <dataValidations count="2">
    <dataValidation allowBlank="true" errorStyle="stop" operator="between" showDropDown="false" showErrorMessage="false" showInputMessage="false" sqref="C6:F20" type="list">
      <formula1>"Yes,No,?"</formula1>
      <formula2>0</formula2>
    </dataValidation>
    <dataValidation allowBlank="true" errorStyle="stop" operator="between" showDropDown="false" showErrorMessage="false" showInputMessage="false" sqref="B6:B20" type="list">
      <formula1>"resource,capability"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6"/>
    <col collapsed="false" customWidth="true" hidden="false" outlineLevel="0" max="6" min="6" style="0" width="5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6" t="s">
        <v>136</v>
      </c>
    </row>
    <row r="2" customFormat="false" ht="15" hidden="false" customHeight="false" outlineLevel="0" collapsed="false">
      <c r="A2" s="3" t="s">
        <v>137</v>
      </c>
    </row>
    <row r="3" customFormat="false" ht="15" hidden="false" customHeight="false" outlineLevel="0" collapsed="false">
      <c r="A3" s="7" t="s">
        <v>44</v>
      </c>
    </row>
    <row r="5" customFormat="false" ht="15" hidden="false" customHeight="false" outlineLevel="0" collapsed="false">
      <c r="A5" s="8" t="s">
        <v>45</v>
      </c>
      <c r="B5" s="8" t="s">
        <v>138</v>
      </c>
      <c r="C5" s="8" t="s">
        <v>139</v>
      </c>
      <c r="E5" s="8" t="s">
        <v>45</v>
      </c>
      <c r="F5" s="8" t="s">
        <v>140</v>
      </c>
      <c r="G5" s="8" t="s">
        <v>139</v>
      </c>
    </row>
    <row r="6" customFormat="false" ht="15" hidden="false" customHeight="false" outlineLevel="0" collapsed="false">
      <c r="A6" s="11" t="s">
        <v>141</v>
      </c>
      <c r="B6" s="9" t="s">
        <v>142</v>
      </c>
      <c r="C6" s="9" t="s">
        <v>143</v>
      </c>
      <c r="E6" s="11" t="s">
        <v>144</v>
      </c>
      <c r="F6" s="9" t="s">
        <v>145</v>
      </c>
      <c r="G6" s="9" t="s">
        <v>146</v>
      </c>
    </row>
    <row r="7" customFormat="false" ht="15" hidden="false" customHeight="false" outlineLevel="0" collapsed="false">
      <c r="A7" s="11" t="s">
        <v>147</v>
      </c>
      <c r="B7" s="9"/>
      <c r="C7" s="9"/>
      <c r="E7" s="11" t="s">
        <v>148</v>
      </c>
      <c r="F7" s="9"/>
      <c r="G7" s="9"/>
    </row>
    <row r="8" customFormat="false" ht="15" hidden="false" customHeight="false" outlineLevel="0" collapsed="false">
      <c r="A8" s="11" t="s">
        <v>149</v>
      </c>
      <c r="B8" s="9"/>
      <c r="C8" s="9"/>
      <c r="E8" s="11" t="s">
        <v>150</v>
      </c>
      <c r="F8" s="9"/>
      <c r="G8" s="9"/>
    </row>
    <row r="9" customFormat="false" ht="15" hidden="false" customHeight="false" outlineLevel="0" collapsed="false">
      <c r="A9" s="11" t="s">
        <v>151</v>
      </c>
      <c r="B9" s="9"/>
      <c r="C9" s="9"/>
      <c r="E9" s="11" t="s">
        <v>152</v>
      </c>
      <c r="F9" s="9"/>
      <c r="G9" s="9"/>
    </row>
    <row r="10" customFormat="false" ht="15" hidden="false" customHeight="false" outlineLevel="0" collapsed="false">
      <c r="A10" s="11" t="s">
        <v>153</v>
      </c>
      <c r="B10" s="9"/>
      <c r="C10" s="9"/>
      <c r="E10" s="11" t="s">
        <v>154</v>
      </c>
      <c r="F10" s="9"/>
      <c r="G10" s="9"/>
    </row>
    <row r="11" customFormat="false" ht="15" hidden="false" customHeight="false" outlineLevel="0" collapsed="false">
      <c r="A11" s="11" t="s">
        <v>155</v>
      </c>
      <c r="B11" s="9"/>
      <c r="C11" s="9"/>
      <c r="E11" s="11" t="s">
        <v>156</v>
      </c>
      <c r="F11" s="9"/>
      <c r="G11" s="9"/>
    </row>
    <row r="14" customFormat="false" ht="15" hidden="false" customHeight="false" outlineLevel="0" collapsed="false">
      <c r="A14" s="8" t="s">
        <v>45</v>
      </c>
      <c r="B14" s="8" t="s">
        <v>157</v>
      </c>
      <c r="C14" s="8" t="s">
        <v>139</v>
      </c>
      <c r="E14" s="8" t="s">
        <v>45</v>
      </c>
      <c r="F14" s="8" t="s">
        <v>158</v>
      </c>
      <c r="G14" s="8" t="s">
        <v>139</v>
      </c>
    </row>
    <row r="15" customFormat="false" ht="15" hidden="false" customHeight="false" outlineLevel="0" collapsed="false">
      <c r="A15" s="11" t="s">
        <v>159</v>
      </c>
      <c r="B15" s="9" t="s">
        <v>160</v>
      </c>
      <c r="C15" s="9" t="s">
        <v>161</v>
      </c>
      <c r="E15" s="11" t="s">
        <v>162</v>
      </c>
      <c r="F15" s="9" t="s">
        <v>163</v>
      </c>
      <c r="G15" s="9" t="s">
        <v>164</v>
      </c>
    </row>
    <row r="16" customFormat="false" ht="15" hidden="false" customHeight="false" outlineLevel="0" collapsed="false">
      <c r="A16" s="11" t="s">
        <v>165</v>
      </c>
      <c r="B16" s="9"/>
      <c r="C16" s="9"/>
      <c r="E16" s="11" t="s">
        <v>166</v>
      </c>
      <c r="F16" s="9"/>
      <c r="G16" s="9"/>
    </row>
    <row r="17" customFormat="false" ht="15" hidden="false" customHeight="false" outlineLevel="0" collapsed="false">
      <c r="A17" s="11" t="s">
        <v>167</v>
      </c>
      <c r="B17" s="9"/>
      <c r="C17" s="9"/>
      <c r="E17" s="11" t="s">
        <v>168</v>
      </c>
      <c r="F17" s="9"/>
      <c r="G17" s="9"/>
    </row>
    <row r="18" customFormat="false" ht="15" hidden="false" customHeight="false" outlineLevel="0" collapsed="false">
      <c r="A18" s="11" t="s">
        <v>169</v>
      </c>
      <c r="B18" s="9"/>
      <c r="C18" s="9"/>
      <c r="E18" s="11" t="s">
        <v>170</v>
      </c>
      <c r="F18" s="9"/>
      <c r="G18" s="9"/>
    </row>
    <row r="19" customFormat="false" ht="15" hidden="false" customHeight="false" outlineLevel="0" collapsed="false">
      <c r="A19" s="11" t="s">
        <v>171</v>
      </c>
      <c r="B19" s="9"/>
      <c r="C19" s="9"/>
      <c r="E19" s="11" t="s">
        <v>172</v>
      </c>
      <c r="F19" s="9"/>
      <c r="G19" s="9"/>
    </row>
    <row r="20" customFormat="false" ht="15" hidden="false" customHeight="false" outlineLevel="0" collapsed="false">
      <c r="A20" s="11" t="s">
        <v>173</v>
      </c>
      <c r="B20" s="9"/>
      <c r="C20" s="9"/>
      <c r="E20" s="11" t="s">
        <v>174</v>
      </c>
      <c r="F20" s="9"/>
      <c r="G20" s="9"/>
    </row>
    <row r="23" customFormat="false" ht="15" hidden="false" customHeight="false" outlineLevel="0" collapsed="false">
      <c r="A23" s="8" t="s">
        <v>175</v>
      </c>
      <c r="B23" s="8" t="s">
        <v>176</v>
      </c>
      <c r="C23" s="8" t="s">
        <v>177</v>
      </c>
    </row>
    <row r="24" customFormat="false" ht="15" hidden="false" customHeight="false" outlineLevel="0" collapsed="false">
      <c r="A24" s="9" t="s">
        <v>178</v>
      </c>
      <c r="B24" s="9" t="s">
        <v>179</v>
      </c>
      <c r="C24" s="9" t="s">
        <v>180</v>
      </c>
    </row>
    <row r="25" customFormat="false" ht="15" hidden="false" customHeight="false" outlineLevel="0" collapsed="false">
      <c r="A25" s="9"/>
      <c r="B25" s="9"/>
      <c r="C25" s="9"/>
    </row>
    <row r="26" customFormat="false" ht="15" hidden="false" customHeight="false" outlineLevel="0" collapsed="false">
      <c r="A26" s="9"/>
      <c r="B26" s="9"/>
      <c r="C26" s="9"/>
    </row>
    <row r="27" customFormat="false" ht="15" hidden="false" customHeight="false" outlineLevel="0" collapsed="false">
      <c r="A27" s="9"/>
      <c r="B27" s="9"/>
      <c r="C27" s="9"/>
    </row>
    <row r="28" customFormat="false" ht="15" hidden="false" customHeight="false" outlineLevel="0" collapsed="false">
      <c r="A28" s="9"/>
      <c r="B28" s="9"/>
      <c r="C28" s="9"/>
    </row>
    <row r="29" customFormat="false" ht="15" hidden="false" customHeight="false" outlineLevel="0" collapsed="false">
      <c r="A29" s="9"/>
      <c r="B29" s="9"/>
      <c r="C29" s="9"/>
    </row>
    <row r="30" customFormat="false" ht="15" hidden="false" customHeight="false" outlineLevel="0" collapsed="false">
      <c r="A30" s="9"/>
      <c r="B30" s="9"/>
      <c r="C30" s="9"/>
    </row>
    <row r="31" customFormat="false" ht="15" hidden="false" customHeight="false" outlineLevel="0" collapsed="false">
      <c r="A31" s="9"/>
      <c r="B31" s="9"/>
      <c r="C31" s="9"/>
    </row>
    <row r="32" customFormat="false" ht="15" hidden="false" customHeight="false" outlineLevel="0" collapsed="false">
      <c r="A32" s="9"/>
      <c r="B32" s="9"/>
      <c r="C32" s="9"/>
    </row>
    <row r="33" customFormat="false" ht="15" hidden="false" customHeight="false" outlineLevel="0" collapsed="false">
      <c r="A33" s="9"/>
      <c r="B33" s="9"/>
      <c r="C33" s="9"/>
    </row>
    <row r="34" customFormat="false" ht="15" hidden="false" customHeight="false" outlineLevel="0" collapsed="false">
      <c r="A34" s="9"/>
      <c r="B34" s="9"/>
      <c r="C34" s="9"/>
    </row>
    <row r="35" customFormat="false" ht="15" hidden="false" customHeight="false" outlineLevel="0" collapsed="false">
      <c r="A35" s="9"/>
      <c r="B35" s="9"/>
      <c r="C35" s="9"/>
    </row>
  </sheetData>
  <dataValidations count="1">
    <dataValidation allowBlank="true" errorStyle="stop" operator="between" showDropDown="false" showErrorMessage="false" showInputMessage="false" sqref="A24:A35" type="list">
      <formula1>"SO,WO,ST,WT"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8" min="4" style="0" width="15"/>
  </cols>
  <sheetData>
    <row r="1" customFormat="false" ht="19.7" hidden="false" customHeight="false" outlineLevel="0" collapsed="false">
      <c r="A1" s="6" t="s">
        <v>17</v>
      </c>
    </row>
    <row r="2" customFormat="false" ht="15" hidden="false" customHeight="false" outlineLevel="0" collapsed="false">
      <c r="A2" s="3" t="s">
        <v>181</v>
      </c>
    </row>
    <row r="3" customFormat="false" ht="15" hidden="false" customHeight="false" outlineLevel="0" collapsed="false">
      <c r="A3" s="7" t="s">
        <v>44</v>
      </c>
    </row>
    <row r="5" customFormat="false" ht="30" hidden="false" customHeight="true" outlineLevel="0" collapsed="false">
      <c r="A5" s="8" t="s">
        <v>182</v>
      </c>
      <c r="B5" s="8" t="s">
        <v>183</v>
      </c>
      <c r="C5" s="8" t="s">
        <v>184</v>
      </c>
      <c r="D5" s="16" t="s">
        <v>185</v>
      </c>
      <c r="E5" s="16" t="s">
        <v>186</v>
      </c>
      <c r="F5" s="16" t="s">
        <v>187</v>
      </c>
      <c r="G5" s="16" t="s">
        <v>188</v>
      </c>
      <c r="H5" s="16" t="s">
        <v>189</v>
      </c>
    </row>
    <row r="6" customFormat="false" ht="15" hidden="false" customHeight="false" outlineLevel="0" collapsed="false">
      <c r="A6" s="9" t="s">
        <v>190</v>
      </c>
      <c r="B6" s="9" t="n">
        <v>5</v>
      </c>
      <c r="C6" s="9" t="s">
        <v>191</v>
      </c>
      <c r="D6" s="9" t="n">
        <v>3</v>
      </c>
      <c r="E6" s="9" t="n">
        <v>4</v>
      </c>
      <c r="F6" s="9" t="n">
        <v>3</v>
      </c>
      <c r="G6" s="9" t="n">
        <v>1</v>
      </c>
      <c r="H6" s="9"/>
    </row>
    <row r="7" customFormat="false" ht="15" hidden="false" customHeight="false" outlineLevel="0" collapsed="false">
      <c r="A7" s="9"/>
      <c r="B7" s="9"/>
      <c r="C7" s="9"/>
      <c r="D7" s="9"/>
      <c r="E7" s="9"/>
      <c r="F7" s="9"/>
      <c r="G7" s="9"/>
      <c r="H7" s="9"/>
    </row>
    <row r="8" customFormat="false" ht="15" hidden="false" customHeight="false" outlineLevel="0" collapsed="false">
      <c r="A8" s="9"/>
      <c r="B8" s="9"/>
      <c r="C8" s="9"/>
      <c r="D8" s="9"/>
      <c r="E8" s="9"/>
      <c r="F8" s="9"/>
      <c r="G8" s="9"/>
      <c r="H8" s="9"/>
    </row>
    <row r="9" customFormat="false" ht="15" hidden="false" customHeight="false" outlineLevel="0" collapsed="false">
      <c r="A9" s="9"/>
      <c r="B9" s="9"/>
      <c r="C9" s="9"/>
      <c r="D9" s="9"/>
      <c r="E9" s="9"/>
      <c r="F9" s="9"/>
      <c r="G9" s="9"/>
      <c r="H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9"/>
      <c r="G10" s="9"/>
      <c r="H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9"/>
      <c r="G11" s="9"/>
      <c r="H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9"/>
      <c r="G12" s="9"/>
      <c r="H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9"/>
      <c r="G13" s="9"/>
      <c r="H13" s="9"/>
    </row>
    <row r="14" customFormat="false" ht="15" hidden="false" customHeight="false" outlineLevel="0" collapsed="false">
      <c r="A14" s="11" t="s">
        <v>117</v>
      </c>
      <c r="D14" s="19" t="n">
        <f aca="false">IF(COUNT(D6:D13)=0,"",SUMPRODUCT($B$6:$B$13,D6:D13)/SUMPRODUCT($B$6:$B$13*(D6:D13&lt;&gt;"")))</f>
        <v>3</v>
      </c>
      <c r="E14" s="19" t="n">
        <f aca="false">IF(COUNT(E6:E13)=0,"",SUMPRODUCT($B$6:$B$13,E6:E13)/SUMPRODUCT($B$6:$B$13*(E6:E13&lt;&gt;"")))</f>
        <v>4</v>
      </c>
      <c r="F14" s="19" t="n">
        <f aca="false">IF(COUNT(F6:F13)=0,"",SUMPRODUCT($B$6:$B$13,F6:F13)/SUMPRODUCT($B$6:$B$13*(F6:F13&lt;&gt;"")))</f>
        <v>3</v>
      </c>
      <c r="G14" s="19" t="n">
        <f aca="false">IF(COUNT(G6:G13)=0,"",SUMPRODUCT($B$6:$B$13,G6:G13)/SUMPRODUCT($B$6:$B$13*(G6:G13&lt;&gt;"")))</f>
        <v>1</v>
      </c>
      <c r="H14" s="19" t="str">
        <f aca="false">IF(COUNT(H6:H13)=0,"",SUMPRODUCT($B$6:$B$13,H6:H13)/SUMPRODUCT($B$6:$B$13*(H6:H13&lt;&gt;"")))</f>
        <v/>
      </c>
    </row>
    <row r="15" customFormat="false" ht="15" hidden="false" customHeight="false" outlineLevel="0" collapsed="false">
      <c r="A15" s="11" t="s">
        <v>118</v>
      </c>
      <c r="D15" s="10" t="n">
        <f aca="false">IF(D14="","",RANK(D14,$D$14:$H$14))</f>
        <v>2</v>
      </c>
      <c r="E15" s="10" t="n">
        <f aca="false">IF(E14="","",RANK(E14,$D$14:$H$14))</f>
        <v>1</v>
      </c>
      <c r="F15" s="10" t="n">
        <f aca="false">IF(F14="","",RANK(F14,$D$14:$H$14))</f>
        <v>2</v>
      </c>
      <c r="G15" s="10" t="n">
        <f aca="false">IF(G14="","",RANK(G14,$D$14:$H$14))</f>
        <v>4</v>
      </c>
      <c r="H15" s="10" t="str">
        <f aca="false">IF(H14="","",RANK(H14,$D$14:$H$14))</f>
        <v/>
      </c>
    </row>
    <row r="17" customFormat="false" ht="23.85" hidden="false" customHeight="false" outlineLevel="0" collapsed="false">
      <c r="A17" s="5" t="s">
        <v>192</v>
      </c>
    </row>
  </sheetData>
  <dataValidations count="1">
    <dataValidation allowBlank="true" error="Enter a whole number from 1 to 5." errorStyle="stop" errorTitle="StratOS" operator="between" showDropDown="false" showErrorMessage="false" showInputMessage="false" sqref="B6:H13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1" min="10" style="0" width="11"/>
  </cols>
  <sheetData>
    <row r="1" customFormat="false" ht="19.7" hidden="false" customHeight="false" outlineLevel="0" collapsed="false">
      <c r="A1" s="6" t="s">
        <v>19</v>
      </c>
    </row>
    <row r="2" customFormat="false" ht="15" hidden="false" customHeight="false" outlineLevel="0" collapsed="false">
      <c r="A2" s="3" t="s">
        <v>193</v>
      </c>
    </row>
    <row r="3" customFormat="false" ht="15" hidden="false" customHeight="false" outlineLevel="0" collapsed="false">
      <c r="A3" s="7" t="s">
        <v>44</v>
      </c>
    </row>
    <row r="5" customFormat="false" ht="30" hidden="false" customHeight="true" outlineLevel="0" collapsed="false">
      <c r="A5" s="8" t="s">
        <v>194</v>
      </c>
      <c r="B5" s="8" t="s">
        <v>195</v>
      </c>
      <c r="C5" s="8" t="s">
        <v>196</v>
      </c>
      <c r="D5" s="8" t="s">
        <v>197</v>
      </c>
      <c r="E5" s="8" t="s">
        <v>198</v>
      </c>
      <c r="F5" s="8" t="s">
        <v>199</v>
      </c>
      <c r="G5" s="8" t="s">
        <v>200</v>
      </c>
      <c r="H5" s="8" t="s">
        <v>201</v>
      </c>
      <c r="I5" s="8" t="s">
        <v>202</v>
      </c>
      <c r="J5" s="8" t="s">
        <v>203</v>
      </c>
      <c r="K5" s="8" t="s">
        <v>204</v>
      </c>
    </row>
    <row r="6" customFormat="false" ht="15" hidden="false" customHeight="false" outlineLevel="0" collapsed="false">
      <c r="A6" s="9" t="s">
        <v>205</v>
      </c>
      <c r="B6" s="17" t="n">
        <v>0.3</v>
      </c>
      <c r="C6" s="13" t="n">
        <v>12</v>
      </c>
      <c r="D6" s="17" t="n">
        <v>0.5</v>
      </c>
      <c r="E6" s="13" t="n">
        <v>4</v>
      </c>
      <c r="F6" s="17" t="n">
        <v>0.2</v>
      </c>
      <c r="G6" s="13" t="n">
        <v>-6</v>
      </c>
      <c r="H6" s="14" t="str">
        <f aca="false">IF(A6="","",IF(ABS(B6+D6+F6-1)&lt;0.001,"OK","Must sum to 100%"))</f>
        <v>OK</v>
      </c>
      <c r="I6" s="19" t="n">
        <f aca="false">IF(A6="","",B6*C6+D6*E6+F6*G6)</f>
        <v>4.4</v>
      </c>
      <c r="J6" s="12" t="n">
        <f aca="false">IF(A6="","",MIN(C6,E6,G6))</f>
        <v>-6</v>
      </c>
      <c r="K6" s="12" t="n">
        <f aca="false">IF(A6="","",MAX(C6,E6,G6))</f>
        <v>12</v>
      </c>
    </row>
    <row r="7" customFormat="false" ht="15" hidden="false" customHeight="false" outlineLevel="0" collapsed="false">
      <c r="A7" s="9" t="s">
        <v>206</v>
      </c>
      <c r="B7" s="17" t="n">
        <v>0.3</v>
      </c>
      <c r="C7" s="13" t="n">
        <v>6</v>
      </c>
      <c r="D7" s="17" t="n">
        <v>0.5</v>
      </c>
      <c r="E7" s="13" t="n">
        <v>4</v>
      </c>
      <c r="F7" s="17" t="n">
        <v>0.2</v>
      </c>
      <c r="G7" s="13" t="n">
        <v>1</v>
      </c>
      <c r="H7" s="14" t="str">
        <f aca="false">IF(A7="","",IF(ABS(B7+D7+F7-1)&lt;0.001,"OK","Must sum to 100%"))</f>
        <v>OK</v>
      </c>
      <c r="I7" s="19" t="n">
        <f aca="false">IF(A7="","",B7*C7+D7*E7+F7*G7)</f>
        <v>4</v>
      </c>
      <c r="J7" s="12" t="n">
        <f aca="false">IF(A7="","",MIN(C7,E7,G7))</f>
        <v>1</v>
      </c>
      <c r="K7" s="12" t="n">
        <f aca="false">IF(A7="","",MAX(C7,E7,G7))</f>
        <v>6</v>
      </c>
    </row>
    <row r="8" customFormat="false" ht="15" hidden="false" customHeight="false" outlineLevel="0" collapsed="false">
      <c r="A8" s="9" t="s">
        <v>207</v>
      </c>
      <c r="B8" s="17" t="n">
        <v>0.3</v>
      </c>
      <c r="C8" s="13" t="n">
        <v>0</v>
      </c>
      <c r="D8" s="17" t="n">
        <v>0.5</v>
      </c>
      <c r="E8" s="13" t="n">
        <v>0</v>
      </c>
      <c r="F8" s="17" t="n">
        <v>0.2</v>
      </c>
      <c r="G8" s="13" t="n">
        <v>0</v>
      </c>
      <c r="H8" s="14" t="str">
        <f aca="false">IF(A8="","",IF(ABS(B8+D8+F8-1)&lt;0.001,"OK","Must sum to 100%"))</f>
        <v>OK</v>
      </c>
      <c r="I8" s="19" t="n">
        <f aca="false">IF(A8="","",B8*C8+D8*E8+F8*G8)</f>
        <v>0</v>
      </c>
      <c r="J8" s="12" t="n">
        <f aca="false">IF(A8="","",MIN(C8,E8,G8))</f>
        <v>0</v>
      </c>
      <c r="K8" s="12" t="n">
        <f aca="false">IF(A8="","",MAX(C8,E8,G8))</f>
        <v>0</v>
      </c>
    </row>
    <row r="9" customFormat="false" ht="15" hidden="false" customHeight="false" outlineLevel="0" collapsed="false">
      <c r="A9" s="9"/>
      <c r="B9" s="17"/>
      <c r="C9" s="13"/>
      <c r="D9" s="17"/>
      <c r="E9" s="13"/>
      <c r="F9" s="17"/>
      <c r="G9" s="13"/>
      <c r="H9" s="14" t="str">
        <f aca="false">IF(A9="","",IF(ABS(B9+D9+F9-1)&lt;0.001,"OK","Must sum to 100%"))</f>
        <v/>
      </c>
      <c r="I9" s="19" t="str">
        <f aca="false">IF(A9="","",B9*C9+D9*E9+F9*G9)</f>
        <v/>
      </c>
      <c r="J9" s="12" t="str">
        <f aca="false">IF(A9="","",MIN(C9,E9,G9))</f>
        <v/>
      </c>
      <c r="K9" s="12" t="str">
        <f aca="false">IF(A9="","",MAX(C9,E9,G9))</f>
        <v/>
      </c>
    </row>
    <row r="10" customFormat="false" ht="15" hidden="false" customHeight="false" outlineLevel="0" collapsed="false">
      <c r="A10" s="9"/>
      <c r="B10" s="17"/>
      <c r="C10" s="13"/>
      <c r="D10" s="17"/>
      <c r="E10" s="13"/>
      <c r="F10" s="17"/>
      <c r="G10" s="13"/>
      <c r="H10" s="14" t="str">
        <f aca="false">IF(A10="","",IF(ABS(B10+D10+F10-1)&lt;0.001,"OK","Must sum to 100%"))</f>
        <v/>
      </c>
      <c r="I10" s="19" t="str">
        <f aca="false">IF(A10="","",B10*C10+D10*E10+F10*G10)</f>
        <v/>
      </c>
      <c r="J10" s="12" t="str">
        <f aca="false">IF(A10="","",MIN(C10,E10,G10))</f>
        <v/>
      </c>
      <c r="K10" s="12" t="str">
        <f aca="false">IF(A10="","",MAX(C10,E10,G10))</f>
        <v/>
      </c>
    </row>
    <row r="11" customFormat="false" ht="15" hidden="false" customHeight="false" outlineLevel="0" collapsed="false">
      <c r="A11" s="9"/>
      <c r="B11" s="17"/>
      <c r="C11" s="13"/>
      <c r="D11" s="17"/>
      <c r="E11" s="13"/>
      <c r="F11" s="17"/>
      <c r="G11" s="13"/>
      <c r="H11" s="14" t="str">
        <f aca="false">IF(A11="","",IF(ABS(B11+D11+F11-1)&lt;0.001,"OK","Must sum to 100%"))</f>
        <v/>
      </c>
      <c r="I11" s="19" t="str">
        <f aca="false">IF(A11="","",B11*C11+D11*E11+F11*G11)</f>
        <v/>
      </c>
      <c r="J11" s="12" t="str">
        <f aca="false">IF(A11="","",MIN(C11,E11,G11))</f>
        <v/>
      </c>
      <c r="K11" s="12" t="str">
        <f aca="false">IF(A11="","",MAX(C11,E11,G11))</f>
        <v/>
      </c>
    </row>
    <row r="13" customFormat="false" ht="23.85" hidden="false" customHeight="false" outlineLevel="0" collapsed="false">
      <c r="A13" s="11" t="s">
        <v>208</v>
      </c>
      <c r="B13" s="20" t="str">
        <f aca="false">IFERROR(INDEX(A6:A11,MATCH(MAX(I6:I11),I6:I11,0)),"")</f>
        <v>A. Move upmarket</v>
      </c>
    </row>
    <row r="14" customFormat="false" ht="23.85" hidden="false" customHeight="false" outlineLevel="0" collapsed="false">
      <c r="A14" s="11" t="s">
        <v>209</v>
      </c>
      <c r="B14" s="20" t="str">
        <f aca="false">IFERROR(INDEX(A6:A11,MATCH(MAX(J6:J11),J6:J11,0)),"")</f>
        <v>B. Cut costs</v>
      </c>
    </row>
    <row r="15" customFormat="false" ht="23.85" hidden="false" customHeight="true" outlineLevel="0" collapsed="false">
      <c r="A15" s="11" t="s">
        <v>210</v>
      </c>
      <c r="B15" s="19" t="n">
        <f aca="false">IFERROR(INDEX(B6:B11,MATCH(MAX(I6:I11),I6:I11,0))*MAX(C6:C11)+INDEX(D6:D11,MATCH(MAX(I6:I11),I6:I11,0))*MAX(E6:E11)+INDEX(F6:F11,MATCH(MAX(I6:I11),I6:I11,0))*MAX(G6:G11)-MAX(I6:I11),"")</f>
        <v>1.4</v>
      </c>
      <c r="C15" s="21" t="s">
        <v>211</v>
      </c>
      <c r="D15" s="21"/>
      <c r="E15" s="21"/>
      <c r="F15" s="21"/>
      <c r="G15" s="21"/>
      <c r="H15" s="21"/>
      <c r="I15" s="21"/>
      <c r="J15" s="21"/>
      <c r="K15" s="21"/>
    </row>
    <row r="18" customFormat="false" ht="23.85" hidden="false" customHeight="true" outlineLevel="0" collapsed="false">
      <c r="A18" s="11" t="s">
        <v>212</v>
      </c>
      <c r="B18" s="21" t="s">
        <v>213</v>
      </c>
      <c r="C18" s="21"/>
      <c r="D18" s="21"/>
      <c r="E18" s="21"/>
      <c r="F18" s="21"/>
      <c r="G18" s="21"/>
      <c r="H18" s="21"/>
      <c r="I18" s="21"/>
      <c r="J18" s="21"/>
      <c r="K18" s="21"/>
    </row>
    <row r="19" customFormat="false" ht="30" hidden="false" customHeight="true" outlineLevel="0" collapsed="false">
      <c r="A19" s="8" t="s">
        <v>214</v>
      </c>
      <c r="B19" s="8" t="s">
        <v>215</v>
      </c>
      <c r="C19" s="8" t="s">
        <v>216</v>
      </c>
      <c r="D19" s="8" t="s">
        <v>217</v>
      </c>
      <c r="E19" s="8" t="s">
        <v>218</v>
      </c>
      <c r="F19" s="8" t="s">
        <v>219</v>
      </c>
      <c r="G19" s="8" t="s">
        <v>220</v>
      </c>
    </row>
    <row r="20" customFormat="false" ht="15" hidden="false" customHeight="false" outlineLevel="0" collapsed="false">
      <c r="A20" s="5" t="s">
        <v>221</v>
      </c>
      <c r="B20" s="22" t="n">
        <f aca="false">IF(B6="","",B6)</f>
        <v>0.3</v>
      </c>
      <c r="C20" s="17" t="n">
        <v>0.8</v>
      </c>
      <c r="D20" s="17" t="n">
        <v>0.2</v>
      </c>
      <c r="E20" s="14" t="str">
        <f aca="false">IF(C20="","",IF(ABS(C20+D20-1)&lt;0.001,"OK","Must sum to 100%"))</f>
        <v>OK</v>
      </c>
      <c r="F20" s="23" t="n">
        <f aca="false">IFERROR(B20*C20/SUMPRODUCT($B$20:$B$22,$C$20:$C$22),"")</f>
        <v>0.461538461538462</v>
      </c>
      <c r="G20" s="23" t="n">
        <f aca="false">IFERROR(B20*D20/SUMPRODUCT($B$20:$B$22,$D$20:$D$22),"")</f>
        <v>0.125</v>
      </c>
    </row>
    <row r="21" customFormat="false" ht="15" hidden="false" customHeight="false" outlineLevel="0" collapsed="false">
      <c r="A21" s="5" t="s">
        <v>222</v>
      </c>
      <c r="B21" s="22" t="n">
        <f aca="false">IF(D6="","",D6)</f>
        <v>0.5</v>
      </c>
      <c r="C21" s="17" t="n">
        <v>0.5</v>
      </c>
      <c r="D21" s="17" t="n">
        <v>0.5</v>
      </c>
      <c r="E21" s="14" t="str">
        <f aca="false">IF(C21="","",IF(ABS(C21+D21-1)&lt;0.001,"OK","Must sum to 100%"))</f>
        <v>OK</v>
      </c>
      <c r="F21" s="23" t="n">
        <f aca="false">IFERROR(B21*C21/SUMPRODUCT($B$20:$B$22,$C$20:$C$22),"")</f>
        <v>0.480769230769231</v>
      </c>
      <c r="G21" s="23" t="n">
        <f aca="false">IFERROR(B21*D21/SUMPRODUCT($B$20:$B$22,$D$20:$D$22),"")</f>
        <v>0.520833333333333</v>
      </c>
    </row>
    <row r="22" customFormat="false" ht="15" hidden="false" customHeight="false" outlineLevel="0" collapsed="false">
      <c r="A22" s="5" t="s">
        <v>223</v>
      </c>
      <c r="B22" s="22" t="n">
        <f aca="false">IF(F6="","",F6)</f>
        <v>0.2</v>
      </c>
      <c r="C22" s="17" t="n">
        <v>0.15</v>
      </c>
      <c r="D22" s="17" t="n">
        <v>0.85</v>
      </c>
      <c r="E22" s="14" t="str">
        <f aca="false">IF(C22="","",IF(ABS(C22+D22-1)&lt;0.001,"OK","Must sum to 100%"))</f>
        <v>OK</v>
      </c>
      <c r="F22" s="23" t="n">
        <f aca="false">IFERROR(B22*C22/SUMPRODUCT($B$20:$B$22,$C$20:$C$22),"")</f>
        <v>0.0576923076923077</v>
      </c>
      <c r="G22" s="23" t="n">
        <f aca="false">IFERROR(B22*D22/SUMPRODUCT($B$20:$B$22,$D$20:$D$22),"")</f>
        <v>0.354166666666667</v>
      </c>
    </row>
    <row r="23" customFormat="false" ht="15" hidden="false" customHeight="false" outlineLevel="0" collapsed="false">
      <c r="A23" s="11" t="s">
        <v>224</v>
      </c>
      <c r="F23" s="24" t="n">
        <f aca="false">IFERROR(SUMPRODUCT(B20:B22,C20:C22),"")</f>
        <v>0.52</v>
      </c>
      <c r="G23" s="24" t="n">
        <f aca="false">IFERROR(SUMPRODUCT(B20:B22,D20:D22),"")</f>
        <v>0.48</v>
      </c>
    </row>
    <row r="25" customFormat="false" ht="30" hidden="false" customHeight="true" outlineLevel="0" collapsed="false">
      <c r="A25" s="8" t="s">
        <v>194</v>
      </c>
      <c r="B25" s="8" t="s">
        <v>225</v>
      </c>
      <c r="C25" s="8" t="s">
        <v>226</v>
      </c>
      <c r="D25" s="8" t="s">
        <v>227</v>
      </c>
    </row>
    <row r="26" customFormat="false" ht="15" hidden="false" customHeight="false" outlineLevel="0" collapsed="false">
      <c r="A26" s="14" t="str">
        <f aca="false">IF(A6="","",A6)</f>
        <v>A. Move upmarket</v>
      </c>
      <c r="B26" s="25" t="n">
        <f aca="false">IF(A6="","",I6)</f>
        <v>4.4</v>
      </c>
      <c r="C26" s="25" t="n">
        <f aca="false">IF(OR(A6="",F20=""),"",C6*F20+E6*F21+G6*F22)</f>
        <v>7.11538461538462</v>
      </c>
      <c r="D26" s="25" t="n">
        <f aca="false">IF(OR(A6="",G20=""),"",C6*G20+E6*G21+G6*G22)</f>
        <v>1.45833333333333</v>
      </c>
    </row>
    <row r="27" customFormat="false" ht="15" hidden="false" customHeight="false" outlineLevel="0" collapsed="false">
      <c r="A27" s="14" t="str">
        <f aca="false">IF(A7="","",A7)</f>
        <v>B. Cut costs</v>
      </c>
      <c r="B27" s="25" t="n">
        <f aca="false">IF(A7="","",I7)</f>
        <v>4</v>
      </c>
      <c r="C27" s="25" t="n">
        <f aca="false">IF(OR(A7="",F20=""),"",C7*F20+E7*F21+G7*F22)</f>
        <v>4.75</v>
      </c>
      <c r="D27" s="25" t="n">
        <f aca="false">IF(OR(A7="",G20=""),"",C7*G20+E7*G21+G7*G22)</f>
        <v>3.1875</v>
      </c>
    </row>
    <row r="28" customFormat="false" ht="15" hidden="false" customHeight="false" outlineLevel="0" collapsed="false">
      <c r="A28" s="14" t="str">
        <f aca="false">IF(A8="","",A8)</f>
        <v>C. Do nothing</v>
      </c>
      <c r="B28" s="25" t="n">
        <f aca="false">IF(A8="","",I8)</f>
        <v>0</v>
      </c>
      <c r="C28" s="25" t="n">
        <f aca="false">IF(OR(A8="",F20=""),"",C8*F20+E8*F21+G8*F22)</f>
        <v>0</v>
      </c>
      <c r="D28" s="25" t="n">
        <f aca="false">IF(OR(A8="",G20=""),"",C8*G20+E8*G21+G8*G22)</f>
        <v>0</v>
      </c>
    </row>
    <row r="29" customFormat="false" ht="15" hidden="false" customHeight="false" outlineLevel="0" collapsed="false">
      <c r="A29" s="14" t="str">
        <f aca="false">IF(A9="","",A9)</f>
        <v/>
      </c>
      <c r="B29" s="25" t="str">
        <f aca="false">IF(A9="","",I9)</f>
        <v/>
      </c>
      <c r="C29" s="25" t="str">
        <f aca="false">IF(OR(A9="",F20=""),"",C9*F20+E9*F21+G9*F22)</f>
        <v/>
      </c>
      <c r="D29" s="25" t="str">
        <f aca="false">IF(OR(A9="",G20=""),"",C9*G20+E9*G21+G9*G22)</f>
        <v/>
      </c>
    </row>
    <row r="30" customFormat="false" ht="15" hidden="false" customHeight="false" outlineLevel="0" collapsed="false">
      <c r="A30" s="14" t="str">
        <f aca="false">IF(A10="","",A10)</f>
        <v/>
      </c>
      <c r="B30" s="25" t="str">
        <f aca="false">IF(A10="","",I10)</f>
        <v/>
      </c>
      <c r="C30" s="25" t="str">
        <f aca="false">IF(OR(A10="",F20=""),"",C10*F20+E10*F21+G10*F22)</f>
        <v/>
      </c>
      <c r="D30" s="25" t="str">
        <f aca="false">IF(OR(A10="",G20=""),"",C10*G20+E10*G21+G10*G22)</f>
        <v/>
      </c>
    </row>
    <row r="31" customFormat="false" ht="15" hidden="false" customHeight="false" outlineLevel="0" collapsed="false">
      <c r="A31" s="14" t="str">
        <f aca="false">IF(A11="","",A11)</f>
        <v/>
      </c>
      <c r="B31" s="25" t="str">
        <f aca="false">IF(A11="","",I11)</f>
        <v/>
      </c>
      <c r="C31" s="25" t="str">
        <f aca="false">IF(OR(A11="",F20=""),"",C11*F20+E11*F21+G11*F22)</f>
        <v/>
      </c>
      <c r="D31" s="25" t="str">
        <f aca="false">IF(OR(A11="",G20=""),"",C11*G20+E11*G21+G11*G22)</f>
        <v/>
      </c>
    </row>
    <row r="33" customFormat="false" ht="23.85" hidden="false" customHeight="true" outlineLevel="0" collapsed="false">
      <c r="A33" s="11" t="s">
        <v>228</v>
      </c>
      <c r="B33" s="20" t="str">
        <f aca="false">IFERROR(INDEX(A26:A31,MATCH(MAX(C26:C31),C26:C31,0)),"")</f>
        <v>A. Move upmarket</v>
      </c>
      <c r="C33" s="21" t="s">
        <v>229</v>
      </c>
      <c r="D33" s="21"/>
      <c r="E33" s="21"/>
      <c r="F33" s="21"/>
      <c r="G33" s="21"/>
      <c r="H33" s="21"/>
      <c r="I33" s="21"/>
      <c r="J33" s="21"/>
      <c r="K33" s="21"/>
    </row>
    <row r="34" customFormat="false" ht="23.85" hidden="false" customHeight="false" outlineLevel="0" collapsed="false">
      <c r="A34" s="11" t="s">
        <v>230</v>
      </c>
      <c r="B34" s="20" t="str">
        <f aca="false">IFERROR(INDEX(A26:A31,MATCH(MAX(D26:D31),D26:D31,0)),"")</f>
        <v>B. Cut costs</v>
      </c>
      <c r="C34" s="21"/>
      <c r="D34" s="21"/>
      <c r="E34" s="21"/>
      <c r="F34" s="21"/>
      <c r="G34" s="21"/>
      <c r="H34" s="21"/>
      <c r="I34" s="21"/>
      <c r="J34" s="21"/>
      <c r="K34" s="21"/>
    </row>
    <row r="35" customFormat="false" ht="23.85" hidden="false" customHeight="false" outlineLevel="0" collapsed="false">
      <c r="A35" s="11" t="s">
        <v>231</v>
      </c>
      <c r="B35" s="19" t="n">
        <f aca="false">IFERROR(F23*MAX(C26:C31)+G23*MAX(D26:D31),"")</f>
        <v>5.23</v>
      </c>
    </row>
    <row r="36" customFormat="false" ht="15" hidden="false" customHeight="false" outlineLevel="0" collapsed="false">
      <c r="A36" s="11" t="s">
        <v>232</v>
      </c>
      <c r="B36" s="19" t="n">
        <f aca="false">IFERROR(B35-MAX(I6:I11),"")</f>
        <v>0.830000000000001</v>
      </c>
    </row>
    <row r="37" customFormat="false" ht="15" hidden="false" customHeight="false" outlineLevel="0" collapsed="false">
      <c r="A37" s="11" t="s">
        <v>233</v>
      </c>
      <c r="B37" s="26" t="n">
        <v>0.5</v>
      </c>
    </row>
    <row r="38" customFormat="false" ht="23.85" hidden="false" customHeight="false" outlineLevel="0" collapsed="false">
      <c r="A38" s="11" t="s">
        <v>234</v>
      </c>
      <c r="B38" s="19" t="n">
        <f aca="false">IFERROR(IF(B37="","",B36-B37),"")</f>
        <v>0.330000000000001</v>
      </c>
    </row>
    <row r="39" customFormat="false" ht="15" hidden="false" customHeight="false" outlineLevel="0" collapsed="false">
      <c r="A39" s="11" t="s">
        <v>235</v>
      </c>
      <c r="B39" s="18" t="n">
        <f aca="false">IFERROR(B36/B15,"")</f>
        <v>0.592857142857143</v>
      </c>
    </row>
  </sheetData>
  <mergeCells count="3">
    <mergeCell ref="C15:K15"/>
    <mergeCell ref="B18:K18"/>
    <mergeCell ref="C33:K34"/>
  </mergeCells>
  <conditionalFormatting sqref="H6:H11">
    <cfRule type="expression" priority="2" aboveAverage="0" equalAverage="0" bottom="0" percent="0" rank="0" text="" dxfId="0">
      <formula>H6="OK"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H6="Must sum to 100%"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5"/>
  </cols>
  <sheetData>
    <row r="1" customFormat="false" ht="19.7" hidden="false" customHeight="false" outlineLevel="0" collapsed="false">
      <c r="A1" s="6" t="s">
        <v>21</v>
      </c>
    </row>
    <row r="2" customFormat="false" ht="15" hidden="false" customHeight="false" outlineLevel="0" collapsed="false">
      <c r="A2" s="3" t="s">
        <v>236</v>
      </c>
    </row>
    <row r="3" customFormat="false" ht="15" hidden="false" customHeight="false" outlineLevel="0" collapsed="false">
      <c r="A3" s="7" t="s">
        <v>44</v>
      </c>
    </row>
    <row r="5" customFormat="false" ht="15" hidden="false" customHeight="false" outlineLevel="0" collapsed="false">
      <c r="A5" s="11" t="s">
        <v>237</v>
      </c>
    </row>
    <row r="6" customFormat="false" ht="15" hidden="false" customHeight="false" outlineLevel="0" collapsed="false">
      <c r="A6" s="5" t="s">
        <v>238</v>
      </c>
      <c r="B6" s="27" t="n">
        <v>0.1</v>
      </c>
    </row>
    <row r="7" customFormat="false" ht="15" hidden="false" customHeight="false" outlineLevel="0" collapsed="false">
      <c r="A7" s="5" t="s">
        <v>239</v>
      </c>
      <c r="B7" s="27" t="n">
        <v>0.21</v>
      </c>
    </row>
    <row r="8" customFormat="false" ht="15" hidden="false" customHeight="false" outlineLevel="0" collapsed="false">
      <c r="A8" s="5" t="s">
        <v>240</v>
      </c>
      <c r="B8" s="27" t="n">
        <v>0.05</v>
      </c>
    </row>
    <row r="10" customFormat="false" ht="15" hidden="false" customHeight="false" outlineLevel="0" collapsed="false">
      <c r="A10" s="8" t="s">
        <v>241</v>
      </c>
      <c r="B10" s="8" t="s">
        <v>242</v>
      </c>
      <c r="C10" s="8" t="s">
        <v>243</v>
      </c>
      <c r="D10" s="8" t="s">
        <v>244</v>
      </c>
      <c r="E10" s="8" t="s">
        <v>245</v>
      </c>
      <c r="F10" s="8" t="s">
        <v>246</v>
      </c>
      <c r="G10" s="8" t="s">
        <v>247</v>
      </c>
    </row>
    <row r="11" customFormat="false" ht="15" hidden="false" customHeight="false" outlineLevel="0" collapsed="false">
      <c r="A11" s="5" t="s">
        <v>248</v>
      </c>
      <c r="B11" s="28" t="n">
        <v>0</v>
      </c>
      <c r="C11" s="28" t="n">
        <v>32400</v>
      </c>
      <c r="D11" s="28" t="n">
        <v>64800</v>
      </c>
      <c r="E11" s="28" t="n">
        <v>97200</v>
      </c>
      <c r="F11" s="28" t="n">
        <v>108000</v>
      </c>
      <c r="G11" s="28" t="n">
        <v>108000</v>
      </c>
    </row>
    <row r="12" customFormat="false" ht="15" hidden="false" customHeight="false" outlineLevel="0" collapsed="false">
      <c r="A12" s="5" t="s">
        <v>249</v>
      </c>
      <c r="B12" s="29" t="n">
        <v>32000</v>
      </c>
      <c r="C12" s="29" t="n">
        <v>32000</v>
      </c>
      <c r="D12" s="29" t="n">
        <v>32000</v>
      </c>
      <c r="E12" s="29" t="n">
        <v>32000</v>
      </c>
      <c r="F12" s="29" t="n">
        <v>32000</v>
      </c>
      <c r="G12" s="29" t="n">
        <v>32000</v>
      </c>
    </row>
    <row r="13" customFormat="false" ht="15" hidden="false" customHeight="false" outlineLevel="0" collapsed="false">
      <c r="A13" s="5" t="s">
        <v>250</v>
      </c>
      <c r="B13" s="29" t="n">
        <v>20000</v>
      </c>
      <c r="C13" s="29" t="n">
        <v>20000</v>
      </c>
      <c r="D13" s="29" t="n">
        <v>20000</v>
      </c>
      <c r="E13" s="29" t="n">
        <v>20000</v>
      </c>
      <c r="F13" s="29" t="n">
        <v>20000</v>
      </c>
      <c r="G13" s="29" t="n">
        <v>20000</v>
      </c>
    </row>
    <row r="14" customFormat="false" ht="15" hidden="false" customHeight="false" outlineLevel="0" collapsed="false">
      <c r="A14" s="5" t="s">
        <v>251</v>
      </c>
      <c r="B14" s="29" t="n">
        <v>0</v>
      </c>
      <c r="C14" s="29" t="n">
        <v>180000000</v>
      </c>
      <c r="D14" s="29" t="n">
        <v>180000000</v>
      </c>
      <c r="E14" s="29" t="n">
        <v>180000000</v>
      </c>
      <c r="F14" s="29" t="n">
        <v>180000000</v>
      </c>
      <c r="G14" s="29" t="n">
        <v>180000000</v>
      </c>
    </row>
    <row r="15" customFormat="false" ht="15" hidden="false" customHeight="false" outlineLevel="0" collapsed="false">
      <c r="A15" s="5" t="s">
        <v>252</v>
      </c>
      <c r="B15" s="29" t="n">
        <v>2000000000</v>
      </c>
      <c r="C15" s="29" t="n">
        <v>100000000</v>
      </c>
      <c r="D15" s="29" t="n">
        <v>100000000</v>
      </c>
      <c r="E15" s="29" t="n">
        <v>50000000</v>
      </c>
      <c r="F15" s="29" t="n">
        <v>50000000</v>
      </c>
      <c r="G15" s="29" t="n">
        <v>50000000</v>
      </c>
    </row>
    <row r="16" customFormat="false" ht="15" hidden="false" customHeight="false" outlineLevel="0" collapsed="false">
      <c r="A16" s="5" t="s">
        <v>253</v>
      </c>
      <c r="B16" s="30" t="n">
        <f aca="false">B11*B12</f>
        <v>0</v>
      </c>
      <c r="C16" s="30" t="n">
        <f aca="false">C11*C12</f>
        <v>1036800000</v>
      </c>
      <c r="D16" s="30" t="n">
        <f aca="false">D11*D12</f>
        <v>2073600000</v>
      </c>
      <c r="E16" s="30" t="n">
        <f aca="false">E11*E12</f>
        <v>3110400000</v>
      </c>
      <c r="F16" s="30" t="n">
        <f aca="false">F11*F12</f>
        <v>3456000000</v>
      </c>
      <c r="G16" s="30" t="n">
        <f aca="false">G11*G12</f>
        <v>3456000000</v>
      </c>
    </row>
    <row r="17" customFormat="false" ht="15" hidden="false" customHeight="false" outlineLevel="0" collapsed="false">
      <c r="A17" s="5" t="s">
        <v>254</v>
      </c>
      <c r="B17" s="30" t="n">
        <f aca="false">B11*(B12-B13)</f>
        <v>0</v>
      </c>
      <c r="C17" s="30" t="n">
        <f aca="false">C11*(C12-C13)</f>
        <v>388800000</v>
      </c>
      <c r="D17" s="30" t="n">
        <f aca="false">D11*(D12-D13)</f>
        <v>777600000</v>
      </c>
      <c r="E17" s="30" t="n">
        <f aca="false">E11*(E12-E13)</f>
        <v>1166400000</v>
      </c>
      <c r="F17" s="30" t="n">
        <f aca="false">F11*(F12-F13)</f>
        <v>1296000000</v>
      </c>
      <c r="G17" s="30" t="n">
        <f aca="false">G11*(G12-G13)</f>
        <v>1296000000</v>
      </c>
    </row>
    <row r="18" customFormat="false" ht="15" hidden="false" customHeight="false" outlineLevel="0" collapsed="false">
      <c r="A18" s="5" t="s">
        <v>255</v>
      </c>
      <c r="B18" s="30" t="n">
        <f aca="false">B17-B14</f>
        <v>0</v>
      </c>
      <c r="C18" s="30" t="n">
        <f aca="false">C17-C14</f>
        <v>208800000</v>
      </c>
      <c r="D18" s="30" t="n">
        <f aca="false">D17-D14</f>
        <v>597600000</v>
      </c>
      <c r="E18" s="30" t="n">
        <f aca="false">E17-E14</f>
        <v>986400000</v>
      </c>
      <c r="F18" s="30" t="n">
        <f aca="false">F17-F14</f>
        <v>1116000000</v>
      </c>
      <c r="G18" s="30" t="n">
        <f aca="false">G17-G14</f>
        <v>1116000000</v>
      </c>
    </row>
    <row r="19" customFormat="false" ht="15" hidden="false" customHeight="false" outlineLevel="0" collapsed="false">
      <c r="A19" s="5" t="s">
        <v>256</v>
      </c>
      <c r="B19" s="30" t="n">
        <f aca="false">MAX(0,B18)*$B$7</f>
        <v>0</v>
      </c>
      <c r="C19" s="30" t="n">
        <f aca="false">MAX(0,C18)*$B$7</f>
        <v>43848000</v>
      </c>
      <c r="D19" s="30" t="n">
        <f aca="false">MAX(0,D18)*$B$7</f>
        <v>125496000</v>
      </c>
      <c r="E19" s="30" t="n">
        <f aca="false">MAX(0,E18)*$B$7</f>
        <v>207144000</v>
      </c>
      <c r="F19" s="30" t="n">
        <f aca="false">MAX(0,F18)*$B$7</f>
        <v>234360000</v>
      </c>
      <c r="G19" s="30" t="n">
        <f aca="false">MAX(0,G18)*$B$7</f>
        <v>234360000</v>
      </c>
    </row>
    <row r="20" customFormat="false" ht="15" hidden="false" customHeight="false" outlineLevel="0" collapsed="false">
      <c r="A20" s="5" t="s">
        <v>257</v>
      </c>
      <c r="B20" s="30" t="n">
        <f aca="false">B16*$B$8</f>
        <v>0</v>
      </c>
      <c r="C20" s="30" t="n">
        <f aca="false">C16*$B$8</f>
        <v>51840000</v>
      </c>
      <c r="D20" s="30" t="n">
        <f aca="false">D16*$B$8</f>
        <v>103680000</v>
      </c>
      <c r="E20" s="30" t="n">
        <f aca="false">E16*$B$8</f>
        <v>155520000</v>
      </c>
      <c r="F20" s="30" t="n">
        <f aca="false">F16*$B$8</f>
        <v>172800000</v>
      </c>
      <c r="G20" s="30" t="n">
        <f aca="false">G16*$B$8</f>
        <v>172800000</v>
      </c>
    </row>
    <row r="21" customFormat="false" ht="15" hidden="false" customHeight="false" outlineLevel="0" collapsed="false">
      <c r="A21" s="5" t="s">
        <v>258</v>
      </c>
      <c r="B21" s="30" t="n">
        <f aca="false">B20</f>
        <v>0</v>
      </c>
      <c r="C21" s="30" t="n">
        <f aca="false">C20-B20</f>
        <v>51840000</v>
      </c>
      <c r="D21" s="30" t="n">
        <f aca="false">D20-C20</f>
        <v>51840000</v>
      </c>
      <c r="E21" s="30" t="n">
        <f aca="false">E20-D20</f>
        <v>51840000</v>
      </c>
      <c r="F21" s="30" t="n">
        <f aca="false">F20-E20</f>
        <v>17280000</v>
      </c>
      <c r="G21" s="30" t="n">
        <f aca="false">G20-F20</f>
        <v>0</v>
      </c>
    </row>
    <row r="22" customFormat="false" ht="15" hidden="false" customHeight="false" outlineLevel="0" collapsed="false">
      <c r="A22" s="11" t="s">
        <v>259</v>
      </c>
      <c r="B22" s="31" t="n">
        <f aca="false">B18-B19-B21-B15</f>
        <v>-2000000000</v>
      </c>
      <c r="C22" s="31" t="n">
        <f aca="false">C18-C19-C21-C15</f>
        <v>13112000</v>
      </c>
      <c r="D22" s="31" t="n">
        <f aca="false">D18-D19-D21-D15</f>
        <v>320264000</v>
      </c>
      <c r="E22" s="31" t="n">
        <f aca="false">E18-E19-E21-E15</f>
        <v>677416000</v>
      </c>
      <c r="F22" s="31" t="n">
        <f aca="false">F18-F19-F21-F15</f>
        <v>814360000</v>
      </c>
      <c r="G22" s="31" t="n">
        <f aca="false">G18-G19-G21-G15+G20</f>
        <v>1004440000</v>
      </c>
    </row>
    <row r="23" customFormat="false" ht="15" hidden="false" customHeight="false" outlineLevel="0" collapsed="false">
      <c r="A23" s="5" t="s">
        <v>260</v>
      </c>
      <c r="B23" s="30" t="n">
        <f aca="false">B22</f>
        <v>-2000000000</v>
      </c>
      <c r="C23" s="30" t="n">
        <f aca="false">B23+C22</f>
        <v>-1986888000</v>
      </c>
      <c r="D23" s="30" t="n">
        <f aca="false">C23+D22</f>
        <v>-1666624000</v>
      </c>
      <c r="E23" s="30" t="n">
        <f aca="false">D23+E22</f>
        <v>-989208000</v>
      </c>
      <c r="F23" s="30" t="n">
        <f aca="false">E23+F22</f>
        <v>-174848000</v>
      </c>
      <c r="G23" s="30" t="n">
        <f aca="false">F23+G22</f>
        <v>829592000</v>
      </c>
    </row>
    <row r="25" customFormat="false" ht="15" hidden="false" customHeight="false" outlineLevel="0" collapsed="false">
      <c r="A25" s="11" t="s">
        <v>261</v>
      </c>
      <c r="B25" s="31" t="n">
        <f aca="false">IF(COUNT(B11:G11)=0,"",B22+NPV($B$6,C22:G22))</f>
        <v>-34549289.8522835</v>
      </c>
    </row>
    <row r="26" customFormat="false" ht="15" hidden="false" customHeight="false" outlineLevel="0" collapsed="false">
      <c r="A26" s="11" t="s">
        <v>262</v>
      </c>
      <c r="B26" s="24" t="n">
        <f aca="false">IFERROR(IRR(B22:G22),"n/a")</f>
        <v>0.0949319301494521</v>
      </c>
    </row>
    <row r="27" customFormat="false" ht="15" hidden="false" customHeight="false" outlineLevel="0" collapsed="false">
      <c r="A27" s="11" t="s">
        <v>263</v>
      </c>
      <c r="B27" s="20" t="str">
        <f aca="false">IF(ISNUMBER(B26),IF(B26&gt;=$B$6,"Yes","No"),"")</f>
        <v>No</v>
      </c>
    </row>
    <row r="29" customFormat="false" ht="35.05" hidden="false" customHeight="false" outlineLevel="0" collapsed="false">
      <c r="A29" s="5" t="s">
        <v>264</v>
      </c>
    </row>
  </sheetData>
  <conditionalFormatting sqref="B27">
    <cfRule type="expression" priority="2" aboveAverage="0" equalAverage="0" bottom="0" percent="0" rank="0" text="" dxfId="0">
      <formula>B27="Yes"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B27="No"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U10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1"/>
    <col collapsed="false" customWidth="true" hidden="false" outlineLevel="0" max="7" min="5" style="0" width="12"/>
    <col collapsed="false" customWidth="true" hidden="false" outlineLevel="0" max="10" min="8" style="0" width="15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6"/>
  </cols>
  <sheetData>
    <row r="1" customFormat="false" ht="19.7" hidden="false" customHeight="false" outlineLevel="0" collapsed="false">
      <c r="A1" s="6" t="s">
        <v>265</v>
      </c>
    </row>
    <row r="2" customFormat="false" ht="15" hidden="false" customHeight="false" outlineLevel="0" collapsed="false">
      <c r="A2" s="3" t="s">
        <v>266</v>
      </c>
    </row>
    <row r="3" customFormat="false" ht="15" hidden="false" customHeight="false" outlineLevel="0" collapsed="false">
      <c r="A3" s="7" t="s">
        <v>44</v>
      </c>
    </row>
    <row r="5" customFormat="false" ht="30" hidden="false" customHeight="true" outlineLevel="0" collapsed="false">
      <c r="A5" s="8" t="s">
        <v>267</v>
      </c>
      <c r="B5" s="8" t="s">
        <v>268</v>
      </c>
      <c r="C5" s="8" t="s">
        <v>269</v>
      </c>
      <c r="D5" s="8" t="s">
        <v>270</v>
      </c>
      <c r="E5" s="8" t="s">
        <v>271</v>
      </c>
      <c r="F5" s="8" t="s">
        <v>272</v>
      </c>
      <c r="G5" s="8" t="s">
        <v>273</v>
      </c>
    </row>
    <row r="6" customFormat="false" ht="15" hidden="false" customHeight="false" outlineLevel="0" collapsed="false">
      <c r="A6" s="5" t="s">
        <v>249</v>
      </c>
      <c r="B6" s="27" t="n">
        <v>-0.1</v>
      </c>
      <c r="C6" s="27" t="n">
        <v>0</v>
      </c>
      <c r="D6" s="27" t="n">
        <v>0.05</v>
      </c>
      <c r="E6" s="23" t="n">
        <f aca="false">IF(B6="",F6,B6)</f>
        <v>-0.1</v>
      </c>
      <c r="F6" s="23" t="n">
        <f aca="false">IF(C6="",0,C6)</f>
        <v>0</v>
      </c>
      <c r="G6" s="23" t="n">
        <f aca="false">IF(D6="",F6,D6)</f>
        <v>0.05</v>
      </c>
    </row>
    <row r="7" customFormat="false" ht="15" hidden="false" customHeight="false" outlineLevel="0" collapsed="false">
      <c r="A7" s="5" t="s">
        <v>248</v>
      </c>
      <c r="B7" s="27" t="n">
        <v>-0.3</v>
      </c>
      <c r="C7" s="27" t="n">
        <v>0</v>
      </c>
      <c r="D7" s="27" t="n">
        <v>0.15</v>
      </c>
      <c r="E7" s="23" t="n">
        <f aca="false">IF(B7="",F7,B7)</f>
        <v>-0.3</v>
      </c>
      <c r="F7" s="23" t="n">
        <f aca="false">IF(C7="",0,C7)</f>
        <v>0</v>
      </c>
      <c r="G7" s="23" t="n">
        <f aca="false">IF(D7="",F7,D7)</f>
        <v>0.15</v>
      </c>
    </row>
    <row r="8" customFormat="false" ht="15" hidden="false" customHeight="false" outlineLevel="0" collapsed="false">
      <c r="A8" s="5" t="s">
        <v>250</v>
      </c>
      <c r="B8" s="27" t="n">
        <v>-0.05</v>
      </c>
      <c r="C8" s="27" t="n">
        <v>0</v>
      </c>
      <c r="D8" s="27" t="n">
        <v>0.1</v>
      </c>
      <c r="E8" s="23" t="n">
        <f aca="false">IF(B8="",F8,B8)</f>
        <v>-0.05</v>
      </c>
      <c r="F8" s="23" t="n">
        <f aca="false">IF(C8="",0,C8)</f>
        <v>0</v>
      </c>
      <c r="G8" s="23" t="n">
        <f aca="false">IF(D8="",F8,D8)</f>
        <v>0.1</v>
      </c>
    </row>
    <row r="9" customFormat="false" ht="15" hidden="false" customHeight="false" outlineLevel="0" collapsed="false">
      <c r="A9" s="5" t="s">
        <v>251</v>
      </c>
      <c r="B9" s="27" t="n">
        <v>-0.1</v>
      </c>
      <c r="C9" s="27" t="n">
        <v>0</v>
      </c>
      <c r="D9" s="27" t="n">
        <v>0.15</v>
      </c>
      <c r="E9" s="23" t="n">
        <f aca="false">IF(B9="",F9,B9)</f>
        <v>-0.1</v>
      </c>
      <c r="F9" s="23" t="n">
        <f aca="false">IF(C9="",0,C9)</f>
        <v>0</v>
      </c>
      <c r="G9" s="23" t="n">
        <f aca="false">IF(D9="",F9,D9)</f>
        <v>0.15</v>
      </c>
    </row>
    <row r="10" customFormat="false" ht="15" hidden="false" customHeight="false" outlineLevel="0" collapsed="false">
      <c r="A10" s="5" t="s">
        <v>252</v>
      </c>
      <c r="B10" s="27" t="n">
        <v>-0.05</v>
      </c>
      <c r="C10" s="27" t="n">
        <v>0</v>
      </c>
      <c r="D10" s="27" t="n">
        <v>0.25</v>
      </c>
      <c r="E10" s="23" t="n">
        <f aca="false">IF(B10="",F10,B10)</f>
        <v>-0.05</v>
      </c>
      <c r="F10" s="23" t="n">
        <f aca="false">IF(C10="",0,C10)</f>
        <v>0</v>
      </c>
      <c r="G10" s="23" t="n">
        <f aca="false">IF(D10="",F10,D10)</f>
        <v>0.25</v>
      </c>
    </row>
    <row r="11" customFormat="false" ht="15" hidden="false" customHeight="false" outlineLevel="0" collapsed="false">
      <c r="A11" s="5" t="s">
        <v>274</v>
      </c>
      <c r="B11" s="27" t="n">
        <v>0.08</v>
      </c>
      <c r="C11" s="27" t="n">
        <v>0.1</v>
      </c>
      <c r="D11" s="27" t="n">
        <v>0.13</v>
      </c>
      <c r="E11" s="23" t="n">
        <f aca="false">IF(B11="",F11,B11)</f>
        <v>0.08</v>
      </c>
      <c r="F11" s="23" t="n">
        <f aca="false">IF(C11="",'Business Case'!$B$6,C11)</f>
        <v>0.1</v>
      </c>
      <c r="G11" s="23" t="n">
        <f aca="false">IF(D11="",F11,D11)</f>
        <v>0.13</v>
      </c>
    </row>
    <row r="12" customFormat="false" ht="15" hidden="false" customHeight="false" outlineLevel="0" collapsed="false">
      <c r="A12" s="5" t="s">
        <v>275</v>
      </c>
      <c r="B12" s="14" t="str">
        <f aca="false">IF(SUMPRODUCT((E6:E11&gt;F6:F11)+(F6:F11&gt;G6:G11))=0,"OK","Need low &lt;= likely &lt;= high")</f>
        <v>OK</v>
      </c>
      <c r="C12" s="14"/>
      <c r="D12" s="14"/>
    </row>
    <row r="14" customFormat="false" ht="35.05" hidden="false" customHeight="false" outlineLevel="0" collapsed="false">
      <c r="A14" s="11" t="s">
        <v>276</v>
      </c>
    </row>
    <row r="15" customFormat="false" ht="15" hidden="false" customHeight="false" outlineLevel="0" collapsed="false">
      <c r="A15" s="8" t="s">
        <v>214</v>
      </c>
      <c r="B15" s="8" t="s">
        <v>277</v>
      </c>
      <c r="C15" s="8" t="s">
        <v>278</v>
      </c>
      <c r="D15" s="8" t="s">
        <v>279</v>
      </c>
      <c r="E15" s="8" t="s">
        <v>280</v>
      </c>
      <c r="F15" s="8" t="s">
        <v>281</v>
      </c>
      <c r="G15" s="8" t="s">
        <v>282</v>
      </c>
      <c r="H15" s="8" t="s">
        <v>283</v>
      </c>
      <c r="I15" s="8" t="s">
        <v>284</v>
      </c>
      <c r="J15" s="8" t="s">
        <v>285</v>
      </c>
      <c r="K15" s="8" t="s">
        <v>286</v>
      </c>
      <c r="L15" s="8" t="s">
        <v>287</v>
      </c>
      <c r="M15" s="8" t="s">
        <v>288</v>
      </c>
      <c r="N15" s="8" t="s">
        <v>261</v>
      </c>
    </row>
    <row r="16" customFormat="false" ht="15" hidden="false" customHeight="false" outlineLevel="0" collapsed="false">
      <c r="A16" s="5" t="s">
        <v>289</v>
      </c>
      <c r="B16" s="25" t="n">
        <f aca="false">1</f>
        <v>1</v>
      </c>
      <c r="C16" s="25" t="n">
        <f aca="false">1</f>
        <v>1</v>
      </c>
      <c r="D16" s="25" t="n">
        <f aca="false">1</f>
        <v>1</v>
      </c>
      <c r="E16" s="25" t="n">
        <f aca="false">1</f>
        <v>1</v>
      </c>
      <c r="F16" s="25" t="n">
        <f aca="false">1</f>
        <v>1</v>
      </c>
      <c r="G16" s="23" t="n">
        <f aca="false">'Business Case'!$B$6</f>
        <v>0.1</v>
      </c>
      <c r="H16" s="30" t="n">
        <f aca="false">(('Business Case'!B11*$C16*'Business Case'!B12*$B16)-'Business Case'!B11*$C16*'Business Case'!B13*$D16-'Business Case'!B14*$E16)-MAX(0,(('Business Case'!B11*$C16*'Business Case'!B12*$B16)-'Business Case'!B11*$C16*'Business Case'!B13*$D16-'Business Case'!B14*$E16))*'Business Case'!$B$7-'Business Case'!$B$8*('Business Case'!B11*$C16*'Business Case'!B12*$B16)-'Business Case'!B15*$F16</f>
        <v>-2000000000</v>
      </c>
      <c r="I16" s="30" t="n">
        <f aca="false">(('Business Case'!C11*$C16*'Business Case'!C12*$B16)-'Business Case'!C11*$C16*'Business Case'!C13*$D16-'Business Case'!C14*$E16)-MAX(0,(('Business Case'!C11*$C16*'Business Case'!C12*$B16)-'Business Case'!C11*$C16*'Business Case'!C13*$D16-'Business Case'!C14*$E16))*'Business Case'!$B$7-'Business Case'!$B$8*(('Business Case'!C11*$C16*'Business Case'!C12*$B16)-('Business Case'!B11*$C16*'Business Case'!B12*$B16))-'Business Case'!C15*$F16</f>
        <v>13112000</v>
      </c>
      <c r="J16" s="30" t="n">
        <f aca="false">(('Business Case'!D11*$C16*'Business Case'!D12*$B16)-'Business Case'!D11*$C16*'Business Case'!D13*$D16-'Business Case'!D14*$E16)-MAX(0,(('Business Case'!D11*$C16*'Business Case'!D12*$B16)-'Business Case'!D11*$C16*'Business Case'!D13*$D16-'Business Case'!D14*$E16))*'Business Case'!$B$7-'Business Case'!$B$8*(('Business Case'!D11*$C16*'Business Case'!D12*$B16)-('Business Case'!C11*$C16*'Business Case'!C12*$B16))-'Business Case'!D15*$F16</f>
        <v>320264000</v>
      </c>
      <c r="K16" s="30" t="n">
        <f aca="false">(('Business Case'!E11*$C16*'Business Case'!E12*$B16)-'Business Case'!E11*$C16*'Business Case'!E13*$D16-'Business Case'!E14*$E16)-MAX(0,(('Business Case'!E11*$C16*'Business Case'!E12*$B16)-'Business Case'!E11*$C16*'Business Case'!E13*$D16-'Business Case'!E14*$E16))*'Business Case'!$B$7-'Business Case'!$B$8*(('Business Case'!E11*$C16*'Business Case'!E12*$B16)-('Business Case'!D11*$C16*'Business Case'!D12*$B16))-'Business Case'!E15*$F16</f>
        <v>677416000</v>
      </c>
      <c r="L16" s="30" t="n">
        <f aca="false">(('Business Case'!F11*$C16*'Business Case'!F12*$B16)-'Business Case'!F11*$C16*'Business Case'!F13*$D16-'Business Case'!F14*$E16)-MAX(0,(('Business Case'!F11*$C16*'Business Case'!F12*$B16)-'Business Case'!F11*$C16*'Business Case'!F13*$D16-'Business Case'!F14*$E16))*'Business Case'!$B$7-'Business Case'!$B$8*(('Business Case'!F11*$C16*'Business Case'!F12*$B16)-('Business Case'!E11*$C16*'Business Case'!E12*$B16))-'Business Case'!F15*$F16</f>
        <v>814360000</v>
      </c>
      <c r="M16" s="30" t="n">
        <f aca="false">(('Business Case'!G11*$C16*'Business Case'!G12*$B16)-'Business Case'!G11*$C16*'Business Case'!G13*$D16-'Business Case'!G14*$E16)-MAX(0,(('Business Case'!G11*$C16*'Business Case'!G12*$B16)-'Business Case'!G11*$C16*'Business Case'!G13*$D16-'Business Case'!G14*$E16))*'Business Case'!$B$7-'Business Case'!$B$8*(('Business Case'!G11*$C16*'Business Case'!G12*$B16)-('Business Case'!F11*$C16*'Business Case'!F12*$B16))-'Business Case'!G15*$F16+'Business Case'!$B$8*('Business Case'!G11*$C16*'Business Case'!G12*$B16)</f>
        <v>1004440000</v>
      </c>
      <c r="N16" s="31" t="n">
        <f aca="false">IF(COUNT('Business Case'!B11:G11)=0,"",H16+NPV(G16,I16:M16))</f>
        <v>-34549289.8522835</v>
      </c>
    </row>
    <row r="17" customFormat="false" ht="15" hidden="false" customHeight="false" outlineLevel="0" collapsed="false">
      <c r="A17" s="5" t="s">
        <v>290</v>
      </c>
      <c r="B17" s="25" t="n">
        <f aca="false">1+E6</f>
        <v>0.9</v>
      </c>
      <c r="C17" s="25" t="n">
        <f aca="false">1</f>
        <v>1</v>
      </c>
      <c r="D17" s="25" t="n">
        <f aca="false">1</f>
        <v>1</v>
      </c>
      <c r="E17" s="25" t="n">
        <f aca="false">1</f>
        <v>1</v>
      </c>
      <c r="F17" s="25" t="n">
        <f aca="false">1</f>
        <v>1</v>
      </c>
      <c r="G17" s="23" t="n">
        <f aca="false">'Business Case'!$B$6</f>
        <v>0.1</v>
      </c>
      <c r="H17" s="30" t="n">
        <f aca="false">(('Business Case'!B11*$C17*'Business Case'!B12*$B17)-'Business Case'!B11*$C17*'Business Case'!B13*$D17-'Business Case'!B14*$E17)-MAX(0,(('Business Case'!B11*$C17*'Business Case'!B12*$B17)-'Business Case'!B11*$C17*'Business Case'!B13*$D17-'Business Case'!B14*$E17))*'Business Case'!$B$7-'Business Case'!$B$8*('Business Case'!B11*$C17*'Business Case'!B12*$B17)-'Business Case'!B15*$F17</f>
        <v>-2000000000</v>
      </c>
      <c r="I17" s="30" t="n">
        <f aca="false">(('Business Case'!C11*$C17*'Business Case'!C12*$B17)-'Business Case'!C11*$C17*'Business Case'!C13*$D17-'Business Case'!C14*$E17)-MAX(0,(('Business Case'!C11*$C17*'Business Case'!C12*$B17)-'Business Case'!C11*$C17*'Business Case'!C13*$D17-'Business Case'!C14*$E17))*'Business Case'!$B$7-'Business Case'!$B$8*(('Business Case'!C11*$C17*'Business Case'!C12*$B17)-('Business Case'!B11*$C17*'Business Case'!B12*$B17))-'Business Case'!C15*$F17</f>
        <v>-63611200</v>
      </c>
      <c r="J17" s="30" t="n">
        <f aca="false">(('Business Case'!D11*$C17*'Business Case'!D12*$B17)-'Business Case'!D11*$C17*'Business Case'!D13*$D17-'Business Case'!D14*$E17)-MAX(0,(('Business Case'!D11*$C17*'Business Case'!D12*$B17)-'Business Case'!D11*$C17*'Business Case'!D13*$D17-'Business Case'!D14*$E17))*'Business Case'!$B$7-'Business Case'!$B$8*(('Business Case'!D11*$C17*'Business Case'!D12*$B17)-('Business Case'!C11*$C17*'Business Case'!C12*$B17))-'Business Case'!D15*$F17</f>
        <v>161633600</v>
      </c>
      <c r="K17" s="30" t="n">
        <f aca="false">(('Business Case'!E11*$C17*'Business Case'!E12*$B17)-'Business Case'!E11*$C17*'Business Case'!E13*$D17-'Business Case'!E14*$E17)-MAX(0,(('Business Case'!E11*$C17*'Business Case'!E12*$B17)-'Business Case'!E11*$C17*'Business Case'!E13*$D17-'Business Case'!E14*$E17))*'Business Case'!$B$7-'Business Case'!$B$8*(('Business Case'!E11*$C17*'Business Case'!E12*$B17)-('Business Case'!D11*$C17*'Business Case'!D12*$B17))-'Business Case'!E15*$F17</f>
        <v>436878400</v>
      </c>
      <c r="L17" s="30" t="n">
        <f aca="false">(('Business Case'!F11*$C17*'Business Case'!F12*$B17)-'Business Case'!F11*$C17*'Business Case'!F13*$D17-'Business Case'!F14*$E17)-MAX(0,(('Business Case'!F11*$C17*'Business Case'!F12*$B17)-'Business Case'!F11*$C17*'Business Case'!F13*$D17-'Business Case'!F14*$E17))*'Business Case'!$B$7-'Business Case'!$B$8*(('Business Case'!F11*$C17*'Business Case'!F12*$B17)-('Business Case'!E11*$C17*'Business Case'!E12*$B17))-'Business Case'!F15*$F17</f>
        <v>543064000</v>
      </c>
      <c r="M17" s="30" t="n">
        <f aca="false">(('Business Case'!G11*$C17*'Business Case'!G12*$B17)-'Business Case'!G11*$C17*'Business Case'!G13*$D17-'Business Case'!G14*$E17)-MAX(0,(('Business Case'!G11*$C17*'Business Case'!G12*$B17)-'Business Case'!G11*$C17*'Business Case'!G13*$D17-'Business Case'!G14*$E17))*'Business Case'!$B$7-'Business Case'!$B$8*(('Business Case'!G11*$C17*'Business Case'!G12*$B17)-('Business Case'!F11*$C17*'Business Case'!F12*$B17))-'Business Case'!G15*$F17+'Business Case'!$B$8*('Business Case'!G11*$C17*'Business Case'!G12*$B17)</f>
        <v>714136000</v>
      </c>
      <c r="N17" s="31" t="n">
        <f aca="false">IF(COUNT('Business Case'!B11:G11)=0,"",H17+NPV(G17,I17:M17))</f>
        <v>-781671378.830309</v>
      </c>
    </row>
    <row r="18" customFormat="false" ht="15" hidden="false" customHeight="false" outlineLevel="0" collapsed="false">
      <c r="A18" s="5" t="s">
        <v>291</v>
      </c>
      <c r="B18" s="25" t="n">
        <f aca="false">1+G6</f>
        <v>1.05</v>
      </c>
      <c r="C18" s="25" t="n">
        <f aca="false">1</f>
        <v>1</v>
      </c>
      <c r="D18" s="25" t="n">
        <f aca="false">1</f>
        <v>1</v>
      </c>
      <c r="E18" s="25" t="n">
        <f aca="false">1</f>
        <v>1</v>
      </c>
      <c r="F18" s="25" t="n">
        <f aca="false">1</f>
        <v>1</v>
      </c>
      <c r="G18" s="23" t="n">
        <f aca="false">'Business Case'!$B$6</f>
        <v>0.1</v>
      </c>
      <c r="H18" s="30" t="n">
        <f aca="false">(('Business Case'!B11*$C18*'Business Case'!B12*$B18)-'Business Case'!B11*$C18*'Business Case'!B13*$D18-'Business Case'!B14*$E18)-MAX(0,(('Business Case'!B11*$C18*'Business Case'!B12*$B18)-'Business Case'!B11*$C18*'Business Case'!B13*$D18-'Business Case'!B14*$E18))*'Business Case'!$B$7-'Business Case'!$B$8*('Business Case'!B11*$C18*'Business Case'!B12*$B18)-'Business Case'!B15*$F18</f>
        <v>-2000000000</v>
      </c>
      <c r="I18" s="30" t="n">
        <f aca="false">(('Business Case'!C11*$C18*'Business Case'!C12*$B18)-'Business Case'!C11*$C18*'Business Case'!C13*$D18-'Business Case'!C14*$E18)-MAX(0,(('Business Case'!C11*$C18*'Business Case'!C12*$B18)-'Business Case'!C11*$C18*'Business Case'!C13*$D18-'Business Case'!C14*$E18))*'Business Case'!$B$7-'Business Case'!$B$8*(('Business Case'!C11*$C18*'Business Case'!C12*$B18)-('Business Case'!B11*$C18*'Business Case'!B12*$B18))-'Business Case'!C15*$F18</f>
        <v>51473600</v>
      </c>
      <c r="J18" s="30" t="n">
        <f aca="false">(('Business Case'!D11*$C18*'Business Case'!D12*$B18)-'Business Case'!D11*$C18*'Business Case'!D13*$D18-'Business Case'!D14*$E18)-MAX(0,(('Business Case'!D11*$C18*'Business Case'!D12*$B18)-'Business Case'!D11*$C18*'Business Case'!D13*$D18-'Business Case'!D14*$E18))*'Business Case'!$B$7-'Business Case'!$B$8*(('Business Case'!D11*$C18*'Business Case'!D12*$B18)-('Business Case'!C11*$C18*'Business Case'!C12*$B18))-'Business Case'!D15*$F18</f>
        <v>399579200</v>
      </c>
      <c r="K18" s="30" t="n">
        <f aca="false">(('Business Case'!E11*$C18*'Business Case'!E12*$B18)-'Business Case'!E11*$C18*'Business Case'!E13*$D18-'Business Case'!E14*$E18)-MAX(0,(('Business Case'!E11*$C18*'Business Case'!E12*$B18)-'Business Case'!E11*$C18*'Business Case'!E13*$D18-'Business Case'!E14*$E18))*'Business Case'!$B$7-'Business Case'!$B$8*(('Business Case'!E11*$C18*'Business Case'!E12*$B18)-('Business Case'!D11*$C18*'Business Case'!D12*$B18))-'Business Case'!E15*$F18</f>
        <v>797684800</v>
      </c>
      <c r="L18" s="30" t="n">
        <f aca="false">(('Business Case'!F11*$C18*'Business Case'!F12*$B18)-'Business Case'!F11*$C18*'Business Case'!F13*$D18-'Business Case'!F14*$E18)-MAX(0,(('Business Case'!F11*$C18*'Business Case'!F12*$B18)-'Business Case'!F11*$C18*'Business Case'!F13*$D18-'Business Case'!F14*$E18))*'Business Case'!$B$7-'Business Case'!$B$8*(('Business Case'!F11*$C18*'Business Case'!F12*$B18)-('Business Case'!E11*$C18*'Business Case'!E12*$B18))-'Business Case'!F15*$F18</f>
        <v>950008000</v>
      </c>
      <c r="M18" s="30" t="n">
        <f aca="false">(('Business Case'!G11*$C18*'Business Case'!G12*$B18)-'Business Case'!G11*$C18*'Business Case'!G13*$D18-'Business Case'!G14*$E18)-MAX(0,(('Business Case'!G11*$C18*'Business Case'!G12*$B18)-'Business Case'!G11*$C18*'Business Case'!G13*$D18-'Business Case'!G14*$E18))*'Business Case'!$B$7-'Business Case'!$B$8*(('Business Case'!G11*$C18*'Business Case'!G12*$B18)-('Business Case'!F11*$C18*'Business Case'!F12*$B18))-'Business Case'!G15*$F18+'Business Case'!$B$8*('Business Case'!G11*$C18*'Business Case'!G12*$B18)</f>
        <v>1149592000</v>
      </c>
      <c r="N18" s="31" t="n">
        <f aca="false">IF(COUNT('Business Case'!B11:G11)=0,"",H18+NPV(G18,I18:M18))</f>
        <v>339011754.636729</v>
      </c>
    </row>
    <row r="19" customFormat="false" ht="15" hidden="false" customHeight="false" outlineLevel="0" collapsed="false">
      <c r="A19" s="5" t="s">
        <v>292</v>
      </c>
      <c r="B19" s="25" t="n">
        <f aca="false">1</f>
        <v>1</v>
      </c>
      <c r="C19" s="25" t="n">
        <f aca="false">1+E7</f>
        <v>0.7</v>
      </c>
      <c r="D19" s="25" t="n">
        <f aca="false">1</f>
        <v>1</v>
      </c>
      <c r="E19" s="25" t="n">
        <f aca="false">1</f>
        <v>1</v>
      </c>
      <c r="F19" s="25" t="n">
        <f aca="false">1</f>
        <v>1</v>
      </c>
      <c r="G19" s="23" t="n">
        <f aca="false">'Business Case'!$B$6</f>
        <v>0.1</v>
      </c>
      <c r="H19" s="30" t="n">
        <f aca="false">(('Business Case'!B11*$C19*'Business Case'!B12*$B19)-'Business Case'!B11*$C19*'Business Case'!B13*$D19-'Business Case'!B14*$E19)-MAX(0,(('Business Case'!B11*$C19*'Business Case'!B12*$B19)-'Business Case'!B11*$C19*'Business Case'!B13*$D19-'Business Case'!B14*$E19))*'Business Case'!$B$7-'Business Case'!$B$8*('Business Case'!B11*$C19*'Business Case'!B12*$B19)-'Business Case'!B15*$F19</f>
        <v>-2000000000</v>
      </c>
      <c r="I19" s="30" t="n">
        <f aca="false">(('Business Case'!C11*$C19*'Business Case'!C12*$B19)-'Business Case'!C11*$C19*'Business Case'!C13*$D19-'Business Case'!C14*$E19)-MAX(0,(('Business Case'!C11*$C19*'Business Case'!C12*$B19)-'Business Case'!C11*$C19*'Business Case'!C13*$D19-'Business Case'!C14*$E19))*'Business Case'!$B$7-'Business Case'!$B$8*(('Business Case'!C11*$C19*'Business Case'!C12*$B19)-('Business Case'!B11*$C19*'Business Case'!B12*$B19))-'Business Case'!C15*$F19</f>
        <v>-63481600</v>
      </c>
      <c r="J19" s="30" t="n">
        <f aca="false">(('Business Case'!D11*$C19*'Business Case'!D12*$B19)-'Business Case'!D11*$C19*'Business Case'!D13*$D19-'Business Case'!D14*$E19)-MAX(0,(('Business Case'!D11*$C19*'Business Case'!D12*$B19)-'Business Case'!D11*$C19*'Business Case'!D13*$D19-'Business Case'!D14*$E19))*'Business Case'!$B$7-'Business Case'!$B$8*(('Business Case'!D11*$C19*'Business Case'!D12*$B19)-('Business Case'!C11*$C19*'Business Case'!C12*$B19))-'Business Case'!D15*$F19</f>
        <v>151524800</v>
      </c>
      <c r="K19" s="30" t="n">
        <f aca="false">(('Business Case'!E11*$C19*'Business Case'!E12*$B19)-'Business Case'!E11*$C19*'Business Case'!E13*$D19-'Business Case'!E14*$E19)-MAX(0,(('Business Case'!E11*$C19*'Business Case'!E12*$B19)-'Business Case'!E11*$C19*'Business Case'!E13*$D19-'Business Case'!E14*$E19))*'Business Case'!$B$7-'Business Case'!$B$8*(('Business Case'!E11*$C19*'Business Case'!E12*$B19)-('Business Case'!D11*$C19*'Business Case'!D12*$B19))-'Business Case'!E15*$F19</f>
        <v>416531200</v>
      </c>
      <c r="L19" s="30" t="n">
        <f aca="false">(('Business Case'!F11*$C19*'Business Case'!F12*$B19)-'Business Case'!F11*$C19*'Business Case'!F13*$D19-'Business Case'!F14*$E19)-MAX(0,(('Business Case'!F11*$C19*'Business Case'!F12*$B19)-'Business Case'!F11*$C19*'Business Case'!F13*$D19-'Business Case'!F14*$E19))*'Business Case'!$B$7-'Business Case'!$B$8*(('Business Case'!F11*$C19*'Business Case'!F12*$B19)-('Business Case'!E11*$C19*'Business Case'!E12*$B19))-'Business Case'!F15*$F19</f>
        <v>512392000</v>
      </c>
      <c r="M19" s="30" t="n">
        <f aca="false">(('Business Case'!G11*$C19*'Business Case'!G12*$B19)-'Business Case'!G11*$C19*'Business Case'!G13*$D19-'Business Case'!G14*$E19)-MAX(0,(('Business Case'!G11*$C19*'Business Case'!G12*$B19)-'Business Case'!G11*$C19*'Business Case'!G13*$D19-'Business Case'!G14*$E19))*'Business Case'!$B$7-'Business Case'!$B$8*(('Business Case'!G11*$C19*'Business Case'!G12*$B19)-('Business Case'!F11*$C19*'Business Case'!F12*$B19))-'Business Case'!G15*$F19+'Business Case'!$B$8*('Business Case'!G11*$C19*'Business Case'!G12*$B19)</f>
        <v>645448000</v>
      </c>
      <c r="N19" s="31" t="n">
        <f aca="false">IF(COUNT('Business Case'!B11:G11)=0,"",H19+NPV(G19,I19:M19))</f>
        <v>-868794325.871929</v>
      </c>
    </row>
    <row r="20" customFormat="false" ht="15" hidden="false" customHeight="false" outlineLevel="0" collapsed="false">
      <c r="A20" s="5" t="s">
        <v>293</v>
      </c>
      <c r="B20" s="25" t="n">
        <f aca="false">1</f>
        <v>1</v>
      </c>
      <c r="C20" s="25" t="n">
        <f aca="false">1+G7</f>
        <v>1.15</v>
      </c>
      <c r="D20" s="25" t="n">
        <f aca="false">1</f>
        <v>1</v>
      </c>
      <c r="E20" s="25" t="n">
        <f aca="false">1</f>
        <v>1</v>
      </c>
      <c r="F20" s="25" t="n">
        <f aca="false">1</f>
        <v>1</v>
      </c>
      <c r="G20" s="23" t="n">
        <f aca="false">'Business Case'!$B$6</f>
        <v>0.1</v>
      </c>
      <c r="H20" s="30" t="n">
        <f aca="false">(('Business Case'!B11*$C20*'Business Case'!B12*$B20)-'Business Case'!B11*$C20*'Business Case'!B13*$D20-'Business Case'!B14*$E20)-MAX(0,(('Business Case'!B11*$C20*'Business Case'!B12*$B20)-'Business Case'!B11*$C20*'Business Case'!B13*$D20-'Business Case'!B14*$E20))*'Business Case'!$B$7-'Business Case'!$B$8*('Business Case'!B11*$C20*'Business Case'!B12*$B20)-'Business Case'!B15*$F20</f>
        <v>-2000000000</v>
      </c>
      <c r="I20" s="30" t="n">
        <f aca="false">(('Business Case'!C11*$C20*'Business Case'!C12*$B20)-'Business Case'!C11*$C20*'Business Case'!C13*$D20-'Business Case'!C14*$E20)-MAX(0,(('Business Case'!C11*$C20*'Business Case'!C12*$B20)-'Business Case'!C11*$C20*'Business Case'!C13*$D20-'Business Case'!C14*$E20))*'Business Case'!$B$7-'Business Case'!$B$8*(('Business Case'!C11*$C20*'Business Case'!C12*$B20)-('Business Case'!B11*$C20*'Business Case'!B12*$B20))-'Business Case'!C15*$F20</f>
        <v>51408800</v>
      </c>
      <c r="J20" s="30" t="n">
        <f aca="false">(('Business Case'!D11*$C20*'Business Case'!D12*$B20)-'Business Case'!D11*$C20*'Business Case'!D13*$D20-'Business Case'!D14*$E20)-MAX(0,(('Business Case'!D11*$C20*'Business Case'!D12*$B20)-'Business Case'!D11*$C20*'Business Case'!D13*$D20-'Business Case'!D14*$E20))*'Business Case'!$B$7-'Business Case'!$B$8*(('Business Case'!D11*$C20*'Business Case'!D12*$B20)-('Business Case'!C11*$C20*'Business Case'!C12*$B20))-'Business Case'!D15*$F20</f>
        <v>404633600</v>
      </c>
      <c r="K20" s="30" t="n">
        <f aca="false">(('Business Case'!E11*$C20*'Business Case'!E12*$B20)-'Business Case'!E11*$C20*'Business Case'!E13*$D20-'Business Case'!E14*$E20)-MAX(0,(('Business Case'!E11*$C20*'Business Case'!E12*$B20)-'Business Case'!E11*$C20*'Business Case'!E13*$D20-'Business Case'!E14*$E20))*'Business Case'!$B$7-'Business Case'!$B$8*(('Business Case'!E11*$C20*'Business Case'!E12*$B20)-('Business Case'!D11*$C20*'Business Case'!D12*$B20))-'Business Case'!E15*$F20</f>
        <v>807858400</v>
      </c>
      <c r="L20" s="30" t="n">
        <f aca="false">(('Business Case'!F11*$C20*'Business Case'!F12*$B20)-'Business Case'!F11*$C20*'Business Case'!F13*$D20-'Business Case'!F14*$E20)-MAX(0,(('Business Case'!F11*$C20*'Business Case'!F12*$B20)-'Business Case'!F11*$C20*'Business Case'!F13*$D20-'Business Case'!F14*$E20))*'Business Case'!$B$7-'Business Case'!$B$8*(('Business Case'!F11*$C20*'Business Case'!F12*$B20)-('Business Case'!E11*$C20*'Business Case'!E12*$B20))-'Business Case'!F15*$F20</f>
        <v>965344000</v>
      </c>
      <c r="M20" s="30" t="n">
        <f aca="false">(('Business Case'!G11*$C20*'Business Case'!G12*$B20)-'Business Case'!G11*$C20*'Business Case'!G13*$D20-'Business Case'!G14*$E20)-MAX(0,(('Business Case'!G11*$C20*'Business Case'!G12*$B20)-'Business Case'!G11*$C20*'Business Case'!G13*$D20-'Business Case'!G14*$E20))*'Business Case'!$B$7-'Business Case'!$B$8*(('Business Case'!G11*$C20*'Business Case'!G12*$B20)-('Business Case'!F11*$C20*'Business Case'!F12*$B20))-'Business Case'!G15*$F20+'Business Case'!$B$8*('Business Case'!G11*$C20*'Business Case'!G12*$B20)</f>
        <v>1183936000</v>
      </c>
      <c r="N20" s="31" t="n">
        <f aca="false">IF(COUNT('Business Case'!B11:G11)=0,"",H20+NPV(G20,I20:M20))</f>
        <v>382573228.157539</v>
      </c>
    </row>
    <row r="21" customFormat="false" ht="15" hidden="false" customHeight="false" outlineLevel="0" collapsed="false">
      <c r="A21" s="5" t="s">
        <v>294</v>
      </c>
      <c r="B21" s="25" t="n">
        <f aca="false">1</f>
        <v>1</v>
      </c>
      <c r="C21" s="25" t="n">
        <f aca="false">1</f>
        <v>1</v>
      </c>
      <c r="D21" s="25" t="n">
        <f aca="false">1+E8</f>
        <v>0.95</v>
      </c>
      <c r="E21" s="25" t="n">
        <f aca="false">1</f>
        <v>1</v>
      </c>
      <c r="F21" s="25" t="n">
        <f aca="false">1</f>
        <v>1</v>
      </c>
      <c r="G21" s="23" t="n">
        <f aca="false">'Business Case'!$B$6</f>
        <v>0.1</v>
      </c>
      <c r="H21" s="30" t="n">
        <f aca="false">(('Business Case'!B11*$C21*'Business Case'!B12*$B21)-'Business Case'!B11*$C21*'Business Case'!B13*$D21-'Business Case'!B14*$E21)-MAX(0,(('Business Case'!B11*$C21*'Business Case'!B12*$B21)-'Business Case'!B11*$C21*'Business Case'!B13*$D21-'Business Case'!B14*$E21))*'Business Case'!$B$7-'Business Case'!$B$8*('Business Case'!B11*$C21*'Business Case'!B12*$B21)-'Business Case'!B15*$F21</f>
        <v>-2000000000</v>
      </c>
      <c r="I21" s="30" t="n">
        <f aca="false">(('Business Case'!C11*$C21*'Business Case'!C12*$B21)-'Business Case'!C11*$C21*'Business Case'!C13*$D21-'Business Case'!C14*$E21)-MAX(0,(('Business Case'!C11*$C21*'Business Case'!C12*$B21)-'Business Case'!C11*$C21*'Business Case'!C13*$D21-'Business Case'!C14*$E21))*'Business Case'!$B$7-'Business Case'!$B$8*(('Business Case'!C11*$C21*'Business Case'!C12*$B21)-('Business Case'!B11*$C21*'Business Case'!B12*$B21))-'Business Case'!C15*$F21</f>
        <v>38708000</v>
      </c>
      <c r="J21" s="30" t="n">
        <f aca="false">(('Business Case'!D11*$C21*'Business Case'!D12*$B21)-'Business Case'!D11*$C21*'Business Case'!D13*$D21-'Business Case'!D14*$E21)-MAX(0,(('Business Case'!D11*$C21*'Business Case'!D12*$B21)-'Business Case'!D11*$C21*'Business Case'!D13*$D21-'Business Case'!D14*$E21))*'Business Case'!$B$7-'Business Case'!$B$8*(('Business Case'!D11*$C21*'Business Case'!D12*$B21)-('Business Case'!C11*$C21*'Business Case'!C12*$B21))-'Business Case'!D15*$F21</f>
        <v>371456000</v>
      </c>
      <c r="K21" s="30" t="n">
        <f aca="false">(('Business Case'!E11*$C21*'Business Case'!E12*$B21)-'Business Case'!E11*$C21*'Business Case'!E13*$D21-'Business Case'!E14*$E21)-MAX(0,(('Business Case'!E11*$C21*'Business Case'!E12*$B21)-'Business Case'!E11*$C21*'Business Case'!E13*$D21-'Business Case'!E14*$E21))*'Business Case'!$B$7-'Business Case'!$B$8*(('Business Case'!E11*$C21*'Business Case'!E12*$B21)-('Business Case'!D11*$C21*'Business Case'!D12*$B21))-'Business Case'!E15*$F21</f>
        <v>754204000</v>
      </c>
      <c r="L21" s="30" t="n">
        <f aca="false">(('Business Case'!F11*$C21*'Business Case'!F12*$B21)-'Business Case'!F11*$C21*'Business Case'!F13*$D21-'Business Case'!F14*$E21)-MAX(0,(('Business Case'!F11*$C21*'Business Case'!F12*$B21)-'Business Case'!F11*$C21*'Business Case'!F13*$D21-'Business Case'!F14*$E21))*'Business Case'!$B$7-'Business Case'!$B$8*(('Business Case'!F11*$C21*'Business Case'!F12*$B21)-('Business Case'!E11*$C21*'Business Case'!E12*$B21))-'Business Case'!F15*$F21</f>
        <v>899680000</v>
      </c>
      <c r="M21" s="30" t="n">
        <f aca="false">(('Business Case'!G11*$C21*'Business Case'!G12*$B21)-'Business Case'!G11*$C21*'Business Case'!G13*$D21-'Business Case'!G14*$E21)-MAX(0,(('Business Case'!G11*$C21*'Business Case'!G12*$B21)-'Business Case'!G11*$C21*'Business Case'!G13*$D21-'Business Case'!G14*$E21))*'Business Case'!$B$7-'Business Case'!$B$8*(('Business Case'!G11*$C21*'Business Case'!G12*$B21)-('Business Case'!F11*$C21*'Business Case'!F12*$B21))-'Business Case'!G15*$F21+'Business Case'!$B$8*('Business Case'!G11*$C21*'Business Case'!G12*$B21)</f>
        <v>1089760000</v>
      </c>
      <c r="N21" s="31" t="n">
        <f aca="false">IF(COUNT('Business Case'!B11:G11)=0,"",H21+NPV(G21,I21:M21))</f>
        <v>199970915.300122</v>
      </c>
    </row>
    <row r="22" customFormat="false" ht="15" hidden="false" customHeight="false" outlineLevel="0" collapsed="false">
      <c r="A22" s="5" t="s">
        <v>295</v>
      </c>
      <c r="B22" s="25" t="n">
        <f aca="false">1</f>
        <v>1</v>
      </c>
      <c r="C22" s="25" t="n">
        <f aca="false">1</f>
        <v>1</v>
      </c>
      <c r="D22" s="25" t="n">
        <f aca="false">1+G8</f>
        <v>1.1</v>
      </c>
      <c r="E22" s="25" t="n">
        <f aca="false">1</f>
        <v>1</v>
      </c>
      <c r="F22" s="25" t="n">
        <f aca="false">1</f>
        <v>1</v>
      </c>
      <c r="G22" s="23" t="n">
        <f aca="false">'Business Case'!$B$6</f>
        <v>0.1</v>
      </c>
      <c r="H22" s="30" t="n">
        <f aca="false">(('Business Case'!B11*$C22*'Business Case'!B12*$B22)-'Business Case'!B11*$C22*'Business Case'!B13*$D22-'Business Case'!B14*$E22)-MAX(0,(('Business Case'!B11*$C22*'Business Case'!B12*$B22)-'Business Case'!B11*$C22*'Business Case'!B13*$D22-'Business Case'!B14*$E22))*'Business Case'!$B$7-'Business Case'!$B$8*('Business Case'!B11*$C22*'Business Case'!B12*$B22)-'Business Case'!B15*$F22</f>
        <v>-2000000000</v>
      </c>
      <c r="I22" s="30" t="n">
        <f aca="false">(('Business Case'!C11*$C22*'Business Case'!C12*$B22)-'Business Case'!C11*$C22*'Business Case'!C13*$D22-'Business Case'!C14*$E22)-MAX(0,(('Business Case'!C11*$C22*'Business Case'!C12*$B22)-'Business Case'!C11*$C22*'Business Case'!C13*$D22-'Business Case'!C14*$E22))*'Business Case'!$B$7-'Business Case'!$B$8*(('Business Case'!C11*$C22*'Business Case'!C12*$B22)-('Business Case'!B11*$C22*'Business Case'!B12*$B22))-'Business Case'!C15*$F22</f>
        <v>-38080000</v>
      </c>
      <c r="J22" s="30" t="n">
        <f aca="false">(('Business Case'!D11*$C22*'Business Case'!D12*$B22)-'Business Case'!D11*$C22*'Business Case'!D13*$D22-'Business Case'!D14*$E22)-MAX(0,(('Business Case'!D11*$C22*'Business Case'!D12*$B22)-'Business Case'!D11*$C22*'Business Case'!D13*$D22-'Business Case'!D14*$E22))*'Business Case'!$B$7-'Business Case'!$B$8*(('Business Case'!D11*$C22*'Business Case'!D12*$B22)-('Business Case'!C11*$C22*'Business Case'!C12*$B22))-'Business Case'!D15*$F22</f>
        <v>217880000</v>
      </c>
      <c r="K22" s="30" t="n">
        <f aca="false">(('Business Case'!E11*$C22*'Business Case'!E12*$B22)-'Business Case'!E11*$C22*'Business Case'!E13*$D22-'Business Case'!E14*$E22)-MAX(0,(('Business Case'!E11*$C22*'Business Case'!E12*$B22)-'Business Case'!E11*$C22*'Business Case'!E13*$D22-'Business Case'!E14*$E22))*'Business Case'!$B$7-'Business Case'!$B$8*(('Business Case'!E11*$C22*'Business Case'!E12*$B22)-('Business Case'!D11*$C22*'Business Case'!D12*$B22))-'Business Case'!E15*$F22</f>
        <v>523840000</v>
      </c>
      <c r="L22" s="30" t="n">
        <f aca="false">(('Business Case'!F11*$C22*'Business Case'!F12*$B22)-'Business Case'!F11*$C22*'Business Case'!F13*$D22-'Business Case'!F14*$E22)-MAX(0,(('Business Case'!F11*$C22*'Business Case'!F12*$B22)-'Business Case'!F11*$C22*'Business Case'!F13*$D22-'Business Case'!F14*$E22))*'Business Case'!$B$7-'Business Case'!$B$8*(('Business Case'!F11*$C22*'Business Case'!F12*$B22)-('Business Case'!E11*$C22*'Business Case'!E12*$B22))-'Business Case'!F15*$F22</f>
        <v>643720000</v>
      </c>
      <c r="M22" s="30" t="n">
        <f aca="false">(('Business Case'!G11*$C22*'Business Case'!G12*$B22)-'Business Case'!G11*$C22*'Business Case'!G13*$D22-'Business Case'!G14*$E22)-MAX(0,(('Business Case'!G11*$C22*'Business Case'!G12*$B22)-'Business Case'!G11*$C22*'Business Case'!G13*$D22-'Business Case'!G14*$E22))*'Business Case'!$B$7-'Business Case'!$B$8*(('Business Case'!G11*$C22*'Business Case'!G12*$B22)-('Business Case'!F11*$C22*'Business Case'!F12*$B22))-'Business Case'!G15*$F22+'Business Case'!$B$8*('Business Case'!G11*$C22*'Business Case'!G12*$B22)</f>
        <v>833800000</v>
      </c>
      <c r="N22" s="31" t="n">
        <f aca="false">IF(COUNT('Business Case'!B11:G11)=0,"",H22+NPV(G22,I22:M22))</f>
        <v>-503589700.157094</v>
      </c>
    </row>
    <row r="23" customFormat="false" ht="15" hidden="false" customHeight="false" outlineLevel="0" collapsed="false">
      <c r="A23" s="5" t="s">
        <v>296</v>
      </c>
      <c r="B23" s="25" t="n">
        <f aca="false">1</f>
        <v>1</v>
      </c>
      <c r="C23" s="25" t="n">
        <f aca="false">1</f>
        <v>1</v>
      </c>
      <c r="D23" s="25" t="n">
        <f aca="false">1</f>
        <v>1</v>
      </c>
      <c r="E23" s="25" t="n">
        <f aca="false">1+E9</f>
        <v>0.9</v>
      </c>
      <c r="F23" s="25" t="n">
        <f aca="false">1</f>
        <v>1</v>
      </c>
      <c r="G23" s="23" t="n">
        <f aca="false">'Business Case'!$B$6</f>
        <v>0.1</v>
      </c>
      <c r="H23" s="30" t="n">
        <f aca="false">(('Business Case'!B11*$C23*'Business Case'!B12*$B23)-'Business Case'!B11*$C23*'Business Case'!B13*$D23-'Business Case'!B14*$E23)-MAX(0,(('Business Case'!B11*$C23*'Business Case'!B12*$B23)-'Business Case'!B11*$C23*'Business Case'!B13*$D23-'Business Case'!B14*$E23))*'Business Case'!$B$7-'Business Case'!$B$8*('Business Case'!B11*$C23*'Business Case'!B12*$B23)-'Business Case'!B15*$F23</f>
        <v>-2000000000</v>
      </c>
      <c r="I23" s="30" t="n">
        <f aca="false">(('Business Case'!C11*$C23*'Business Case'!C12*$B23)-'Business Case'!C11*$C23*'Business Case'!C13*$D23-'Business Case'!C14*$E23)-MAX(0,(('Business Case'!C11*$C23*'Business Case'!C12*$B23)-'Business Case'!C11*$C23*'Business Case'!C13*$D23-'Business Case'!C14*$E23))*'Business Case'!$B$7-'Business Case'!$B$8*(('Business Case'!C11*$C23*'Business Case'!C12*$B23)-('Business Case'!B11*$C23*'Business Case'!B12*$B23))-'Business Case'!C15*$F23</f>
        <v>27332000</v>
      </c>
      <c r="J23" s="30" t="n">
        <f aca="false">(('Business Case'!D11*$C23*'Business Case'!D12*$B23)-'Business Case'!D11*$C23*'Business Case'!D13*$D23-'Business Case'!D14*$E23)-MAX(0,(('Business Case'!D11*$C23*'Business Case'!D12*$B23)-'Business Case'!D11*$C23*'Business Case'!D13*$D23-'Business Case'!D14*$E23))*'Business Case'!$B$7-'Business Case'!$B$8*(('Business Case'!D11*$C23*'Business Case'!D12*$B23)-('Business Case'!C11*$C23*'Business Case'!C12*$B23))-'Business Case'!D15*$F23</f>
        <v>334484000</v>
      </c>
      <c r="K23" s="30" t="n">
        <f aca="false">(('Business Case'!E11*$C23*'Business Case'!E12*$B23)-'Business Case'!E11*$C23*'Business Case'!E13*$D23-'Business Case'!E14*$E23)-MAX(0,(('Business Case'!E11*$C23*'Business Case'!E12*$B23)-'Business Case'!E11*$C23*'Business Case'!E13*$D23-'Business Case'!E14*$E23))*'Business Case'!$B$7-'Business Case'!$B$8*(('Business Case'!E11*$C23*'Business Case'!E12*$B23)-('Business Case'!D11*$C23*'Business Case'!D12*$B23))-'Business Case'!E15*$F23</f>
        <v>691636000</v>
      </c>
      <c r="L23" s="30" t="n">
        <f aca="false">(('Business Case'!F11*$C23*'Business Case'!F12*$B23)-'Business Case'!F11*$C23*'Business Case'!F13*$D23-'Business Case'!F14*$E23)-MAX(0,(('Business Case'!F11*$C23*'Business Case'!F12*$B23)-'Business Case'!F11*$C23*'Business Case'!F13*$D23-'Business Case'!F14*$E23))*'Business Case'!$B$7-'Business Case'!$B$8*(('Business Case'!F11*$C23*'Business Case'!F12*$B23)-('Business Case'!E11*$C23*'Business Case'!E12*$B23))-'Business Case'!F15*$F23</f>
        <v>828580000</v>
      </c>
      <c r="M23" s="30" t="n">
        <f aca="false">(('Business Case'!G11*$C23*'Business Case'!G12*$B23)-'Business Case'!G11*$C23*'Business Case'!G13*$D23-'Business Case'!G14*$E23)-MAX(0,(('Business Case'!G11*$C23*'Business Case'!G12*$B23)-'Business Case'!G11*$C23*'Business Case'!G13*$D23-'Business Case'!G14*$E23))*'Business Case'!$B$7-'Business Case'!$B$8*(('Business Case'!G11*$C23*'Business Case'!G12*$B23)-('Business Case'!F11*$C23*'Business Case'!F12*$B23))-'Business Case'!G15*$F23+'Business Case'!$B$8*('Business Case'!G11*$C23*'Business Case'!G12*$B23)</f>
        <v>1018660000</v>
      </c>
      <c r="N23" s="31" t="n">
        <f aca="false">IF(COUNT('Business Case'!B11:G11)=0,"",H23+NPV(G23,I23:M23))</f>
        <v>19355698.0087049</v>
      </c>
    </row>
    <row r="24" customFormat="false" ht="15" hidden="false" customHeight="false" outlineLevel="0" collapsed="false">
      <c r="A24" s="5" t="s">
        <v>297</v>
      </c>
      <c r="B24" s="25" t="n">
        <f aca="false">1</f>
        <v>1</v>
      </c>
      <c r="C24" s="25" t="n">
        <f aca="false">1</f>
        <v>1</v>
      </c>
      <c r="D24" s="25" t="n">
        <f aca="false">1</f>
        <v>1</v>
      </c>
      <c r="E24" s="25" t="n">
        <f aca="false">1+G9</f>
        <v>1.15</v>
      </c>
      <c r="F24" s="25" t="n">
        <f aca="false">1</f>
        <v>1</v>
      </c>
      <c r="G24" s="23" t="n">
        <f aca="false">'Business Case'!$B$6</f>
        <v>0.1</v>
      </c>
      <c r="H24" s="30" t="n">
        <f aca="false">(('Business Case'!B11*$C24*'Business Case'!B12*$B24)-'Business Case'!B11*$C24*'Business Case'!B13*$D24-'Business Case'!B14*$E24)-MAX(0,(('Business Case'!B11*$C24*'Business Case'!B12*$B24)-'Business Case'!B11*$C24*'Business Case'!B13*$D24-'Business Case'!B14*$E24))*'Business Case'!$B$7-'Business Case'!$B$8*('Business Case'!B11*$C24*'Business Case'!B12*$B24)-'Business Case'!B15*$F24</f>
        <v>-2000000000</v>
      </c>
      <c r="I24" s="30" t="n">
        <f aca="false">(('Business Case'!C11*$C24*'Business Case'!C12*$B24)-'Business Case'!C11*$C24*'Business Case'!C13*$D24-'Business Case'!C14*$E24)-MAX(0,(('Business Case'!C11*$C24*'Business Case'!C12*$B24)-'Business Case'!C11*$C24*'Business Case'!C13*$D24-'Business Case'!C14*$E24))*'Business Case'!$B$7-'Business Case'!$B$8*(('Business Case'!C11*$C24*'Business Case'!C12*$B24)-('Business Case'!B11*$C24*'Business Case'!B12*$B24))-'Business Case'!C15*$F24</f>
        <v>-8217999.99999997</v>
      </c>
      <c r="J24" s="30" t="n">
        <f aca="false">(('Business Case'!D11*$C24*'Business Case'!D12*$B24)-'Business Case'!D11*$C24*'Business Case'!D13*$D24-'Business Case'!D14*$E24)-MAX(0,(('Business Case'!D11*$C24*'Business Case'!D12*$B24)-'Business Case'!D11*$C24*'Business Case'!D13*$D24-'Business Case'!D14*$E24))*'Business Case'!$B$7-'Business Case'!$B$8*(('Business Case'!D11*$C24*'Business Case'!D12*$B24)-('Business Case'!C11*$C24*'Business Case'!C12*$B24))-'Business Case'!D15*$F24</f>
        <v>298934000</v>
      </c>
      <c r="K24" s="30" t="n">
        <f aca="false">(('Business Case'!E11*$C24*'Business Case'!E12*$B24)-'Business Case'!E11*$C24*'Business Case'!E13*$D24-'Business Case'!E14*$E24)-MAX(0,(('Business Case'!E11*$C24*'Business Case'!E12*$B24)-'Business Case'!E11*$C24*'Business Case'!E13*$D24-'Business Case'!E14*$E24))*'Business Case'!$B$7-'Business Case'!$B$8*(('Business Case'!E11*$C24*'Business Case'!E12*$B24)-('Business Case'!D11*$C24*'Business Case'!D12*$B24))-'Business Case'!E15*$F24</f>
        <v>656086000</v>
      </c>
      <c r="L24" s="30" t="n">
        <f aca="false">(('Business Case'!F11*$C24*'Business Case'!F12*$B24)-'Business Case'!F11*$C24*'Business Case'!F13*$D24-'Business Case'!F14*$E24)-MAX(0,(('Business Case'!F11*$C24*'Business Case'!F12*$B24)-'Business Case'!F11*$C24*'Business Case'!F13*$D24-'Business Case'!F14*$E24))*'Business Case'!$B$7-'Business Case'!$B$8*(('Business Case'!F11*$C24*'Business Case'!F12*$B24)-('Business Case'!E11*$C24*'Business Case'!E12*$B24))-'Business Case'!F15*$F24</f>
        <v>793030000</v>
      </c>
      <c r="M24" s="30" t="n">
        <f aca="false">(('Business Case'!G11*$C24*'Business Case'!G12*$B24)-'Business Case'!G11*$C24*'Business Case'!G13*$D24-'Business Case'!G14*$E24)-MAX(0,(('Business Case'!G11*$C24*'Business Case'!G12*$B24)-'Business Case'!G11*$C24*'Business Case'!G13*$D24-'Business Case'!G14*$E24))*'Business Case'!$B$7-'Business Case'!$B$8*(('Business Case'!G11*$C24*'Business Case'!G12*$B24)-('Business Case'!F11*$C24*'Business Case'!F12*$B24))-'Business Case'!G15*$F24+'Business Case'!$B$8*('Business Case'!G11*$C24*'Business Case'!G12*$B24)</f>
        <v>983110000</v>
      </c>
      <c r="N24" s="31" t="n">
        <f aca="false">IF(COUNT('Business Case'!B11:G11)=0,"",H24+NPV(G24,I24:M24))</f>
        <v>-115406771.643765</v>
      </c>
    </row>
    <row r="25" customFormat="false" ht="15" hidden="false" customHeight="false" outlineLevel="0" collapsed="false">
      <c r="A25" s="5" t="s">
        <v>298</v>
      </c>
      <c r="B25" s="25" t="n">
        <f aca="false">1</f>
        <v>1</v>
      </c>
      <c r="C25" s="25" t="n">
        <f aca="false">1</f>
        <v>1</v>
      </c>
      <c r="D25" s="25" t="n">
        <f aca="false">1</f>
        <v>1</v>
      </c>
      <c r="E25" s="25" t="n">
        <f aca="false">1</f>
        <v>1</v>
      </c>
      <c r="F25" s="25" t="n">
        <f aca="false">1+E10</f>
        <v>0.95</v>
      </c>
      <c r="G25" s="23" t="n">
        <f aca="false">'Business Case'!$B$6</f>
        <v>0.1</v>
      </c>
      <c r="H25" s="30" t="n">
        <f aca="false">(('Business Case'!B11*$C25*'Business Case'!B12*$B25)-'Business Case'!B11*$C25*'Business Case'!B13*$D25-'Business Case'!B14*$E25)-MAX(0,(('Business Case'!B11*$C25*'Business Case'!B12*$B25)-'Business Case'!B11*$C25*'Business Case'!B13*$D25-'Business Case'!B14*$E25))*'Business Case'!$B$7-'Business Case'!$B$8*('Business Case'!B11*$C25*'Business Case'!B12*$B25)-'Business Case'!B15*$F25</f>
        <v>-1900000000</v>
      </c>
      <c r="I25" s="30" t="n">
        <f aca="false">(('Business Case'!C11*$C25*'Business Case'!C12*$B25)-'Business Case'!C11*$C25*'Business Case'!C13*$D25-'Business Case'!C14*$E25)-MAX(0,(('Business Case'!C11*$C25*'Business Case'!C12*$B25)-'Business Case'!C11*$C25*'Business Case'!C13*$D25-'Business Case'!C14*$E25))*'Business Case'!$B$7-'Business Case'!$B$8*(('Business Case'!C11*$C25*'Business Case'!C12*$B25)-('Business Case'!B11*$C25*'Business Case'!B12*$B25))-'Business Case'!C15*$F25</f>
        <v>18112000</v>
      </c>
      <c r="J25" s="30" t="n">
        <f aca="false">(('Business Case'!D11*$C25*'Business Case'!D12*$B25)-'Business Case'!D11*$C25*'Business Case'!D13*$D25-'Business Case'!D14*$E25)-MAX(0,(('Business Case'!D11*$C25*'Business Case'!D12*$B25)-'Business Case'!D11*$C25*'Business Case'!D13*$D25-'Business Case'!D14*$E25))*'Business Case'!$B$7-'Business Case'!$B$8*(('Business Case'!D11*$C25*'Business Case'!D12*$B25)-('Business Case'!C11*$C25*'Business Case'!C12*$B25))-'Business Case'!D15*$F25</f>
        <v>325264000</v>
      </c>
      <c r="K25" s="30" t="n">
        <f aca="false">(('Business Case'!E11*$C25*'Business Case'!E12*$B25)-'Business Case'!E11*$C25*'Business Case'!E13*$D25-'Business Case'!E14*$E25)-MAX(0,(('Business Case'!E11*$C25*'Business Case'!E12*$B25)-'Business Case'!E11*$C25*'Business Case'!E13*$D25-'Business Case'!E14*$E25))*'Business Case'!$B$7-'Business Case'!$B$8*(('Business Case'!E11*$C25*'Business Case'!E12*$B25)-('Business Case'!D11*$C25*'Business Case'!D12*$B25))-'Business Case'!E15*$F25</f>
        <v>679916000</v>
      </c>
      <c r="L25" s="30" t="n">
        <f aca="false">(('Business Case'!F11*$C25*'Business Case'!F12*$B25)-'Business Case'!F11*$C25*'Business Case'!F13*$D25-'Business Case'!F14*$E25)-MAX(0,(('Business Case'!F11*$C25*'Business Case'!F12*$B25)-'Business Case'!F11*$C25*'Business Case'!F13*$D25-'Business Case'!F14*$E25))*'Business Case'!$B$7-'Business Case'!$B$8*(('Business Case'!F11*$C25*'Business Case'!F12*$B25)-('Business Case'!E11*$C25*'Business Case'!E12*$B25))-'Business Case'!F15*$F25</f>
        <v>816860000</v>
      </c>
      <c r="M25" s="30" t="n">
        <f aca="false">(('Business Case'!G11*$C25*'Business Case'!G12*$B25)-'Business Case'!G11*$C25*'Business Case'!G13*$D25-'Business Case'!G14*$E25)-MAX(0,(('Business Case'!G11*$C25*'Business Case'!G12*$B25)-'Business Case'!G11*$C25*'Business Case'!G13*$D25-'Business Case'!G14*$E25))*'Business Case'!$B$7-'Business Case'!$B$8*(('Business Case'!G11*$C25*'Business Case'!G12*$B25)-('Business Case'!F11*$C25*'Business Case'!F12*$B25))-'Business Case'!G15*$F25+'Business Case'!$B$8*('Business Case'!G11*$C25*'Business Case'!G12*$B25)</f>
        <v>1006940000</v>
      </c>
      <c r="N25" s="31" t="n">
        <f aca="false">IF(COUNT('Business Case'!B11:G11)=0,"",H25+NPV(G25,I25:M25))</f>
        <v>79266520.0464444</v>
      </c>
    </row>
    <row r="26" customFormat="false" ht="15" hidden="false" customHeight="false" outlineLevel="0" collapsed="false">
      <c r="A26" s="5" t="s">
        <v>299</v>
      </c>
      <c r="B26" s="25" t="n">
        <f aca="false">1</f>
        <v>1</v>
      </c>
      <c r="C26" s="25" t="n">
        <f aca="false">1</f>
        <v>1</v>
      </c>
      <c r="D26" s="25" t="n">
        <f aca="false">1</f>
        <v>1</v>
      </c>
      <c r="E26" s="25" t="n">
        <f aca="false">1</f>
        <v>1</v>
      </c>
      <c r="F26" s="25" t="n">
        <f aca="false">1+G10</f>
        <v>1.25</v>
      </c>
      <c r="G26" s="23" t="n">
        <f aca="false">'Business Case'!$B$6</f>
        <v>0.1</v>
      </c>
      <c r="H26" s="30" t="n">
        <f aca="false">(('Business Case'!B11*$C26*'Business Case'!B12*$B26)-'Business Case'!B11*$C26*'Business Case'!B13*$D26-'Business Case'!B14*$E26)-MAX(0,(('Business Case'!B11*$C26*'Business Case'!B12*$B26)-'Business Case'!B11*$C26*'Business Case'!B13*$D26-'Business Case'!B14*$E26))*'Business Case'!$B$7-'Business Case'!$B$8*('Business Case'!B11*$C26*'Business Case'!B12*$B26)-'Business Case'!B15*$F26</f>
        <v>-2500000000</v>
      </c>
      <c r="I26" s="30" t="n">
        <f aca="false">(('Business Case'!C11*$C26*'Business Case'!C12*$B26)-'Business Case'!C11*$C26*'Business Case'!C13*$D26-'Business Case'!C14*$E26)-MAX(0,(('Business Case'!C11*$C26*'Business Case'!C12*$B26)-'Business Case'!C11*$C26*'Business Case'!C13*$D26-'Business Case'!C14*$E26))*'Business Case'!$B$7-'Business Case'!$B$8*(('Business Case'!C11*$C26*'Business Case'!C12*$B26)-('Business Case'!B11*$C26*'Business Case'!B12*$B26))-'Business Case'!C15*$F26</f>
        <v>-11888000</v>
      </c>
      <c r="J26" s="30" t="n">
        <f aca="false">(('Business Case'!D11*$C26*'Business Case'!D12*$B26)-'Business Case'!D11*$C26*'Business Case'!D13*$D26-'Business Case'!D14*$E26)-MAX(0,(('Business Case'!D11*$C26*'Business Case'!D12*$B26)-'Business Case'!D11*$C26*'Business Case'!D13*$D26-'Business Case'!D14*$E26))*'Business Case'!$B$7-'Business Case'!$B$8*(('Business Case'!D11*$C26*'Business Case'!D12*$B26)-('Business Case'!C11*$C26*'Business Case'!C12*$B26))-'Business Case'!D15*$F26</f>
        <v>295264000</v>
      </c>
      <c r="K26" s="30" t="n">
        <f aca="false">(('Business Case'!E11*$C26*'Business Case'!E12*$B26)-'Business Case'!E11*$C26*'Business Case'!E13*$D26-'Business Case'!E14*$E26)-MAX(0,(('Business Case'!E11*$C26*'Business Case'!E12*$B26)-'Business Case'!E11*$C26*'Business Case'!E13*$D26-'Business Case'!E14*$E26))*'Business Case'!$B$7-'Business Case'!$B$8*(('Business Case'!E11*$C26*'Business Case'!E12*$B26)-('Business Case'!D11*$C26*'Business Case'!D12*$B26))-'Business Case'!E15*$F26</f>
        <v>664916000</v>
      </c>
      <c r="L26" s="30" t="n">
        <f aca="false">(('Business Case'!F11*$C26*'Business Case'!F12*$B26)-'Business Case'!F11*$C26*'Business Case'!F13*$D26-'Business Case'!F14*$E26)-MAX(0,(('Business Case'!F11*$C26*'Business Case'!F12*$B26)-'Business Case'!F11*$C26*'Business Case'!F13*$D26-'Business Case'!F14*$E26))*'Business Case'!$B$7-'Business Case'!$B$8*(('Business Case'!F11*$C26*'Business Case'!F12*$B26)-('Business Case'!E11*$C26*'Business Case'!E12*$B26))-'Business Case'!F15*$F26</f>
        <v>801860000</v>
      </c>
      <c r="M26" s="30" t="n">
        <f aca="false">(('Business Case'!G11*$C26*'Business Case'!G12*$B26)-'Business Case'!G11*$C26*'Business Case'!G13*$D26-'Business Case'!G14*$E26)-MAX(0,(('Business Case'!G11*$C26*'Business Case'!G12*$B26)-'Business Case'!G11*$C26*'Business Case'!G13*$D26-'Business Case'!G14*$E26))*'Business Case'!$B$7-'Business Case'!$B$8*(('Business Case'!G11*$C26*'Business Case'!G12*$B26)-('Business Case'!F11*$C26*'Business Case'!F12*$B26))-'Business Case'!G15*$F26+'Business Case'!$B$8*('Business Case'!G11*$C26*'Business Case'!G12*$B26)</f>
        <v>991940000</v>
      </c>
      <c r="N26" s="31" t="n">
        <f aca="false">IF(COUNT('Business Case'!B11:G11)=0,"",H26+NPV(G26,I26:M26))</f>
        <v>-603628339.345922</v>
      </c>
    </row>
    <row r="27" customFormat="false" ht="15" hidden="false" customHeight="false" outlineLevel="0" collapsed="false">
      <c r="A27" s="5" t="s">
        <v>300</v>
      </c>
      <c r="B27" s="25" t="n">
        <f aca="false">1</f>
        <v>1</v>
      </c>
      <c r="C27" s="25" t="n">
        <f aca="false">1</f>
        <v>1</v>
      </c>
      <c r="D27" s="25" t="n">
        <f aca="false">1</f>
        <v>1</v>
      </c>
      <c r="E27" s="25" t="n">
        <f aca="false">1</f>
        <v>1</v>
      </c>
      <c r="F27" s="25" t="n">
        <f aca="false">1</f>
        <v>1</v>
      </c>
      <c r="G27" s="23" t="n">
        <f aca="false">E11</f>
        <v>0.08</v>
      </c>
      <c r="H27" s="30" t="n">
        <f aca="false">(('Business Case'!B11*$C27*'Business Case'!B12*$B27)-'Business Case'!B11*$C27*'Business Case'!B13*$D27-'Business Case'!B14*$E27)-MAX(0,(('Business Case'!B11*$C27*'Business Case'!B12*$B27)-'Business Case'!B11*$C27*'Business Case'!B13*$D27-'Business Case'!B14*$E27))*'Business Case'!$B$7-'Business Case'!$B$8*('Business Case'!B11*$C27*'Business Case'!B12*$B27)-'Business Case'!B15*$F27</f>
        <v>-2000000000</v>
      </c>
      <c r="I27" s="30" t="n">
        <f aca="false">(('Business Case'!C11*$C27*'Business Case'!C12*$B27)-'Business Case'!C11*$C27*'Business Case'!C13*$D27-'Business Case'!C14*$E27)-MAX(0,(('Business Case'!C11*$C27*'Business Case'!C12*$B27)-'Business Case'!C11*$C27*'Business Case'!C13*$D27-'Business Case'!C14*$E27))*'Business Case'!$B$7-'Business Case'!$B$8*(('Business Case'!C11*$C27*'Business Case'!C12*$B27)-('Business Case'!B11*$C27*'Business Case'!B12*$B27))-'Business Case'!C15*$F27</f>
        <v>13112000</v>
      </c>
      <c r="J27" s="30" t="n">
        <f aca="false">(('Business Case'!D11*$C27*'Business Case'!D12*$B27)-'Business Case'!D11*$C27*'Business Case'!D13*$D27-'Business Case'!D14*$E27)-MAX(0,(('Business Case'!D11*$C27*'Business Case'!D12*$B27)-'Business Case'!D11*$C27*'Business Case'!D13*$D27-'Business Case'!D14*$E27))*'Business Case'!$B$7-'Business Case'!$B$8*(('Business Case'!D11*$C27*'Business Case'!D12*$B27)-('Business Case'!C11*$C27*'Business Case'!C12*$B27))-'Business Case'!D15*$F27</f>
        <v>320264000</v>
      </c>
      <c r="K27" s="30" t="n">
        <f aca="false">(('Business Case'!E11*$C27*'Business Case'!E12*$B27)-'Business Case'!E11*$C27*'Business Case'!E13*$D27-'Business Case'!E14*$E27)-MAX(0,(('Business Case'!E11*$C27*'Business Case'!E12*$B27)-'Business Case'!E11*$C27*'Business Case'!E13*$D27-'Business Case'!E14*$E27))*'Business Case'!$B$7-'Business Case'!$B$8*(('Business Case'!E11*$C27*'Business Case'!E12*$B27)-('Business Case'!D11*$C27*'Business Case'!D12*$B27))-'Business Case'!E15*$F27</f>
        <v>677416000</v>
      </c>
      <c r="L27" s="30" t="n">
        <f aca="false">(('Business Case'!F11*$C27*'Business Case'!F12*$B27)-'Business Case'!F11*$C27*'Business Case'!F13*$D27-'Business Case'!F14*$E27)-MAX(0,(('Business Case'!F11*$C27*'Business Case'!F12*$B27)-'Business Case'!F11*$C27*'Business Case'!F13*$D27-'Business Case'!F14*$E27))*'Business Case'!$B$7-'Business Case'!$B$8*(('Business Case'!F11*$C27*'Business Case'!F12*$B27)-('Business Case'!E11*$C27*'Business Case'!E12*$B27))-'Business Case'!F15*$F27</f>
        <v>814360000</v>
      </c>
      <c r="M27" s="30" t="n">
        <f aca="false">(('Business Case'!G11*$C27*'Business Case'!G12*$B27)-'Business Case'!G11*$C27*'Business Case'!G13*$D27-'Business Case'!G14*$E27)-MAX(0,(('Business Case'!G11*$C27*'Business Case'!G12*$B27)-'Business Case'!G11*$C27*'Business Case'!G13*$D27-'Business Case'!G14*$E27))*'Business Case'!$B$7-'Business Case'!$B$8*(('Business Case'!G11*$C27*'Business Case'!G12*$B27)-('Business Case'!F11*$C27*'Business Case'!F12*$B27))-'Business Case'!G15*$F27+'Business Case'!$B$8*('Business Case'!G11*$C27*'Business Case'!G12*$B27)</f>
        <v>1004440000</v>
      </c>
      <c r="N27" s="31" t="n">
        <f aca="false">IF(COUNT('Business Case'!B11:G11)=0,"",H27+NPV(G27,I27:M27))</f>
        <v>106654059.420693</v>
      </c>
    </row>
    <row r="28" customFormat="false" ht="15" hidden="false" customHeight="false" outlineLevel="0" collapsed="false">
      <c r="A28" s="5" t="s">
        <v>301</v>
      </c>
      <c r="B28" s="25" t="n">
        <f aca="false">1</f>
        <v>1</v>
      </c>
      <c r="C28" s="25" t="n">
        <f aca="false">1</f>
        <v>1</v>
      </c>
      <c r="D28" s="25" t="n">
        <f aca="false">1</f>
        <v>1</v>
      </c>
      <c r="E28" s="25" t="n">
        <f aca="false">1</f>
        <v>1</v>
      </c>
      <c r="F28" s="25" t="n">
        <f aca="false">1</f>
        <v>1</v>
      </c>
      <c r="G28" s="23" t="n">
        <f aca="false">G11</f>
        <v>0.13</v>
      </c>
      <c r="H28" s="30" t="n">
        <f aca="false">(('Business Case'!B11*$C28*'Business Case'!B12*$B28)-'Business Case'!B11*$C28*'Business Case'!B13*$D28-'Business Case'!B14*$E28)-MAX(0,(('Business Case'!B11*$C28*'Business Case'!B12*$B28)-'Business Case'!B11*$C28*'Business Case'!B13*$D28-'Business Case'!B14*$E28))*'Business Case'!$B$7-'Business Case'!$B$8*('Business Case'!B11*$C28*'Business Case'!B12*$B28)-'Business Case'!B15*$F28</f>
        <v>-2000000000</v>
      </c>
      <c r="I28" s="30" t="n">
        <f aca="false">(('Business Case'!C11*$C28*'Business Case'!C12*$B28)-'Business Case'!C11*$C28*'Business Case'!C13*$D28-'Business Case'!C14*$E28)-MAX(0,(('Business Case'!C11*$C28*'Business Case'!C12*$B28)-'Business Case'!C11*$C28*'Business Case'!C13*$D28-'Business Case'!C14*$E28))*'Business Case'!$B$7-'Business Case'!$B$8*(('Business Case'!C11*$C28*'Business Case'!C12*$B28)-('Business Case'!B11*$C28*'Business Case'!B12*$B28))-'Business Case'!C15*$F28</f>
        <v>13112000</v>
      </c>
      <c r="J28" s="30" t="n">
        <f aca="false">(('Business Case'!D11*$C28*'Business Case'!D12*$B28)-'Business Case'!D11*$C28*'Business Case'!D13*$D28-'Business Case'!D14*$E28)-MAX(0,(('Business Case'!D11*$C28*'Business Case'!D12*$B28)-'Business Case'!D11*$C28*'Business Case'!D13*$D28-'Business Case'!D14*$E28))*'Business Case'!$B$7-'Business Case'!$B$8*(('Business Case'!D11*$C28*'Business Case'!D12*$B28)-('Business Case'!C11*$C28*'Business Case'!C12*$B28))-'Business Case'!D15*$F28</f>
        <v>320264000</v>
      </c>
      <c r="K28" s="30" t="n">
        <f aca="false">(('Business Case'!E11*$C28*'Business Case'!E12*$B28)-'Business Case'!E11*$C28*'Business Case'!E13*$D28-'Business Case'!E14*$E28)-MAX(0,(('Business Case'!E11*$C28*'Business Case'!E12*$B28)-'Business Case'!E11*$C28*'Business Case'!E13*$D28-'Business Case'!E14*$E28))*'Business Case'!$B$7-'Business Case'!$B$8*(('Business Case'!E11*$C28*'Business Case'!E12*$B28)-('Business Case'!D11*$C28*'Business Case'!D12*$B28))-'Business Case'!E15*$F28</f>
        <v>677416000</v>
      </c>
      <c r="L28" s="30" t="n">
        <f aca="false">(('Business Case'!F11*$C28*'Business Case'!F12*$B28)-'Business Case'!F11*$C28*'Business Case'!F13*$D28-'Business Case'!F14*$E28)-MAX(0,(('Business Case'!F11*$C28*'Business Case'!F12*$B28)-'Business Case'!F11*$C28*'Business Case'!F13*$D28-'Business Case'!F14*$E28))*'Business Case'!$B$7-'Business Case'!$B$8*(('Business Case'!F11*$C28*'Business Case'!F12*$B28)-('Business Case'!E11*$C28*'Business Case'!E12*$B28))-'Business Case'!F15*$F28</f>
        <v>814360000</v>
      </c>
      <c r="M28" s="30" t="n">
        <f aca="false">(('Business Case'!G11*$C28*'Business Case'!G12*$B28)-'Business Case'!G11*$C28*'Business Case'!G13*$D28-'Business Case'!G14*$E28)-MAX(0,(('Business Case'!G11*$C28*'Business Case'!G12*$B28)-'Business Case'!G11*$C28*'Business Case'!G13*$D28-'Business Case'!G14*$E28))*'Business Case'!$B$7-'Business Case'!$B$8*(('Business Case'!G11*$C28*'Business Case'!G12*$B28)-('Business Case'!F11*$C28*'Business Case'!F12*$B28))-'Business Case'!G15*$F28+'Business Case'!$B$8*('Business Case'!G11*$C28*'Business Case'!G12*$B28)</f>
        <v>1004440000</v>
      </c>
      <c r="N28" s="31" t="n">
        <f aca="false">IF(COUNT('Business Case'!B11:G11)=0,"",H28+NPV(G28,I28:M28))</f>
        <v>-223467472.855195</v>
      </c>
    </row>
    <row r="30" customFormat="false" ht="23.85" hidden="false" customHeight="false" outlineLevel="0" collapsed="false">
      <c r="A30" s="11" t="s">
        <v>302</v>
      </c>
    </row>
    <row r="31" customFormat="false" ht="30" hidden="false" customHeight="true" outlineLevel="0" collapsed="false">
      <c r="A31" s="8" t="s">
        <v>267</v>
      </c>
      <c r="B31" s="8" t="s">
        <v>303</v>
      </c>
      <c r="C31" s="8" t="s">
        <v>304</v>
      </c>
      <c r="D31" s="8" t="s">
        <v>305</v>
      </c>
      <c r="E31" s="8" t="s">
        <v>306</v>
      </c>
      <c r="F31" s="8" t="s">
        <v>307</v>
      </c>
      <c r="G31" s="8" t="s">
        <v>308</v>
      </c>
      <c r="H31" s="8" t="s">
        <v>309</v>
      </c>
    </row>
    <row r="32" customFormat="false" ht="23.85" hidden="false" customHeight="false" outlineLevel="0" collapsed="false">
      <c r="A32" s="14" t="str">
        <f aca="false">INDEX($A$40:$A$45,MATCH(LARGE($D$40:$D$45,1),$D$40:$D$45,0))</f>
        <v>Units</v>
      </c>
      <c r="B32" s="30" t="n">
        <f aca="false">INDEX($B$40:$B$45,MATCH(LARGE($D$40:$D$45,1),$D$40:$D$45,0))</f>
        <v>-868794325.871929</v>
      </c>
      <c r="C32" s="30" t="n">
        <f aca="false">INDEX($C$40:$C$45,MATCH(LARGE($D$40:$D$45,1),$D$40:$D$45,0))</f>
        <v>382573228.157539</v>
      </c>
      <c r="D32" s="32" t="n">
        <f aca="false">IFERROR(ABS(C32-B32),"")</f>
        <v>1251367554.02947</v>
      </c>
      <c r="E32" s="30" t="n">
        <f aca="false">IFERROR(B32-$N$16,"")</f>
        <v>-834245036.019646</v>
      </c>
      <c r="F32" s="30" t="n">
        <f aca="false">IFERROR(C32-$N$16,"")</f>
        <v>417122518.009823</v>
      </c>
      <c r="G32" s="14" t="str">
        <f aca="false">IF(B32="","",IF(MIN(B32,C32)&lt;0,IF(MAX(B32,C32)&gt;0,"Yes","Below zero"),"No"))</f>
        <v>Yes</v>
      </c>
      <c r="H32" s="14" t="n">
        <f aca="false">1</f>
        <v>1</v>
      </c>
    </row>
    <row r="33" customFormat="false" ht="23.85" hidden="false" customHeight="false" outlineLevel="0" collapsed="false">
      <c r="A33" s="14" t="str">
        <f aca="false">INDEX($A$40:$A$45,MATCH(LARGE($D$40:$D$45,2),$D$40:$D$45,0))</f>
        <v>Price per unit</v>
      </c>
      <c r="B33" s="30" t="n">
        <f aca="false">INDEX($B$40:$B$45,MATCH(LARGE($D$40:$D$45,2),$D$40:$D$45,0))</f>
        <v>-781671378.830309</v>
      </c>
      <c r="C33" s="30" t="n">
        <f aca="false">INDEX($C$40:$C$45,MATCH(LARGE($D$40:$D$45,2),$D$40:$D$45,0))</f>
        <v>339011754.636729</v>
      </c>
      <c r="D33" s="32" t="n">
        <f aca="false">IFERROR(ABS(C33-B33),"")</f>
        <v>1120683133.46704</v>
      </c>
      <c r="E33" s="30" t="n">
        <f aca="false">IFERROR(B33-$N$16,"")</f>
        <v>-747122088.978025</v>
      </c>
      <c r="F33" s="30" t="n">
        <f aca="false">IFERROR(C33-$N$16,"")</f>
        <v>373561044.489013</v>
      </c>
      <c r="G33" s="14" t="str">
        <f aca="false">IF(B33="","",IF(MIN(B33,C33)&lt;0,IF(MAX(B33,C33)&gt;0,"Yes","Below zero"),"No"))</f>
        <v>Yes</v>
      </c>
      <c r="H33" s="14" t="n">
        <f aca="false">2</f>
        <v>2</v>
      </c>
    </row>
    <row r="34" customFormat="false" ht="23.85" hidden="false" customHeight="false" outlineLevel="0" collapsed="false">
      <c r="A34" s="14" t="str">
        <f aca="false">INDEX($A$40:$A$45,MATCH(LARGE($D$40:$D$45,3),$D$40:$D$45,0))</f>
        <v>Variable cost per unit</v>
      </c>
      <c r="B34" s="30" t="n">
        <f aca="false">INDEX($B$40:$B$45,MATCH(LARGE($D$40:$D$45,3),$D$40:$D$45,0))</f>
        <v>199970915.300122</v>
      </c>
      <c r="C34" s="30" t="n">
        <f aca="false">INDEX($C$40:$C$45,MATCH(LARGE($D$40:$D$45,3),$D$40:$D$45,0))</f>
        <v>-503589700.157094</v>
      </c>
      <c r="D34" s="32" t="n">
        <f aca="false">IFERROR(ABS(C34-B34),"")</f>
        <v>703560615.457216</v>
      </c>
      <c r="E34" s="30" t="n">
        <f aca="false">IFERROR(B34-$N$16,"")</f>
        <v>234520205.152405</v>
      </c>
      <c r="F34" s="30" t="n">
        <f aca="false">IFERROR(C34-$N$16,"")</f>
        <v>-469040410.30481</v>
      </c>
      <c r="G34" s="14" t="str">
        <f aca="false">IF(B34="","",IF(MIN(B34,C34)&lt;0,IF(MAX(B34,C34)&gt;0,"Yes","Below zero"),"No"))</f>
        <v>Yes</v>
      </c>
      <c r="H34" s="14" t="n">
        <f aca="false">3</f>
        <v>3</v>
      </c>
    </row>
    <row r="35" customFormat="false" ht="23.85" hidden="false" customHeight="false" outlineLevel="0" collapsed="false">
      <c r="A35" s="14" t="str">
        <f aca="false">INDEX($A$40:$A$45,MATCH(LARGE($D$40:$D$45,4),$D$40:$D$45,0))</f>
        <v>Capex</v>
      </c>
      <c r="B35" s="30" t="n">
        <f aca="false">INDEX($B$40:$B$45,MATCH(LARGE($D$40:$D$45,4),$D$40:$D$45,0))</f>
        <v>79266520.0464444</v>
      </c>
      <c r="C35" s="30" t="n">
        <f aca="false">INDEX($C$40:$C$45,MATCH(LARGE($D$40:$D$45,4),$D$40:$D$45,0))</f>
        <v>-603628339.345922</v>
      </c>
      <c r="D35" s="32" t="n">
        <f aca="false">IFERROR(ABS(C35-B35),"")</f>
        <v>682894859.392366</v>
      </c>
      <c r="E35" s="30" t="n">
        <f aca="false">IFERROR(B35-$N$16,"")</f>
        <v>113815809.898728</v>
      </c>
      <c r="F35" s="30" t="n">
        <f aca="false">IFERROR(C35-$N$16,"")</f>
        <v>-569079049.493639</v>
      </c>
      <c r="G35" s="14" t="str">
        <f aca="false">IF(B35="","",IF(MIN(B35,C35)&lt;0,IF(MAX(B35,C35)&gt;0,"Yes","Below zero"),"No"))</f>
        <v>Yes</v>
      </c>
      <c r="H35" s="14" t="n">
        <f aca="false">4</f>
        <v>4</v>
      </c>
    </row>
    <row r="36" customFormat="false" ht="23.85" hidden="false" customHeight="false" outlineLevel="0" collapsed="false">
      <c r="A36" s="14" t="str">
        <f aca="false">INDEX($A$40:$A$45,MATCH(LARGE($D$40:$D$45,5),$D$40:$D$45,0))</f>
        <v>Discount rate (absolute)</v>
      </c>
      <c r="B36" s="30" t="n">
        <f aca="false">INDEX($B$40:$B$45,MATCH(LARGE($D$40:$D$45,5),$D$40:$D$45,0))</f>
        <v>106654059.420693</v>
      </c>
      <c r="C36" s="30" t="n">
        <f aca="false">INDEX($C$40:$C$45,MATCH(LARGE($D$40:$D$45,5),$D$40:$D$45,0))</f>
        <v>-223467472.855195</v>
      </c>
      <c r="D36" s="32" t="n">
        <f aca="false">IFERROR(ABS(C36-B36),"")</f>
        <v>330121532.275888</v>
      </c>
      <c r="E36" s="30" t="n">
        <f aca="false">IFERROR(B36-$N$16,"")</f>
        <v>141203349.272976</v>
      </c>
      <c r="F36" s="30" t="n">
        <f aca="false">IFERROR(C36-$N$16,"")</f>
        <v>-188918183.002911</v>
      </c>
      <c r="G36" s="14" t="str">
        <f aca="false">IF(B36="","",IF(MIN(B36,C36)&lt;0,IF(MAX(B36,C36)&gt;0,"Yes","Below zero"),"No"))</f>
        <v>Yes</v>
      </c>
      <c r="H36" s="14" t="n">
        <f aca="false">5</f>
        <v>5</v>
      </c>
    </row>
    <row r="37" customFormat="false" ht="23.85" hidden="false" customHeight="false" outlineLevel="0" collapsed="false">
      <c r="A37" s="14" t="str">
        <f aca="false">INDEX($A$40:$A$45,MATCH(LARGE($D$40:$D$45,6),$D$40:$D$45,0))</f>
        <v>Fixed costs</v>
      </c>
      <c r="B37" s="30" t="n">
        <f aca="false">INDEX($B$40:$B$45,MATCH(LARGE($D$40:$D$45,6),$D$40:$D$45,0))</f>
        <v>19355698.0087049</v>
      </c>
      <c r="C37" s="30" t="n">
        <f aca="false">INDEX($C$40:$C$45,MATCH(LARGE($D$40:$D$45,6),$D$40:$D$45,0))</f>
        <v>-115406771.643765</v>
      </c>
      <c r="D37" s="32" t="n">
        <f aca="false">IFERROR(ABS(C37-B37),"")</f>
        <v>134762469.65247</v>
      </c>
      <c r="E37" s="30" t="n">
        <f aca="false">IFERROR(B37-$N$16,"")</f>
        <v>53904987.8609884</v>
      </c>
      <c r="F37" s="30" t="n">
        <f aca="false">IFERROR(C37-$N$16,"")</f>
        <v>-80857481.791482</v>
      </c>
      <c r="G37" s="14" t="str">
        <f aca="false">IF(B37="","",IF(MIN(B37,C37)&lt;0,IF(MAX(B37,C37)&gt;0,"Yes","Below zero"),"No"))</f>
        <v>Yes</v>
      </c>
      <c r="H37" s="14" t="n">
        <f aca="false">6</f>
        <v>6</v>
      </c>
    </row>
    <row r="39" customFormat="false" ht="15" hidden="false" customHeight="false" outlineLevel="0" collapsed="false">
      <c r="A39" s="5" t="s">
        <v>310</v>
      </c>
    </row>
    <row r="40" customFormat="false" ht="23.85" hidden="false" customHeight="false" outlineLevel="0" collapsed="false">
      <c r="A40" s="5" t="s">
        <v>249</v>
      </c>
      <c r="B40" s="30" t="n">
        <f aca="false">N17</f>
        <v>-781671378.830309</v>
      </c>
      <c r="C40" s="30" t="n">
        <f aca="false">N18</f>
        <v>339011754.636729</v>
      </c>
      <c r="D40" s="33" t="n">
        <f aca="false">IFERROR(ABS(C40-B40)+ROW()/1000000000,0)</f>
        <v>1120683133.46704</v>
      </c>
    </row>
    <row r="41" customFormat="false" ht="23.85" hidden="false" customHeight="false" outlineLevel="0" collapsed="false">
      <c r="A41" s="5" t="s">
        <v>248</v>
      </c>
      <c r="B41" s="30" t="n">
        <f aca="false">N19</f>
        <v>-868794325.871929</v>
      </c>
      <c r="C41" s="30" t="n">
        <f aca="false">N20</f>
        <v>382573228.157539</v>
      </c>
      <c r="D41" s="33" t="n">
        <f aca="false">IFERROR(ABS(C41-B41)+ROW()/1000000000,0)</f>
        <v>1251367554.02947</v>
      </c>
    </row>
    <row r="42" customFormat="false" ht="23.85" hidden="false" customHeight="false" outlineLevel="0" collapsed="false">
      <c r="A42" s="5" t="s">
        <v>250</v>
      </c>
      <c r="B42" s="30" t="n">
        <f aca="false">N21</f>
        <v>199970915.300122</v>
      </c>
      <c r="C42" s="30" t="n">
        <f aca="false">N22</f>
        <v>-503589700.157094</v>
      </c>
      <c r="D42" s="33" t="n">
        <f aca="false">IFERROR(ABS(C42-B42)+ROW()/1000000000,0)</f>
        <v>703560615.457216</v>
      </c>
    </row>
    <row r="43" customFormat="false" ht="23.85" hidden="false" customHeight="false" outlineLevel="0" collapsed="false">
      <c r="A43" s="5" t="s">
        <v>251</v>
      </c>
      <c r="B43" s="30" t="n">
        <f aca="false">N23</f>
        <v>19355698.0087049</v>
      </c>
      <c r="C43" s="30" t="n">
        <f aca="false">N24</f>
        <v>-115406771.643765</v>
      </c>
      <c r="D43" s="33" t="n">
        <f aca="false">IFERROR(ABS(C43-B43)+ROW()/1000000000,0)</f>
        <v>134762469.65247</v>
      </c>
    </row>
    <row r="44" customFormat="false" ht="23.85" hidden="false" customHeight="false" outlineLevel="0" collapsed="false">
      <c r="A44" s="5" t="s">
        <v>252</v>
      </c>
      <c r="B44" s="30" t="n">
        <f aca="false">N25</f>
        <v>79266520.0464444</v>
      </c>
      <c r="C44" s="30" t="n">
        <f aca="false">N26</f>
        <v>-603628339.345922</v>
      </c>
      <c r="D44" s="33" t="n">
        <f aca="false">IFERROR(ABS(C44-B44)+ROW()/1000000000,0)</f>
        <v>682894859.392366</v>
      </c>
    </row>
    <row r="45" customFormat="false" ht="23.85" hidden="false" customHeight="false" outlineLevel="0" collapsed="false">
      <c r="A45" s="5" t="s">
        <v>274</v>
      </c>
      <c r="B45" s="30" t="n">
        <f aca="false">N27</f>
        <v>106654059.420693</v>
      </c>
      <c r="C45" s="30" t="n">
        <f aca="false">N28</f>
        <v>-223467472.855195</v>
      </c>
      <c r="D45" s="33" t="n">
        <f aca="false">IFERROR(ABS(C45-B45)+ROW()/1000000000,0)</f>
        <v>330121532.275888</v>
      </c>
    </row>
    <row r="48" customFormat="false" ht="15" hidden="false" customHeight="true" outlineLevel="0" collapsed="false">
      <c r="A48" s="34" t="s">
        <v>311</v>
      </c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</row>
    <row r="49" customFormat="false" ht="23.85" hidden="false" customHeight="false" outlineLevel="0" collapsed="false">
      <c r="A49" s="5" t="s">
        <v>312</v>
      </c>
      <c r="B49" s="30" t="n">
        <f aca="false">IFERROR(AVERAGE($N$81:$N$1080),"")</f>
        <v>-530386449.063048</v>
      </c>
    </row>
    <row r="50" customFormat="false" ht="23.85" hidden="false" customHeight="false" outlineLevel="0" collapsed="false">
      <c r="A50" s="11" t="s">
        <v>313</v>
      </c>
      <c r="B50" s="31" t="n">
        <f aca="false">IFERROR(MEDIAN($N$81:$N$1080),"")</f>
        <v>-538997852.693864</v>
      </c>
    </row>
    <row r="51" customFormat="false" ht="23.85" hidden="false" customHeight="false" outlineLevel="0" collapsed="false">
      <c r="A51" s="5" t="s">
        <v>314</v>
      </c>
      <c r="B51" s="30" t="n">
        <f aca="false">IFERROR(PERCENTILE($N$81:$N$1080,0.1),"")</f>
        <v>-1008079053.73641</v>
      </c>
    </row>
    <row r="52" customFormat="false" ht="23.85" hidden="false" customHeight="false" outlineLevel="0" collapsed="false">
      <c r="A52" s="5" t="s">
        <v>315</v>
      </c>
      <c r="B52" s="30" t="n">
        <f aca="false">IFERROR(PERCENTILE($N$81:$N$1080,0.9),"")</f>
        <v>-44299356.4537772</v>
      </c>
    </row>
    <row r="53" customFormat="false" ht="23.85" hidden="false" customHeight="false" outlineLevel="0" collapsed="false">
      <c r="A53" s="5" t="s">
        <v>316</v>
      </c>
      <c r="B53" s="30" t="n">
        <f aca="false">IFERROR(STDEV($N$81:$N$1080),"")</f>
        <v>380368817.428688</v>
      </c>
    </row>
    <row r="54" customFormat="false" ht="15" hidden="false" customHeight="false" outlineLevel="0" collapsed="false">
      <c r="A54" s="11" t="s">
        <v>317</v>
      </c>
      <c r="B54" s="24" t="n">
        <f aca="false">IFERROR(COUNTIF($N$81:$N$1080,"&lt;0")/COUNT($N$81:$N$1080),"")</f>
        <v>0.913</v>
      </c>
    </row>
    <row r="55" customFormat="false" ht="23.85" hidden="false" customHeight="false" outlineLevel="0" collapsed="false">
      <c r="A55" s="5" t="s">
        <v>318</v>
      </c>
      <c r="B55" s="30" t="n">
        <f aca="false">IFERROR(N16,"")</f>
        <v>-34549289.8522835</v>
      </c>
    </row>
    <row r="56" customFormat="false" ht="30" hidden="false" customHeight="true" outlineLevel="0" collapsed="false">
      <c r="A56" s="21" t="s">
        <v>319</v>
      </c>
      <c r="B56" s="21"/>
      <c r="C56" s="21"/>
      <c r="D56" s="21"/>
      <c r="E56" s="21"/>
      <c r="F56" s="21"/>
      <c r="G56" s="21"/>
      <c r="H56" s="21"/>
    </row>
    <row r="58" customFormat="false" ht="30" hidden="false" customHeight="true" outlineLevel="0" collapsed="false">
      <c r="A58" s="8" t="s">
        <v>320</v>
      </c>
      <c r="B58" s="8" t="s">
        <v>321</v>
      </c>
      <c r="C58" s="8" t="s">
        <v>322</v>
      </c>
    </row>
    <row r="59" customFormat="false" ht="15" hidden="false" customHeight="false" outlineLevel="0" collapsed="false">
      <c r="A59" s="35" t="n">
        <f aca="false">MIN($N$81:$N$1080)+(MAX($N$81:$N$1080)-MIN($N$81:$N$1080))*0/20</f>
        <v>-1688303065.53727</v>
      </c>
      <c r="B59" s="35" t="n">
        <f aca="false">MIN($N$81:$N$1080)+(MAX($N$81:$N$1080)-MIN($N$81:$N$1080))*1/20</f>
        <v>-1558637974.27125</v>
      </c>
      <c r="C59" s="10" t="n">
        <f aca="false">COUNTIFS($N$81:$N$1080,"&gt;="&amp;A59,$N$81:$N$1080,"&lt;"&amp;B59)</f>
        <v>3</v>
      </c>
    </row>
    <row r="60" customFormat="false" ht="15" hidden="false" customHeight="false" outlineLevel="0" collapsed="false">
      <c r="A60" s="35" t="n">
        <f aca="false">MIN($N$81:$N$1080)+(MAX($N$81:$N$1080)-MIN($N$81:$N$1080))*1/20</f>
        <v>-1558637974.27125</v>
      </c>
      <c r="B60" s="35" t="n">
        <f aca="false">MIN($N$81:$N$1080)+(MAX($N$81:$N$1080)-MIN($N$81:$N$1080))*2/20</f>
        <v>-1428972883.00522</v>
      </c>
      <c r="C60" s="10" t="n">
        <f aca="false">COUNTIFS($N$81:$N$1080,"&gt;="&amp;A60,$N$81:$N$1080,"&lt;"&amp;B60)</f>
        <v>5</v>
      </c>
    </row>
    <row r="61" customFormat="false" ht="15" hidden="false" customHeight="false" outlineLevel="0" collapsed="false">
      <c r="A61" s="35" t="n">
        <f aca="false">MIN($N$81:$N$1080)+(MAX($N$81:$N$1080)-MIN($N$81:$N$1080))*2/20</f>
        <v>-1428972883.00522</v>
      </c>
      <c r="B61" s="35" t="n">
        <f aca="false">MIN($N$81:$N$1080)+(MAX($N$81:$N$1080)-MIN($N$81:$N$1080))*3/20</f>
        <v>-1299307791.73919</v>
      </c>
      <c r="C61" s="10" t="n">
        <f aca="false">COUNTIFS($N$81:$N$1080,"&gt;="&amp;A61,$N$81:$N$1080,"&lt;"&amp;B61)</f>
        <v>10</v>
      </c>
    </row>
    <row r="62" customFormat="false" ht="15" hidden="false" customHeight="false" outlineLevel="0" collapsed="false">
      <c r="A62" s="35" t="n">
        <f aca="false">MIN($N$81:$N$1080)+(MAX($N$81:$N$1080)-MIN($N$81:$N$1080))*3/20</f>
        <v>-1299307791.73919</v>
      </c>
      <c r="B62" s="35" t="n">
        <f aca="false">MIN($N$81:$N$1080)+(MAX($N$81:$N$1080)-MIN($N$81:$N$1080))*4/20</f>
        <v>-1169642700.47317</v>
      </c>
      <c r="C62" s="10" t="n">
        <f aca="false">COUNTIFS($N$81:$N$1080,"&gt;="&amp;A62,$N$81:$N$1080,"&lt;"&amp;B62)</f>
        <v>34</v>
      </c>
    </row>
    <row r="63" customFormat="false" ht="15" hidden="false" customHeight="false" outlineLevel="0" collapsed="false">
      <c r="A63" s="35" t="n">
        <f aca="false">MIN($N$81:$N$1080)+(MAX($N$81:$N$1080)-MIN($N$81:$N$1080))*4/20</f>
        <v>-1169642700.47317</v>
      </c>
      <c r="B63" s="35" t="n">
        <f aca="false">MIN($N$81:$N$1080)+(MAX($N$81:$N$1080)-MIN($N$81:$N$1080))*5/20</f>
        <v>-1039977609.20714</v>
      </c>
      <c r="C63" s="10" t="n">
        <f aca="false">COUNTIFS($N$81:$N$1080,"&gt;="&amp;A63,$N$81:$N$1080,"&lt;"&amp;B63)</f>
        <v>37</v>
      </c>
    </row>
    <row r="64" customFormat="false" ht="15" hidden="false" customHeight="false" outlineLevel="0" collapsed="false">
      <c r="A64" s="35" t="n">
        <f aca="false">MIN($N$81:$N$1080)+(MAX($N$81:$N$1080)-MIN($N$81:$N$1080))*5/20</f>
        <v>-1039977609.20714</v>
      </c>
      <c r="B64" s="35" t="n">
        <f aca="false">MIN($N$81:$N$1080)+(MAX($N$81:$N$1080)-MIN($N$81:$N$1080))*6/20</f>
        <v>-910312517.941117</v>
      </c>
      <c r="C64" s="10" t="n">
        <f aca="false">COUNTIFS($N$81:$N$1080,"&gt;="&amp;A64,$N$81:$N$1080,"&lt;"&amp;B64)</f>
        <v>69</v>
      </c>
    </row>
    <row r="65" customFormat="false" ht="15" hidden="false" customHeight="false" outlineLevel="0" collapsed="false">
      <c r="A65" s="35" t="n">
        <f aca="false">MIN($N$81:$N$1080)+(MAX($N$81:$N$1080)-MIN($N$81:$N$1080))*6/20</f>
        <v>-910312517.941117</v>
      </c>
      <c r="B65" s="35" t="n">
        <f aca="false">MIN($N$81:$N$1080)+(MAX($N$81:$N$1080)-MIN($N$81:$N$1080))*7/20</f>
        <v>-780647426.675091</v>
      </c>
      <c r="C65" s="10" t="n">
        <f aca="false">COUNTIFS($N$81:$N$1080,"&gt;="&amp;A65,$N$81:$N$1080,"&lt;"&amp;B65)</f>
        <v>85</v>
      </c>
    </row>
    <row r="66" customFormat="false" ht="15" hidden="false" customHeight="false" outlineLevel="0" collapsed="false">
      <c r="A66" s="35" t="n">
        <f aca="false">MIN($N$81:$N$1080)+(MAX($N$81:$N$1080)-MIN($N$81:$N$1080))*7/20</f>
        <v>-780647426.675091</v>
      </c>
      <c r="B66" s="35" t="n">
        <f aca="false">MIN($N$81:$N$1080)+(MAX($N$81:$N$1080)-MIN($N$81:$N$1080))*8/20</f>
        <v>-650982335.409066</v>
      </c>
      <c r="C66" s="10" t="n">
        <f aca="false">COUNTIFS($N$81:$N$1080,"&gt;="&amp;A66,$N$81:$N$1080,"&lt;"&amp;B66)</f>
        <v>139</v>
      </c>
    </row>
    <row r="67" customFormat="false" ht="15" hidden="false" customHeight="false" outlineLevel="0" collapsed="false">
      <c r="A67" s="35" t="n">
        <f aca="false">MIN($N$81:$N$1080)+(MAX($N$81:$N$1080)-MIN($N$81:$N$1080))*8/20</f>
        <v>-650982335.409066</v>
      </c>
      <c r="B67" s="35" t="n">
        <f aca="false">MIN($N$81:$N$1080)+(MAX($N$81:$N$1080)-MIN($N$81:$N$1080))*9/20</f>
        <v>-521317244.14304</v>
      </c>
      <c r="C67" s="10" t="n">
        <f aca="false">COUNTIFS($N$81:$N$1080,"&gt;="&amp;A67,$N$81:$N$1080,"&lt;"&amp;B67)</f>
        <v>133</v>
      </c>
    </row>
    <row r="68" customFormat="false" ht="15" hidden="false" customHeight="false" outlineLevel="0" collapsed="false">
      <c r="A68" s="35" t="n">
        <f aca="false">MIN($N$81:$N$1080)+(MAX($N$81:$N$1080)-MIN($N$81:$N$1080))*9/20</f>
        <v>-521317244.14304</v>
      </c>
      <c r="B68" s="35" t="n">
        <f aca="false">MIN($N$81:$N$1080)+(MAX($N$81:$N$1080)-MIN($N$81:$N$1080))*10/20</f>
        <v>-391652152.877014</v>
      </c>
      <c r="C68" s="10" t="n">
        <f aca="false">COUNTIFS($N$81:$N$1080,"&gt;="&amp;A68,$N$81:$N$1080,"&lt;"&amp;B68)</f>
        <v>128</v>
      </c>
    </row>
    <row r="69" customFormat="false" ht="15" hidden="false" customHeight="false" outlineLevel="0" collapsed="false">
      <c r="A69" s="35" t="n">
        <f aca="false">MIN($N$81:$N$1080)+(MAX($N$81:$N$1080)-MIN($N$81:$N$1080))*10/20</f>
        <v>-391652152.877014</v>
      </c>
      <c r="B69" s="35" t="n">
        <f aca="false">MIN($N$81:$N$1080)+(MAX($N$81:$N$1080)-MIN($N$81:$N$1080))*11/20</f>
        <v>-261987061.610988</v>
      </c>
      <c r="C69" s="10" t="n">
        <f aca="false">COUNTIFS($N$81:$N$1080,"&gt;="&amp;A69,$N$81:$N$1080,"&lt;"&amp;B69)</f>
        <v>117</v>
      </c>
    </row>
    <row r="70" customFormat="false" ht="15" hidden="false" customHeight="false" outlineLevel="0" collapsed="false">
      <c r="A70" s="35" t="n">
        <f aca="false">MIN($N$81:$N$1080)+(MAX($N$81:$N$1080)-MIN($N$81:$N$1080))*11/20</f>
        <v>-261987061.610988</v>
      </c>
      <c r="B70" s="35" t="n">
        <f aca="false">MIN($N$81:$N$1080)+(MAX($N$81:$N$1080)-MIN($N$81:$N$1080))*12/20</f>
        <v>-132321970.344962</v>
      </c>
      <c r="C70" s="10" t="n">
        <f aca="false">COUNTIFS($N$81:$N$1080,"&gt;="&amp;A70,$N$81:$N$1080,"&lt;"&amp;B70)</f>
        <v>91</v>
      </c>
    </row>
    <row r="71" customFormat="false" ht="15" hidden="false" customHeight="false" outlineLevel="0" collapsed="false">
      <c r="A71" s="35" t="n">
        <f aca="false">MIN($N$81:$N$1080)+(MAX($N$81:$N$1080)-MIN($N$81:$N$1080))*12/20</f>
        <v>-132321970.344962</v>
      </c>
      <c r="B71" s="35" t="n">
        <f aca="false">MIN($N$81:$N$1080)+(MAX($N$81:$N$1080)-MIN($N$81:$N$1080))*13/20</f>
        <v>-2656879.07893658</v>
      </c>
      <c r="C71" s="10" t="n">
        <f aca="false">COUNTIFS($N$81:$N$1080,"&gt;="&amp;A71,$N$81:$N$1080,"&lt;"&amp;B71)</f>
        <v>62</v>
      </c>
    </row>
    <row r="72" customFormat="false" ht="15" hidden="false" customHeight="false" outlineLevel="0" collapsed="false">
      <c r="A72" s="35" t="n">
        <f aca="false">MIN($N$81:$N$1080)+(MAX($N$81:$N$1080)-MIN($N$81:$N$1080))*13/20</f>
        <v>-2656879.07893658</v>
      </c>
      <c r="B72" s="35" t="n">
        <f aca="false">MIN($N$81:$N$1080)+(MAX($N$81:$N$1080)-MIN($N$81:$N$1080))*14/20</f>
        <v>127008212.187089</v>
      </c>
      <c r="C72" s="10" t="n">
        <f aca="false">COUNTIFS($N$81:$N$1080,"&gt;="&amp;A72,$N$81:$N$1080,"&lt;"&amp;B72)</f>
        <v>43</v>
      </c>
    </row>
    <row r="73" customFormat="false" ht="15" hidden="false" customHeight="false" outlineLevel="0" collapsed="false">
      <c r="A73" s="35" t="n">
        <f aca="false">MIN($N$81:$N$1080)+(MAX($N$81:$N$1080)-MIN($N$81:$N$1080))*14/20</f>
        <v>127008212.187089</v>
      </c>
      <c r="B73" s="35" t="n">
        <f aca="false">MIN($N$81:$N$1080)+(MAX($N$81:$N$1080)-MIN($N$81:$N$1080))*15/20</f>
        <v>256673303.453115</v>
      </c>
      <c r="C73" s="10" t="n">
        <f aca="false">COUNTIFS($N$81:$N$1080,"&gt;="&amp;A73,$N$81:$N$1080,"&lt;"&amp;B73)</f>
        <v>24</v>
      </c>
    </row>
    <row r="74" customFormat="false" ht="15" hidden="false" customHeight="false" outlineLevel="0" collapsed="false">
      <c r="A74" s="35" t="n">
        <f aca="false">MIN($N$81:$N$1080)+(MAX($N$81:$N$1080)-MIN($N$81:$N$1080))*15/20</f>
        <v>256673303.453115</v>
      </c>
      <c r="B74" s="35" t="n">
        <f aca="false">MIN($N$81:$N$1080)+(MAX($N$81:$N$1080)-MIN($N$81:$N$1080))*16/20</f>
        <v>386338394.719141</v>
      </c>
      <c r="C74" s="10" t="n">
        <f aca="false">COUNTIFS($N$81:$N$1080,"&gt;="&amp;A74,$N$81:$N$1080,"&lt;"&amp;B74)</f>
        <v>14</v>
      </c>
    </row>
    <row r="75" customFormat="false" ht="15" hidden="false" customHeight="false" outlineLevel="0" collapsed="false">
      <c r="A75" s="35" t="n">
        <f aca="false">MIN($N$81:$N$1080)+(MAX($N$81:$N$1080)-MIN($N$81:$N$1080))*16/20</f>
        <v>386338394.719141</v>
      </c>
      <c r="B75" s="35" t="n">
        <f aca="false">MIN($N$81:$N$1080)+(MAX($N$81:$N$1080)-MIN($N$81:$N$1080))*17/20</f>
        <v>516003485.985167</v>
      </c>
      <c r="C75" s="10" t="n">
        <f aca="false">COUNTIFS($N$81:$N$1080,"&gt;="&amp;A75,$N$81:$N$1080,"&lt;"&amp;B75)</f>
        <v>4</v>
      </c>
    </row>
    <row r="76" customFormat="false" ht="15" hidden="false" customHeight="false" outlineLevel="0" collapsed="false">
      <c r="A76" s="35" t="n">
        <f aca="false">MIN($N$81:$N$1080)+(MAX($N$81:$N$1080)-MIN($N$81:$N$1080))*17/20</f>
        <v>516003485.985167</v>
      </c>
      <c r="B76" s="35" t="n">
        <f aca="false">MIN($N$81:$N$1080)+(MAX($N$81:$N$1080)-MIN($N$81:$N$1080))*18/20</f>
        <v>645668577.251192</v>
      </c>
      <c r="C76" s="10" t="n">
        <f aca="false">COUNTIFS($N$81:$N$1080,"&gt;="&amp;A76,$N$81:$N$1080,"&lt;"&amp;B76)</f>
        <v>1</v>
      </c>
    </row>
    <row r="77" customFormat="false" ht="15" hidden="false" customHeight="false" outlineLevel="0" collapsed="false">
      <c r="A77" s="35" t="n">
        <f aca="false">MIN($N$81:$N$1080)+(MAX($N$81:$N$1080)-MIN($N$81:$N$1080))*18/20</f>
        <v>645668577.251192</v>
      </c>
      <c r="B77" s="35" t="n">
        <f aca="false">MIN($N$81:$N$1080)+(MAX($N$81:$N$1080)-MIN($N$81:$N$1080))*19/20</f>
        <v>775333668.517218</v>
      </c>
      <c r="C77" s="10" t="n">
        <f aca="false">COUNTIFS($N$81:$N$1080,"&gt;="&amp;A77,$N$81:$N$1080,"&lt;"&amp;B77)</f>
        <v>0</v>
      </c>
    </row>
    <row r="78" customFormat="false" ht="15" hidden="false" customHeight="false" outlineLevel="0" collapsed="false">
      <c r="A78" s="35" t="n">
        <f aca="false">MIN($N$81:$N$1080)+(MAX($N$81:$N$1080)-MIN($N$81:$N$1080))*19/20</f>
        <v>775333668.517218</v>
      </c>
      <c r="B78" s="35" t="n">
        <f aca="false">MIN($N$81:$N$1080)+(MAX($N$81:$N$1080)-MIN($N$81:$N$1080))*20/20</f>
        <v>904998759.783244</v>
      </c>
      <c r="C78" s="10" t="n">
        <f aca="false">COUNTIFS($N$81:$N$1080,"&gt;="&amp;A78,$N$81:$N$1080,"&lt;="&amp;B78)</f>
        <v>1</v>
      </c>
    </row>
    <row r="80" customFormat="false" ht="23.85" hidden="false" customHeight="false" outlineLevel="0" collapsed="false">
      <c r="A80" s="8" t="s">
        <v>323</v>
      </c>
      <c r="B80" s="8" t="s">
        <v>277</v>
      </c>
      <c r="C80" s="8" t="s">
        <v>278</v>
      </c>
      <c r="D80" s="8" t="s">
        <v>279</v>
      </c>
      <c r="E80" s="8" t="s">
        <v>280</v>
      </c>
      <c r="F80" s="8" t="s">
        <v>281</v>
      </c>
      <c r="G80" s="8" t="s">
        <v>282</v>
      </c>
      <c r="H80" s="8" t="s">
        <v>283</v>
      </c>
      <c r="I80" s="8" t="s">
        <v>284</v>
      </c>
      <c r="J80" s="8" t="s">
        <v>285</v>
      </c>
      <c r="K80" s="8" t="s">
        <v>286</v>
      </c>
      <c r="L80" s="8" t="s">
        <v>287</v>
      </c>
      <c r="M80" s="8" t="s">
        <v>288</v>
      </c>
      <c r="N80" s="8" t="s">
        <v>261</v>
      </c>
      <c r="P80" s="8" t="s">
        <v>324</v>
      </c>
      <c r="Q80" s="8" t="s">
        <v>325</v>
      </c>
      <c r="R80" s="8" t="s">
        <v>326</v>
      </c>
      <c r="S80" s="8" t="s">
        <v>327</v>
      </c>
      <c r="T80" s="8" t="s">
        <v>328</v>
      </c>
      <c r="U80" s="8" t="s">
        <v>329</v>
      </c>
    </row>
    <row r="81" customFormat="false" ht="15" hidden="false" customHeight="false" outlineLevel="0" collapsed="false">
      <c r="A81" s="36" t="n">
        <v>1</v>
      </c>
      <c r="B81" s="37" t="n">
        <f aca="false">1+IF($G$6=$E$6,$F$6,IF(P81&lt;($F$6-$E$6)/($G$6-$E$6),$E$6+SQRT(P81*($G$6-$E$6)*($F$6-$E$6)),$G$6-SQRT((1-P81)*($G$6-$E$6)*($G$6-$F$6))))</f>
        <v>0.958092713324729</v>
      </c>
      <c r="C81" s="37" t="n">
        <f aca="false">1+IF($G$7=$E$7,$F$7,IF(Q81&lt;($F$7-$E$7)/($G$7-$E$7),$E$7+SQRT(Q81*($G$7-$E$7)*($F$7-$E$7)),$G$7-SQRT((1-Q81)*($G$7-$E$7)*($G$7-$F$7))))</f>
        <v>0.823218927850265</v>
      </c>
      <c r="D81" s="37" t="n">
        <f aca="false">1+IF($G$8=$E$8,$F$8,IF(R81&lt;($F$8-$E$8)/($G$8-$E$8),$E$8+SQRT(R81*($G$8-$E$8)*($F$8-$E$8)),$G$8-SQRT((1-R81)*($G$8-$E$8)*($G$8-$F$8))))</f>
        <v>1.06947662694984</v>
      </c>
      <c r="E81" s="37" t="n">
        <f aca="false">1+IF($G$9=$E$9,$F$9,IF(S81&lt;($F$9-$E$9)/($G$9-$E$9),$E$9+SQRT(S81*($G$9-$E$9)*($F$9-$E$9)),$G$9-SQRT((1-S81)*($G$9-$E$9)*($G$9-$F$9))))</f>
        <v>0.982814787031127</v>
      </c>
      <c r="F81" s="37" t="n">
        <f aca="false">1+IF($G$10=$E$10,$F$10,IF(T81&lt;($F$10-$E$10)/($G$10-$E$10),$E$10+SQRT(T81*($G$10-$E$10)*($F$10-$E$10)),$G$10-SQRT((1-T81)*($G$10-$E$10)*($G$10-$F$10))))</f>
        <v>1.21100349518889</v>
      </c>
      <c r="G81" s="38" t="n">
        <f aca="false">IF($G$11=$E$11,$F$11,IF(U81&lt;($F$11-$E$11)/($G$11-$E$11),$E$11+SQRT(U81*($G$11-$E$11)*($F$11-$E$11)),$G$11-SQRT((1-U81)*($G$11-$E$11)*($G$11-$F$11))))</f>
        <v>0.0858618230008832</v>
      </c>
      <c r="H81" s="39" t="n">
        <f aca="false">(('Business Case'!B11*$C81*'Business Case'!B12*$B81)-'Business Case'!B11*$C81*'Business Case'!B13*$D81-'Business Case'!B14*$E81)-MAX(0,(('Business Case'!B11*$C81*'Business Case'!B12*$B81)-'Business Case'!B11*$C81*'Business Case'!B13*$D81-'Business Case'!B14*$E81))*'Business Case'!$B$7-'Business Case'!$B$8*('Business Case'!B11*$C81*'Business Case'!B12*$B81)-'Business Case'!B15*$F81</f>
        <v>-2422006990.37779</v>
      </c>
      <c r="I81" s="39" t="n">
        <f aca="false">(('Business Case'!C11*$C81*'Business Case'!C12*$B81)-'Business Case'!C11*$C81*'Business Case'!C13*$D81-'Business Case'!C14*$E81)-MAX(0,(('Business Case'!C11*$C81*'Business Case'!C12*$B81)-'Business Case'!C11*$C81*'Business Case'!C13*$D81-'Business Case'!C14*$E81))*'Business Case'!$B$7-'Business Case'!$B$8*(('Business Case'!C11*$C81*'Business Case'!C12*$B81)-('Business Case'!B11*$C81*'Business Case'!B12*$B81))-'Business Case'!C15*$F81</f>
        <v>-106426574.895753</v>
      </c>
      <c r="J81" s="39" t="n">
        <f aca="false">(('Business Case'!D11*$C81*'Business Case'!D12*$B81)-'Business Case'!D11*$C81*'Business Case'!D13*$D81-'Business Case'!D14*$E81)-MAX(0,(('Business Case'!D11*$C81*'Business Case'!D12*$B81)-'Business Case'!D11*$C81*'Business Case'!D13*$D81-'Business Case'!D14*$E81))*'Business Case'!$B$7-'Business Case'!$B$8*(('Business Case'!D11*$C81*'Business Case'!D12*$B81)-('Business Case'!C11*$C81*'Business Case'!C12*$B81))-'Business Case'!D15*$F81</f>
        <v>88890710.1589155</v>
      </c>
      <c r="K81" s="39" t="n">
        <f aca="false">(('Business Case'!E11*$C81*'Business Case'!E12*$B81)-'Business Case'!E11*$C81*'Business Case'!E13*$D81-'Business Case'!E14*$E81)-MAX(0,(('Business Case'!E11*$C81*'Business Case'!E12*$B81)-'Business Case'!E11*$C81*'Business Case'!E13*$D81-'Business Case'!E14*$E81))*'Business Case'!$B$7-'Business Case'!$B$8*(('Business Case'!E11*$C81*'Business Case'!E12*$B81)-('Business Case'!D11*$C81*'Business Case'!D12*$B81))-'Business Case'!E15*$F81</f>
        <v>344758169.973029</v>
      </c>
      <c r="L81" s="39" t="n">
        <f aca="false">(('Business Case'!F11*$C81*'Business Case'!F12*$B81)-'Business Case'!F11*$C81*'Business Case'!F13*$D81-'Business Case'!F14*$E81)-MAX(0,(('Business Case'!F11*$C81*'Business Case'!F12*$B81)-'Business Case'!F11*$C81*'Business Case'!F13*$D81-'Business Case'!F14*$E81))*'Business Case'!$B$7-'Business Case'!$B$8*(('Business Case'!F11*$C81*'Business Case'!F12*$B81)-('Business Case'!E11*$C81*'Business Case'!E12*$B81))-'Business Case'!F15*$F81</f>
        <v>437122096.801723</v>
      </c>
      <c r="M81" s="39" t="n">
        <f aca="false">(('Business Case'!G11*$C81*'Business Case'!G12*$B81)-'Business Case'!G11*$C81*'Business Case'!G13*$D81-'Business Case'!G14*$E81)-MAX(0,(('Business Case'!G11*$C81*'Business Case'!G12*$B81)-'Business Case'!G11*$C81*'Business Case'!G13*$D81-'Business Case'!G14*$E81))*'Business Case'!$B$7-'Business Case'!$B$8*(('Business Case'!G11*$C81*'Business Case'!G12*$B81)-('Business Case'!F11*$C81*'Business Case'!F12*$B81))-'Business Case'!G15*$F81+'Business Case'!$B$8*('Business Case'!G11*$C81*'Business Case'!G12*$B81)</f>
        <v>587042005.092646</v>
      </c>
      <c r="N81" s="39" t="n">
        <f aca="false">IF(COUNT('Business Case'!B11:G11)=0,"",H81+NPV(G81,I81:M81))</f>
        <v>-1472078812.26203</v>
      </c>
      <c r="P81" s="40" t="n">
        <f aca="true">RAND()</f>
        <v>0.224984222761946</v>
      </c>
      <c r="Q81" s="40" t="n">
        <f aca="true">RAND()</f>
        <v>0.112465956893102</v>
      </c>
      <c r="R81" s="40" t="n">
        <f aca="true">RAND()</f>
        <v>0.937888246509402</v>
      </c>
      <c r="S81" s="40" t="n">
        <f aca="true">RAND()</f>
        <v>0.274331558040434</v>
      </c>
      <c r="T81" s="40" t="n">
        <f aca="true">RAND()</f>
        <v>0.979723634833566</v>
      </c>
      <c r="U81" s="40" t="n">
        <f aca="true">RAND()</f>
        <v>0.0343609688936836</v>
      </c>
    </row>
    <row r="82" customFormat="false" ht="15" hidden="false" customHeight="false" outlineLevel="0" collapsed="false">
      <c r="A82" s="36" t="n">
        <v>2</v>
      </c>
      <c r="B82" s="37" t="n">
        <f aca="false">1+IF($G$6=$E$6,$F$6,IF(P82&lt;($F$6-$E$6)/($G$6-$E$6),$E$6+SQRT(P82*($G$6-$E$6)*($F$6-$E$6)),$G$6-SQRT((1-P82)*($G$6-$E$6)*($G$6-$F$6))))</f>
        <v>0.95664719166791</v>
      </c>
      <c r="C82" s="37" t="n">
        <f aca="false">1+IF($G$7=$E$7,$F$7,IF(Q82&lt;($F$7-$E$7)/($G$7-$E$7),$E$7+SQRT(Q82*($G$7-$E$7)*($F$7-$E$7)),$G$7-SQRT((1-Q82)*($G$7-$E$7)*($G$7-$F$7))))</f>
        <v>0.865883339228683</v>
      </c>
      <c r="D82" s="37" t="n">
        <f aca="false">1+IF($G$8=$E$8,$F$8,IF(R82&lt;($F$8-$E$8)/($G$8-$E$8),$E$8+SQRT(R82*($G$8-$E$8)*($F$8-$E$8)),$G$8-SQRT((1-R82)*($G$8-$E$8)*($G$8-$F$8))))</f>
        <v>0.98687158871475</v>
      </c>
      <c r="E82" s="37" t="n">
        <f aca="false">1+IF($G$9=$E$9,$F$9,IF(S82&lt;($F$9-$E$9)/($G$9-$E$9),$E$9+SQRT(S82*($G$9-$E$9)*($F$9-$E$9)),$G$9-SQRT((1-S82)*($G$9-$E$9)*($G$9-$F$9))))</f>
        <v>0.916485177606788</v>
      </c>
      <c r="F82" s="37" t="n">
        <f aca="false">1+IF($G$10=$E$10,$F$10,IF(T82&lt;($F$10-$E$10)/($G$10-$E$10),$E$10+SQRT(T82*($G$10-$E$10)*($F$10-$E$10)),$G$10-SQRT((1-T82)*($G$10-$E$10)*($G$10-$F$10))))</f>
        <v>1.01006415258951</v>
      </c>
      <c r="G82" s="38" t="n">
        <f aca="false">IF($G$11=$E$11,$F$11,IF(U82&lt;($F$11-$E$11)/($G$11-$E$11),$E$11+SQRT(U82*($G$11-$E$11)*($F$11-$E$11)),$G$11-SQRT((1-U82)*($G$11-$E$11)*($G$11-$F$11))))</f>
        <v>0.087906031461202</v>
      </c>
      <c r="H82" s="39" t="n">
        <f aca="false">(('Business Case'!B11*$C82*'Business Case'!B12*$B82)-'Business Case'!B11*$C82*'Business Case'!B13*$D82-'Business Case'!B14*$E82)-MAX(0,(('Business Case'!B11*$C82*'Business Case'!B12*$B82)-'Business Case'!B11*$C82*'Business Case'!B13*$D82-'Business Case'!B14*$E82))*'Business Case'!$B$7-'Business Case'!$B$8*('Business Case'!B11*$C82*'Business Case'!B12*$B82)-'Business Case'!B15*$F82</f>
        <v>-2020128305.17901</v>
      </c>
      <c r="I82" s="39" t="n">
        <f aca="false">(('Business Case'!C11*$C82*'Business Case'!C12*$B82)-'Business Case'!C11*$C82*'Business Case'!C13*$D82-'Business Case'!C14*$E82)-MAX(0,(('Business Case'!C11*$C82*'Business Case'!C12*$B82)-'Business Case'!C11*$C82*'Business Case'!C13*$D82-'Business Case'!C14*$E82))*'Business Case'!$B$7-'Business Case'!$B$8*(('Business Case'!C11*$C82*'Business Case'!C12*$B82)-('Business Case'!B11*$C82*'Business Case'!B12*$B82))-'Business Case'!C15*$F82</f>
        <v>-33241580.2751011</v>
      </c>
      <c r="J82" s="39" t="n">
        <f aca="false">(('Business Case'!D11*$C82*'Business Case'!D12*$B82)-'Business Case'!D11*$C82*'Business Case'!D13*$D82-'Business Case'!D14*$E82)-MAX(0,(('Business Case'!D11*$C82*'Business Case'!D12*$B82)-'Business Case'!D11*$C82*'Business Case'!D13*$D82-'Business Case'!D14*$E82))*'Business Case'!$B$7-'Business Case'!$B$8*(('Business Case'!D11*$C82*'Business Case'!D12*$B82)-('Business Case'!C11*$C82*'Business Case'!C12*$B82))-'Business Case'!D15*$F82</f>
        <v>207788844.754896</v>
      </c>
      <c r="K82" s="39" t="n">
        <f aca="false">(('Business Case'!E11*$C82*'Business Case'!E12*$B82)-'Business Case'!E11*$C82*'Business Case'!E13*$D82-'Business Case'!E14*$E82)-MAX(0,(('Business Case'!E11*$C82*'Business Case'!E12*$B82)-'Business Case'!E11*$C82*'Business Case'!E13*$D82-'Business Case'!E14*$E82))*'Business Case'!$B$7-'Business Case'!$B$8*(('Business Case'!E11*$C82*'Business Case'!E12*$B82)-('Business Case'!D11*$C82*'Business Case'!D12*$B82))-'Business Case'!E15*$F82</f>
        <v>499322477.414369</v>
      </c>
      <c r="L82" s="39" t="n">
        <f aca="false">(('Business Case'!F11*$C82*'Business Case'!F12*$B82)-'Business Case'!F11*$C82*'Business Case'!F13*$D82-'Business Case'!F14*$E82)-MAX(0,(('Business Case'!F11*$C82*'Business Case'!F12*$B82)-'Business Case'!F11*$C82*'Business Case'!F13*$D82-'Business Case'!F14*$E82))*'Business Case'!$B$7-'Business Case'!$B$8*(('Business Case'!F11*$C82*'Business Case'!F12*$B82)-('Business Case'!E11*$C82*'Business Case'!E12*$B82))-'Business Case'!F15*$F82</f>
        <v>608293550.951343</v>
      </c>
      <c r="M82" s="39" t="n">
        <f aca="false">(('Business Case'!G11*$C82*'Business Case'!G12*$B82)-'Business Case'!G11*$C82*'Business Case'!G13*$D82-'Business Case'!G14*$E82)-MAX(0,(('Business Case'!G11*$C82*'Business Case'!G12*$B82)-'Business Case'!G11*$C82*'Business Case'!G13*$D82-'Business Case'!G14*$E82))*'Business Case'!$B$7-'Business Case'!$B$8*(('Business Case'!G11*$C82*'Business Case'!G12*$B82)-('Business Case'!F11*$C82*'Business Case'!F12*$B82))-'Business Case'!G15*$F82+'Business Case'!$B$8*('Business Case'!G11*$C82*'Business Case'!G12*$B82)</f>
        <v>765745342.849704</v>
      </c>
      <c r="N82" s="39" t="n">
        <f aca="false">IF(COUNT('Business Case'!B11:G11)=0,"",H82+NPV(G82,I82:M82))</f>
        <v>-550571137.76595</v>
      </c>
      <c r="P82" s="40" t="n">
        <f aca="true">RAND()</f>
        <v>0.213926954924058</v>
      </c>
      <c r="Q82" s="40" t="n">
        <f aca="true">RAND()</f>
        <v>0.20383172024932</v>
      </c>
      <c r="R82" s="40" t="n">
        <f aca="true">RAND()</f>
        <v>0.181268540579953</v>
      </c>
      <c r="S82" s="40" t="n">
        <f aca="true">RAND()</f>
        <v>0.0108704432290942</v>
      </c>
      <c r="T82" s="40" t="n">
        <f aca="true">RAND()</f>
        <v>0.23241052169878</v>
      </c>
      <c r="U82" s="40" t="n">
        <f aca="true">RAND()</f>
        <v>0.0625053334655151</v>
      </c>
    </row>
    <row r="83" customFormat="false" ht="15" hidden="false" customHeight="false" outlineLevel="0" collapsed="false">
      <c r="A83" s="36" t="n">
        <v>3</v>
      </c>
      <c r="B83" s="37" t="n">
        <f aca="false">1+IF($G$6=$E$6,$F$6,IF(P83&lt;($F$6-$E$6)/($G$6-$E$6),$E$6+SQRT(P83*($G$6-$E$6)*($F$6-$E$6)),$G$6-SQRT((1-P83)*($G$6-$E$6)*($G$6-$F$6))))</f>
        <v>0.989324031458652</v>
      </c>
      <c r="C83" s="37" t="n">
        <f aca="false">1+IF($G$7=$E$7,$F$7,IF(Q83&lt;($F$7-$E$7)/($G$7-$E$7),$E$7+SQRT(Q83*($G$7-$E$7)*($F$7-$E$7)),$G$7-SQRT((1-Q83)*($G$7-$E$7)*($G$7-$F$7))))</f>
        <v>0.998866131518333</v>
      </c>
      <c r="D83" s="37" t="n">
        <f aca="false">1+IF($G$8=$E$8,$F$8,IF(R83&lt;($F$8-$E$8)/($G$8-$E$8),$E$8+SQRT(R83*($G$8-$E$8)*($F$8-$E$8)),$G$8-SQRT((1-R83)*($G$8-$E$8)*($G$8-$F$8))))</f>
        <v>0.997919102692691</v>
      </c>
      <c r="E83" s="37" t="n">
        <f aca="false">1+IF($G$9=$E$9,$F$9,IF(S83&lt;($F$9-$E$9)/($G$9-$E$9),$E$9+SQRT(S83*($G$9-$E$9)*($F$9-$E$9)),$G$9-SQRT((1-S83)*($G$9-$E$9)*($G$9-$F$9))))</f>
        <v>0.985464098086198</v>
      </c>
      <c r="F83" s="37" t="n">
        <f aca="false">1+IF($G$10=$E$10,$F$10,IF(T83&lt;($F$10-$E$10)/($G$10-$E$10),$E$10+SQRT(T83*($G$10-$E$10)*($F$10-$E$10)),$G$10-SQRT((1-T83)*($G$10-$E$10)*($G$10-$F$10))))</f>
        <v>0.971238951174157</v>
      </c>
      <c r="G83" s="38" t="n">
        <f aca="false">IF($G$11=$E$11,$F$11,IF(U83&lt;($F$11-$E$11)/($G$11-$E$11),$E$11+SQRT(U83*($G$11-$E$11)*($F$11-$E$11)),$G$11-SQRT((1-U83)*($G$11-$E$11)*($G$11-$F$11))))</f>
        <v>0.101475092255968</v>
      </c>
      <c r="H83" s="39" t="n">
        <f aca="false">(('Business Case'!B11*$C83*'Business Case'!B12*$B83)-'Business Case'!B11*$C83*'Business Case'!B13*$D83-'Business Case'!B14*$E83)-MAX(0,(('Business Case'!B11*$C83*'Business Case'!B12*$B83)-'Business Case'!B11*$C83*'Business Case'!B13*$D83-'Business Case'!B14*$E83))*'Business Case'!$B$7-'Business Case'!$B$8*('Business Case'!B11*$C83*'Business Case'!B12*$B83)-'Business Case'!B15*$F83</f>
        <v>-1942477902.34831</v>
      </c>
      <c r="I83" s="39" t="n">
        <f aca="false">(('Business Case'!C11*$C83*'Business Case'!C12*$B83)-'Business Case'!C11*$C83*'Business Case'!C13*$D83-'Business Case'!C14*$E83)-MAX(0,(('Business Case'!C11*$C83*'Business Case'!C12*$B83)-'Business Case'!C11*$C83*'Business Case'!C13*$D83-'Business Case'!C14*$E83))*'Business Case'!$B$7-'Business Case'!$B$8*(('Business Case'!C11*$C83*'Business Case'!C12*$B83)-('Business Case'!B11*$C83*'Business Case'!B12*$B83))-'Business Case'!C15*$F83</f>
        <v>10648007.755859</v>
      </c>
      <c r="J83" s="39" t="n">
        <f aca="false">(('Business Case'!D11*$C83*'Business Case'!D12*$B83)-'Business Case'!D11*$C83*'Business Case'!D13*$D83-'Business Case'!D14*$E83)-MAX(0,(('Business Case'!D11*$C83*'Business Case'!D12*$B83)-'Business Case'!D11*$C83*'Business Case'!D13*$D83-'Business Case'!D14*$E83))*'Business Case'!$B$7-'Business Case'!$B$8*(('Business Case'!D11*$C83*'Business Case'!D12*$B83)-('Business Case'!C11*$C83*'Business Case'!C12*$B83))-'Business Case'!D15*$F83</f>
        <v>309781310.956395</v>
      </c>
      <c r="K83" s="39" t="n">
        <f aca="false">(('Business Case'!E11*$C83*'Business Case'!E12*$B83)-'Business Case'!E11*$C83*'Business Case'!E13*$D83-'Business Case'!E14*$E83)-MAX(0,(('Business Case'!E11*$C83*'Business Case'!E12*$B83)-'Business Case'!E11*$C83*'Business Case'!E13*$D83-'Business Case'!E14*$E83))*'Business Case'!$B$7-'Business Case'!$B$8*(('Business Case'!E11*$C83*'Business Case'!E12*$B83)-('Business Case'!D11*$C83*'Business Case'!D12*$B83))-'Business Case'!E15*$F83</f>
        <v>657476561.71564</v>
      </c>
      <c r="L83" s="39" t="n">
        <f aca="false">(('Business Case'!F11*$C83*'Business Case'!F12*$B83)-'Business Case'!F11*$C83*'Business Case'!F13*$D83-'Business Case'!F14*$E83)-MAX(0,(('Business Case'!F11*$C83*'Business Case'!F12*$B83)-'Business Case'!F11*$C83*'Business Case'!F13*$D83-'Business Case'!F14*$E83))*'Business Case'!$B$7-'Business Case'!$B$8*(('Business Case'!F11*$C83*'Business Case'!F12*$B83)-('Business Case'!E11*$C83*'Business Case'!E12*$B83))-'Business Case'!F15*$F83</f>
        <v>791339933.168754</v>
      </c>
      <c r="M83" s="39" t="n">
        <f aca="false">(('Business Case'!G11*$C83*'Business Case'!G12*$B83)-'Business Case'!G11*$C83*'Business Case'!G13*$D83-'Business Case'!G14*$E83)-MAX(0,(('Business Case'!G11*$C83*'Business Case'!G12*$B83)-'Business Case'!G11*$C83*'Business Case'!G13*$D83-'Business Case'!G14*$E83))*'Business Case'!$B$7-'Business Case'!$B$8*(('Business Case'!G11*$C83*'Business Case'!G12*$B83)-('Business Case'!F11*$C83*'Business Case'!F12*$B83))-'Business Case'!G15*$F83+'Business Case'!$B$8*('Business Case'!G11*$C83*'Business Case'!G12*$B83)</f>
        <v>979177420.293237</v>
      </c>
      <c r="N83" s="39" t="n">
        <f aca="false">IF(COUNT('Business Case'!B11:G11)=0,"",H83+NPV(G83,I83:M83))</f>
        <v>-43950318.3356769</v>
      </c>
      <c r="P83" s="40" t="n">
        <f aca="true">RAND()</f>
        <v>0.531918839735085</v>
      </c>
      <c r="Q83" s="40" t="n">
        <f aca="true">RAND()</f>
        <v>0.661636774583211</v>
      </c>
      <c r="R83" s="40" t="n">
        <f aca="true">RAND()</f>
        <v>0.306165387049691</v>
      </c>
      <c r="S83" s="40" t="n">
        <f aca="true">RAND()</f>
        <v>0.292164482467489</v>
      </c>
      <c r="T83" s="40" t="n">
        <f aca="true">RAND()</f>
        <v>0.0300728697985481</v>
      </c>
      <c r="U83" s="40" t="n">
        <f aca="true">RAND()</f>
        <v>0.457553092129629</v>
      </c>
    </row>
    <row r="84" customFormat="false" ht="15" hidden="false" customHeight="false" outlineLevel="0" collapsed="false">
      <c r="A84" s="36" t="n">
        <v>4</v>
      </c>
      <c r="B84" s="37" t="n">
        <f aca="false">1+IF($G$6=$E$6,$F$6,IF(P84&lt;($F$6-$E$6)/($G$6-$E$6),$E$6+SQRT(P84*($G$6-$E$6)*($F$6-$E$6)),$G$6-SQRT((1-P84)*($G$6-$E$6)*($G$6-$F$6))))</f>
        <v>0.91596639795405</v>
      </c>
      <c r="C84" s="37" t="n">
        <f aca="false">1+IF($G$7=$E$7,$F$7,IF(Q84&lt;($F$7-$E$7)/($G$7-$E$7),$E$7+SQRT(Q84*($G$7-$E$7)*($F$7-$E$7)),$G$7-SQRT((1-Q84)*($G$7-$E$7)*($G$7-$F$7))))</f>
        <v>0.989849897160629</v>
      </c>
      <c r="D84" s="37" t="n">
        <f aca="false">1+IF($G$8=$E$8,$F$8,IF(R84&lt;($F$8-$E$8)/($G$8-$E$8),$E$8+SQRT(R84*($G$8-$E$8)*($F$8-$E$8)),$G$8-SQRT((1-R84)*($G$8-$E$8)*($G$8-$F$8))))</f>
        <v>0.973005337919895</v>
      </c>
      <c r="E84" s="37" t="n">
        <f aca="false">1+IF($G$9=$E$9,$F$9,IF(S84&lt;($F$9-$E$9)/($G$9-$E$9),$E$9+SQRT(S84*($G$9-$E$9)*($F$9-$E$9)),$G$9-SQRT((1-S84)*($G$9-$E$9)*($G$9-$F$9))))</f>
        <v>0.983059557562746</v>
      </c>
      <c r="F84" s="37" t="n">
        <f aca="false">1+IF($G$10=$E$10,$F$10,IF(T84&lt;($F$10-$E$10)/($G$10-$E$10),$E$10+SQRT(T84*($G$10-$E$10)*($F$10-$E$10)),$G$10-SQRT((1-T84)*($G$10-$E$10)*($G$10-$F$10))))</f>
        <v>1.13339499606836</v>
      </c>
      <c r="G84" s="38" t="n">
        <f aca="false">IF($G$11=$E$11,$F$11,IF(U84&lt;($F$11-$E$11)/($G$11-$E$11),$E$11+SQRT(U84*($G$11-$E$11)*($F$11-$E$11)),$G$11-SQRT((1-U84)*($G$11-$E$11)*($G$11-$F$11))))</f>
        <v>0.112320477281642</v>
      </c>
      <c r="H84" s="39" t="n">
        <f aca="false">(('Business Case'!B11*$C84*'Business Case'!B12*$B84)-'Business Case'!B11*$C84*'Business Case'!B13*$D84-'Business Case'!B14*$E84)-MAX(0,(('Business Case'!B11*$C84*'Business Case'!B12*$B84)-'Business Case'!B11*$C84*'Business Case'!B13*$D84-'Business Case'!B14*$E84))*'Business Case'!$B$7-'Business Case'!$B$8*('Business Case'!B11*$C84*'Business Case'!B12*$B84)-'Business Case'!B15*$F84</f>
        <v>-2266789992.13672</v>
      </c>
      <c r="I84" s="39" t="n">
        <f aca="false">(('Business Case'!C11*$C84*'Business Case'!C12*$B84)-'Business Case'!C11*$C84*'Business Case'!C13*$D84-'Business Case'!C14*$E84)-MAX(0,(('Business Case'!C11*$C84*'Business Case'!C12*$B84)-'Business Case'!C11*$C84*'Business Case'!C13*$D84-'Business Case'!C14*$E84))*'Business Case'!$B$7-'Business Case'!$B$8*(('Business Case'!C11*$C84*'Business Case'!C12*$B84)-('Business Case'!B11*$C84*'Business Case'!B12*$B84))-'Business Case'!C15*$F84</f>
        <v>-50550027.9563115</v>
      </c>
      <c r="J84" s="39" t="n">
        <f aca="false">(('Business Case'!D11*$C84*'Business Case'!D12*$B84)-'Business Case'!D11*$C84*'Business Case'!D13*$D84-'Business Case'!D14*$E84)-MAX(0,(('Business Case'!D11*$C84*'Business Case'!D12*$B84)-'Business Case'!D11*$C84*'Business Case'!D13*$D84-'Business Case'!D14*$E84))*'Business Case'!$B$7-'Business Case'!$B$8*(('Business Case'!D11*$C84*'Business Case'!D12*$B84)-('Business Case'!C11*$C84*'Business Case'!C12*$B84))-'Business Case'!D15*$F84</f>
        <v>199032246.43097</v>
      </c>
      <c r="K84" s="39" t="n">
        <f aca="false">(('Business Case'!E11*$C84*'Business Case'!E12*$B84)-'Business Case'!E11*$C84*'Business Case'!E13*$D84-'Business Case'!E14*$E84)-MAX(0,(('Business Case'!E11*$C84*'Business Case'!E12*$B84)-'Business Case'!E11*$C84*'Business Case'!E13*$D84-'Business Case'!E14*$E84))*'Business Case'!$B$7-'Business Case'!$B$8*(('Business Case'!E11*$C84*'Business Case'!E12*$B84)-('Business Case'!D11*$C84*'Business Case'!D12*$B84))-'Business Case'!E15*$F84</f>
        <v>505284270.62167</v>
      </c>
      <c r="L84" s="39" t="n">
        <f aca="false">(('Business Case'!F11*$C84*'Business Case'!F12*$B84)-'Business Case'!F11*$C84*'Business Case'!F13*$D84-'Business Case'!F14*$E84)-MAX(0,(('Business Case'!F11*$C84*'Business Case'!F12*$B84)-'Business Case'!F11*$C84*'Business Case'!F13*$D84-'Business Case'!F14*$E84))*'Business Case'!$B$7-'Business Case'!$B$8*(('Business Case'!F11*$C84*'Business Case'!F12*$B84)-('Business Case'!E11*$C84*'Business Case'!E12*$B84))-'Business Case'!F15*$F84</f>
        <v>619812851.184986</v>
      </c>
      <c r="M84" s="39" t="n">
        <f aca="false">(('Business Case'!G11*$C84*'Business Case'!G12*$B84)-'Business Case'!G11*$C84*'Business Case'!G13*$D84-'Business Case'!G14*$E84)-MAX(0,(('Business Case'!G11*$C84*'Business Case'!G12*$B84)-'Business Case'!G11*$C84*'Business Case'!G13*$D84-'Business Case'!G14*$E84))*'Business Case'!$B$7-'Business Case'!$B$8*(('Business Case'!G11*$C84*'Business Case'!G12*$B84)-('Business Case'!F11*$C84*'Business Case'!F12*$B84))-'Business Case'!G15*$F84+'Business Case'!$B$8*('Business Case'!G11*$C84*'Business Case'!G12*$B84)</f>
        <v>792152541.239879</v>
      </c>
      <c r="N84" s="39" t="n">
        <f aca="false">IF(COUNT('Business Case'!B11:G11)=0,"",H84+NPV(G84,I84:M84))</f>
        <v>-914103360.240634</v>
      </c>
      <c r="P84" s="40" t="n">
        <f aca="true">RAND()</f>
        <v>0.0169950575751386</v>
      </c>
      <c r="Q84" s="40" t="n">
        <f aca="true">RAND()</f>
        <v>0.622318243585389</v>
      </c>
      <c r="R84" s="40" t="n">
        <f aca="true">RAND()</f>
        <v>0.0705660763744752</v>
      </c>
      <c r="S84" s="40" t="n">
        <f aca="true">RAND()</f>
        <v>0.275955604100762</v>
      </c>
      <c r="T84" s="40" t="n">
        <f aca="true">RAND()</f>
        <v>0.818710307441365</v>
      </c>
      <c r="U84" s="40" t="n">
        <f aca="true">RAND()</f>
        <v>0.791622984300712</v>
      </c>
    </row>
    <row r="85" customFormat="false" ht="15" hidden="false" customHeight="false" outlineLevel="0" collapsed="false">
      <c r="A85" s="36" t="n">
        <v>5</v>
      </c>
      <c r="B85" s="37" t="n">
        <f aca="false">1+IF($G$6=$E$6,$F$6,IF(P85&lt;($F$6-$E$6)/($G$6-$E$6),$E$6+SQRT(P85*($G$6-$E$6)*($F$6-$E$6)),$G$6-SQRT((1-P85)*($G$6-$E$6)*($G$6-$F$6))))</f>
        <v>0.993696051403005</v>
      </c>
      <c r="C85" s="37" t="n">
        <f aca="false">1+IF($G$7=$E$7,$F$7,IF(Q85&lt;($F$7-$E$7)/($G$7-$E$7),$E$7+SQRT(Q85*($G$7-$E$7)*($F$7-$E$7)),$G$7-SQRT((1-Q85)*($G$7-$E$7)*($G$7-$F$7))))</f>
        <v>1.06310903405096</v>
      </c>
      <c r="D85" s="37" t="n">
        <f aca="false">1+IF($G$8=$E$8,$F$8,IF(R85&lt;($F$8-$E$8)/($G$8-$E$8),$E$8+SQRT(R85*($G$8-$E$8)*($F$8-$E$8)),$G$8-SQRT((1-R85)*($G$8-$E$8)*($G$8-$F$8))))</f>
        <v>1.05380696321786</v>
      </c>
      <c r="E85" s="37" t="n">
        <f aca="false">1+IF($G$9=$E$9,$F$9,IF(S85&lt;($F$9-$E$9)/($G$9-$E$9),$E$9+SQRT(S85*($G$9-$E$9)*($F$9-$E$9)),$G$9-SQRT((1-S85)*($G$9-$E$9)*($G$9-$F$9))))</f>
        <v>1.08645984779959</v>
      </c>
      <c r="F85" s="37" t="n">
        <f aca="false">1+IF($G$10=$E$10,$F$10,IF(T85&lt;($F$10-$E$10)/($G$10-$E$10),$E$10+SQRT(T85*($G$10-$E$10)*($F$10-$E$10)),$G$10-SQRT((1-T85)*($G$10-$E$10)*($G$10-$F$10))))</f>
        <v>1.08100376804019</v>
      </c>
      <c r="G85" s="38" t="n">
        <f aca="false">IF($G$11=$E$11,$F$11,IF(U85&lt;($F$11-$E$11)/($G$11-$E$11),$E$11+SQRT(U85*($G$11-$E$11)*($F$11-$E$11)),$G$11-SQRT((1-U85)*($G$11-$E$11)*($G$11-$F$11))))</f>
        <v>0.0937392477267008</v>
      </c>
      <c r="H85" s="39" t="n">
        <f aca="false">(('Business Case'!B11*$C85*'Business Case'!B12*$B85)-'Business Case'!B11*$C85*'Business Case'!B13*$D85-'Business Case'!B14*$E85)-MAX(0,(('Business Case'!B11*$C85*'Business Case'!B12*$B85)-'Business Case'!B11*$C85*'Business Case'!B13*$D85-'Business Case'!B14*$E85))*'Business Case'!$B$7-'Business Case'!$B$8*('Business Case'!B11*$C85*'Business Case'!B12*$B85)-'Business Case'!B15*$F85</f>
        <v>-2162007536.08038</v>
      </c>
      <c r="I85" s="39" t="n">
        <f aca="false">(('Business Case'!C11*$C85*'Business Case'!C12*$B85)-'Business Case'!C11*$C85*'Business Case'!C13*$D85-'Business Case'!C14*$E85)-MAX(0,(('Business Case'!C11*$C85*'Business Case'!C12*$B85)-'Business Case'!C11*$C85*'Business Case'!C13*$D85-'Business Case'!C14*$E85))*'Business Case'!$B$7-'Business Case'!$B$8*(('Business Case'!C11*$C85*'Business Case'!C12*$B85)-('Business Case'!B11*$C85*'Business Case'!B12*$B85))-'Business Case'!C15*$F85</f>
        <v>-25595487.2979401</v>
      </c>
      <c r="J85" s="39" t="n">
        <f aca="false">(('Business Case'!D11*$C85*'Business Case'!D12*$B85)-'Business Case'!D11*$C85*'Business Case'!D13*$D85-'Business Case'!D14*$E85)-MAX(0,(('Business Case'!D11*$C85*'Business Case'!D12*$B85)-'Business Case'!D11*$C85*'Business Case'!D13*$D85-'Business Case'!D14*$E85))*'Business Case'!$B$7-'Business Case'!$B$8*(('Business Case'!D11*$C85*'Business Case'!D12*$B85)-('Business Case'!C11*$C85*'Business Case'!C12*$B85))-'Business Case'!D15*$F85</f>
        <v>266168144.371404</v>
      </c>
      <c r="K85" s="39" t="n">
        <f aca="false">(('Business Case'!E11*$C85*'Business Case'!E12*$B85)-'Business Case'!E11*$C85*'Business Case'!E13*$D85-'Business Case'!E14*$E85)-MAX(0,(('Business Case'!E11*$C85*'Business Case'!E12*$B85)-'Business Case'!E11*$C85*'Business Case'!E13*$D85-'Business Case'!E14*$E85))*'Business Case'!$B$7-'Business Case'!$B$8*(('Business Case'!E11*$C85*'Business Case'!E12*$B85)-('Business Case'!D11*$C85*'Business Case'!D12*$B85))-'Business Case'!E15*$F85</f>
        <v>611981964.442758</v>
      </c>
      <c r="L85" s="39" t="n">
        <f aca="false">(('Business Case'!F11*$C85*'Business Case'!F12*$B85)-'Business Case'!F11*$C85*'Business Case'!F13*$D85-'Business Case'!F14*$E85)-MAX(0,(('Business Case'!F11*$C85*'Business Case'!F12*$B85)-'Business Case'!F11*$C85*'Business Case'!F13*$D85-'Business Case'!F14*$E85))*'Business Case'!$B$7-'Business Case'!$B$8*(('Business Case'!F11*$C85*'Business Case'!F12*$B85)-('Business Case'!E11*$C85*'Business Case'!E12*$B85))-'Business Case'!F15*$F85</f>
        <v>745745942.869982</v>
      </c>
      <c r="M85" s="39" t="n">
        <f aca="false">(('Business Case'!G11*$C85*'Business Case'!G12*$B85)-'Business Case'!G11*$C85*'Business Case'!G13*$D85-'Business Case'!G14*$E85)-MAX(0,(('Business Case'!G11*$C85*'Business Case'!G12*$B85)-'Business Case'!G11*$C85*'Business Case'!G13*$D85-'Business Case'!G14*$E85))*'Business Case'!$B$7-'Business Case'!$B$8*(('Business Case'!G11*$C85*'Business Case'!G12*$B85)-('Business Case'!F11*$C85*'Business Case'!F12*$B85))-'Business Case'!G15*$F85+'Business Case'!$B$8*('Business Case'!G11*$C85*'Business Case'!G12*$B85)</f>
        <v>946547832.825917</v>
      </c>
      <c r="N85" s="39" t="n">
        <f aca="false">IF(COUNT('Business Case'!B11:G11)=0,"",H85+NPV(G85,I85:M85))</f>
        <v>-369313606.513255</v>
      </c>
      <c r="P85" s="40" t="n">
        <f aca="true">RAND()</f>
        <v>0.58526333656764</v>
      </c>
      <c r="Q85" s="40" t="n">
        <f aca="true">RAND()</f>
        <v>0.888147556095441</v>
      </c>
      <c r="R85" s="40" t="n">
        <f aca="true">RAND()</f>
        <v>0.857746890189569</v>
      </c>
      <c r="S85" s="40" t="n">
        <f aca="true">RAND()</f>
        <v>0.892337308222617</v>
      </c>
      <c r="T85" s="40" t="n">
        <f aca="true">RAND()</f>
        <v>0.619203647778479</v>
      </c>
      <c r="U85" s="40" t="n">
        <f aca="true">RAND()</f>
        <v>0.188766928095652</v>
      </c>
    </row>
    <row r="86" customFormat="false" ht="15" hidden="false" customHeight="false" outlineLevel="0" collapsed="false">
      <c r="A86" s="36" t="n">
        <v>6</v>
      </c>
      <c r="B86" s="37" t="n">
        <f aca="false">1+IF($G$6=$E$6,$F$6,IF(P86&lt;($F$6-$E$6)/($G$6-$E$6),$E$6+SQRT(P86*($G$6-$E$6)*($F$6-$E$6)),$G$6-SQRT((1-P86)*($G$6-$E$6)*($G$6-$F$6))))</f>
        <v>1.00088407596221</v>
      </c>
      <c r="C86" s="37" t="n">
        <f aca="false">1+IF($G$7=$E$7,$F$7,IF(Q86&lt;($F$7-$E$7)/($G$7-$E$7),$E$7+SQRT(Q86*($G$7-$E$7)*($F$7-$E$7)),$G$7-SQRT((1-Q86)*($G$7-$E$7)*($G$7-$F$7))))</f>
        <v>0.890572314003944</v>
      </c>
      <c r="D86" s="37" t="n">
        <f aca="false">1+IF($G$8=$E$8,$F$8,IF(R86&lt;($F$8-$E$8)/($G$8-$E$8),$E$8+SQRT(R86*($G$8-$E$8)*($F$8-$E$8)),$G$8-SQRT((1-R86)*($G$8-$E$8)*($G$8-$F$8))))</f>
        <v>0.97995732333358</v>
      </c>
      <c r="E86" s="37" t="n">
        <f aca="false">1+IF($G$9=$E$9,$F$9,IF(S86&lt;($F$9-$E$9)/($G$9-$E$9),$E$9+SQRT(S86*($G$9-$E$9)*($F$9-$E$9)),$G$9-SQRT((1-S86)*($G$9-$E$9)*($G$9-$F$9))))</f>
        <v>0.95443723180435</v>
      </c>
      <c r="F86" s="37" t="n">
        <f aca="false">1+IF($G$10=$E$10,$F$10,IF(T86&lt;($F$10-$E$10)/($G$10-$E$10),$E$10+SQRT(T86*($G$10-$E$10)*($F$10-$E$10)),$G$10-SQRT((1-T86)*($G$10-$E$10)*($G$10-$F$10))))</f>
        <v>1.03127754388825</v>
      </c>
      <c r="G86" s="38" t="n">
        <f aca="false">IF($G$11=$E$11,$F$11,IF(U86&lt;($F$11-$E$11)/($G$11-$E$11),$E$11+SQRT(U86*($G$11-$E$11)*($F$11-$E$11)),$G$11-SQRT((1-U86)*($G$11-$E$11)*($G$11-$F$11))))</f>
        <v>0.100567257149195</v>
      </c>
      <c r="H86" s="39" t="n">
        <f aca="false">(('Business Case'!B11*$C86*'Business Case'!B12*$B86)-'Business Case'!B11*$C86*'Business Case'!B13*$D86-'Business Case'!B14*$E86)-MAX(0,(('Business Case'!B11*$C86*'Business Case'!B12*$B86)-'Business Case'!B11*$C86*'Business Case'!B13*$D86-'Business Case'!B14*$E86))*'Business Case'!$B$7-'Business Case'!$B$8*('Business Case'!B11*$C86*'Business Case'!B12*$B86)-'Business Case'!B15*$F86</f>
        <v>-2062555087.77651</v>
      </c>
      <c r="I86" s="39" t="n">
        <f aca="false">(('Business Case'!C11*$C86*'Business Case'!C12*$B86)-'Business Case'!C11*$C86*'Business Case'!C13*$D86-'Business Case'!C14*$E86)-MAX(0,(('Business Case'!C11*$C86*'Business Case'!C12*$B86)-'Business Case'!C11*$C86*'Business Case'!C13*$D86-'Business Case'!C14*$E86))*'Business Case'!$B$7-'Business Case'!$B$8*(('Business Case'!C11*$C86*'Business Case'!C12*$B86)-('Business Case'!B11*$C86*'Business Case'!B12*$B86))-'Business Case'!C15*$F86</f>
        <v>-1733370.65685312</v>
      </c>
      <c r="J86" s="39" t="n">
        <f aca="false">(('Business Case'!D11*$C86*'Business Case'!D12*$B86)-'Business Case'!D11*$C86*'Business Case'!D13*$D86-'Business Case'!D14*$E86)-MAX(0,(('Business Case'!D11*$C86*'Business Case'!D12*$B86)-'Business Case'!D11*$C86*'Business Case'!D13*$D86-'Business Case'!D14*$E86))*'Business Case'!$B$7-'Business Case'!$B$8*(('Business Case'!D11*$C86*'Business Case'!D12*$B86)-('Business Case'!C11*$C86*'Business Case'!C12*$B86))-'Business Case'!D15*$F86</f>
        <v>281590071.568212</v>
      </c>
      <c r="K86" s="39" t="n">
        <f aca="false">(('Business Case'!E11*$C86*'Business Case'!E12*$B86)-'Business Case'!E11*$C86*'Business Case'!E13*$D86-'Business Case'!E14*$E86)-MAX(0,(('Business Case'!E11*$C86*'Business Case'!E12*$B86)-'Business Case'!E11*$C86*'Business Case'!E13*$D86-'Business Case'!E14*$E86))*'Business Case'!$B$7-'Business Case'!$B$8*(('Business Case'!E11*$C86*'Business Case'!E12*$B86)-('Business Case'!D11*$C86*'Business Case'!D12*$B86))-'Business Case'!E15*$F86</f>
        <v>616477390.987689</v>
      </c>
      <c r="L86" s="39" t="n">
        <f aca="false">(('Business Case'!F11*$C86*'Business Case'!F12*$B86)-'Business Case'!F11*$C86*'Business Case'!F13*$D86-'Business Case'!F14*$E86)-MAX(0,(('Business Case'!F11*$C86*'Business Case'!F12*$B86)-'Business Case'!F11*$C86*'Business Case'!F13*$D86-'Business Case'!F14*$E86))*'Business Case'!$B$7-'Business Case'!$B$8*(('Business Case'!F11*$C86*'Business Case'!F12*$B86)-('Business Case'!E11*$C86*'Business Case'!E12*$B86))-'Business Case'!F15*$F86</f>
        <v>741723927.816387</v>
      </c>
      <c r="M86" s="39" t="n">
        <f aca="false">(('Business Case'!G11*$C86*'Business Case'!G12*$B86)-'Business Case'!G11*$C86*'Business Case'!G13*$D86-'Business Case'!G14*$E86)-MAX(0,(('Business Case'!G11*$C86*'Business Case'!G12*$B86)-'Business Case'!G11*$C86*'Business Case'!G13*$D86-'Business Case'!G14*$E86))*'Business Case'!$B$7-'Business Case'!$B$8*(('Business Case'!G11*$C86*'Business Case'!G12*$B86)-('Business Case'!F11*$C86*'Business Case'!F12*$B86))-'Business Case'!G15*$F86+'Business Case'!$B$8*('Business Case'!G11*$C86*'Business Case'!G12*$B86)</f>
        <v>911153569.628272</v>
      </c>
      <c r="N86" s="39" t="n">
        <f aca="false">IF(COUNT('Business Case'!B11:G11)=0,"",H86+NPV(G86,I86:M86))</f>
        <v>-299336129.101361</v>
      </c>
      <c r="P86" s="40" t="n">
        <f aca="true">RAND()</f>
        <v>0.678350134121843</v>
      </c>
      <c r="Q86" s="40" t="n">
        <f aca="true">RAND()</f>
        <v>0.269020791591243</v>
      </c>
      <c r="R86" s="40" t="n">
        <f aca="true">RAND()</f>
        <v>0.119658829508351</v>
      </c>
      <c r="S86" s="40" t="n">
        <f aca="true">RAND()</f>
        <v>0.118536488260822</v>
      </c>
      <c r="T86" s="40" t="n">
        <f aca="true">RAND()</f>
        <v>0.362139829232598</v>
      </c>
      <c r="U86" s="40" t="n">
        <f aca="true">RAND()</f>
        <v>0.422475765518941</v>
      </c>
    </row>
    <row r="87" customFormat="false" ht="15" hidden="false" customHeight="false" outlineLevel="0" collapsed="false">
      <c r="A87" s="36" t="n">
        <v>7</v>
      </c>
      <c r="B87" s="37" t="n">
        <f aca="false">1+IF($G$6=$E$6,$F$6,IF(P87&lt;($F$6-$E$6)/($G$6-$E$6),$E$6+SQRT(P87*($G$6-$E$6)*($F$6-$E$6)),$G$6-SQRT((1-P87)*($G$6-$E$6)*($G$6-$F$6))))</f>
        <v>0.997788367548941</v>
      </c>
      <c r="C87" s="37" t="n">
        <f aca="false">1+IF($G$7=$E$7,$F$7,IF(Q87&lt;($F$7-$E$7)/($G$7-$E$7),$E$7+SQRT(Q87*($G$7-$E$7)*($F$7-$E$7)),$G$7-SQRT((1-Q87)*($G$7-$E$7)*($G$7-$F$7))))</f>
        <v>1.05399068878122</v>
      </c>
      <c r="D87" s="37" t="n">
        <f aca="false">1+IF($G$8=$E$8,$F$8,IF(R87&lt;($F$8-$E$8)/($G$8-$E$8),$E$8+SQRT(R87*($G$8-$E$8)*($F$8-$E$8)),$G$8-SQRT((1-R87)*($G$8-$E$8)*($G$8-$F$8))))</f>
        <v>0.988761319769469</v>
      </c>
      <c r="E87" s="37" t="n">
        <f aca="false">1+IF($G$9=$E$9,$F$9,IF(S87&lt;($F$9-$E$9)/($G$9-$E$9),$E$9+SQRT(S87*($G$9-$E$9)*($F$9-$E$9)),$G$9-SQRT((1-S87)*($G$9-$E$9)*($G$9-$F$9))))</f>
        <v>1.00075863513235</v>
      </c>
      <c r="F87" s="37" t="n">
        <f aca="false">1+IF($G$10=$E$10,$F$10,IF(T87&lt;($F$10-$E$10)/($G$10-$E$10),$E$10+SQRT(T87*($G$10-$E$10)*($F$10-$E$10)),$G$10-SQRT((1-T87)*($G$10-$E$10)*($G$10-$F$10))))</f>
        <v>1.05151279062889</v>
      </c>
      <c r="G87" s="38" t="n">
        <f aca="false">IF($G$11=$E$11,$F$11,IF(U87&lt;($F$11-$E$11)/($G$11-$E$11),$E$11+SQRT(U87*($G$11-$E$11)*($F$11-$E$11)),$G$11-SQRT((1-U87)*($G$11-$E$11)*($G$11-$F$11))))</f>
        <v>0.113874288331861</v>
      </c>
      <c r="H87" s="39" t="n">
        <f aca="false">(('Business Case'!B11*$C87*'Business Case'!B12*$B87)-'Business Case'!B11*$C87*'Business Case'!B13*$D87-'Business Case'!B14*$E87)-MAX(0,(('Business Case'!B11*$C87*'Business Case'!B12*$B87)-'Business Case'!B11*$C87*'Business Case'!B13*$D87-'Business Case'!B14*$E87))*'Business Case'!$B$7-'Business Case'!$B$8*('Business Case'!B11*$C87*'Business Case'!B12*$B87)-'Business Case'!B15*$F87</f>
        <v>-2103025581.25777</v>
      </c>
      <c r="I87" s="39" t="n">
        <f aca="false">(('Business Case'!C11*$C87*'Business Case'!C12*$B87)-'Business Case'!C11*$C87*'Business Case'!C13*$D87-'Business Case'!C14*$E87)-MAX(0,(('Business Case'!C11*$C87*'Business Case'!C12*$B87)-'Business Case'!C11*$C87*'Business Case'!C13*$D87-'Business Case'!C14*$E87))*'Business Case'!$B$7-'Business Case'!$B$8*(('Business Case'!C11*$C87*'Business Case'!C12*$B87)-('Business Case'!B11*$C87*'Business Case'!B12*$B87))-'Business Case'!C15*$F87</f>
        <v>25912795.3593712</v>
      </c>
      <c r="J87" s="39" t="n">
        <f aca="false">(('Business Case'!D11*$C87*'Business Case'!D12*$B87)-'Business Case'!D11*$C87*'Business Case'!D13*$D87-'Business Case'!D14*$E87)-MAX(0,(('Business Case'!D11*$C87*'Business Case'!D12*$B87)-'Business Case'!D11*$C87*'Business Case'!D13*$D87-'Business Case'!D14*$E87))*'Business Case'!$B$7-'Business Case'!$B$8*(('Business Case'!D11*$C87*'Business Case'!D12*$B87)-('Business Case'!C11*$C87*'Business Case'!C12*$B87))-'Business Case'!D15*$F87</f>
        <v>353802783.889729</v>
      </c>
      <c r="K87" s="39" t="n">
        <f aca="false">(('Business Case'!E11*$C87*'Business Case'!E12*$B87)-'Business Case'!E11*$C87*'Business Case'!E13*$D87-'Business Case'!E14*$E87)-MAX(0,(('Business Case'!E11*$C87*'Business Case'!E12*$B87)-'Business Case'!E11*$C87*'Business Case'!E13*$D87-'Business Case'!E14*$E87))*'Business Case'!$B$7-'Business Case'!$B$8*(('Business Case'!E11*$C87*'Business Case'!E12*$B87)-('Business Case'!D11*$C87*'Business Case'!D12*$B87))-'Business Case'!E15*$F87</f>
        <v>734268411.951531</v>
      </c>
      <c r="L87" s="39" t="n">
        <f aca="false">(('Business Case'!F11*$C87*'Business Case'!F12*$B87)-'Business Case'!F11*$C87*'Business Case'!F13*$D87-'Business Case'!F14*$E87)-MAX(0,(('Business Case'!F11*$C87*'Business Case'!F12*$B87)-'Business Case'!F11*$C87*'Business Case'!F13*$D87-'Business Case'!F14*$E87))*'Business Case'!$B$7-'Business Case'!$B$8*(('Business Case'!F11*$C87*'Business Case'!F12*$B87)-('Business Case'!E11*$C87*'Business Case'!E12*$B87))-'Business Case'!F15*$F87</f>
        <v>879910432.256502</v>
      </c>
      <c r="M87" s="39" t="n">
        <f aca="false">(('Business Case'!G11*$C87*'Business Case'!G12*$B87)-'Business Case'!G11*$C87*'Business Case'!G13*$D87-'Business Case'!G14*$E87)-MAX(0,(('Business Case'!G11*$C87*'Business Case'!G12*$B87)-'Business Case'!G11*$C87*'Business Case'!G13*$D87-'Business Case'!G14*$E87))*'Business Case'!$B$7-'Business Case'!$B$8*(('Business Case'!G11*$C87*'Business Case'!G12*$B87)-('Business Case'!F11*$C87*'Business Case'!F12*$B87))-'Business Case'!G15*$F87+'Business Case'!$B$8*('Business Case'!G11*$C87*'Business Case'!G12*$B87)</f>
        <v>1079809898.29486</v>
      </c>
      <c r="N87" s="39" t="n">
        <f aca="false">IF(COUNT('Business Case'!B11:G11)=0,"",H87+NPV(G87,I87:M87))</f>
        <v>-61944342.3221979</v>
      </c>
      <c r="P87" s="40" t="n">
        <f aca="true">RAND()</f>
        <v>0.637504321859123</v>
      </c>
      <c r="Q87" s="40" t="n">
        <f aca="true">RAND()</f>
        <v>0.863440180137709</v>
      </c>
      <c r="R87" s="40" t="n">
        <f aca="true">RAND()</f>
        <v>0.200325321369471</v>
      </c>
      <c r="S87" s="40" t="n">
        <f aca="true">RAND()</f>
        <v>0.40605373366507</v>
      </c>
      <c r="T87" s="40" t="n">
        <f aca="true">RAND()</f>
        <v>0.474704369547571</v>
      </c>
      <c r="U87" s="40" t="n">
        <f aca="true">RAND()</f>
        <v>0.826640948797364</v>
      </c>
    </row>
    <row r="88" customFormat="false" ht="15" hidden="false" customHeight="false" outlineLevel="0" collapsed="false">
      <c r="A88" s="36" t="n">
        <v>8</v>
      </c>
      <c r="B88" s="37" t="n">
        <f aca="false">1+IF($G$6=$E$6,$F$6,IF(P88&lt;($F$6-$E$6)/($G$6-$E$6),$E$6+SQRT(P88*($G$6-$E$6)*($F$6-$E$6)),$G$6-SQRT((1-P88)*($G$6-$E$6)*($G$6-$F$6))))</f>
        <v>0.934114337119739</v>
      </c>
      <c r="C88" s="37" t="n">
        <f aca="false">1+IF($G$7=$E$7,$F$7,IF(Q88&lt;($F$7-$E$7)/($G$7-$E$7),$E$7+SQRT(Q88*($G$7-$E$7)*($F$7-$E$7)),$G$7-SQRT((1-Q88)*($G$7-$E$7)*($G$7-$F$7))))</f>
        <v>0.776804874025393</v>
      </c>
      <c r="D88" s="37" t="n">
        <f aca="false">1+IF($G$8=$E$8,$F$8,IF(R88&lt;($F$8-$E$8)/($G$8-$E$8),$E$8+SQRT(R88*($G$8-$E$8)*($F$8-$E$8)),$G$8-SQRT((1-R88)*($G$8-$E$8)*($G$8-$F$8))))</f>
        <v>0.992899948152724</v>
      </c>
      <c r="E88" s="37" t="n">
        <f aca="false">1+IF($G$9=$E$9,$F$9,IF(S88&lt;($F$9-$E$9)/($G$9-$E$9),$E$9+SQRT(S88*($G$9-$E$9)*($F$9-$E$9)),$G$9-SQRT((1-S88)*($G$9-$E$9)*($G$9-$F$9))))</f>
        <v>1.04969210780939</v>
      </c>
      <c r="F88" s="37" t="n">
        <f aca="false">1+IF($G$10=$E$10,$F$10,IF(T88&lt;($F$10-$E$10)/($G$10-$E$10),$E$10+SQRT(T88*($G$10-$E$10)*($F$10-$E$10)),$G$10-SQRT((1-T88)*($G$10-$E$10)*($G$10-$F$10))))</f>
        <v>1.13443603441832</v>
      </c>
      <c r="G88" s="38" t="n">
        <f aca="false">IF($G$11=$E$11,$F$11,IF(U88&lt;($F$11-$E$11)/($G$11-$E$11),$E$11+SQRT(U88*($G$11-$E$11)*($F$11-$E$11)),$G$11-SQRT((1-U88)*($G$11-$E$11)*($G$11-$F$11))))</f>
        <v>0.104089707324868</v>
      </c>
      <c r="H88" s="39" t="n">
        <f aca="false">(('Business Case'!B11*$C88*'Business Case'!B12*$B88)-'Business Case'!B11*$C88*'Business Case'!B13*$D88-'Business Case'!B14*$E88)-MAX(0,(('Business Case'!B11*$C88*'Business Case'!B12*$B88)-'Business Case'!B11*$C88*'Business Case'!B13*$D88-'Business Case'!B14*$E88))*'Business Case'!$B$7-'Business Case'!$B$8*('Business Case'!B11*$C88*'Business Case'!B12*$B88)-'Business Case'!B15*$F88</f>
        <v>-2268872068.83665</v>
      </c>
      <c r="I88" s="39" t="n">
        <f aca="false">(('Business Case'!C11*$C88*'Business Case'!C12*$B88)-'Business Case'!C11*$C88*'Business Case'!C13*$D88-'Business Case'!C14*$E88)-MAX(0,(('Business Case'!C11*$C88*'Business Case'!C12*$B88)-'Business Case'!C11*$C88*'Business Case'!C13*$D88-'Business Case'!C14*$E88))*'Business Case'!$B$7-'Business Case'!$B$8*(('Business Case'!C11*$C88*'Business Case'!C12*$B88)-('Business Case'!B11*$C88*'Business Case'!B12*$B88))-'Business Case'!C15*$F88</f>
        <v>-100825961.744369</v>
      </c>
      <c r="J88" s="39" t="n">
        <f aca="false">(('Business Case'!D11*$C88*'Business Case'!D12*$B88)-'Business Case'!D11*$C88*'Business Case'!D13*$D88-'Business Case'!D14*$E88)-MAX(0,(('Business Case'!D11*$C88*'Business Case'!D12*$B88)-'Business Case'!D11*$C88*'Business Case'!D13*$D88-'Business Case'!D14*$E88))*'Business Case'!$B$7-'Business Case'!$B$8*(('Business Case'!D11*$C88*'Business Case'!D12*$B88)-('Business Case'!C11*$C88*'Business Case'!C12*$B88))-'Business Case'!D15*$F88</f>
        <v>98674275.390918</v>
      </c>
      <c r="K88" s="39" t="n">
        <f aca="false">(('Business Case'!E11*$C88*'Business Case'!E12*$B88)-'Business Case'!E11*$C88*'Business Case'!E13*$D88-'Business Case'!E14*$E88)-MAX(0,(('Business Case'!E11*$C88*'Business Case'!E12*$B88)-'Business Case'!E11*$C88*'Business Case'!E13*$D88-'Business Case'!E14*$E88))*'Business Case'!$B$7-'Business Case'!$B$8*(('Business Case'!E11*$C88*'Business Case'!E12*$B88)-('Business Case'!D11*$C88*'Business Case'!D12*$B88))-'Business Case'!E15*$F88</f>
        <v>354896314.247122</v>
      </c>
      <c r="L88" s="39" t="n">
        <f aca="false">(('Business Case'!F11*$C88*'Business Case'!F12*$B88)-'Business Case'!F11*$C88*'Business Case'!F13*$D88-'Business Case'!F14*$E88)-MAX(0,(('Business Case'!F11*$C88*'Business Case'!F12*$B88)-'Business Case'!F11*$C88*'Business Case'!F13*$D88-'Business Case'!F14*$E88))*'Business Case'!$B$7-'Business Case'!$B$8*(('Business Case'!F11*$C88*'Business Case'!F12*$B88)-('Business Case'!E11*$C88*'Business Case'!E12*$B88))-'Business Case'!F15*$F88</f>
        <v>446473978.430436</v>
      </c>
      <c r="M88" s="39" t="n">
        <f aca="false">(('Business Case'!G11*$C88*'Business Case'!G12*$B88)-'Business Case'!G11*$C88*'Business Case'!G13*$D88-'Business Case'!G14*$E88)-MAX(0,(('Business Case'!G11*$C88*'Business Case'!G12*$B88)-'Business Case'!G11*$C88*'Business Case'!G13*$D88-'Business Case'!G14*$E88))*'Business Case'!$B$7-'Business Case'!$B$8*(('Business Case'!G11*$C88*'Business Case'!G12*$B88)-('Business Case'!F11*$C88*'Business Case'!F12*$B88))-'Business Case'!G15*$F88+'Business Case'!$B$8*('Business Case'!G11*$C88*'Business Case'!G12*$B88)</f>
        <v>584400696.69064</v>
      </c>
      <c r="N88" s="39" t="n">
        <f aca="false">IF(COUNT('Business Case'!B11:G11)=0,"",H88+NPV(G88,I88:M88))</f>
        <v>-1358909336.53329</v>
      </c>
      <c r="P88" s="40" t="n">
        <f aca="true">RAND()</f>
        <v>0.0775858664746151</v>
      </c>
      <c r="Q88" s="40" t="n">
        <f aca="true">RAND()</f>
        <v>0.0436962124004183</v>
      </c>
      <c r="R88" s="40" t="n">
        <f aca="true">RAND()</f>
        <v>0.245387406867519</v>
      </c>
      <c r="S88" s="40" t="n">
        <f aca="true">RAND()</f>
        <v>0.73168871371406</v>
      </c>
      <c r="T88" s="40" t="n">
        <f aca="true">RAND()</f>
        <v>0.821932931453828</v>
      </c>
      <c r="U88" s="40" t="n">
        <f aca="true">RAND()</f>
        <v>0.552437822326011</v>
      </c>
    </row>
    <row r="89" customFormat="false" ht="15" hidden="false" customHeight="false" outlineLevel="0" collapsed="false">
      <c r="A89" s="36" t="n">
        <v>9</v>
      </c>
      <c r="B89" s="37" t="n">
        <f aca="false">1+IF($G$6=$E$6,$F$6,IF(P89&lt;($F$6-$E$6)/($G$6-$E$6),$E$6+SQRT(P89*($G$6-$E$6)*($F$6-$E$6)),$G$6-SQRT((1-P89)*($G$6-$E$6)*($G$6-$F$6))))</f>
        <v>0.975238015465697</v>
      </c>
      <c r="C89" s="37" t="n">
        <f aca="false">1+IF($G$7=$E$7,$F$7,IF(Q89&lt;($F$7-$E$7)/($G$7-$E$7),$E$7+SQRT(Q89*($G$7-$E$7)*($F$7-$E$7)),$G$7-SQRT((1-Q89)*($G$7-$E$7)*($G$7-$F$7))))</f>
        <v>0.905694565110229</v>
      </c>
      <c r="D89" s="37" t="n">
        <f aca="false">1+IF($G$8=$E$8,$F$8,IF(R89&lt;($F$8-$E$8)/($G$8-$E$8),$E$8+SQRT(R89*($G$8-$E$8)*($F$8-$E$8)),$G$8-SQRT((1-R89)*($G$8-$E$8)*($G$8-$F$8))))</f>
        <v>1.01799813800083</v>
      </c>
      <c r="E89" s="37" t="n">
        <f aca="false">1+IF($G$9=$E$9,$F$9,IF(S89&lt;($F$9-$E$9)/($G$9-$E$9),$E$9+SQRT(S89*($G$9-$E$9)*($F$9-$E$9)),$G$9-SQRT((1-S89)*($G$9-$E$9)*($G$9-$F$9))))</f>
        <v>0.99925605314036</v>
      </c>
      <c r="F89" s="37" t="n">
        <f aca="false">1+IF($G$10=$E$10,$F$10,IF(T89&lt;($F$10-$E$10)/($G$10-$E$10),$E$10+SQRT(T89*($G$10-$E$10)*($F$10-$E$10)),$G$10-SQRT((1-T89)*($G$10-$E$10)*($G$10-$F$10))))</f>
        <v>1.02750026005249</v>
      </c>
      <c r="G89" s="38" t="n">
        <f aca="false">IF($G$11=$E$11,$F$11,IF(U89&lt;($F$11-$E$11)/($G$11-$E$11),$E$11+SQRT(U89*($G$11-$E$11)*($F$11-$E$11)),$G$11-SQRT((1-U89)*($G$11-$E$11)*($G$11-$F$11))))</f>
        <v>0.0902309700406771</v>
      </c>
      <c r="H89" s="39" t="n">
        <f aca="false">(('Business Case'!B11*$C89*'Business Case'!B12*$B89)-'Business Case'!B11*$C89*'Business Case'!B13*$D89-'Business Case'!B14*$E89)-MAX(0,(('Business Case'!B11*$C89*'Business Case'!B12*$B89)-'Business Case'!B11*$C89*'Business Case'!B13*$D89-'Business Case'!B14*$E89))*'Business Case'!$B$7-'Business Case'!$B$8*('Business Case'!B11*$C89*'Business Case'!B12*$B89)-'Business Case'!B15*$F89</f>
        <v>-2055000520.10498</v>
      </c>
      <c r="I89" s="39" t="n">
        <f aca="false">(('Business Case'!C11*$C89*'Business Case'!C12*$B89)-'Business Case'!C11*$C89*'Business Case'!C13*$D89-'Business Case'!C14*$E89)-MAX(0,(('Business Case'!C11*$C89*'Business Case'!C12*$B89)-'Business Case'!C11*$C89*'Business Case'!C13*$D89-'Business Case'!C14*$E89))*'Business Case'!$B$7-'Business Case'!$B$8*(('Business Case'!C11*$C89*'Business Case'!C12*$B89)-('Business Case'!B11*$C89*'Business Case'!B12*$B89))-'Business Case'!C15*$F89</f>
        <v>-39160814.2018687</v>
      </c>
      <c r="J89" s="39" t="n">
        <f aca="false">(('Business Case'!D11*$C89*'Business Case'!D12*$B89)-'Business Case'!D11*$C89*'Business Case'!D13*$D89-'Business Case'!D14*$E89)-MAX(0,(('Business Case'!D11*$C89*'Business Case'!D12*$B89)-'Business Case'!D11*$C89*'Business Case'!D13*$D89-'Business Case'!D14*$E89))*'Business Case'!$B$7-'Business Case'!$B$8*(('Business Case'!D11*$C89*'Business Case'!D12*$B89)-('Business Case'!C11*$C89*'Business Case'!C12*$B89))-'Business Case'!D15*$F89</f>
        <v>212311209.570224</v>
      </c>
      <c r="K89" s="39" t="n">
        <f aca="false">(('Business Case'!E11*$C89*'Business Case'!E12*$B89)-'Business Case'!E11*$C89*'Business Case'!E13*$D89-'Business Case'!E14*$E89)-MAX(0,(('Business Case'!E11*$C89*'Business Case'!E12*$B89)-'Business Case'!E11*$C89*'Business Case'!E13*$D89-'Business Case'!E14*$E89))*'Business Case'!$B$7-'Business Case'!$B$8*(('Business Case'!E11*$C89*'Business Case'!E12*$B89)-('Business Case'!D11*$C89*'Business Case'!D12*$B89))-'Business Case'!E15*$F89</f>
        <v>515158246.344942</v>
      </c>
      <c r="L89" s="39" t="n">
        <f aca="false">(('Business Case'!F11*$C89*'Business Case'!F12*$B89)-'Business Case'!F11*$C89*'Business Case'!F13*$D89-'Business Case'!F14*$E89)-MAX(0,(('Business Case'!F11*$C89*'Business Case'!F12*$B89)-'Business Case'!F11*$C89*'Business Case'!F13*$D89-'Business Case'!F14*$E89))*'Business Case'!$B$7-'Business Case'!$B$8*(('Business Case'!F11*$C89*'Business Case'!F12*$B89)-('Business Case'!E11*$C89*'Business Case'!E12*$B89))-'Business Case'!F15*$F89</f>
        <v>629507988.410408</v>
      </c>
      <c r="M89" s="39" t="n">
        <f aca="false">(('Business Case'!G11*$C89*'Business Case'!G12*$B89)-'Business Case'!G11*$C89*'Business Case'!G13*$D89-'Business Case'!G14*$E89)-MAX(0,(('Business Case'!G11*$C89*'Business Case'!G12*$B89)-'Business Case'!G11*$C89*'Business Case'!G13*$D89-'Business Case'!G14*$E89))*'Business Case'!$B$7-'Business Case'!$B$8*(('Business Case'!G11*$C89*'Business Case'!G12*$B89)-('Business Case'!F11*$C89*'Business Case'!F12*$B89))-'Business Case'!G15*$F89+'Business Case'!$B$8*('Business Case'!G11*$C89*'Business Case'!G12*$B89)</f>
        <v>797399526.188303</v>
      </c>
      <c r="N89" s="39" t="n">
        <f aca="false">IF(COUNT('Business Case'!B11:G11)=0,"",H89+NPV(G89,I89:M89))</f>
        <v>-551466179.726524</v>
      </c>
      <c r="P89" s="40" t="n">
        <f aca="true">RAND()</f>
        <v>0.377383931414434</v>
      </c>
      <c r="Q89" s="40" t="n">
        <f aca="true">RAND()</f>
        <v>0.313409289747304</v>
      </c>
      <c r="R89" s="40" t="n">
        <f aca="true">RAND()</f>
        <v>0.55171297524464</v>
      </c>
      <c r="S89" s="40" t="n">
        <f aca="true">RAND()</f>
        <v>0.394070563400075</v>
      </c>
      <c r="T89" s="40" t="n">
        <f aca="true">RAND()</f>
        <v>0.339918209643874</v>
      </c>
      <c r="U89" s="40" t="n">
        <f aca="true">RAND()</f>
        <v>0.104672747973233</v>
      </c>
    </row>
    <row r="90" customFormat="false" ht="15" hidden="false" customHeight="false" outlineLevel="0" collapsed="false">
      <c r="A90" s="36" t="n">
        <v>10</v>
      </c>
      <c r="B90" s="37" t="n">
        <f aca="false">1+IF($G$6=$E$6,$F$6,IF(P90&lt;($F$6-$E$6)/($G$6-$E$6),$E$6+SQRT(P90*($G$6-$E$6)*($F$6-$E$6)),$G$6-SQRT((1-P90)*($G$6-$E$6)*($G$6-$F$6))))</f>
        <v>0.966416621263906</v>
      </c>
      <c r="C90" s="37" t="n">
        <f aca="false">1+IF($G$7=$E$7,$F$7,IF(Q90&lt;($F$7-$E$7)/($G$7-$E$7),$E$7+SQRT(Q90*($G$7-$E$7)*($F$7-$E$7)),$G$7-SQRT((1-Q90)*($G$7-$E$7)*($G$7-$F$7))))</f>
        <v>0.913636488386668</v>
      </c>
      <c r="D90" s="37" t="n">
        <f aca="false">1+IF($G$8=$E$8,$F$8,IF(R90&lt;($F$8-$E$8)/($G$8-$E$8),$E$8+SQRT(R90*($G$8-$E$8)*($F$8-$E$8)),$G$8-SQRT((1-R90)*($G$8-$E$8)*($G$8-$F$8))))</f>
        <v>0.968904824925062</v>
      </c>
      <c r="E90" s="37" t="n">
        <f aca="false">1+IF($G$9=$E$9,$F$9,IF(S90&lt;($F$9-$E$9)/($G$9-$E$9),$E$9+SQRT(S90*($G$9-$E$9)*($F$9-$E$9)),$G$9-SQRT((1-S90)*($G$9-$E$9)*($G$9-$F$9))))</f>
        <v>0.928294404927871</v>
      </c>
      <c r="F90" s="37" t="n">
        <f aca="false">1+IF($G$10=$E$10,$F$10,IF(T90&lt;($F$10-$E$10)/($G$10-$E$10),$E$10+SQRT(T90*($G$10-$E$10)*($F$10-$E$10)),$G$10-SQRT((1-T90)*($G$10-$E$10)*($G$10-$F$10))))</f>
        <v>1.06241193985841</v>
      </c>
      <c r="G90" s="38" t="n">
        <f aca="false">IF($G$11=$E$11,$F$11,IF(U90&lt;($F$11-$E$11)/($G$11-$E$11),$E$11+SQRT(U90*($G$11-$E$11)*($F$11-$E$11)),$G$11-SQRT((1-U90)*($G$11-$E$11)*($G$11-$F$11))))</f>
        <v>0.0995947078163301</v>
      </c>
      <c r="H90" s="39" t="n">
        <f aca="false">(('Business Case'!B11*$C90*'Business Case'!B12*$B90)-'Business Case'!B11*$C90*'Business Case'!B13*$D90-'Business Case'!B14*$E90)-MAX(0,(('Business Case'!B11*$C90*'Business Case'!B12*$B90)-'Business Case'!B11*$C90*'Business Case'!B13*$D90-'Business Case'!B14*$E90))*'Business Case'!$B$7-'Business Case'!$B$8*('Business Case'!B11*$C90*'Business Case'!B12*$B90)-'Business Case'!B15*$F90</f>
        <v>-2124823879.71682</v>
      </c>
      <c r="I90" s="39" t="n">
        <f aca="false">(('Business Case'!C11*$C90*'Business Case'!C12*$B90)-'Business Case'!C11*$C90*'Business Case'!C13*$D90-'Business Case'!C14*$E90)-MAX(0,(('Business Case'!C11*$C90*'Business Case'!C12*$B90)-'Business Case'!C11*$C90*'Business Case'!C13*$D90-'Business Case'!C14*$E90))*'Business Case'!$B$7-'Business Case'!$B$8*(('Business Case'!C11*$C90*'Business Case'!C12*$B90)-('Business Case'!B11*$C90*'Business Case'!B12*$B90))-'Business Case'!C15*$F90</f>
        <v>-13979792.1213652</v>
      </c>
      <c r="J90" s="39" t="n">
        <f aca="false">(('Business Case'!D11*$C90*'Business Case'!D12*$B90)-'Business Case'!D11*$C90*'Business Case'!D13*$D90-'Business Case'!D14*$E90)-MAX(0,(('Business Case'!D11*$C90*'Business Case'!D12*$B90)-'Business Case'!D11*$C90*'Business Case'!D13*$D90-'Business Case'!D14*$E90))*'Business Case'!$B$7-'Business Case'!$B$8*(('Business Case'!D11*$C90*'Business Case'!D12*$B90)-('Business Case'!C11*$C90*'Business Case'!C12*$B90))-'Business Case'!D15*$F90</f>
        <v>256057382.95059</v>
      </c>
      <c r="K90" s="39" t="n">
        <f aca="false">(('Business Case'!E11*$C90*'Business Case'!E12*$B90)-'Business Case'!E11*$C90*'Business Case'!E13*$D90-'Business Case'!E14*$E90)-MAX(0,(('Business Case'!E11*$C90*'Business Case'!E12*$B90)-'Business Case'!E11*$C90*'Business Case'!E13*$D90-'Business Case'!E14*$E90))*'Business Case'!$B$7-'Business Case'!$B$8*(('Business Case'!E11*$C90*'Business Case'!E12*$B90)-('Business Case'!D11*$C90*'Business Case'!D12*$B90))-'Business Case'!E15*$F90</f>
        <v>579215155.015466</v>
      </c>
      <c r="L90" s="39" t="n">
        <f aca="false">(('Business Case'!F11*$C90*'Business Case'!F12*$B90)-'Business Case'!F11*$C90*'Business Case'!F13*$D90-'Business Case'!F14*$E90)-MAX(0,(('Business Case'!F11*$C90*'Business Case'!F12*$B90)-'Business Case'!F11*$C90*'Business Case'!F13*$D90-'Business Case'!F14*$E90))*'Business Case'!$B$7-'Business Case'!$B$8*(('Business Case'!F11*$C90*'Business Case'!F12*$B90)-('Business Case'!E11*$C90*'Business Case'!E12*$B90))-'Business Case'!F15*$F90</f>
        <v>699742419.257274</v>
      </c>
      <c r="M90" s="39" t="n">
        <f aca="false">(('Business Case'!G11*$C90*'Business Case'!G12*$B90)-'Business Case'!G11*$C90*'Business Case'!G13*$D90-'Business Case'!G14*$E90)-MAX(0,(('Business Case'!G11*$C90*'Business Case'!G12*$B90)-'Business Case'!G11*$C90*'Business Case'!G13*$D90-'Business Case'!G14*$E90))*'Business Case'!$B$7-'Business Case'!$B$8*(('Business Case'!G11*$C90*'Business Case'!G12*$B90)-('Business Case'!F11*$C90*'Business Case'!F12*$B90))-'Business Case'!G15*$F90+'Business Case'!$B$8*('Business Case'!G11*$C90*'Business Case'!G12*$B90)</f>
        <v>867574218.28864</v>
      </c>
      <c r="N90" s="39" t="n">
        <f aca="false">IF(COUNT('Business Case'!B11:G11)=0,"",H90+NPV(G90,I90:M90))</f>
        <v>-471782134.928228</v>
      </c>
      <c r="P90" s="40" t="n">
        <f aca="true">RAND()</f>
        <v>0.294077838674211</v>
      </c>
      <c r="Q90" s="40" t="n">
        <f aca="true">RAND()</f>
        <v>0.338078142001385</v>
      </c>
      <c r="R90" s="40" t="n">
        <f aca="true">RAND()</f>
        <v>0.0476523207262971</v>
      </c>
      <c r="S90" s="40" t="n">
        <f aca="true">RAND()</f>
        <v>0.0320229340088933</v>
      </c>
      <c r="T90" s="40" t="n">
        <f aca="true">RAND()</f>
        <v>0.530809595897524</v>
      </c>
      <c r="U90" s="40" t="n">
        <f aca="true">RAND()</f>
        <v>0.383952574407349</v>
      </c>
    </row>
    <row r="91" customFormat="false" ht="15" hidden="false" customHeight="false" outlineLevel="0" collapsed="false">
      <c r="A91" s="36" t="n">
        <v>11</v>
      </c>
      <c r="B91" s="37" t="n">
        <f aca="false">1+IF($G$6=$E$6,$F$6,IF(P91&lt;($F$6-$E$6)/($G$6-$E$6),$E$6+SQRT(P91*($G$6-$E$6)*($F$6-$E$6)),$G$6-SQRT((1-P91)*($G$6-$E$6)*($G$6-$F$6))))</f>
        <v>0.984060377285148</v>
      </c>
      <c r="C91" s="37" t="n">
        <f aca="false">1+IF($G$7=$E$7,$F$7,IF(Q91&lt;($F$7-$E$7)/($G$7-$E$7),$E$7+SQRT(Q91*($G$7-$E$7)*($F$7-$E$7)),$G$7-SQRT((1-Q91)*($G$7-$E$7)*($G$7-$F$7))))</f>
        <v>0.789474629481</v>
      </c>
      <c r="D91" s="37" t="n">
        <f aca="false">1+IF($G$8=$E$8,$F$8,IF(R91&lt;($F$8-$E$8)/($G$8-$E$8),$E$8+SQRT(R91*($G$8-$E$8)*($F$8-$E$8)),$G$8-SQRT((1-R91)*($G$8-$E$8)*($G$8-$F$8))))</f>
        <v>1.00109179338763</v>
      </c>
      <c r="E91" s="37" t="n">
        <f aca="false">1+IF($G$9=$E$9,$F$9,IF(S91&lt;($F$9-$E$9)/($G$9-$E$9),$E$9+SQRT(S91*($G$9-$E$9)*($F$9-$E$9)),$G$9-SQRT((1-S91)*($G$9-$E$9)*($G$9-$F$9))))</f>
        <v>1.00989180058668</v>
      </c>
      <c r="F91" s="37" t="n">
        <f aca="false">1+IF($G$10=$E$10,$F$10,IF(T91&lt;($F$10-$E$10)/($G$10-$E$10),$E$10+SQRT(T91*($G$10-$E$10)*($F$10-$E$10)),$G$10-SQRT((1-T91)*($G$10-$E$10)*($G$10-$F$10))))</f>
        <v>1.0440516304021</v>
      </c>
      <c r="G91" s="38" t="n">
        <f aca="false">IF($G$11=$E$11,$F$11,IF(U91&lt;($F$11-$E$11)/($G$11-$E$11),$E$11+SQRT(U91*($G$11-$E$11)*($F$11-$E$11)),$G$11-SQRT((1-U91)*($G$11-$E$11)*($G$11-$F$11))))</f>
        <v>0.10138011443245</v>
      </c>
      <c r="H91" s="39" t="n">
        <f aca="false">(('Business Case'!B11*$C91*'Business Case'!B12*$B91)-'Business Case'!B11*$C91*'Business Case'!B13*$D91-'Business Case'!B14*$E91)-MAX(0,(('Business Case'!B11*$C91*'Business Case'!B12*$B91)-'Business Case'!B11*$C91*'Business Case'!B13*$D91-'Business Case'!B14*$E91))*'Business Case'!$B$7-'Business Case'!$B$8*('Business Case'!B11*$C91*'Business Case'!B12*$B91)-'Business Case'!B15*$F91</f>
        <v>-2088103260.80421</v>
      </c>
      <c r="I91" s="39" t="n">
        <f aca="false">(('Business Case'!C11*$C91*'Business Case'!C12*$B91)-'Business Case'!C11*$C91*'Business Case'!C13*$D91-'Business Case'!C14*$E91)-MAX(0,(('Business Case'!C11*$C91*'Business Case'!C12*$B91)-'Business Case'!C11*$C91*'Business Case'!C13*$D91-'Business Case'!C14*$E91))*'Business Case'!$B$7-'Business Case'!$B$8*(('Business Case'!C11*$C91*'Business Case'!C12*$B91)-('Business Case'!B11*$C91*'Business Case'!B12*$B91))-'Business Case'!C15*$F91</f>
        <v>-56545468.4797943</v>
      </c>
      <c r="J91" s="39" t="n">
        <f aca="false">(('Business Case'!D11*$C91*'Business Case'!D12*$B91)-'Business Case'!D11*$C91*'Business Case'!D13*$D91-'Business Case'!D14*$E91)-MAX(0,(('Business Case'!D11*$C91*'Business Case'!D12*$B91)-'Business Case'!D11*$C91*'Business Case'!D13*$D91-'Business Case'!D14*$E91))*'Business Case'!$B$7-'Business Case'!$B$8*(('Business Case'!D11*$C91*'Business Case'!D12*$B91)-('Business Case'!C11*$C91*'Business Case'!C12*$B91))-'Business Case'!D15*$F91</f>
        <v>175194854.102463</v>
      </c>
      <c r="K91" s="39" t="n">
        <f aca="false">(('Business Case'!E11*$C91*'Business Case'!E12*$B91)-'Business Case'!E11*$C91*'Business Case'!E13*$D91-'Business Case'!E14*$E91)-MAX(0,(('Business Case'!E11*$C91*'Business Case'!E12*$B91)-'Business Case'!E11*$C91*'Business Case'!E13*$D91-'Business Case'!E14*$E91))*'Business Case'!$B$7-'Business Case'!$B$8*(('Business Case'!E11*$C91*'Business Case'!E12*$B91)-('Business Case'!D11*$C91*'Business Case'!D12*$B91))-'Business Case'!E15*$F91</f>
        <v>459137758.204826</v>
      </c>
      <c r="L91" s="39" t="n">
        <f aca="false">(('Business Case'!F11*$C91*'Business Case'!F12*$B91)-'Business Case'!F11*$C91*'Business Case'!F13*$D91-'Business Case'!F14*$E91)-MAX(0,(('Business Case'!F11*$C91*'Business Case'!F12*$B91)-'Business Case'!F11*$C91*'Business Case'!F13*$D91-'Business Case'!F14*$E91))*'Business Case'!$B$7-'Business Case'!$B$8*(('Business Case'!F11*$C91*'Business Case'!F12*$B91)-('Business Case'!E11*$C91*'Business Case'!E12*$B91))-'Business Case'!F15*$F91</f>
        <v>563233875.051189</v>
      </c>
      <c r="M91" s="39" t="n">
        <f aca="false">(('Business Case'!G11*$C91*'Business Case'!G12*$B91)-'Business Case'!G11*$C91*'Business Case'!G13*$D91-'Business Case'!G14*$E91)-MAX(0,(('Business Case'!G11*$C91*'Business Case'!G12*$B91)-'Business Case'!G11*$C91*'Business Case'!G13*$D91-'Business Case'!G14*$E91))*'Business Case'!$B$7-'Business Case'!$B$8*(('Business Case'!G11*$C91*'Business Case'!G12*$B91)-('Business Case'!F11*$C91*'Business Case'!F12*$B91))-'Business Case'!G15*$F91+'Business Case'!$B$8*('Business Case'!G11*$C91*'Business Case'!G12*$B91)</f>
        <v>710905259.638712</v>
      </c>
      <c r="N91" s="39" t="n">
        <f aca="false">IF(COUNT('Business Case'!B11:G11)=0,"",H91+NPV(G91,I91:M91))</f>
        <v>-829926241.35746</v>
      </c>
      <c r="P91" s="40" t="n">
        <f aca="true">RAND()</f>
        <v>0.471076468621429</v>
      </c>
      <c r="Q91" s="40" t="n">
        <f aca="true">RAND()</f>
        <v>0.0593015505241645</v>
      </c>
      <c r="R91" s="40" t="n">
        <f aca="true">RAND()</f>
        <v>0.347811110981678</v>
      </c>
      <c r="S91" s="40" t="n">
        <f aca="true">RAND()</f>
        <v>0.47652513219087</v>
      </c>
      <c r="T91" s="40" t="n">
        <f aca="true">RAND()</f>
        <v>0.434470254132915</v>
      </c>
      <c r="U91" s="40" t="n">
        <f aca="true">RAND()</f>
        <v>0.453934766733572</v>
      </c>
    </row>
    <row r="92" customFormat="false" ht="15" hidden="false" customHeight="false" outlineLevel="0" collapsed="false">
      <c r="A92" s="36" t="n">
        <v>12</v>
      </c>
      <c r="B92" s="37" t="n">
        <f aca="false">1+IF($G$6=$E$6,$F$6,IF(P92&lt;($F$6-$E$6)/($G$6-$E$6),$E$6+SQRT(P92*($G$6-$E$6)*($F$6-$E$6)),$G$6-SQRT((1-P92)*($G$6-$E$6)*($G$6-$F$6))))</f>
        <v>0.93728236447335</v>
      </c>
      <c r="C92" s="37" t="n">
        <f aca="false">1+IF($G$7=$E$7,$F$7,IF(Q92&lt;($F$7-$E$7)/($G$7-$E$7),$E$7+SQRT(Q92*($G$7-$E$7)*($F$7-$E$7)),$G$7-SQRT((1-Q92)*($G$7-$E$7)*($G$7-$F$7))))</f>
        <v>0.938491984802516</v>
      </c>
      <c r="D92" s="37" t="n">
        <f aca="false">1+IF($G$8=$E$8,$F$8,IF(R92&lt;($F$8-$E$8)/($G$8-$E$8),$E$8+SQRT(R92*($G$8-$E$8)*($F$8-$E$8)),$G$8-SQRT((1-R92)*($G$8-$E$8)*($G$8-$F$8))))</f>
        <v>0.989384107329173</v>
      </c>
      <c r="E92" s="37" t="n">
        <f aca="false">1+IF($G$9=$E$9,$F$9,IF(S92&lt;($F$9-$E$9)/($G$9-$E$9),$E$9+SQRT(S92*($G$9-$E$9)*($F$9-$E$9)),$G$9-SQRT((1-S92)*($G$9-$E$9)*($G$9-$F$9))))</f>
        <v>1.08423604235729</v>
      </c>
      <c r="F92" s="37" t="n">
        <f aca="false">1+IF($G$10=$E$10,$F$10,IF(T92&lt;($F$10-$E$10)/($G$10-$E$10),$E$10+SQRT(T92*($G$10-$E$10)*($F$10-$E$10)),$G$10-SQRT((1-T92)*($G$10-$E$10)*($G$10-$F$10))))</f>
        <v>1.19197322730683</v>
      </c>
      <c r="G92" s="38" t="n">
        <f aca="false">IF($G$11=$E$11,$F$11,IF(U92&lt;($F$11-$E$11)/($G$11-$E$11),$E$11+SQRT(U92*($G$11-$E$11)*($F$11-$E$11)),$G$11-SQRT((1-U92)*($G$11-$E$11)*($G$11-$F$11))))</f>
        <v>0.121108278573901</v>
      </c>
      <c r="H92" s="39" t="n">
        <f aca="false">(('Business Case'!B11*$C92*'Business Case'!B12*$B92)-'Business Case'!B11*$C92*'Business Case'!B13*$D92-'Business Case'!B14*$E92)-MAX(0,(('Business Case'!B11*$C92*'Business Case'!B12*$B92)-'Business Case'!B11*$C92*'Business Case'!B13*$D92-'Business Case'!B14*$E92))*'Business Case'!$B$7-'Business Case'!$B$8*('Business Case'!B11*$C92*'Business Case'!B12*$B92)-'Business Case'!B15*$F92</f>
        <v>-2383946454.61366</v>
      </c>
      <c r="I92" s="39" t="n">
        <f aca="false">(('Business Case'!C11*$C92*'Business Case'!C12*$B92)-'Business Case'!C11*$C92*'Business Case'!C13*$D92-'Business Case'!C14*$E92)-MAX(0,(('Business Case'!C11*$C92*'Business Case'!C12*$B92)-'Business Case'!C11*$C92*'Business Case'!C13*$D92-'Business Case'!C14*$E92))*'Business Case'!$B$7-'Business Case'!$B$8*(('Business Case'!C11*$C92*'Business Case'!C12*$B92)-('Business Case'!B11*$C92*'Business Case'!B12*$B92))-'Business Case'!C15*$F92</f>
        <v>-73826473.2861056</v>
      </c>
      <c r="J92" s="39" t="n">
        <f aca="false">(('Business Case'!D11*$C92*'Business Case'!D12*$B92)-'Business Case'!D11*$C92*'Business Case'!D13*$D92-'Business Case'!D14*$E92)-MAX(0,(('Business Case'!D11*$C92*'Business Case'!D12*$B92)-'Business Case'!D11*$C92*'Business Case'!D13*$D92-'Business Case'!D14*$E92))*'Business Case'!$B$7-'Business Case'!$B$8*(('Business Case'!D11*$C92*'Business Case'!D12*$B92)-('Business Case'!C11*$C92*'Business Case'!C12*$B92))-'Business Case'!D15*$F92</f>
        <v>171322863.564689</v>
      </c>
      <c r="K92" s="39" t="n">
        <f aca="false">(('Business Case'!E11*$C92*'Business Case'!E12*$B92)-'Business Case'!E11*$C92*'Business Case'!E13*$D92-'Business Case'!E14*$E92)-MAX(0,(('Business Case'!E11*$C92*'Business Case'!E12*$B92)-'Business Case'!E11*$C92*'Business Case'!E13*$D92-'Business Case'!E14*$E92))*'Business Case'!$B$7-'Business Case'!$B$8*(('Business Case'!E11*$C92*'Business Case'!E12*$B92)-('Business Case'!D11*$C92*'Business Case'!D12*$B92))-'Business Case'!E15*$F92</f>
        <v>476070861.780825</v>
      </c>
      <c r="L92" s="39" t="n">
        <f aca="false">(('Business Case'!F11*$C92*'Business Case'!F12*$B92)-'Business Case'!F11*$C92*'Business Case'!F13*$D92-'Business Case'!F14*$E92)-MAX(0,(('Business Case'!F11*$C92*'Business Case'!F12*$B92)-'Business Case'!F11*$C92*'Business Case'!F13*$D92-'Business Case'!F14*$E92))*'Business Case'!$B$7-'Business Case'!$B$8*(('Business Case'!F11*$C92*'Business Case'!F12*$B92)-('Business Case'!E11*$C92*'Business Case'!E12*$B92))-'Business Case'!F15*$F92</f>
        <v>588187388.853096</v>
      </c>
      <c r="M92" s="39" t="n">
        <f aca="false">(('Business Case'!G11*$C92*'Business Case'!G12*$B92)-'Business Case'!G11*$C92*'Business Case'!G13*$D92-'Business Case'!G14*$E92)-MAX(0,(('Business Case'!G11*$C92*'Business Case'!G12*$B92)-'Business Case'!G11*$C92*'Business Case'!G13*$D92-'Business Case'!G14*$E92))*'Business Case'!$B$7-'Business Case'!$B$8*(('Business Case'!G11*$C92*'Business Case'!G12*$B92)-('Business Case'!F11*$C92*'Business Case'!F12*$B92))-'Business Case'!G15*$F92+'Business Case'!$B$8*('Business Case'!G11*$C92*'Business Case'!G12*$B92)</f>
        <v>755387836.857469</v>
      </c>
      <c r="N92" s="39" t="n">
        <f aca="false">IF(COUNT('Business Case'!B11:G11)=0,"",H92+NPV(G92,I92:M92))</f>
        <v>-1176795531.20023</v>
      </c>
      <c r="P92" s="40" t="n">
        <f aca="true">RAND()</f>
        <v>0.0926649800482478</v>
      </c>
      <c r="Q92" s="40" t="n">
        <f aca="true">RAND()</f>
        <v>0.421321680111432</v>
      </c>
      <c r="R92" s="40" t="n">
        <f aca="true">RAND()</f>
        <v>0.206814388015438</v>
      </c>
      <c r="S92" s="40" t="n">
        <f aca="true">RAND()</f>
        <v>0.884669383337809</v>
      </c>
      <c r="T92" s="40" t="n">
        <f aca="true">RAND()</f>
        <v>0.955105248677532</v>
      </c>
      <c r="U92" s="40" t="n">
        <f aca="true">RAND()</f>
        <v>0.94729152672043</v>
      </c>
    </row>
    <row r="93" customFormat="false" ht="15" hidden="false" customHeight="false" outlineLevel="0" collapsed="false">
      <c r="A93" s="36" t="n">
        <v>13</v>
      </c>
      <c r="B93" s="37" t="n">
        <f aca="false">1+IF($G$6=$E$6,$F$6,IF(P93&lt;($F$6-$E$6)/($G$6-$E$6),$E$6+SQRT(P93*($G$6-$E$6)*($F$6-$E$6)),$G$6-SQRT((1-P93)*($G$6-$E$6)*($G$6-$F$6))))</f>
        <v>1.00105621516862</v>
      </c>
      <c r="C93" s="37" t="n">
        <f aca="false">1+IF($G$7=$E$7,$F$7,IF(Q93&lt;($F$7-$E$7)/($G$7-$E$7),$E$7+SQRT(Q93*($G$7-$E$7)*($F$7-$E$7)),$G$7-SQRT((1-Q93)*($G$7-$E$7)*($G$7-$F$7))))</f>
        <v>0.727189113032736</v>
      </c>
      <c r="D93" s="37" t="n">
        <f aca="false">1+IF($G$8=$E$8,$F$8,IF(R93&lt;($F$8-$E$8)/($G$8-$E$8),$E$8+SQRT(R93*($G$8-$E$8)*($F$8-$E$8)),$G$8-SQRT((1-R93)*($G$8-$E$8)*($G$8-$F$8))))</f>
        <v>1.01420439369295</v>
      </c>
      <c r="E93" s="37" t="n">
        <f aca="false">1+IF($G$9=$E$9,$F$9,IF(S93&lt;($F$9-$E$9)/($G$9-$E$9),$E$9+SQRT(S93*($G$9-$E$9)*($F$9-$E$9)),$G$9-SQRT((1-S93)*($G$9-$E$9)*($G$9-$F$9))))</f>
        <v>1.01683454477733</v>
      </c>
      <c r="F93" s="37" t="n">
        <f aca="false">1+IF($G$10=$E$10,$F$10,IF(T93&lt;($F$10-$E$10)/($G$10-$E$10),$E$10+SQRT(T93*($G$10-$E$10)*($F$10-$E$10)),$G$10-SQRT((1-T93)*($G$10-$E$10)*($G$10-$F$10))))</f>
        <v>1.12630089111322</v>
      </c>
      <c r="G93" s="38" t="n">
        <f aca="false">IF($G$11=$E$11,$F$11,IF(U93&lt;($F$11-$E$11)/($G$11-$E$11),$E$11+SQRT(U93*($G$11-$E$11)*($F$11-$E$11)),$G$11-SQRT((1-U93)*($G$11-$E$11)*($G$11-$F$11))))</f>
        <v>0.109991941445884</v>
      </c>
      <c r="H93" s="39" t="n">
        <f aca="false">(('Business Case'!B11*$C93*'Business Case'!B12*$B93)-'Business Case'!B11*$C93*'Business Case'!B13*$D93-'Business Case'!B14*$E93)-MAX(0,(('Business Case'!B11*$C93*'Business Case'!B12*$B93)-'Business Case'!B11*$C93*'Business Case'!B13*$D93-'Business Case'!B14*$E93))*'Business Case'!$B$7-'Business Case'!$B$8*('Business Case'!B11*$C93*'Business Case'!B12*$B93)-'Business Case'!B15*$F93</f>
        <v>-2252601782.22645</v>
      </c>
      <c r="I93" s="39" t="n">
        <f aca="false">(('Business Case'!C11*$C93*'Business Case'!C12*$B93)-'Business Case'!C11*$C93*'Business Case'!C13*$D93-'Business Case'!C14*$E93)-MAX(0,(('Business Case'!C11*$C93*'Business Case'!C12*$B93)-'Business Case'!C11*$C93*'Business Case'!C13*$D93-'Business Case'!C14*$E93))*'Business Case'!$B$7-'Business Case'!$B$8*(('Business Case'!C11*$C93*'Business Case'!C12*$B93)-('Business Case'!B11*$C93*'Business Case'!B12*$B93))-'Business Case'!C15*$F93</f>
        <v>-76262333.3209253</v>
      </c>
      <c r="J93" s="39" t="n">
        <f aca="false">(('Business Case'!D11*$C93*'Business Case'!D12*$B93)-'Business Case'!D11*$C93*'Business Case'!D13*$D93-'Business Case'!D14*$E93)-MAX(0,(('Business Case'!D11*$C93*'Business Case'!D12*$B93)-'Business Case'!D11*$C93*'Business Case'!D13*$D93-'Business Case'!D14*$E93))*'Business Case'!$B$7-'Business Case'!$B$8*(('Business Case'!D11*$C93*'Business Case'!D12*$B93)-('Business Case'!C11*$C93*'Business Case'!C12*$B93))-'Business Case'!D15*$F93</f>
        <v>142436595.010442</v>
      </c>
      <c r="K93" s="39" t="n">
        <f aca="false">(('Business Case'!E11*$C93*'Business Case'!E12*$B93)-'Business Case'!E11*$C93*'Business Case'!E13*$D93-'Business Case'!E14*$E93)-MAX(0,(('Business Case'!E11*$C93*'Business Case'!E12*$B93)-'Business Case'!E11*$C93*'Business Case'!E13*$D93-'Business Case'!E14*$E93))*'Business Case'!$B$7-'Business Case'!$B$8*(('Business Case'!E11*$C93*'Business Case'!E12*$B93)-('Business Case'!D11*$C93*'Business Case'!D12*$B93))-'Business Case'!E15*$F93</f>
        <v>417450567.897472</v>
      </c>
      <c r="L93" s="39" t="n">
        <f aca="false">(('Business Case'!F11*$C93*'Business Case'!F12*$B93)-'Business Case'!F11*$C93*'Business Case'!F13*$D93-'Business Case'!F14*$E93)-MAX(0,(('Business Case'!F11*$C93*'Business Case'!F12*$B93)-'Business Case'!F11*$C93*'Business Case'!F13*$D93-'Business Case'!F14*$E93))*'Business Case'!$B$7-'Business Case'!$B$8*(('Business Case'!F11*$C93*'Business Case'!F12*$B93)-('Business Case'!E11*$C93*'Business Case'!E12*$B93))-'Business Case'!F15*$F93</f>
        <v>515508410.857017</v>
      </c>
      <c r="M93" s="39" t="n">
        <f aca="false">(('Business Case'!G11*$C93*'Business Case'!G12*$B93)-'Business Case'!G11*$C93*'Business Case'!G13*$D93-'Business Case'!G14*$E93)-MAX(0,(('Business Case'!G11*$C93*'Business Case'!G12*$B93)-'Business Case'!G11*$C93*'Business Case'!G13*$D93-'Business Case'!G14*$E93))*'Business Case'!$B$7-'Business Case'!$B$8*(('Business Case'!G11*$C93*'Business Case'!G12*$B93)-('Business Case'!F11*$C93*'Business Case'!F12*$B93))-'Business Case'!G15*$F93+'Business Case'!$B$8*('Business Case'!G11*$C93*'Business Case'!G12*$B93)</f>
        <v>653878511.860345</v>
      </c>
      <c r="N93" s="39" t="n">
        <f aca="false">IF(COUNT('Business Case'!B11:G11)=0,"",H93+NPV(G93,I93:M93))</f>
        <v>-1172807389.1883</v>
      </c>
      <c r="P93" s="40" t="n">
        <f aca="true">RAND()</f>
        <v>0.680600790183952</v>
      </c>
      <c r="Q93" s="40" t="n">
        <f aca="true">RAND()</f>
        <v>0.00547591012968048</v>
      </c>
      <c r="R93" s="40" t="n">
        <f aca="true">RAND()</f>
        <v>0.509274262560389</v>
      </c>
      <c r="S93" s="40" t="n">
        <f aca="true">RAND()</f>
        <v>0.527118974275677</v>
      </c>
      <c r="T93" s="40" t="n">
        <f aca="true">RAND()</f>
        <v>0.79598040614157</v>
      </c>
      <c r="U93" s="40" t="n">
        <f aca="true">RAND()</f>
        <v>0.733118395263367</v>
      </c>
    </row>
    <row r="94" customFormat="false" ht="15" hidden="false" customHeight="false" outlineLevel="0" collapsed="false">
      <c r="A94" s="36" t="n">
        <v>14</v>
      </c>
      <c r="B94" s="37" t="n">
        <f aca="false">1+IF($G$6=$E$6,$F$6,IF(P94&lt;($F$6-$E$6)/($G$6-$E$6),$E$6+SQRT(P94*($G$6-$E$6)*($F$6-$E$6)),$G$6-SQRT((1-P94)*($G$6-$E$6)*($G$6-$F$6))))</f>
        <v>1.00376333604331</v>
      </c>
      <c r="C94" s="37" t="n">
        <f aca="false">1+IF($G$7=$E$7,$F$7,IF(Q94&lt;($F$7-$E$7)/($G$7-$E$7),$E$7+SQRT(Q94*($G$7-$E$7)*($F$7-$E$7)),$G$7-SQRT((1-Q94)*($G$7-$E$7)*($G$7-$F$7))))</f>
        <v>0.85014225953712</v>
      </c>
      <c r="D94" s="37" t="n">
        <f aca="false">1+IF($G$8=$E$8,$F$8,IF(R94&lt;($F$8-$E$8)/($G$8-$E$8),$E$8+SQRT(R94*($G$8-$E$8)*($F$8-$E$8)),$G$8-SQRT((1-R94)*($G$8-$E$8)*($G$8-$F$8))))</f>
        <v>1.01138470774836</v>
      </c>
      <c r="E94" s="37" t="n">
        <f aca="false">1+IF($G$9=$E$9,$F$9,IF(S94&lt;($F$9-$E$9)/($G$9-$E$9),$E$9+SQRT(S94*($G$9-$E$9)*($F$9-$E$9)),$G$9-SQRT((1-S94)*($G$9-$E$9)*($G$9-$F$9))))</f>
        <v>1.05198717500775</v>
      </c>
      <c r="F94" s="37" t="n">
        <f aca="false">1+IF($G$10=$E$10,$F$10,IF(T94&lt;($F$10-$E$10)/($G$10-$E$10),$E$10+SQRT(T94*($G$10-$E$10)*($F$10-$E$10)),$G$10-SQRT((1-T94)*($G$10-$E$10)*($G$10-$F$10))))</f>
        <v>1.04425340568223</v>
      </c>
      <c r="G94" s="38" t="n">
        <f aca="false">IF($G$11=$E$11,$F$11,IF(U94&lt;($F$11-$E$11)/($G$11-$E$11),$E$11+SQRT(U94*($G$11-$E$11)*($F$11-$E$11)),$G$11-SQRT((1-U94)*($G$11-$E$11)*($G$11-$F$11))))</f>
        <v>0.101885566211637</v>
      </c>
      <c r="H94" s="39" t="n">
        <f aca="false">(('Business Case'!B11*$C94*'Business Case'!B12*$B94)-'Business Case'!B11*$C94*'Business Case'!B13*$D94-'Business Case'!B14*$E94)-MAX(0,(('Business Case'!B11*$C94*'Business Case'!B12*$B94)-'Business Case'!B11*$C94*'Business Case'!B13*$D94-'Business Case'!B14*$E94))*'Business Case'!$B$7-'Business Case'!$B$8*('Business Case'!B11*$C94*'Business Case'!B12*$B94)-'Business Case'!B15*$F94</f>
        <v>-2088506811.36446</v>
      </c>
      <c r="I94" s="39" t="n">
        <f aca="false">(('Business Case'!C11*$C94*'Business Case'!C12*$B94)-'Business Case'!C11*$C94*'Business Case'!C13*$D94-'Business Case'!C14*$E94)-MAX(0,(('Business Case'!C11*$C94*'Business Case'!C12*$B94)-'Business Case'!C11*$C94*'Business Case'!C13*$D94-'Business Case'!C14*$E94))*'Business Case'!$B$7-'Business Case'!$B$8*(('Business Case'!C11*$C94*'Business Case'!C12*$B94)-('Business Case'!B11*$C94*'Business Case'!B12*$B94))-'Business Case'!C15*$F94</f>
        <v>-39466416.219762</v>
      </c>
      <c r="J94" s="39" t="n">
        <f aca="false">(('Business Case'!D11*$C94*'Business Case'!D12*$B94)-'Business Case'!D11*$C94*'Business Case'!D13*$D94-'Business Case'!D14*$E94)-MAX(0,(('Business Case'!D11*$C94*'Business Case'!D12*$B94)-'Business Case'!D11*$C94*'Business Case'!D13*$D94-'Business Case'!D14*$E94))*'Business Case'!$B$7-'Business Case'!$B$8*(('Business Case'!D11*$C94*'Business Case'!D12*$B94)-('Business Case'!C11*$C94*'Business Case'!C12*$B94))-'Business Case'!D15*$F94</f>
        <v>219322314.542222</v>
      </c>
      <c r="K94" s="39" t="n">
        <f aca="false">(('Business Case'!E11*$C94*'Business Case'!E12*$B94)-'Business Case'!E11*$C94*'Business Case'!E13*$D94-'Business Case'!E14*$E94)-MAX(0,(('Business Case'!E11*$C94*'Business Case'!E12*$B94)-'Business Case'!E11*$C94*'Business Case'!E13*$D94-'Business Case'!E14*$E94))*'Business Case'!$B$7-'Business Case'!$B$8*(('Business Case'!E11*$C94*'Business Case'!E12*$B94)-('Business Case'!D11*$C94*'Business Case'!D12*$B94))-'Business Case'!E15*$F94</f>
        <v>530323715.588318</v>
      </c>
      <c r="L94" s="39" t="n">
        <f aca="false">(('Business Case'!F11*$C94*'Business Case'!F12*$B94)-'Business Case'!F11*$C94*'Business Case'!F13*$D94-'Business Case'!F14*$E94)-MAX(0,(('Business Case'!F11*$C94*'Business Case'!F12*$B94)-'Business Case'!F11*$C94*'Business Case'!F13*$D94-'Business Case'!F14*$E94))*'Business Case'!$B$7-'Business Case'!$B$8*(('Business Case'!F11*$C94*'Business Case'!F12*$B94)-('Business Case'!E11*$C94*'Business Case'!E12*$B94))-'Business Case'!F15*$F94</f>
        <v>646078112.593927</v>
      </c>
      <c r="M94" s="39" t="n">
        <f aca="false">(('Business Case'!G11*$C94*'Business Case'!G12*$B94)-'Business Case'!G11*$C94*'Business Case'!G13*$D94-'Business Case'!G14*$E94)-MAX(0,(('Business Case'!G11*$C94*'Business Case'!G12*$B94)-'Business Case'!G11*$C94*'Business Case'!G13*$D94-'Business Case'!G14*$E94))*'Business Case'!$B$7-'Business Case'!$B$8*(('Business Case'!G11*$C94*'Business Case'!G12*$B94)-('Business Case'!F11*$C94*'Business Case'!F12*$B94))-'Business Case'!G15*$F94+'Business Case'!$B$8*('Business Case'!G11*$C94*'Business Case'!G12*$B94)</f>
        <v>808281289.727803</v>
      </c>
      <c r="N94" s="39" t="n">
        <f aca="false">IF(COUNT('Business Case'!B11:G11)=0,"",H94+NPV(G94,I94:M94))</f>
        <v>-611420655.78032</v>
      </c>
      <c r="P94" s="40" t="n">
        <f aca="true">RAND()</f>
        <v>0.714956120820868</v>
      </c>
      <c r="Q94" s="40" t="n">
        <f aca="true">RAND()</f>
        <v>0.166982948880829</v>
      </c>
      <c r="R94" s="40" t="n">
        <f aca="true">RAND()</f>
        <v>0.476488665277124</v>
      </c>
      <c r="S94" s="40" t="n">
        <f aca="true">RAND()</f>
        <v>0.743826296987709</v>
      </c>
      <c r="T94" s="40" t="n">
        <f aca="true">RAND()</f>
        <v>0.435577852355198</v>
      </c>
      <c r="U94" s="40" t="n">
        <f aca="true">RAND()</f>
        <v>0.473052408506484</v>
      </c>
    </row>
    <row r="95" customFormat="false" ht="15" hidden="false" customHeight="false" outlineLevel="0" collapsed="false">
      <c r="A95" s="36" t="n">
        <v>15</v>
      </c>
      <c r="B95" s="37" t="n">
        <f aca="false">1+IF($G$6=$E$6,$F$6,IF(P95&lt;($F$6-$E$6)/($G$6-$E$6),$E$6+SQRT(P95*($G$6-$E$6)*($F$6-$E$6)),$G$6-SQRT((1-P95)*($G$6-$E$6)*($G$6-$F$6))))</f>
        <v>0.982646313218738</v>
      </c>
      <c r="C95" s="37" t="n">
        <f aca="false">1+IF($G$7=$E$7,$F$7,IF(Q95&lt;($F$7-$E$7)/($G$7-$E$7),$E$7+SQRT(Q95*($G$7-$E$7)*($F$7-$E$7)),$G$7-SQRT((1-Q95)*($G$7-$E$7)*($G$7-$F$7))))</f>
        <v>1.0673859440678</v>
      </c>
      <c r="D95" s="37" t="n">
        <f aca="false">1+IF($G$8=$E$8,$F$8,IF(R95&lt;($F$8-$E$8)/($G$8-$E$8),$E$8+SQRT(R95*($G$8-$E$8)*($F$8-$E$8)),$G$8-SQRT((1-R95)*($G$8-$E$8)*($G$8-$F$8))))</f>
        <v>0.97682281638085</v>
      </c>
      <c r="E95" s="37" t="n">
        <f aca="false">1+IF($G$9=$E$9,$F$9,IF(S95&lt;($F$9-$E$9)/($G$9-$E$9),$E$9+SQRT(S95*($G$9-$E$9)*($F$9-$E$9)),$G$9-SQRT((1-S95)*($G$9-$E$9)*($G$9-$F$9))))</f>
        <v>0.984509426486349</v>
      </c>
      <c r="F95" s="37" t="n">
        <f aca="false">1+IF($G$10=$E$10,$F$10,IF(T95&lt;($F$10-$E$10)/($G$10-$E$10),$E$10+SQRT(T95*($G$10-$E$10)*($F$10-$E$10)),$G$10-SQRT((1-T95)*($G$10-$E$10)*($G$10-$F$10))))</f>
        <v>1.12477397773284</v>
      </c>
      <c r="G95" s="38" t="n">
        <f aca="false">IF($G$11=$E$11,$F$11,IF(U95&lt;($F$11-$E$11)/($G$11-$E$11),$E$11+SQRT(U95*($G$11-$E$11)*($F$11-$E$11)),$G$11-SQRT((1-U95)*($G$11-$E$11)*($G$11-$F$11))))</f>
        <v>0.0881337988589581</v>
      </c>
      <c r="H95" s="39" t="n">
        <f aca="false">(('Business Case'!B11*$C95*'Business Case'!B12*$B95)-'Business Case'!B11*$C95*'Business Case'!B13*$D95-'Business Case'!B14*$E95)-MAX(0,(('Business Case'!B11*$C95*'Business Case'!B12*$B95)-'Business Case'!B11*$C95*'Business Case'!B13*$D95-'Business Case'!B14*$E95))*'Business Case'!$B$7-'Business Case'!$B$8*('Business Case'!B11*$C95*'Business Case'!B12*$B95)-'Business Case'!B15*$F95</f>
        <v>-2249547955.46568</v>
      </c>
      <c r="I95" s="39" t="n">
        <f aca="false">(('Business Case'!C11*$C95*'Business Case'!C12*$B95)-'Business Case'!C11*$C95*'Business Case'!C13*$D95-'Business Case'!C14*$E95)-MAX(0,(('Business Case'!C11*$C95*'Business Case'!C12*$B95)-'Business Case'!C11*$C95*'Business Case'!C13*$D95-'Business Case'!C14*$E95))*'Business Case'!$B$7-'Business Case'!$B$8*(('Business Case'!C11*$C95*'Business Case'!C12*$B95)-('Business Case'!B11*$C95*'Business Case'!B12*$B95))-'Business Case'!C15*$F95</f>
        <v>18494690.0726462</v>
      </c>
      <c r="J95" s="39" t="n">
        <f aca="false">(('Business Case'!D11*$C95*'Business Case'!D12*$B95)-'Business Case'!D11*$C95*'Business Case'!D13*$D95-'Business Case'!D14*$E95)-MAX(0,(('Business Case'!D11*$C95*'Business Case'!D12*$B95)-'Business Case'!D11*$C95*'Business Case'!D13*$D95-'Business Case'!D14*$E95))*'Business Case'!$B$7-'Business Case'!$B$8*(('Business Case'!D11*$C95*'Business Case'!D12*$B95)-('Business Case'!C11*$C95*'Business Case'!C12*$B95))-'Business Case'!D15*$F95</f>
        <v>343837069.168326</v>
      </c>
      <c r="K95" s="39" t="n">
        <f aca="false">(('Business Case'!E11*$C95*'Business Case'!E12*$B95)-'Business Case'!E11*$C95*'Business Case'!E13*$D95-'Business Case'!E14*$E95)-MAX(0,(('Business Case'!E11*$C95*'Business Case'!E12*$B95)-'Business Case'!E11*$C95*'Business Case'!E13*$D95-'Business Case'!E14*$E95))*'Business Case'!$B$7-'Business Case'!$B$8*(('Business Case'!E11*$C95*'Business Case'!E12*$B95)-('Business Case'!D11*$C95*'Business Case'!D12*$B95))-'Business Case'!E15*$F95</f>
        <v>725418147.150647</v>
      </c>
      <c r="L95" s="39" t="n">
        <f aca="false">(('Business Case'!F11*$C95*'Business Case'!F12*$B95)-'Business Case'!F11*$C95*'Business Case'!F13*$D95-'Business Case'!F14*$E95)-MAX(0,(('Business Case'!F11*$C95*'Business Case'!F12*$B95)-'Business Case'!F11*$C95*'Business Case'!F13*$D95-'Business Case'!F14*$E95))*'Business Case'!$B$7-'Business Case'!$B$8*(('Business Case'!F11*$C95*'Business Case'!F12*$B95)-('Business Case'!E11*$C95*'Business Case'!E12*$B95))-'Business Case'!F15*$F95</f>
        <v>870114307.3848</v>
      </c>
      <c r="M95" s="39" t="n">
        <f aca="false">(('Business Case'!G11*$C95*'Business Case'!G12*$B95)-'Business Case'!G11*$C95*'Business Case'!G13*$D95-'Business Case'!G14*$E95)-MAX(0,(('Business Case'!G11*$C95*'Business Case'!G12*$B95)-'Business Case'!G11*$C95*'Business Case'!G13*$D95-'Business Case'!G14*$E95))*'Business Case'!$B$7-'Business Case'!$B$8*(('Business Case'!G11*$C95*'Business Case'!G12*$B95)-('Business Case'!F11*$C95*'Business Case'!F12*$B95))-'Business Case'!G15*$F95+'Business Case'!$B$8*('Business Case'!G11*$C95*'Business Case'!G12*$B95)</f>
        <v>1069482160.33057</v>
      </c>
      <c r="N95" s="39" t="n">
        <f aca="false">IF(COUNT('Business Case'!B11:G11)=0,"",H95+NPV(G95,I95:M95))</f>
        <v>-57392442.766048</v>
      </c>
      <c r="P95" s="40" t="n">
        <f aca="true">RAND()</f>
        <v>0.455360872576648</v>
      </c>
      <c r="Q95" s="40" t="n">
        <f aca="true">RAND()</f>
        <v>0.898887670554542</v>
      </c>
      <c r="R95" s="40" t="n">
        <f aca="true">RAND()</f>
        <v>0.09592846381344</v>
      </c>
      <c r="S95" s="40" t="n">
        <f aca="true">RAND()</f>
        <v>0.285673726602065</v>
      </c>
      <c r="T95" s="40" t="n">
        <f aca="true">RAND()</f>
        <v>0.790912577961922</v>
      </c>
      <c r="U95" s="40" t="n">
        <f aca="true">RAND()</f>
        <v>0.0661586838779883</v>
      </c>
    </row>
    <row r="96" customFormat="false" ht="15" hidden="false" customHeight="false" outlineLevel="0" collapsed="false">
      <c r="A96" s="36" t="n">
        <v>16</v>
      </c>
      <c r="B96" s="37" t="n">
        <f aca="false">1+IF($G$6=$E$6,$F$6,IF(P96&lt;($F$6-$E$6)/($G$6-$E$6),$E$6+SQRT(P96*($G$6-$E$6)*($F$6-$E$6)),$G$6-SQRT((1-P96)*($G$6-$E$6)*($G$6-$F$6))))</f>
        <v>1.02500163397624</v>
      </c>
      <c r="C96" s="37" t="n">
        <f aca="false">1+IF($G$7=$E$7,$F$7,IF(Q96&lt;($F$7-$E$7)/($G$7-$E$7),$E$7+SQRT(Q96*($G$7-$E$7)*($F$7-$E$7)),$G$7-SQRT((1-Q96)*($G$7-$E$7)*($G$7-$F$7))))</f>
        <v>1.02454510308005</v>
      </c>
      <c r="D96" s="37" t="n">
        <f aca="false">1+IF($G$8=$E$8,$F$8,IF(R96&lt;($F$8-$E$8)/($G$8-$E$8),$E$8+SQRT(R96*($G$8-$E$8)*($F$8-$E$8)),$G$8-SQRT((1-R96)*($G$8-$E$8)*($G$8-$F$8))))</f>
        <v>0.987673566422446</v>
      </c>
      <c r="E96" s="37" t="n">
        <f aca="false">1+IF($G$9=$E$9,$F$9,IF(S96&lt;($F$9-$E$9)/($G$9-$E$9),$E$9+SQRT(S96*($G$9-$E$9)*($F$9-$E$9)),$G$9-SQRT((1-S96)*($G$9-$E$9)*($G$9-$F$9))))</f>
        <v>1.01848950892534</v>
      </c>
      <c r="F96" s="37" t="n">
        <f aca="false">1+IF($G$10=$E$10,$F$10,IF(T96&lt;($F$10-$E$10)/($G$10-$E$10),$E$10+SQRT(T96*($G$10-$E$10)*($F$10-$E$10)),$G$10-SQRT((1-T96)*($G$10-$E$10)*($G$10-$F$10))))</f>
        <v>1.01516368263803</v>
      </c>
      <c r="G96" s="38" t="n">
        <f aca="false">IF($G$11=$E$11,$F$11,IF(U96&lt;($F$11-$E$11)/($G$11-$E$11),$E$11+SQRT(U96*($G$11-$E$11)*($F$11-$E$11)),$G$11-SQRT((1-U96)*($G$11-$E$11)*($G$11-$F$11))))</f>
        <v>0.112062259564782</v>
      </c>
      <c r="H96" s="39" t="n">
        <f aca="false">(('Business Case'!B11*$C96*'Business Case'!B12*$B96)-'Business Case'!B11*$C96*'Business Case'!B13*$D96-'Business Case'!B14*$E96)-MAX(0,(('Business Case'!B11*$C96*'Business Case'!B12*$B96)-'Business Case'!B11*$C96*'Business Case'!B13*$D96-'Business Case'!B14*$E96))*'Business Case'!$B$7-'Business Case'!$B$8*('Business Case'!B11*$C96*'Business Case'!B12*$B96)-'Business Case'!B15*$F96</f>
        <v>-2030327365.27606</v>
      </c>
      <c r="I96" s="39" t="n">
        <f aca="false">(('Business Case'!C11*$C96*'Business Case'!C12*$B96)-'Business Case'!C11*$C96*'Business Case'!C13*$D96-'Business Case'!C14*$E96)-MAX(0,(('Business Case'!C11*$C96*'Business Case'!C12*$B96)-'Business Case'!C11*$C96*'Business Case'!C13*$D96-'Business Case'!C14*$E96))*'Business Case'!$B$7-'Business Case'!$B$8*(('Business Case'!C11*$C96*'Business Case'!C12*$B96)-('Business Case'!B11*$C96*'Business Case'!B12*$B96))-'Business Case'!C15*$F96</f>
        <v>41350993.154417</v>
      </c>
      <c r="J96" s="39" t="n">
        <f aca="false">(('Business Case'!D11*$C96*'Business Case'!D12*$B96)-'Business Case'!D11*$C96*'Business Case'!D13*$D96-'Business Case'!D14*$E96)-MAX(0,(('Business Case'!D11*$C96*'Business Case'!D12*$B96)-'Business Case'!D11*$C96*'Business Case'!D13*$D96-'Business Case'!D14*$E96))*'Business Case'!$B$7-'Business Case'!$B$8*(('Business Case'!D11*$C96*'Business Case'!D12*$B96)-('Business Case'!C11*$C96*'Business Case'!C12*$B96))-'Business Case'!D15*$F96</f>
        <v>383487878.123511</v>
      </c>
      <c r="K96" s="39" t="n">
        <f aca="false">(('Business Case'!E11*$C96*'Business Case'!E12*$B96)-'Business Case'!E11*$C96*'Business Case'!E13*$D96-'Business Case'!E14*$E96)-MAX(0,(('Business Case'!E11*$C96*'Business Case'!E12*$B96)-'Business Case'!E11*$C96*'Business Case'!E13*$D96-'Business Case'!E14*$E96))*'Business Case'!$B$7-'Business Case'!$B$8*(('Business Case'!E11*$C96*'Business Case'!E12*$B96)-('Business Case'!D11*$C96*'Business Case'!D12*$B96))-'Business Case'!E15*$F96</f>
        <v>776382947.224506</v>
      </c>
      <c r="L96" s="39" t="n">
        <f aca="false">(('Business Case'!F11*$C96*'Business Case'!F12*$B96)-'Business Case'!F11*$C96*'Business Case'!F13*$D96-'Business Case'!F14*$E96)-MAX(0,(('Business Case'!F11*$C96*'Business Case'!F12*$B96)-'Business Case'!F11*$C96*'Business Case'!F13*$D96-'Business Case'!F14*$E96))*'Business Case'!$B$7-'Business Case'!$B$8*(('Business Case'!F11*$C96*'Business Case'!F12*$B96)-('Business Case'!E11*$C96*'Business Case'!E12*$B96))-'Business Case'!F15*$F96</f>
        <v>926722119.135332</v>
      </c>
      <c r="M96" s="39" t="n">
        <f aca="false">(('Business Case'!G11*$C96*'Business Case'!G12*$B96)-'Business Case'!G11*$C96*'Business Case'!G13*$D96-'Business Case'!G14*$E96)-MAX(0,(('Business Case'!G11*$C96*'Business Case'!G12*$B96)-'Business Case'!G11*$C96*'Business Case'!G13*$D96-'Business Case'!G14*$E96))*'Business Case'!$B$7-'Business Case'!$B$8*(('Business Case'!G11*$C96*'Business Case'!G12*$B96)-('Business Case'!F11*$C96*'Business Case'!F12*$B96))-'Business Case'!G15*$F96+'Business Case'!$B$8*('Business Case'!G11*$C96*'Business Case'!G12*$B96)</f>
        <v>1126336608.8682</v>
      </c>
      <c r="N96" s="39" t="n">
        <f aca="false">IF(COUNT('Business Case'!B11:G11)=0,"",H96+NPV(G96,I96:M96))</f>
        <v>149678882.575238</v>
      </c>
      <c r="P96" s="40" t="n">
        <f aca="true">RAND()</f>
        <v>0.916677559485641</v>
      </c>
      <c r="Q96" s="40" t="n">
        <f aca="true">RAND()</f>
        <v>0.76683064946379</v>
      </c>
      <c r="R96" s="40" t="n">
        <f aca="true">RAND()</f>
        <v>0.189239680931527</v>
      </c>
      <c r="S96" s="40" t="n">
        <f aca="true">RAND()</f>
        <v>0.538799752994682</v>
      </c>
      <c r="T96" s="40" t="n">
        <f aca="true">RAND()</f>
        <v>0.26469205397157</v>
      </c>
      <c r="U96" s="40" t="n">
        <f aca="true">RAND()</f>
        <v>0.785491645385835</v>
      </c>
    </row>
    <row r="97" customFormat="false" ht="15" hidden="false" customHeight="false" outlineLevel="0" collapsed="false">
      <c r="A97" s="36" t="n">
        <v>17</v>
      </c>
      <c r="B97" s="37" t="n">
        <f aca="false">1+IF($G$6=$E$6,$F$6,IF(P97&lt;($F$6-$E$6)/($G$6-$E$6),$E$6+SQRT(P97*($G$6-$E$6)*($F$6-$E$6)),$G$6-SQRT((1-P97)*($G$6-$E$6)*($G$6-$F$6))))</f>
        <v>0.996315203321641</v>
      </c>
      <c r="C97" s="37" t="n">
        <f aca="false">1+IF($G$7=$E$7,$F$7,IF(Q97&lt;($F$7-$E$7)/($G$7-$E$7),$E$7+SQRT(Q97*($G$7-$E$7)*($F$7-$E$7)),$G$7-SQRT((1-Q97)*($G$7-$E$7)*($G$7-$F$7))))</f>
        <v>1.04440034450665</v>
      </c>
      <c r="D97" s="37" t="n">
        <f aca="false">1+IF($G$8=$E$8,$F$8,IF(R97&lt;($F$8-$E$8)/($G$8-$E$8),$E$8+SQRT(R97*($G$8-$E$8)*($F$8-$E$8)),$G$8-SQRT((1-R97)*($G$8-$E$8)*($G$8-$F$8))))</f>
        <v>1.02231346381159</v>
      </c>
      <c r="E97" s="37" t="n">
        <f aca="false">1+IF($G$9=$E$9,$F$9,IF(S97&lt;($F$9-$E$9)/($G$9-$E$9),$E$9+SQRT(S97*($G$9-$E$9)*($F$9-$E$9)),$G$9-SQRT((1-S97)*($G$9-$E$9)*($G$9-$F$9))))</f>
        <v>1.06171814363323</v>
      </c>
      <c r="F97" s="37" t="n">
        <f aca="false">1+IF($G$10=$E$10,$F$10,IF(T97&lt;($F$10-$E$10)/($G$10-$E$10),$E$10+SQRT(T97*($G$10-$E$10)*($F$10-$E$10)),$G$10-SQRT((1-T97)*($G$10-$E$10)*($G$10-$F$10))))</f>
        <v>1.05615472231732</v>
      </c>
      <c r="G97" s="38" t="n">
        <f aca="false">IF($G$11=$E$11,$F$11,IF(U97&lt;($F$11-$E$11)/($G$11-$E$11),$E$11+SQRT(U97*($G$11-$E$11)*($F$11-$E$11)),$G$11-SQRT((1-U97)*($G$11-$E$11)*($G$11-$F$11))))</f>
        <v>0.104310905809673</v>
      </c>
      <c r="H97" s="39" t="n">
        <f aca="false">(('Business Case'!B11*$C97*'Business Case'!B12*$B97)-'Business Case'!B11*$C97*'Business Case'!B13*$D97-'Business Case'!B14*$E97)-MAX(0,(('Business Case'!B11*$C97*'Business Case'!B12*$B97)-'Business Case'!B11*$C97*'Business Case'!B13*$D97-'Business Case'!B14*$E97))*'Business Case'!$B$7-'Business Case'!$B$8*('Business Case'!B11*$C97*'Business Case'!B12*$B97)-'Business Case'!B15*$F97</f>
        <v>-2112309444.63465</v>
      </c>
      <c r="I97" s="39" t="n">
        <f aca="false">(('Business Case'!C11*$C97*'Business Case'!C12*$B97)-'Business Case'!C11*$C97*'Business Case'!C13*$D97-'Business Case'!C14*$E97)-MAX(0,(('Business Case'!C11*$C97*'Business Case'!C12*$B97)-'Business Case'!C11*$C97*'Business Case'!C13*$D97-'Business Case'!C14*$E97))*'Business Case'!$B$7-'Business Case'!$B$8*(('Business Case'!C11*$C97*'Business Case'!C12*$B97)-('Business Case'!B11*$C97*'Business Case'!B12*$B97))-'Business Case'!C15*$F97</f>
        <v>-4826349.95139785</v>
      </c>
      <c r="J97" s="39" t="n">
        <f aca="false">(('Business Case'!D11*$C97*'Business Case'!D12*$B97)-'Business Case'!D11*$C97*'Business Case'!D13*$D97-'Business Case'!D14*$E97)-MAX(0,(('Business Case'!D11*$C97*'Business Case'!D12*$B97)-'Business Case'!D11*$C97*'Business Case'!D13*$D97-'Business Case'!D14*$E97))*'Business Case'!$B$7-'Business Case'!$B$8*(('Business Case'!D11*$C97*'Business Case'!D12*$B97)-('Business Case'!C11*$C97*'Business Case'!C12*$B97))-'Business Case'!D15*$F97</f>
        <v>300881305.005418</v>
      </c>
      <c r="K97" s="39" t="n">
        <f aca="false">(('Business Case'!E11*$C97*'Business Case'!E12*$B97)-'Business Case'!E11*$C97*'Business Case'!E13*$D97-'Business Case'!E14*$E97)-MAX(0,(('Business Case'!E11*$C97*'Business Case'!E12*$B97)-'Business Case'!E11*$C97*'Business Case'!E13*$D97-'Business Case'!E14*$E97))*'Business Case'!$B$7-'Business Case'!$B$8*(('Business Case'!E11*$C97*'Business Case'!E12*$B97)-('Business Case'!D11*$C97*'Business Case'!D12*$B97))-'Business Case'!E15*$F97</f>
        <v>659396696.0781</v>
      </c>
      <c r="L97" s="39" t="n">
        <f aca="false">(('Business Case'!F11*$C97*'Business Case'!F12*$B97)-'Business Case'!F11*$C97*'Business Case'!F13*$D97-'Business Case'!F14*$E97)-MAX(0,(('Business Case'!F11*$C97*'Business Case'!F12*$B97)-'Business Case'!F11*$C97*'Business Case'!F13*$D97-'Business Case'!F14*$E97))*'Business Case'!$B$7-'Business Case'!$B$8*(('Business Case'!F11*$C97*'Business Case'!F12*$B97)-('Business Case'!E11*$C97*'Business Case'!E12*$B97))-'Business Case'!F15*$F97</f>
        <v>797260722.831596</v>
      </c>
      <c r="M97" s="39" t="n">
        <f aca="false">(('Business Case'!G11*$C97*'Business Case'!G12*$B97)-'Business Case'!G11*$C97*'Business Case'!G13*$D97-'Business Case'!G14*$E97)-MAX(0,(('Business Case'!G11*$C97*'Business Case'!G12*$B97)-'Business Case'!G11*$C97*'Business Case'!G13*$D97-'Business Case'!G14*$E97))*'Business Case'!$B$7-'Business Case'!$B$8*(('Business Case'!G11*$C97*'Business Case'!G12*$B97)-('Business Case'!F11*$C97*'Business Case'!F12*$B97))-'Business Case'!G15*$F97+'Business Case'!$B$8*('Business Case'!G11*$C97*'Business Case'!G12*$B97)</f>
        <v>995048835.888327</v>
      </c>
      <c r="N97" s="39" t="n">
        <f aca="false">IF(COUNT('Business Case'!B11:G11)=0,"",H97+NPV(G97,I97:M97))</f>
        <v>-238352108.933449</v>
      </c>
      <c r="P97" s="40" t="n">
        <f aca="true">RAND()</f>
        <v>0.618441226059267</v>
      </c>
      <c r="Q97" s="40" t="n">
        <f aca="true">RAND()</f>
        <v>0.834795744587948</v>
      </c>
      <c r="R97" s="40" t="n">
        <f aca="true">RAND()</f>
        <v>0.597653473003171</v>
      </c>
      <c r="S97" s="40" t="n">
        <f aca="true">RAND()</f>
        <v>0.792168368971664</v>
      </c>
      <c r="T97" s="40" t="n">
        <f aca="true">RAND()</f>
        <v>0.498986777601687</v>
      </c>
      <c r="U97" s="40" t="n">
        <f aca="true">RAND()</f>
        <v>0.560046959786991</v>
      </c>
    </row>
    <row r="98" customFormat="false" ht="15" hidden="false" customHeight="false" outlineLevel="0" collapsed="false">
      <c r="A98" s="36" t="n">
        <v>18</v>
      </c>
      <c r="B98" s="37" t="n">
        <f aca="false">1+IF($G$6=$E$6,$F$6,IF(P98&lt;($F$6-$E$6)/($G$6-$E$6),$E$6+SQRT(P98*($G$6-$E$6)*($F$6-$E$6)),$G$6-SQRT((1-P98)*($G$6-$E$6)*($G$6-$F$6))))</f>
        <v>0.931048426888126</v>
      </c>
      <c r="C98" s="37" t="n">
        <f aca="false">1+IF($G$7=$E$7,$F$7,IF(Q98&lt;($F$7-$E$7)/($G$7-$E$7),$E$7+SQRT(Q98*($G$7-$E$7)*($F$7-$E$7)),$G$7-SQRT((1-Q98)*($G$7-$E$7)*($G$7-$F$7))))</f>
        <v>0.850914894744243</v>
      </c>
      <c r="D98" s="37" t="n">
        <f aca="false">1+IF($G$8=$E$8,$F$8,IF(R98&lt;($F$8-$E$8)/($G$8-$E$8),$E$8+SQRT(R98*($G$8-$E$8)*($F$8-$E$8)),$G$8-SQRT((1-R98)*($G$8-$E$8)*($G$8-$F$8))))</f>
        <v>0.963671024863173</v>
      </c>
      <c r="E98" s="37" t="n">
        <f aca="false">1+IF($G$9=$E$9,$F$9,IF(S98&lt;($F$9-$E$9)/($G$9-$E$9),$E$9+SQRT(S98*($G$9-$E$9)*($F$9-$E$9)),$G$9-SQRT((1-S98)*($G$9-$E$9)*($G$9-$F$9))))</f>
        <v>0.957008605914341</v>
      </c>
      <c r="F98" s="37" t="n">
        <f aca="false">1+IF($G$10=$E$10,$F$10,IF(T98&lt;($F$10-$E$10)/($G$10-$E$10),$E$10+SQRT(T98*($G$10-$E$10)*($F$10-$E$10)),$G$10-SQRT((1-T98)*($G$10-$E$10)*($G$10-$F$10))))</f>
        <v>1.07443153167199</v>
      </c>
      <c r="G98" s="38" t="n">
        <f aca="false">IF($G$11=$E$11,$F$11,IF(U98&lt;($F$11-$E$11)/($G$11-$E$11),$E$11+SQRT(U98*($G$11-$E$11)*($F$11-$E$11)),$G$11-SQRT((1-U98)*($G$11-$E$11)*($G$11-$F$11))))</f>
        <v>0.105487072013099</v>
      </c>
      <c r="H98" s="39" t="n">
        <f aca="false">(('Business Case'!B11*$C98*'Business Case'!B12*$B98)-'Business Case'!B11*$C98*'Business Case'!B13*$D98-'Business Case'!B14*$E98)-MAX(0,(('Business Case'!B11*$C98*'Business Case'!B12*$B98)-'Business Case'!B11*$C98*'Business Case'!B13*$D98-'Business Case'!B14*$E98))*'Business Case'!$B$7-'Business Case'!$B$8*('Business Case'!B11*$C98*'Business Case'!B12*$B98)-'Business Case'!B15*$F98</f>
        <v>-2148863063.34398</v>
      </c>
      <c r="I98" s="39" t="n">
        <f aca="false">(('Business Case'!C11*$C98*'Business Case'!C12*$B98)-'Business Case'!C11*$C98*'Business Case'!C13*$D98-'Business Case'!C14*$E98)-MAX(0,(('Business Case'!C11*$C98*'Business Case'!C12*$B98)-'Business Case'!C11*$C98*'Business Case'!C13*$D98-'Business Case'!C14*$E98))*'Business Case'!$B$7-'Business Case'!$B$8*(('Business Case'!C11*$C98*'Business Case'!C12*$B98)-('Business Case'!B11*$C98*'Business Case'!B12*$B98))-'Business Case'!C15*$F98</f>
        <v>-55471053.8986312</v>
      </c>
      <c r="J98" s="39" t="n">
        <f aca="false">(('Business Case'!D11*$C98*'Business Case'!D12*$B98)-'Business Case'!D11*$C98*'Business Case'!D13*$D98-'Business Case'!D14*$E98)-MAX(0,(('Business Case'!D11*$C98*'Business Case'!D12*$B98)-'Business Case'!D11*$C98*'Business Case'!D13*$D98-'Business Case'!D14*$E98))*'Business Case'!$B$7-'Business Case'!$B$8*(('Business Case'!D11*$C98*'Business Case'!D12*$B98)-('Business Case'!C11*$C98*'Business Case'!C12*$B98))-'Business Case'!D15*$F98</f>
        <v>173657544.911789</v>
      </c>
      <c r="K98" s="39" t="n">
        <f aca="false">(('Business Case'!E11*$C98*'Business Case'!E12*$B98)-'Business Case'!E11*$C98*'Business Case'!E13*$D98-'Business Case'!E14*$E98)-MAX(0,(('Business Case'!E11*$C98*'Business Case'!E12*$B98)-'Business Case'!E11*$C98*'Business Case'!E13*$D98-'Business Case'!E14*$E98))*'Business Case'!$B$7-'Business Case'!$B$8*(('Business Case'!E11*$C98*'Business Case'!E12*$B98)-('Business Case'!D11*$C98*'Business Case'!D12*$B98))-'Business Case'!E15*$F98</f>
        <v>456507720.305809</v>
      </c>
      <c r="L98" s="39" t="n">
        <f aca="false">(('Business Case'!F11*$C98*'Business Case'!F12*$B98)-'Business Case'!F11*$C98*'Business Case'!F13*$D98-'Business Case'!F14*$E98)-MAX(0,(('Business Case'!F11*$C98*'Business Case'!F12*$B98)-'Business Case'!F11*$C98*'Business Case'!F13*$D98-'Business Case'!F14*$E98))*'Business Case'!$B$7-'Business Case'!$B$8*(('Business Case'!F11*$C98*'Business Case'!F12*$B98)-('Business Case'!E11*$C98*'Business Case'!E12*$B98))-'Business Case'!F15*$F98</f>
        <v>560263837.096505</v>
      </c>
      <c r="M98" s="39" t="n">
        <f aca="false">(('Business Case'!G11*$C98*'Business Case'!G12*$B98)-'Business Case'!G11*$C98*'Business Case'!G13*$D98-'Business Case'!G14*$E98)-MAX(0,(('Business Case'!G11*$C98*'Business Case'!G12*$B98)-'Business Case'!G11*$C98*'Business Case'!G13*$D98-'Business Case'!G14*$E98))*'Business Case'!$B$7-'Business Case'!$B$8*(('Business Case'!G11*$C98*'Business Case'!G12*$B98)-('Business Case'!F11*$C98*'Business Case'!F12*$B98))-'Business Case'!G15*$F98+'Business Case'!$B$8*('Business Case'!G11*$C98*'Business Case'!G12*$B98)</f>
        <v>710853381.626226</v>
      </c>
      <c r="N98" s="39" t="n">
        <f aca="false">IF(COUNT('Business Case'!B11:G11)=0,"",H98+NPV(G98,I98:M98))</f>
        <v>-913379512.275172</v>
      </c>
      <c r="P98" s="40" t="n">
        <f aca="true">RAND()</f>
        <v>0.06426698748182</v>
      </c>
      <c r="Q98" s="40" t="n">
        <f aca="true">RAND()</f>
        <v>0.168705966338267</v>
      </c>
      <c r="R98" s="40" t="n">
        <f aca="true">RAND()</f>
        <v>0.0249195894412643</v>
      </c>
      <c r="S98" s="40" t="n">
        <f aca="true">RAND()</f>
        <v>0.129999245931867</v>
      </c>
      <c r="T98" s="40" t="n">
        <f aca="true">RAND()</f>
        <v>0.589009505719429</v>
      </c>
      <c r="U98" s="40" t="n">
        <f aca="true">RAND()</f>
        <v>0.599410907672672</v>
      </c>
    </row>
    <row r="99" customFormat="false" ht="15" hidden="false" customHeight="false" outlineLevel="0" collapsed="false">
      <c r="A99" s="36" t="n">
        <v>19</v>
      </c>
      <c r="B99" s="37" t="n">
        <f aca="false">1+IF($G$6=$E$6,$F$6,IF(P99&lt;($F$6-$E$6)/($G$6-$E$6),$E$6+SQRT(P99*($G$6-$E$6)*($F$6-$E$6)),$G$6-SQRT((1-P99)*($G$6-$E$6)*($G$6-$F$6))))</f>
        <v>0.979718984575938</v>
      </c>
      <c r="C99" s="37" t="n">
        <f aca="false">1+IF($G$7=$E$7,$F$7,IF(Q99&lt;($F$7-$E$7)/($G$7-$E$7),$E$7+SQRT(Q99*($G$7-$E$7)*($F$7-$E$7)),$G$7-SQRT((1-Q99)*($G$7-$E$7)*($G$7-$F$7))))</f>
        <v>1.00852349578684</v>
      </c>
      <c r="D99" s="37" t="n">
        <f aca="false">1+IF($G$8=$E$8,$F$8,IF(R99&lt;($F$8-$E$8)/($G$8-$E$8),$E$8+SQRT(R99*($G$8-$E$8)*($F$8-$E$8)),$G$8-SQRT((1-R99)*($G$8-$E$8)*($G$8-$F$8))))</f>
        <v>0.972891003123911</v>
      </c>
      <c r="E99" s="37" t="n">
        <f aca="false">1+IF($G$9=$E$9,$F$9,IF(S99&lt;($F$9-$E$9)/($G$9-$E$9),$E$9+SQRT(S99*($G$9-$E$9)*($F$9-$E$9)),$G$9-SQRT((1-S99)*($G$9-$E$9)*($G$9-$F$9))))</f>
        <v>1.02906579990549</v>
      </c>
      <c r="F99" s="37" t="n">
        <f aca="false">1+IF($G$10=$E$10,$F$10,IF(T99&lt;($F$10-$E$10)/($G$10-$E$10),$E$10+SQRT(T99*($G$10-$E$10)*($F$10-$E$10)),$G$10-SQRT((1-T99)*($G$10-$E$10)*($G$10-$F$10))))</f>
        <v>1.01598500805769</v>
      </c>
      <c r="G99" s="38" t="n">
        <f aca="false">IF($G$11=$E$11,$F$11,IF(U99&lt;($F$11-$E$11)/($G$11-$E$11),$E$11+SQRT(U99*($G$11-$E$11)*($F$11-$E$11)),$G$11-SQRT((1-U99)*($G$11-$E$11)*($G$11-$F$11))))</f>
        <v>0.109560702604102</v>
      </c>
      <c r="H99" s="39" t="n">
        <f aca="false">(('Business Case'!B11*$C99*'Business Case'!B12*$B99)-'Business Case'!B11*$C99*'Business Case'!B13*$D99-'Business Case'!B14*$E99)-MAX(0,(('Business Case'!B11*$C99*'Business Case'!B12*$B99)-'Business Case'!B11*$C99*'Business Case'!B13*$D99-'Business Case'!B14*$E99))*'Business Case'!$B$7-'Business Case'!$B$8*('Business Case'!B11*$C99*'Business Case'!B12*$B99)-'Business Case'!B15*$F99</f>
        <v>-2031970016.11538</v>
      </c>
      <c r="I99" s="39" t="n">
        <f aca="false">(('Business Case'!C11*$C99*'Business Case'!C12*$B99)-'Business Case'!C11*$C99*'Business Case'!C13*$D99-'Business Case'!C14*$E99)-MAX(0,(('Business Case'!C11*$C99*'Business Case'!C12*$B99)-'Business Case'!C11*$C99*'Business Case'!C13*$D99-'Business Case'!C14*$E99))*'Business Case'!$B$7-'Business Case'!$B$8*(('Business Case'!C11*$C99*'Business Case'!C12*$B99)-('Business Case'!B11*$C99*'Business Case'!B12*$B99))-'Business Case'!C15*$F99</f>
        <v>7859545.17088065</v>
      </c>
      <c r="J99" s="39" t="n">
        <f aca="false">(('Business Case'!D11*$C99*'Business Case'!D12*$B99)-'Business Case'!D11*$C99*'Business Case'!D13*$D99-'Business Case'!D14*$E99)-MAX(0,(('Business Case'!D11*$C99*'Business Case'!D12*$B99)-'Business Case'!D11*$C99*'Business Case'!D13*$D99-'Business Case'!D14*$E99))*'Business Case'!$B$7-'Business Case'!$B$8*(('Business Case'!D11*$C99*'Business Case'!D12*$B99)-('Business Case'!C11*$C99*'Business Case'!C12*$B99))-'Business Case'!D15*$F99</f>
        <v>314872276.746747</v>
      </c>
      <c r="K99" s="39" t="n">
        <f aca="false">(('Business Case'!E11*$C99*'Business Case'!E12*$B99)-'Business Case'!E11*$C99*'Business Case'!E13*$D99-'Business Case'!E14*$E99)-MAX(0,(('Business Case'!E11*$C99*'Business Case'!E12*$B99)-'Business Case'!E11*$C99*'Business Case'!E13*$D99-'Business Case'!E14*$E99))*'Business Case'!$B$7-'Business Case'!$B$8*(('Business Case'!E11*$C99*'Business Case'!E12*$B99)-('Business Case'!D11*$C99*'Business Case'!D12*$B99))-'Business Case'!E15*$F99</f>
        <v>672684258.725497</v>
      </c>
      <c r="L99" s="39" t="n">
        <f aca="false">(('Business Case'!F11*$C99*'Business Case'!F12*$B99)-'Business Case'!F11*$C99*'Business Case'!F13*$D99-'Business Case'!F14*$E99)-MAX(0,(('Business Case'!F11*$C99*'Business Case'!F12*$B99)-'Business Case'!F11*$C99*'Business Case'!F13*$D99-'Business Case'!F14*$E99))*'Business Case'!$B$7-'Business Case'!$B$8*(('Business Case'!F11*$C99*'Business Case'!F12*$B99)-('Business Case'!E11*$C99*'Business Case'!E12*$B99))-'Business Case'!F15*$F99</f>
        <v>809169521.819223</v>
      </c>
      <c r="M99" s="39" t="n">
        <f aca="false">(('Business Case'!G11*$C99*'Business Case'!G12*$B99)-'Business Case'!G11*$C99*'Business Case'!G13*$D99-'Business Case'!G14*$E99)-MAX(0,(('Business Case'!G11*$C99*'Business Case'!G12*$B99)-'Business Case'!G11*$C99*'Business Case'!G13*$D99-'Business Case'!G14*$E99))*'Business Case'!$B$7-'Business Case'!$B$8*(('Business Case'!G11*$C99*'Business Case'!G12*$B99)-('Business Case'!F11*$C99*'Business Case'!F12*$B99))-'Business Case'!G15*$F99+'Business Case'!$B$8*('Business Case'!G11*$C99*'Business Case'!G12*$B99)</f>
        <v>996981794.278959</v>
      </c>
      <c r="N99" s="39" t="n">
        <f aca="false">IF(COUNT('Business Case'!B11:G11)=0,"",H99+NPV(G99,I99:M99))</f>
        <v>-149979342.159707</v>
      </c>
      <c r="P99" s="40" t="n">
        <f aca="true">RAND()</f>
        <v>0.423674433454573</v>
      </c>
      <c r="Q99" s="40" t="n">
        <f aca="true">RAND()</f>
        <v>0.703472574157392</v>
      </c>
      <c r="R99" s="40" t="n">
        <f aca="true">RAND()</f>
        <v>0.0698664032025192</v>
      </c>
      <c r="S99" s="40" t="n">
        <f aca="true">RAND()</f>
        <v>0.609997846600036</v>
      </c>
      <c r="T99" s="40" t="n">
        <f aca="true">RAND()</f>
        <v>0.269826447283219</v>
      </c>
      <c r="U99" s="40" t="n">
        <f aca="true">RAND()</f>
        <v>0.721490081308034</v>
      </c>
    </row>
    <row r="100" customFormat="false" ht="15" hidden="false" customHeight="false" outlineLevel="0" collapsed="false">
      <c r="A100" s="36" t="n">
        <v>20</v>
      </c>
      <c r="B100" s="37" t="n">
        <f aca="false">1+IF($G$6=$E$6,$F$6,IF(P100&lt;($F$6-$E$6)/($G$6-$E$6),$E$6+SQRT(P100*($G$6-$E$6)*($F$6-$E$6)),$G$6-SQRT((1-P100)*($G$6-$E$6)*($G$6-$F$6))))</f>
        <v>1.02826228657385</v>
      </c>
      <c r="C100" s="37" t="n">
        <f aca="false">1+IF($G$7=$E$7,$F$7,IF(Q100&lt;($F$7-$E$7)/($G$7-$E$7),$E$7+SQRT(Q100*($G$7-$E$7)*($F$7-$E$7)),$G$7-SQRT((1-Q100)*($G$7-$E$7)*($G$7-$F$7))))</f>
        <v>0.905483537046391</v>
      </c>
      <c r="D100" s="37" t="n">
        <f aca="false">1+IF($G$8=$E$8,$F$8,IF(R100&lt;($F$8-$E$8)/($G$8-$E$8),$E$8+SQRT(R100*($G$8-$E$8)*($F$8-$E$8)),$G$8-SQRT((1-R100)*($G$8-$E$8)*($G$8-$F$8))))</f>
        <v>1.04794783734873</v>
      </c>
      <c r="E100" s="37" t="n">
        <f aca="false">1+IF($G$9=$E$9,$F$9,IF(S100&lt;($F$9-$E$9)/($G$9-$E$9),$E$9+SQRT(S100*($G$9-$E$9)*($F$9-$E$9)),$G$9-SQRT((1-S100)*($G$9-$E$9)*($G$9-$F$9))))</f>
        <v>1.02537560336758</v>
      </c>
      <c r="F100" s="37" t="n">
        <f aca="false">1+IF($G$10=$E$10,$F$10,IF(T100&lt;($F$10-$E$10)/($G$10-$E$10),$E$10+SQRT(T100*($G$10-$E$10)*($F$10-$E$10)),$G$10-SQRT((1-T100)*($G$10-$E$10)*($G$10-$F$10))))</f>
        <v>1.1748540294776</v>
      </c>
      <c r="G100" s="38" t="n">
        <f aca="false">IF($G$11=$E$11,$F$11,IF(U100&lt;($F$11-$E$11)/($G$11-$E$11),$E$11+SQRT(U100*($G$11-$E$11)*($F$11-$E$11)),$G$11-SQRT((1-U100)*($G$11-$E$11)*($G$11-$F$11))))</f>
        <v>0.111835175987154</v>
      </c>
      <c r="H100" s="39" t="n">
        <f aca="false">(('Business Case'!B11*$C100*'Business Case'!B12*$B100)-'Business Case'!B11*$C100*'Business Case'!B13*$D100-'Business Case'!B14*$E100)-MAX(0,(('Business Case'!B11*$C100*'Business Case'!B12*$B100)-'Business Case'!B11*$C100*'Business Case'!B13*$D100-'Business Case'!B14*$E100))*'Business Case'!$B$7-'Business Case'!$B$8*('Business Case'!B11*$C100*'Business Case'!B12*$B100)-'Business Case'!B15*$F100</f>
        <v>-2349708058.95521</v>
      </c>
      <c r="I100" s="39" t="n">
        <f aca="false">(('Business Case'!C11*$C100*'Business Case'!C12*$B100)-'Business Case'!C11*$C100*'Business Case'!C13*$D100-'Business Case'!C14*$E100)-MAX(0,(('Business Case'!C11*$C100*'Business Case'!C12*$B100)-'Business Case'!C11*$C100*'Business Case'!C13*$D100-'Business Case'!C14*$E100))*'Business Case'!$B$7-'Business Case'!$B$8*(('Business Case'!C11*$C100*'Business Case'!C12*$B100)-('Business Case'!B11*$C100*'Business Case'!B12*$B100))-'Business Case'!C15*$F100</f>
        <v>-34704246.936749</v>
      </c>
      <c r="J100" s="39" t="n">
        <f aca="false">(('Business Case'!D11*$C100*'Business Case'!D12*$B100)-'Business Case'!D11*$C100*'Business Case'!D13*$D100-'Business Case'!D14*$E100)-MAX(0,(('Business Case'!D11*$C100*'Business Case'!D12*$B100)-'Business Case'!D11*$C100*'Business Case'!D13*$D100-'Business Case'!D14*$E100))*'Business Case'!$B$7-'Business Case'!$B$8*(('Business Case'!D11*$C100*'Business Case'!D12*$B100)-('Business Case'!C11*$C100*'Business Case'!C12*$B100))-'Business Case'!D15*$F100</f>
        <v>242152225.699002</v>
      </c>
      <c r="K100" s="39" t="n">
        <f aca="false">(('Business Case'!E11*$C100*'Business Case'!E12*$B100)-'Business Case'!E11*$C100*'Business Case'!E13*$D100-'Business Case'!E14*$E100)-MAX(0,(('Business Case'!E11*$C100*'Business Case'!E12*$B100)-'Business Case'!E11*$C100*'Business Case'!E13*$D100-'Business Case'!E14*$E100))*'Business Case'!$B$7-'Business Case'!$B$8*(('Business Case'!E11*$C100*'Business Case'!E12*$B100)-('Business Case'!D11*$C100*'Business Case'!D12*$B100))-'Business Case'!E15*$F100</f>
        <v>577751399.808634</v>
      </c>
      <c r="L100" s="39" t="n">
        <f aca="false">(('Business Case'!F11*$C100*'Business Case'!F12*$B100)-'Business Case'!F11*$C100*'Business Case'!F13*$D100-'Business Case'!F14*$E100)-MAX(0,(('Business Case'!F11*$C100*'Business Case'!F12*$B100)-'Business Case'!F11*$C100*'Business Case'!F13*$D100-'Business Case'!F14*$E100))*'Business Case'!$B$7-'Business Case'!$B$8*(('Business Case'!F11*$C100*'Business Case'!F12*$B100)-('Business Case'!E11*$C100*'Business Case'!E12*$B100))-'Business Case'!F15*$F100</f>
        <v>702214827.904465</v>
      </c>
      <c r="M100" s="39" t="n">
        <f aca="false">(('Business Case'!G11*$C100*'Business Case'!G12*$B100)-'Business Case'!G11*$C100*'Business Case'!G13*$D100-'Business Case'!G14*$E100)-MAX(0,(('Business Case'!G11*$C100*'Business Case'!G12*$B100)-'Business Case'!G11*$C100*'Business Case'!G13*$D100-'Business Case'!G14*$E100))*'Business Case'!$B$7-'Business Case'!$B$8*(('Business Case'!G11*$C100*'Business Case'!G12*$B100)-('Business Case'!F11*$C100*'Business Case'!F12*$B100))-'Business Case'!G15*$F100+'Business Case'!$B$8*('Business Case'!G11*$C100*'Business Case'!G12*$B100)</f>
        <v>879193482.599323</v>
      </c>
      <c r="N100" s="39" t="n">
        <f aca="false">IF(COUNT('Business Case'!B11:G11)=0,"",H100+NPV(G100,I100:M100))</f>
        <v>-787684311.373857</v>
      </c>
      <c r="P100" s="40" t="n">
        <f aca="true">RAND()</f>
        <v>0.936996242000364</v>
      </c>
      <c r="Q100" s="40" t="n">
        <f aca="true">RAND()</f>
        <v>0.312766548126634</v>
      </c>
      <c r="R100" s="40" t="n">
        <f aca="true">RAND()</f>
        <v>0.819371490888375</v>
      </c>
      <c r="S100" s="40" t="n">
        <f aca="true">RAND()</f>
        <v>0.585833593706795</v>
      </c>
      <c r="T100" s="40" t="n">
        <f aca="true">RAND()</f>
        <v>0.924707774856629</v>
      </c>
      <c r="U100" s="40" t="n">
        <f aca="true">RAND()</f>
        <v>0.780026112388219</v>
      </c>
    </row>
    <row r="101" customFormat="false" ht="15" hidden="false" customHeight="false" outlineLevel="0" collapsed="false">
      <c r="A101" s="36" t="n">
        <v>21</v>
      </c>
      <c r="B101" s="37" t="n">
        <f aca="false">1+IF($G$6=$E$6,$F$6,IF(P101&lt;($F$6-$E$6)/($G$6-$E$6),$E$6+SQRT(P101*($G$6-$E$6)*($F$6-$E$6)),$G$6-SQRT((1-P101)*($G$6-$E$6)*($G$6-$F$6))))</f>
        <v>0.972735460111344</v>
      </c>
      <c r="C101" s="37" t="n">
        <f aca="false">1+IF($G$7=$E$7,$F$7,IF(Q101&lt;($F$7-$E$7)/($G$7-$E$7),$E$7+SQRT(Q101*($G$7-$E$7)*($F$7-$E$7)),$G$7-SQRT((1-Q101)*($G$7-$E$7)*($G$7-$F$7))))</f>
        <v>0.838772484824905</v>
      </c>
      <c r="D101" s="37" t="n">
        <f aca="false">1+IF($G$8=$E$8,$F$8,IF(R101&lt;($F$8-$E$8)/($G$8-$E$8),$E$8+SQRT(R101*($G$8-$E$8)*($F$8-$E$8)),$G$8-SQRT((1-R101)*($G$8-$E$8)*($G$8-$F$8))))</f>
        <v>1.04336301483964</v>
      </c>
      <c r="E101" s="37" t="n">
        <f aca="false">1+IF($G$9=$E$9,$F$9,IF(S101&lt;($F$9-$E$9)/($G$9-$E$9),$E$9+SQRT(S101*($G$9-$E$9)*($F$9-$E$9)),$G$9-SQRT((1-S101)*($G$9-$E$9)*($G$9-$F$9))))</f>
        <v>1.05088865099684</v>
      </c>
      <c r="F101" s="37" t="n">
        <f aca="false">1+IF($G$10=$E$10,$F$10,IF(T101&lt;($F$10-$E$10)/($G$10-$E$10),$E$10+SQRT(T101*($G$10-$E$10)*($F$10-$E$10)),$G$10-SQRT((1-T101)*($G$10-$E$10)*($G$10-$F$10))))</f>
        <v>1.07549027135156</v>
      </c>
      <c r="G101" s="38" t="n">
        <f aca="false">IF($G$11=$E$11,$F$11,IF(U101&lt;($F$11-$E$11)/($G$11-$E$11),$E$11+SQRT(U101*($G$11-$E$11)*($F$11-$E$11)),$G$11-SQRT((1-U101)*($G$11-$E$11)*($G$11-$F$11))))</f>
        <v>0.091706533575783</v>
      </c>
      <c r="H101" s="39" t="n">
        <f aca="false">(('Business Case'!B11*$C101*'Business Case'!B12*$B101)-'Business Case'!B11*$C101*'Business Case'!B13*$D101-'Business Case'!B14*$E101)-MAX(0,(('Business Case'!B11*$C101*'Business Case'!B12*$B101)-'Business Case'!B11*$C101*'Business Case'!B13*$D101-'Business Case'!B14*$E101))*'Business Case'!$B$7-'Business Case'!$B$8*('Business Case'!B11*$C101*'Business Case'!B12*$B101)-'Business Case'!B15*$F101</f>
        <v>-2150980542.70311</v>
      </c>
      <c r="I101" s="39" t="n">
        <f aca="false">(('Business Case'!C11*$C101*'Business Case'!C12*$B101)-'Business Case'!C11*$C101*'Business Case'!C13*$D101-'Business Case'!C14*$E101)-MAX(0,(('Business Case'!C11*$C101*'Business Case'!C12*$B101)-'Business Case'!C11*$C101*'Business Case'!C13*$D101-'Business Case'!C14*$E101))*'Business Case'!$B$7-'Business Case'!$B$8*(('Business Case'!C11*$C101*'Business Case'!C12*$B101)-('Business Case'!B11*$C101*'Business Case'!B12*$B101))-'Business Case'!C15*$F101</f>
        <v>-79001748.8540891</v>
      </c>
      <c r="J101" s="39" t="n">
        <f aca="false">(('Business Case'!D11*$C101*'Business Case'!D12*$B101)-'Business Case'!D11*$C101*'Business Case'!D13*$D101-'Business Case'!D14*$E101)-MAX(0,(('Business Case'!D11*$C101*'Business Case'!D12*$B101)-'Business Case'!D11*$C101*'Business Case'!D13*$D101-'Business Case'!D14*$E101))*'Business Case'!$B$7-'Business Case'!$B$8*(('Business Case'!D11*$C101*'Business Case'!D12*$B101)-('Business Case'!C11*$C101*'Business Case'!C12*$B101))-'Business Case'!D15*$F101</f>
        <v>141278345.426149</v>
      </c>
      <c r="K101" s="39" t="n">
        <f aca="false">(('Business Case'!E11*$C101*'Business Case'!E12*$B101)-'Business Case'!E11*$C101*'Business Case'!E13*$D101-'Business Case'!E14*$E101)-MAX(0,(('Business Case'!E11*$C101*'Business Case'!E12*$B101)-'Business Case'!E11*$C101*'Business Case'!E13*$D101-'Business Case'!E14*$E101))*'Business Case'!$B$7-'Business Case'!$B$8*(('Business Case'!E11*$C101*'Business Case'!E12*$B101)-('Business Case'!D11*$C101*'Business Case'!D12*$B101))-'Business Case'!E15*$F101</f>
        <v>415332953.273965</v>
      </c>
      <c r="L101" s="39" t="n">
        <f aca="false">(('Business Case'!F11*$C101*'Business Case'!F12*$B101)-'Business Case'!F11*$C101*'Business Case'!F13*$D101-'Business Case'!F14*$E101)-MAX(0,(('Business Case'!F11*$C101*'Business Case'!F12*$B101)-'Business Case'!F11*$C101*'Business Case'!F13*$D101-'Business Case'!F14*$E101))*'Business Case'!$B$7-'Business Case'!$B$8*(('Business Case'!F11*$C101*'Business Case'!F12*$B101)-('Business Case'!E11*$C101*'Business Case'!E12*$B101))-'Business Case'!F15*$F101</f>
        <v>516957284.585659</v>
      </c>
      <c r="M101" s="39" t="n">
        <f aca="false">(('Business Case'!G11*$C101*'Business Case'!G12*$B101)-'Business Case'!G11*$C101*'Business Case'!G13*$D101-'Business Case'!G14*$E101)-MAX(0,(('Business Case'!G11*$C101*'Business Case'!G12*$B101)-'Business Case'!G11*$C101*'Business Case'!G13*$D101-'Business Case'!G14*$E101))*'Business Case'!$B$7-'Business Case'!$B$8*(('Business Case'!G11*$C101*'Business Case'!G12*$B101)-('Business Case'!F11*$C101*'Business Case'!F12*$B101))-'Business Case'!G15*$F101+'Business Case'!$B$8*('Business Case'!G11*$C101*'Business Case'!G12*$B101)</f>
        <v>672044267.286204</v>
      </c>
      <c r="N101" s="39" t="n">
        <f aca="false">IF(COUNT('Business Case'!B11:G11)=0,"",H101+NPV(G101,I101:M101))</f>
        <v>-988274127.241533</v>
      </c>
      <c r="P101" s="40" t="n">
        <f aca="true">RAND()</f>
        <v>0.352696477173928</v>
      </c>
      <c r="Q101" s="40" t="n">
        <f aca="true">RAND()</f>
        <v>0.142650389218359</v>
      </c>
      <c r="R101" s="40" t="n">
        <f aca="true">RAND()</f>
        <v>0.786150127463035</v>
      </c>
      <c r="S101" s="40" t="n">
        <f aca="true">RAND()</f>
        <v>0.738051746633953</v>
      </c>
      <c r="T101" s="40" t="n">
        <f aca="true">RAND()</f>
        <v>0.593951394760624</v>
      </c>
      <c r="U101" s="40" t="n">
        <f aca="true">RAND()</f>
        <v>0.137042928360933</v>
      </c>
    </row>
    <row r="102" customFormat="false" ht="15" hidden="false" customHeight="false" outlineLevel="0" collapsed="false">
      <c r="A102" s="36" t="n">
        <v>22</v>
      </c>
      <c r="B102" s="37" t="n">
        <f aca="false">1+IF($G$6=$E$6,$F$6,IF(P102&lt;($F$6-$E$6)/($G$6-$E$6),$E$6+SQRT(P102*($G$6-$E$6)*($F$6-$E$6)),$G$6-SQRT((1-P102)*($G$6-$E$6)*($G$6-$F$6))))</f>
        <v>0.972882837277352</v>
      </c>
      <c r="C102" s="37" t="n">
        <f aca="false">1+IF($G$7=$E$7,$F$7,IF(Q102&lt;($F$7-$E$7)/($G$7-$E$7),$E$7+SQRT(Q102*($G$7-$E$7)*($F$7-$E$7)),$G$7-SQRT((1-Q102)*($G$7-$E$7)*($G$7-$F$7))))</f>
        <v>0.84722723754583</v>
      </c>
      <c r="D102" s="37" t="n">
        <f aca="false">1+IF($G$8=$E$8,$F$8,IF(R102&lt;($F$8-$E$8)/($G$8-$E$8),$E$8+SQRT(R102*($G$8-$E$8)*($F$8-$E$8)),$G$8-SQRT((1-R102)*($G$8-$E$8)*($G$8-$F$8))))</f>
        <v>1.00217156999622</v>
      </c>
      <c r="E102" s="37" t="n">
        <f aca="false">1+IF($G$9=$E$9,$F$9,IF(S102&lt;($F$9-$E$9)/($G$9-$E$9),$E$9+SQRT(S102*($G$9-$E$9)*($F$9-$E$9)),$G$9-SQRT((1-S102)*($G$9-$E$9)*($G$9-$F$9))))</f>
        <v>1.11081594138993</v>
      </c>
      <c r="F102" s="37" t="n">
        <f aca="false">1+IF($G$10=$E$10,$F$10,IF(T102&lt;($F$10-$E$10)/($G$10-$E$10),$E$10+SQRT(T102*($G$10-$E$10)*($F$10-$E$10)),$G$10-SQRT((1-T102)*($G$10-$E$10)*($G$10-$F$10))))</f>
        <v>1.18891268030029</v>
      </c>
      <c r="G102" s="38" t="n">
        <f aca="false">IF($G$11=$E$11,$F$11,IF(U102&lt;($F$11-$E$11)/($G$11-$E$11),$E$11+SQRT(U102*($G$11-$E$11)*($F$11-$E$11)),$G$11-SQRT((1-U102)*($G$11-$E$11)*($G$11-$F$11))))</f>
        <v>0.0975860757915993</v>
      </c>
      <c r="H102" s="39" t="n">
        <f aca="false">(('Business Case'!B11*$C102*'Business Case'!B12*$B102)-'Business Case'!B11*$C102*'Business Case'!B13*$D102-'Business Case'!B14*$E102)-MAX(0,(('Business Case'!B11*$C102*'Business Case'!B12*$B102)-'Business Case'!B11*$C102*'Business Case'!B13*$D102-'Business Case'!B14*$E102))*'Business Case'!$B$7-'Business Case'!$B$8*('Business Case'!B11*$C102*'Business Case'!B12*$B102)-'Business Case'!B15*$F102</f>
        <v>-2377825360.60059</v>
      </c>
      <c r="I102" s="39" t="n">
        <f aca="false">(('Business Case'!C11*$C102*'Business Case'!C12*$B102)-'Business Case'!C11*$C102*'Business Case'!C13*$D102-'Business Case'!C14*$E102)-MAX(0,(('Business Case'!C11*$C102*'Business Case'!C12*$B102)-'Business Case'!C11*$C102*'Business Case'!C13*$D102-'Business Case'!C14*$E102))*'Business Case'!$B$7-'Business Case'!$B$8*(('Business Case'!C11*$C102*'Business Case'!C12*$B102)-('Business Case'!B11*$C102*'Business Case'!B12*$B102))-'Business Case'!C15*$F102</f>
        <v>-79110545.6107318</v>
      </c>
      <c r="J102" s="39" t="n">
        <f aca="false">(('Business Case'!D11*$C102*'Business Case'!D12*$B102)-'Business Case'!D11*$C102*'Business Case'!D13*$D102-'Business Case'!D14*$E102)-MAX(0,(('Business Case'!D11*$C102*'Business Case'!D12*$B102)-'Business Case'!D11*$C102*'Business Case'!D13*$D102-'Business Case'!D14*$E102))*'Business Case'!$B$7-'Business Case'!$B$8*(('Business Case'!D11*$C102*'Business Case'!D12*$B102)-('Business Case'!C11*$C102*'Business Case'!C12*$B102))-'Business Case'!D15*$F102</f>
        <v>161357470.831501</v>
      </c>
      <c r="K102" s="39" t="n">
        <f aca="false">(('Business Case'!E11*$C102*'Business Case'!E12*$B102)-'Business Case'!E11*$C102*'Business Case'!E13*$D102-'Business Case'!E14*$E102)-MAX(0,(('Business Case'!E11*$C102*'Business Case'!E12*$B102)-'Business Case'!E11*$C102*'Business Case'!E13*$D102-'Business Case'!E14*$E102))*'Business Case'!$B$7-'Business Case'!$B$8*(('Business Case'!E11*$C102*'Business Case'!E12*$B102)-('Business Case'!D11*$C102*'Business Case'!D12*$B102))-'Business Case'!E15*$F102</f>
        <v>461271121.288748</v>
      </c>
      <c r="L102" s="39" t="n">
        <f aca="false">(('Business Case'!F11*$C102*'Business Case'!F12*$B102)-'Business Case'!F11*$C102*'Business Case'!F13*$D102-'Business Case'!F14*$E102)-MAX(0,(('Business Case'!F11*$C102*'Business Case'!F12*$B102)-'Business Case'!F11*$C102*'Business Case'!F13*$D102-'Business Case'!F14*$E102))*'Business Case'!$B$7-'Business Case'!$B$8*(('Business Case'!F11*$C102*'Business Case'!F12*$B102)-('Business Case'!E11*$C102*'Business Case'!E12*$B102))-'Business Case'!F15*$F102</f>
        <v>569913304.87435</v>
      </c>
      <c r="M102" s="39" t="n">
        <f aca="false">(('Business Case'!G11*$C102*'Business Case'!G12*$B102)-'Business Case'!G11*$C102*'Business Case'!G13*$D102-'Business Case'!G14*$E102)-MAX(0,(('Business Case'!G11*$C102*'Business Case'!G12*$B102)-'Business Case'!G11*$C102*'Business Case'!G13*$D102-'Business Case'!G14*$E102))*'Business Case'!$B$7-'Business Case'!$B$8*(('Business Case'!G11*$C102*'Business Case'!G12*$B102)-('Business Case'!F11*$C102*'Business Case'!F12*$B102))-'Business Case'!G15*$F102+'Business Case'!$B$8*('Business Case'!G11*$C102*'Business Case'!G12*$B102)</f>
        <v>726587284.45107</v>
      </c>
      <c r="N102" s="39" t="n">
        <f aca="false">IF(COUNT('Business Case'!B11:G11)=0,"",H102+NPV(G102,I102:M102))</f>
        <v>-1118279608.51537</v>
      </c>
      <c r="P102" s="40" t="n">
        <f aca="true">RAND()</f>
        <v>0.354127197973126</v>
      </c>
      <c r="Q102" s="40" t="n">
        <f aca="true">RAND()</f>
        <v>0.160561922039824</v>
      </c>
      <c r="R102" s="40" t="n">
        <f aca="true">RAND()</f>
        <v>0.361973218866361</v>
      </c>
      <c r="S102" s="40" t="n">
        <f aca="true">RAND()</f>
        <v>0.959056254689129</v>
      </c>
      <c r="T102" s="40" t="n">
        <f aca="true">RAND()</f>
        <v>0.950244524958746</v>
      </c>
      <c r="U102" s="40" t="n">
        <f aca="true">RAND()</f>
        <v>0.309270061747874</v>
      </c>
    </row>
    <row r="103" customFormat="false" ht="15" hidden="false" customHeight="false" outlineLevel="0" collapsed="false">
      <c r="A103" s="36" t="n">
        <v>23</v>
      </c>
      <c r="B103" s="37" t="n">
        <f aca="false">1+IF($G$6=$E$6,$F$6,IF(P103&lt;($F$6-$E$6)/($G$6-$E$6),$E$6+SQRT(P103*($G$6-$E$6)*($F$6-$E$6)),$G$6-SQRT((1-P103)*($G$6-$E$6)*($G$6-$F$6))))</f>
        <v>0.961632913630751</v>
      </c>
      <c r="C103" s="37" t="n">
        <f aca="false">1+IF($G$7=$E$7,$F$7,IF(Q103&lt;($F$7-$E$7)/($G$7-$E$7),$E$7+SQRT(Q103*($G$7-$E$7)*($F$7-$E$7)),$G$7-SQRT((1-Q103)*($G$7-$E$7)*($G$7-$F$7))))</f>
        <v>0.882699871974054</v>
      </c>
      <c r="D103" s="37" t="n">
        <f aca="false">1+IF($G$8=$E$8,$F$8,IF(R103&lt;($F$8-$E$8)/($G$8-$E$8),$E$8+SQRT(R103*($G$8-$E$8)*($F$8-$E$8)),$G$8-SQRT((1-R103)*($G$8-$E$8)*($G$8-$F$8))))</f>
        <v>0.996867709491799</v>
      </c>
      <c r="E103" s="37" t="n">
        <f aca="false">1+IF($G$9=$E$9,$F$9,IF(S103&lt;($F$9-$E$9)/($G$9-$E$9),$E$9+SQRT(S103*($G$9-$E$9)*($F$9-$E$9)),$G$9-SQRT((1-S103)*($G$9-$E$9)*($G$9-$F$9))))</f>
        <v>0.965222147441821</v>
      </c>
      <c r="F103" s="37" t="n">
        <f aca="false">1+IF($G$10=$E$10,$F$10,IF(T103&lt;($F$10-$E$10)/($G$10-$E$10),$E$10+SQRT(T103*($G$10-$E$10)*($F$10-$E$10)),$G$10-SQRT((1-T103)*($G$10-$E$10)*($G$10-$F$10))))</f>
        <v>0.986812143369636</v>
      </c>
      <c r="G103" s="38" t="n">
        <f aca="false">IF($G$11=$E$11,$F$11,IF(U103&lt;($F$11-$E$11)/($G$11-$E$11),$E$11+SQRT(U103*($G$11-$E$11)*($F$11-$E$11)),$G$11-SQRT((1-U103)*($G$11-$E$11)*($G$11-$F$11))))</f>
        <v>0.0857933137483196</v>
      </c>
      <c r="H103" s="39" t="n">
        <f aca="false">(('Business Case'!B11*$C103*'Business Case'!B12*$B103)-'Business Case'!B11*$C103*'Business Case'!B13*$D103-'Business Case'!B14*$E103)-MAX(0,(('Business Case'!B11*$C103*'Business Case'!B12*$B103)-'Business Case'!B11*$C103*'Business Case'!B13*$D103-'Business Case'!B14*$E103))*'Business Case'!$B$7-'Business Case'!$B$8*('Business Case'!B11*$C103*'Business Case'!B12*$B103)-'Business Case'!B15*$F103</f>
        <v>-1973624286.73927</v>
      </c>
      <c r="I103" s="39" t="n">
        <f aca="false">(('Business Case'!C11*$C103*'Business Case'!C12*$B103)-'Business Case'!C11*$C103*'Business Case'!C13*$D103-'Business Case'!C14*$E103)-MAX(0,(('Business Case'!C11*$C103*'Business Case'!C12*$B103)-'Business Case'!C11*$C103*'Business Case'!C13*$D103-'Business Case'!C14*$E103))*'Business Case'!$B$7-'Business Case'!$B$8*(('Business Case'!C11*$C103*'Business Case'!C12*$B103)-('Business Case'!B11*$C103*'Business Case'!B12*$B103))-'Business Case'!C15*$F103</f>
        <v>-35140096.7989078</v>
      </c>
      <c r="J103" s="39" t="n">
        <f aca="false">(('Business Case'!D11*$C103*'Business Case'!D12*$B103)-'Business Case'!D11*$C103*'Business Case'!D13*$D103-'Business Case'!D14*$E103)-MAX(0,(('Business Case'!D11*$C103*'Business Case'!D12*$B103)-'Business Case'!D11*$C103*'Business Case'!D13*$D103-'Business Case'!D14*$E103))*'Business Case'!$B$7-'Business Case'!$B$8*(('Business Case'!D11*$C103*'Business Case'!D12*$B103)-('Business Case'!C11*$C103*'Business Case'!C12*$B103))-'Business Case'!D15*$F103</f>
        <v>209659125.772306</v>
      </c>
      <c r="K103" s="39" t="n">
        <f aca="false">(('Business Case'!E11*$C103*'Business Case'!E12*$B103)-'Business Case'!E11*$C103*'Business Case'!E13*$D103-'Business Case'!E14*$E103)-MAX(0,(('Business Case'!E11*$C103*'Business Case'!E12*$B103)-'Business Case'!E11*$C103*'Business Case'!E13*$D103-'Business Case'!E14*$E103))*'Business Case'!$B$7-'Business Case'!$B$8*(('Business Case'!E11*$C103*'Business Case'!E12*$B103)-('Business Case'!D11*$C103*'Business Case'!D12*$B103))-'Business Case'!E15*$F103</f>
        <v>503798955.512002</v>
      </c>
      <c r="L103" s="39" t="n">
        <f aca="false">(('Business Case'!F11*$C103*'Business Case'!F12*$B103)-'Business Case'!F11*$C103*'Business Case'!F13*$D103-'Business Case'!F14*$E103)-MAX(0,(('Business Case'!F11*$C103*'Business Case'!F12*$B103)-'Business Case'!F11*$C103*'Business Case'!F13*$D103-'Business Case'!F14*$E103))*'Business Case'!$B$7-'Business Case'!$B$8*(('Business Case'!F11*$C103*'Business Case'!F12*$B103)-('Business Case'!E11*$C103*'Business Case'!E12*$B103))-'Business Case'!F15*$F103</f>
        <v>614734373.480361</v>
      </c>
      <c r="M103" s="39" t="n">
        <f aca="false">(('Business Case'!G11*$C103*'Business Case'!G12*$B103)-'Business Case'!G11*$C103*'Business Case'!G13*$D103-'Business Case'!G14*$E103)-MAX(0,(('Business Case'!G11*$C103*'Business Case'!G12*$B103)-'Business Case'!G11*$C103*'Business Case'!G13*$D103-'Business Case'!G14*$E103))*'Business Case'!$B$7-'Business Case'!$B$8*(('Business Case'!G11*$C103*'Business Case'!G12*$B103)-('Business Case'!F11*$C103*'Business Case'!F12*$B103))-'Business Case'!G15*$F103+'Business Case'!$B$8*('Business Case'!G11*$C103*'Business Case'!G12*$B103)</f>
        <v>776080597.592442</v>
      </c>
      <c r="N103" s="39" t="n">
        <f aca="false">IF(COUNT('Business Case'!B11:G11)=0,"",H103+NPV(G103,I103:M103))</f>
        <v>-478059858.221503</v>
      </c>
      <c r="P103" s="40" t="n">
        <f aca="true">RAND()</f>
        <v>0.253241069507706</v>
      </c>
      <c r="Q103" s="40" t="n">
        <f aca="true">RAND()</f>
        <v>0.247253653476561</v>
      </c>
      <c r="R103" s="40" t="n">
        <f aca="true">RAND()</f>
        <v>0.29287762573436</v>
      </c>
      <c r="S103" s="40" t="n">
        <f aca="true">RAND()</f>
        <v>0.170157140676903</v>
      </c>
      <c r="T103" s="40" t="n">
        <f aca="true">RAND()</f>
        <v>0.0903422599644431</v>
      </c>
      <c r="U103" s="40" t="n">
        <f aca="true">RAND()</f>
        <v>0.0335624841864686</v>
      </c>
    </row>
    <row r="104" customFormat="false" ht="15" hidden="false" customHeight="false" outlineLevel="0" collapsed="false">
      <c r="A104" s="36" t="n">
        <v>24</v>
      </c>
      <c r="B104" s="37" t="n">
        <f aca="false">1+IF($G$6=$E$6,$F$6,IF(P104&lt;($F$6-$E$6)/($G$6-$E$6),$E$6+SQRT(P104*($G$6-$E$6)*($F$6-$E$6)),$G$6-SQRT((1-P104)*($G$6-$E$6)*($G$6-$F$6))))</f>
        <v>1.03293349936486</v>
      </c>
      <c r="C104" s="37" t="n">
        <f aca="false">1+IF($G$7=$E$7,$F$7,IF(Q104&lt;($F$7-$E$7)/($G$7-$E$7),$E$7+SQRT(Q104*($G$7-$E$7)*($F$7-$E$7)),$G$7-SQRT((1-Q104)*($G$7-$E$7)*($G$7-$F$7))))</f>
        <v>0.963376893608428</v>
      </c>
      <c r="D104" s="37" t="n">
        <f aca="false">1+IF($G$8=$E$8,$F$8,IF(R104&lt;($F$8-$E$8)/($G$8-$E$8),$E$8+SQRT(R104*($G$8-$E$8)*($F$8-$E$8)),$G$8-SQRT((1-R104)*($G$8-$E$8)*($G$8-$F$8))))</f>
        <v>0.97068410996976</v>
      </c>
      <c r="E104" s="37" t="n">
        <f aca="false">1+IF($G$9=$E$9,$F$9,IF(S104&lt;($F$9-$E$9)/($G$9-$E$9),$E$9+SQRT(S104*($G$9-$E$9)*($F$9-$E$9)),$G$9-SQRT((1-S104)*($G$9-$E$9)*($G$9-$F$9))))</f>
        <v>1.06135703853763</v>
      </c>
      <c r="F104" s="37" t="n">
        <f aca="false">1+IF($G$10=$E$10,$F$10,IF(T104&lt;($F$10-$E$10)/($G$10-$E$10),$E$10+SQRT(T104*($G$10-$E$10)*($F$10-$E$10)),$G$10-SQRT((1-T104)*($G$10-$E$10)*($G$10-$F$10))))</f>
        <v>1.05787416880342</v>
      </c>
      <c r="G104" s="38" t="n">
        <f aca="false">IF($G$11=$E$11,$F$11,IF(U104&lt;($F$11-$E$11)/($G$11-$E$11),$E$11+SQRT(U104*($G$11-$E$11)*($F$11-$E$11)),$G$11-SQRT((1-U104)*($G$11-$E$11)*($G$11-$F$11))))</f>
        <v>0.104423540642722</v>
      </c>
      <c r="H104" s="39" t="n">
        <f aca="false">(('Business Case'!B11*$C104*'Business Case'!B12*$B104)-'Business Case'!B11*$C104*'Business Case'!B13*$D104-'Business Case'!B14*$E104)-MAX(0,(('Business Case'!B11*$C104*'Business Case'!B12*$B104)-'Business Case'!B11*$C104*'Business Case'!B13*$D104-'Business Case'!B14*$E104))*'Business Case'!$B$7-'Business Case'!$B$8*('Business Case'!B11*$C104*'Business Case'!B12*$B104)-'Business Case'!B15*$F104</f>
        <v>-2115748337.60684</v>
      </c>
      <c r="I104" s="39" t="n">
        <f aca="false">(('Business Case'!C11*$C104*'Business Case'!C12*$B104)-'Business Case'!C11*$C104*'Business Case'!C13*$D104-'Business Case'!C14*$E104)-MAX(0,(('Business Case'!C11*$C104*'Business Case'!C12*$B104)-'Business Case'!C11*$C104*'Business Case'!C13*$D104-'Business Case'!C14*$E104))*'Business Case'!$B$7-'Business Case'!$B$8*(('Business Case'!C11*$C104*'Business Case'!C12*$B104)-('Business Case'!B11*$C104*'Business Case'!B12*$B104))-'Business Case'!C15*$F104</f>
        <v>28049322.183718</v>
      </c>
      <c r="J104" s="39" t="n">
        <f aca="false">(('Business Case'!D11*$C104*'Business Case'!D12*$B104)-'Business Case'!D11*$C104*'Business Case'!D13*$D104-'Business Case'!D14*$E104)-MAX(0,(('Business Case'!D11*$C104*'Business Case'!D12*$B104)-'Business Case'!D11*$C104*'Business Case'!D13*$D104-'Business Case'!D14*$E104))*'Business Case'!$B$7-'Business Case'!$B$8*(('Business Case'!D11*$C104*'Business Case'!D12*$B104)-('Business Case'!C11*$C104*'Business Case'!C12*$B104))-'Business Case'!D15*$F104</f>
        <v>364397237.273235</v>
      </c>
      <c r="K104" s="39" t="n">
        <f aca="false">(('Business Case'!E11*$C104*'Business Case'!E12*$B104)-'Business Case'!E11*$C104*'Business Case'!E13*$D104-'Business Case'!E14*$E104)-MAX(0,(('Business Case'!E11*$C104*'Business Case'!E12*$B104)-'Business Case'!E11*$C104*'Business Case'!E13*$D104-'Business Case'!E14*$E104))*'Business Case'!$B$7-'Business Case'!$B$8*(('Business Case'!E11*$C104*'Business Case'!E12*$B104)-('Business Case'!D11*$C104*'Business Case'!D12*$B104))-'Business Case'!E15*$F104</f>
        <v>753638860.802924</v>
      </c>
      <c r="L104" s="39" t="n">
        <f aca="false">(('Business Case'!F11*$C104*'Business Case'!F12*$B104)-'Business Case'!F11*$C104*'Business Case'!F13*$D104-'Business Case'!F14*$E104)-MAX(0,(('Business Case'!F11*$C104*'Business Case'!F12*$B104)-'Business Case'!F11*$C104*'Business Case'!F13*$D104-'Business Case'!F14*$E104))*'Business Case'!$B$7-'Business Case'!$B$8*(('Business Case'!F11*$C104*'Business Case'!F12*$B104)-('Business Case'!E11*$C104*'Business Case'!E12*$B104))-'Business Case'!F15*$F104</f>
        <v>900145635.929701</v>
      </c>
      <c r="M104" s="39" t="n">
        <f aca="false">(('Business Case'!G11*$C104*'Business Case'!G12*$B104)-'Business Case'!G11*$C104*'Business Case'!G13*$D104-'Business Case'!G14*$E104)-MAX(0,(('Business Case'!G11*$C104*'Business Case'!G12*$B104)-'Business Case'!G11*$C104*'Business Case'!G13*$D104-'Business Case'!G14*$E104))*'Business Case'!$B$7-'Business Case'!$B$8*(('Business Case'!G11*$C104*'Business Case'!G12*$B104)-('Business Case'!F11*$C104*'Business Case'!F12*$B104))-'Business Case'!G15*$F104+'Business Case'!$B$8*('Business Case'!G11*$C104*'Business Case'!G12*$B104)</f>
        <v>1089295054.79619</v>
      </c>
      <c r="N104" s="39" t="n">
        <f aca="false">IF(COUNT('Business Case'!B11:G11)=0,"",H104+NPV(G104,I104:M104))</f>
        <v>35789635.3164556</v>
      </c>
      <c r="P104" s="40" t="n">
        <f aca="true">RAND()</f>
        <v>0.961164607476113</v>
      </c>
      <c r="Q104" s="40" t="n">
        <f aca="true">RAND()</f>
        <v>0.513832504346852</v>
      </c>
      <c r="R104" s="40" t="n">
        <f aca="true">RAND()</f>
        <v>0.0570443206988164</v>
      </c>
      <c r="S104" s="40" t="n">
        <f aca="true">RAND()</f>
        <v>0.7904646768848</v>
      </c>
      <c r="T104" s="40" t="n">
        <f aca="true">RAND()</f>
        <v>0.507835533160304</v>
      </c>
      <c r="U104" s="40" t="n">
        <f aca="true">RAND()</f>
        <v>0.563896484497009</v>
      </c>
    </row>
    <row r="105" customFormat="false" ht="15" hidden="false" customHeight="false" outlineLevel="0" collapsed="false">
      <c r="A105" s="36" t="n">
        <v>25</v>
      </c>
      <c r="B105" s="37" t="n">
        <f aca="false">1+IF($G$6=$E$6,$F$6,IF(P105&lt;($F$6-$E$6)/($G$6-$E$6),$E$6+SQRT(P105*($G$6-$E$6)*($F$6-$E$6)),$G$6-SQRT((1-P105)*($G$6-$E$6)*($G$6-$F$6))))</f>
        <v>0.973996741675538</v>
      </c>
      <c r="C105" s="37" t="n">
        <f aca="false">1+IF($G$7=$E$7,$F$7,IF(Q105&lt;($F$7-$E$7)/($G$7-$E$7),$E$7+SQRT(Q105*($G$7-$E$7)*($F$7-$E$7)),$G$7-SQRT((1-Q105)*($G$7-$E$7)*($G$7-$F$7))))</f>
        <v>0.863583336319082</v>
      </c>
      <c r="D105" s="37" t="n">
        <f aca="false">1+IF($G$8=$E$8,$F$8,IF(R105&lt;($F$8-$E$8)/($G$8-$E$8),$E$8+SQRT(R105*($G$8-$E$8)*($F$8-$E$8)),$G$8-SQRT((1-R105)*($G$8-$E$8)*($G$8-$F$8))))</f>
        <v>1.02662286920307</v>
      </c>
      <c r="E105" s="37" t="n">
        <f aca="false">1+IF($G$9=$E$9,$F$9,IF(S105&lt;($F$9-$E$9)/($G$9-$E$9),$E$9+SQRT(S105*($G$9-$E$9)*($F$9-$E$9)),$G$9-SQRT((1-S105)*($G$9-$E$9)*($G$9-$F$9))))</f>
        <v>0.962185609525971</v>
      </c>
      <c r="F105" s="37" t="n">
        <f aca="false">1+IF($G$10=$E$10,$F$10,IF(T105&lt;($F$10-$E$10)/($G$10-$E$10),$E$10+SQRT(T105*($G$10-$E$10)*($F$10-$E$10)),$G$10-SQRT((1-T105)*($G$10-$E$10)*($G$10-$F$10))))</f>
        <v>0.979698861788754</v>
      </c>
      <c r="G105" s="38" t="n">
        <f aca="false">IF($G$11=$E$11,$F$11,IF(U105&lt;($F$11-$E$11)/($G$11-$E$11),$E$11+SQRT(U105*($G$11-$E$11)*($F$11-$E$11)),$G$11-SQRT((1-U105)*($G$11-$E$11)*($G$11-$F$11))))</f>
        <v>0.10651488780141</v>
      </c>
      <c r="H105" s="39" t="n">
        <f aca="false">(('Business Case'!B11*$C105*'Business Case'!B12*$B105)-'Business Case'!B11*$C105*'Business Case'!B13*$D105-'Business Case'!B14*$E105)-MAX(0,(('Business Case'!B11*$C105*'Business Case'!B12*$B105)-'Business Case'!B11*$C105*'Business Case'!B13*$D105-'Business Case'!B14*$E105))*'Business Case'!$B$7-'Business Case'!$B$8*('Business Case'!B11*$C105*'Business Case'!B12*$B105)-'Business Case'!B15*$F105</f>
        <v>-1959397723.57751</v>
      </c>
      <c r="I105" s="39" t="n">
        <f aca="false">(('Business Case'!C11*$C105*'Business Case'!C12*$B105)-'Business Case'!C11*$C105*'Business Case'!C13*$D105-'Business Case'!C14*$E105)-MAX(0,(('Business Case'!C11*$C105*'Business Case'!C12*$B105)-'Business Case'!C11*$C105*'Business Case'!C13*$D105-'Business Case'!C14*$E105))*'Business Case'!$B$7-'Business Case'!$B$8*(('Business Case'!C11*$C105*'Business Case'!C12*$B105)-('Business Case'!B11*$C105*'Business Case'!B12*$B105))-'Business Case'!C15*$F105</f>
        <v>-43308024.5963588</v>
      </c>
      <c r="J105" s="39" t="n">
        <f aca="false">(('Business Case'!D11*$C105*'Business Case'!D12*$B105)-'Business Case'!D11*$C105*'Business Case'!D13*$D105-'Business Case'!D14*$E105)-MAX(0,(('Business Case'!D11*$C105*'Business Case'!D12*$B105)-'Business Case'!D11*$C105*'Business Case'!D13*$D105-'Business Case'!D14*$E105))*'Business Case'!$B$7-'Business Case'!$B$8*(('Business Case'!D11*$C105*'Business Case'!D12*$B105)-('Business Case'!C11*$C105*'Business Case'!C12*$B105))-'Business Case'!D15*$F105</f>
        <v>191780672.782316</v>
      </c>
      <c r="K105" s="39" t="n">
        <f aca="false">(('Business Case'!E11*$C105*'Business Case'!E12*$B105)-'Business Case'!E11*$C105*'Business Case'!E13*$D105-'Business Case'!E14*$E105)-MAX(0,(('Business Case'!E11*$C105*'Business Case'!E12*$B105)-'Business Case'!E11*$C105*'Business Case'!E13*$D105-'Business Case'!E14*$E105))*'Business Case'!$B$7-'Business Case'!$B$8*(('Business Case'!E11*$C105*'Business Case'!E12*$B105)-('Business Case'!D11*$C105*'Business Case'!D12*$B105))-'Business Case'!E15*$F105</f>
        <v>475854313.250429</v>
      </c>
      <c r="L105" s="39" t="n">
        <f aca="false">(('Business Case'!F11*$C105*'Business Case'!F12*$B105)-'Business Case'!F11*$C105*'Business Case'!F13*$D105-'Business Case'!F14*$E105)-MAX(0,(('Business Case'!F11*$C105*'Business Case'!F12*$B105)-'Business Case'!F11*$C105*'Business Case'!F13*$D105-'Business Case'!F14*$E105))*'Business Case'!$B$7-'Business Case'!$B$8*(('Business Case'!F11*$C105*'Business Case'!F12*$B105)-('Business Case'!E11*$C105*'Business Case'!E12*$B105))-'Business Case'!F15*$F105</f>
        <v>583286573.791032</v>
      </c>
      <c r="M105" s="39" t="n">
        <f aca="false">(('Business Case'!G11*$C105*'Business Case'!G12*$B105)-'Business Case'!G11*$C105*'Business Case'!G13*$D105-'Business Case'!G14*$E105)-MAX(0,(('Business Case'!G11*$C105*'Business Case'!G12*$B105)-'Business Case'!G11*$C105*'Business Case'!G13*$D105-'Business Case'!G14*$E105))*'Business Case'!$B$7-'Business Case'!$B$8*(('Business Case'!G11*$C105*'Business Case'!G12*$B105)-('Business Case'!F11*$C105*'Business Case'!F12*$B105))-'Business Case'!G15*$F105+'Business Case'!$B$8*('Business Case'!G11*$C105*'Business Case'!G12*$B105)</f>
        <v>743168061.570105</v>
      </c>
      <c r="N105" s="39" t="n">
        <f aca="false">IF(COUNT('Business Case'!B11:G11)=0,"",H105+NPV(G105,I105:M105))</f>
        <v>-653546717.388135</v>
      </c>
      <c r="P105" s="40" t="n">
        <f aca="true">RAND()</f>
        <v>0.365034518573082</v>
      </c>
      <c r="Q105" s="40" t="n">
        <f aca="true">RAND()</f>
        <v>0.198218577194679</v>
      </c>
      <c r="R105" s="40" t="n">
        <f aca="true">RAND()</f>
        <v>0.641053111734018</v>
      </c>
      <c r="S105" s="40" t="n">
        <f aca="true">RAND()</f>
        <v>0.154682001284663</v>
      </c>
      <c r="T105" s="40" t="n">
        <f aca="true">RAND()</f>
        <v>0.0588014927698331</v>
      </c>
      <c r="U105" s="40" t="n">
        <f aca="true">RAND()</f>
        <v>0.632299670013078</v>
      </c>
    </row>
    <row r="106" customFormat="false" ht="15" hidden="false" customHeight="false" outlineLevel="0" collapsed="false">
      <c r="A106" s="36" t="n">
        <v>26</v>
      </c>
      <c r="B106" s="37" t="n">
        <f aca="false">1+IF($G$6=$E$6,$F$6,IF(P106&lt;($F$6-$E$6)/($G$6-$E$6),$E$6+SQRT(P106*($G$6-$E$6)*($F$6-$E$6)),$G$6-SQRT((1-P106)*($G$6-$E$6)*($G$6-$F$6))))</f>
        <v>0.91746006878437</v>
      </c>
      <c r="C106" s="37" t="n">
        <f aca="false">1+IF($G$7=$E$7,$F$7,IF(Q106&lt;($F$7-$E$7)/($G$7-$E$7),$E$7+SQRT(Q106*($G$7-$E$7)*($F$7-$E$7)),$G$7-SQRT((1-Q106)*($G$7-$E$7)*($G$7-$F$7))))</f>
        <v>1.0052375482378</v>
      </c>
      <c r="D106" s="37" t="n">
        <f aca="false">1+IF($G$8=$E$8,$F$8,IF(R106&lt;($F$8-$E$8)/($G$8-$E$8),$E$8+SQRT(R106*($G$8-$E$8)*($F$8-$E$8)),$G$8-SQRT((1-R106)*($G$8-$E$8)*($G$8-$F$8))))</f>
        <v>1.01362112756807</v>
      </c>
      <c r="E106" s="37" t="n">
        <f aca="false">1+IF($G$9=$E$9,$F$9,IF(S106&lt;($F$9-$E$9)/($G$9-$E$9),$E$9+SQRT(S106*($G$9-$E$9)*($F$9-$E$9)),$G$9-SQRT((1-S106)*($G$9-$E$9)*($G$9-$F$9))))</f>
        <v>1.03464850486143</v>
      </c>
      <c r="F106" s="37" t="n">
        <f aca="false">1+IF($G$10=$E$10,$F$10,IF(T106&lt;($F$10-$E$10)/($G$10-$E$10),$E$10+SQRT(T106*($G$10-$E$10)*($F$10-$E$10)),$G$10-SQRT((1-T106)*($G$10-$E$10)*($G$10-$F$10))))</f>
        <v>1.02031451332143</v>
      </c>
      <c r="G106" s="38" t="n">
        <f aca="false">IF($G$11=$E$11,$F$11,IF(U106&lt;($F$11-$E$11)/($G$11-$E$11),$E$11+SQRT(U106*($G$11-$E$11)*($F$11-$E$11)),$G$11-SQRT((1-U106)*($G$11-$E$11)*($G$11-$F$11))))</f>
        <v>0.0851567689900501</v>
      </c>
      <c r="H106" s="39" t="n">
        <f aca="false">(('Business Case'!B11*$C106*'Business Case'!B12*$B106)-'Business Case'!B11*$C106*'Business Case'!B13*$D106-'Business Case'!B14*$E106)-MAX(0,(('Business Case'!B11*$C106*'Business Case'!B12*$B106)-'Business Case'!B11*$C106*'Business Case'!B13*$D106-'Business Case'!B14*$E106))*'Business Case'!$B$7-'Business Case'!$B$8*('Business Case'!B11*$C106*'Business Case'!B12*$B106)-'Business Case'!B15*$F106</f>
        <v>-2040629026.64286</v>
      </c>
      <c r="I106" s="39" t="n">
        <f aca="false">(('Business Case'!C11*$C106*'Business Case'!C12*$B106)-'Business Case'!C11*$C106*'Business Case'!C13*$D106-'Business Case'!C14*$E106)-MAX(0,(('Business Case'!C11*$C106*'Business Case'!C12*$B106)-'Business Case'!C11*$C106*'Business Case'!C13*$D106-'Business Case'!C14*$E106))*'Business Case'!$B$7-'Business Case'!$B$8*(('Business Case'!C11*$C106*'Business Case'!C12*$B106)-('Business Case'!B11*$C106*'Business Case'!B12*$B106))-'Business Case'!C15*$F106</f>
        <v>-63177664.6490888</v>
      </c>
      <c r="J106" s="39" t="n">
        <f aca="false">(('Business Case'!D11*$C106*'Business Case'!D12*$B106)-'Business Case'!D11*$C106*'Business Case'!D13*$D106-'Business Case'!D14*$E106)-MAX(0,(('Business Case'!D11*$C106*'Business Case'!D12*$B106)-'Business Case'!D11*$C106*'Business Case'!D13*$D106-'Business Case'!D14*$E106))*'Business Case'!$B$7-'Business Case'!$B$8*(('Business Case'!D11*$C106*'Business Case'!D12*$B106)-('Business Case'!C11*$C106*'Business Case'!C12*$B106))-'Business Case'!D15*$F106</f>
        <v>170613373.103483</v>
      </c>
      <c r="K106" s="39" t="n">
        <f aca="false">(('Business Case'!E11*$C106*'Business Case'!E12*$B106)-'Business Case'!E11*$C106*'Business Case'!E13*$D106-'Business Case'!E14*$E106)-MAX(0,(('Business Case'!E11*$C106*'Business Case'!E12*$B106)-'Business Case'!E11*$C106*'Business Case'!E13*$D106-'Business Case'!E14*$E106))*'Business Case'!$B$7-'Business Case'!$B$8*(('Business Case'!E11*$C106*'Business Case'!E12*$B106)-('Business Case'!D11*$C106*'Business Case'!D12*$B106))-'Business Case'!E15*$F106</f>
        <v>455420136.522126</v>
      </c>
      <c r="L106" s="39" t="n">
        <f aca="false">(('Business Case'!F11*$C106*'Business Case'!F12*$B106)-'Business Case'!F11*$C106*'Business Case'!F13*$D106-'Business Case'!F14*$E106)-MAX(0,(('Business Case'!F11*$C106*'Business Case'!F12*$B106)-'Business Case'!F11*$C106*'Business Case'!F13*$D106-'Business Case'!F14*$E106))*'Business Case'!$B$7-'Business Case'!$B$8*(('Business Case'!F11*$C106*'Business Case'!F12*$B106)-('Business Case'!E11*$C106*'Business Case'!E12*$B106))-'Business Case'!F15*$F106</f>
        <v>565223971.558464</v>
      </c>
      <c r="M106" s="39" t="n">
        <f aca="false">(('Business Case'!G11*$C106*'Business Case'!G12*$B106)-'Business Case'!G11*$C106*'Business Case'!G13*$D106-'Business Case'!G14*$E106)-MAX(0,(('Business Case'!G11*$C106*'Business Case'!G12*$B106)-'Business Case'!G11*$C106*'Business Case'!G13*$D106-'Business Case'!G14*$E106))*'Business Case'!$B$7-'Business Case'!$B$8*(('Business Case'!G11*$C106*'Business Case'!G12*$B106)-('Business Case'!F11*$C106*'Business Case'!F12*$B106))-'Business Case'!G15*$F106+'Business Case'!$B$8*('Business Case'!G11*$C106*'Business Case'!G12*$B106)</f>
        <v>740528161.711944</v>
      </c>
      <c r="N106" s="39" t="n">
        <f aca="false">IF(COUNT('Business Case'!B11:G11)=0,"",H106+NPV(G106,I106:M106))</f>
        <v>-697820031.584127</v>
      </c>
      <c r="P106" s="40" t="n">
        <f aca="true">RAND()</f>
        <v>0.0203236001303291</v>
      </c>
      <c r="Q106" s="40" t="n">
        <f aca="true">RAND()</f>
        <v>0.689538260145127</v>
      </c>
      <c r="R106" s="40" t="n">
        <f aca="true">RAND()</f>
        <v>0.502579359825859</v>
      </c>
      <c r="S106" s="40" t="n">
        <f aca="true">RAND()</f>
        <v>0.645174201847927</v>
      </c>
      <c r="T106" s="40" t="n">
        <f aca="true">RAND()</f>
        <v>0.296594362789705</v>
      </c>
      <c r="U106" s="40" t="n">
        <f aca="true">RAND()</f>
        <v>0.0265922664167423</v>
      </c>
    </row>
    <row r="107" customFormat="false" ht="15" hidden="false" customHeight="false" outlineLevel="0" collapsed="false">
      <c r="A107" s="36" t="n">
        <v>27</v>
      </c>
      <c r="B107" s="37" t="n">
        <f aca="false">1+IF($G$6=$E$6,$F$6,IF(P107&lt;($F$6-$E$6)/($G$6-$E$6),$E$6+SQRT(P107*($G$6-$E$6)*($F$6-$E$6)),$G$6-SQRT((1-P107)*($G$6-$E$6)*($G$6-$F$6))))</f>
        <v>0.992728203571424</v>
      </c>
      <c r="C107" s="37" t="n">
        <f aca="false">1+IF($G$7=$E$7,$F$7,IF(Q107&lt;($F$7-$E$7)/($G$7-$E$7),$E$7+SQRT(Q107*($G$7-$E$7)*($F$7-$E$7)),$G$7-SQRT((1-Q107)*($G$7-$E$7)*($G$7-$F$7))))</f>
        <v>1.09985336999687</v>
      </c>
      <c r="D107" s="37" t="n">
        <f aca="false">1+IF($G$8=$E$8,$F$8,IF(R107&lt;($F$8-$E$8)/($G$8-$E$8),$E$8+SQRT(R107*($G$8-$E$8)*($F$8-$E$8)),$G$8-SQRT((1-R107)*($G$8-$E$8)*($G$8-$F$8))))</f>
        <v>1.05354751716263</v>
      </c>
      <c r="E107" s="37" t="n">
        <f aca="false">1+IF($G$9=$E$9,$F$9,IF(S107&lt;($F$9-$E$9)/($G$9-$E$9),$E$9+SQRT(S107*($G$9-$E$9)*($F$9-$E$9)),$G$9-SQRT((1-S107)*($G$9-$E$9)*($G$9-$F$9))))</f>
        <v>1.00694167831514</v>
      </c>
      <c r="F107" s="37" t="n">
        <f aca="false">1+IF($G$10=$E$10,$F$10,IF(T107&lt;($F$10-$E$10)/($G$10-$E$10),$E$10+SQRT(T107*($G$10-$E$10)*($F$10-$E$10)),$G$10-SQRT((1-T107)*($G$10-$E$10)*($G$10-$F$10))))</f>
        <v>0.989051780555109</v>
      </c>
      <c r="G107" s="38" t="n">
        <f aca="false">IF($G$11=$E$11,$F$11,IF(U107&lt;($F$11-$E$11)/($G$11-$E$11),$E$11+SQRT(U107*($G$11-$E$11)*($F$11-$E$11)),$G$11-SQRT((1-U107)*($G$11-$E$11)*($G$11-$F$11))))</f>
        <v>0.100670799236693</v>
      </c>
      <c r="H107" s="39" t="n">
        <f aca="false">(('Business Case'!B11*$C107*'Business Case'!B12*$B107)-'Business Case'!B11*$C107*'Business Case'!B13*$D107-'Business Case'!B14*$E107)-MAX(0,(('Business Case'!B11*$C107*'Business Case'!B12*$B107)-'Business Case'!B11*$C107*'Business Case'!B13*$D107-'Business Case'!B14*$E107))*'Business Case'!$B$7-'Business Case'!$B$8*('Business Case'!B11*$C107*'Business Case'!B12*$B107)-'Business Case'!B15*$F107</f>
        <v>-1978103561.11022</v>
      </c>
      <c r="I107" s="39" t="n">
        <f aca="false">(('Business Case'!C11*$C107*'Business Case'!C12*$B107)-'Business Case'!C11*$C107*'Business Case'!C13*$D107-'Business Case'!C14*$E107)-MAX(0,(('Business Case'!C11*$C107*'Business Case'!C12*$B107)-'Business Case'!C11*$C107*'Business Case'!C13*$D107-'Business Case'!C14*$E107))*'Business Case'!$B$7-'Business Case'!$B$8*(('Business Case'!C11*$C107*'Business Case'!C12*$B107)-('Business Case'!B11*$C107*'Business Case'!B12*$B107))-'Business Case'!C15*$F107</f>
        <v>2427996.49474303</v>
      </c>
      <c r="J107" s="39" t="n">
        <f aca="false">(('Business Case'!D11*$C107*'Business Case'!D12*$B107)-'Business Case'!D11*$C107*'Business Case'!D13*$D107-'Business Case'!D14*$E107)-MAX(0,(('Business Case'!D11*$C107*'Business Case'!D12*$B107)-'Business Case'!D11*$C107*'Business Case'!D13*$D107-'Business Case'!D14*$E107))*'Business Case'!$B$7-'Business Case'!$B$8*(('Business Case'!D11*$C107*'Business Case'!D12*$B107)-('Business Case'!C11*$C107*'Business Case'!C12*$B107))-'Business Case'!D15*$F107</f>
        <v>303550064.757605</v>
      </c>
      <c r="K107" s="39" t="n">
        <f aca="false">(('Business Case'!E11*$C107*'Business Case'!E12*$B107)-'Business Case'!E11*$C107*'Business Case'!E13*$D107-'Business Case'!E14*$E107)-MAX(0,(('Business Case'!E11*$C107*'Business Case'!E12*$B107)-'Business Case'!E11*$C107*'Business Case'!E13*$D107-'Business Case'!E14*$E107))*'Business Case'!$B$7-'Business Case'!$B$8*(('Business Case'!E11*$C107*'Business Case'!E12*$B107)-('Business Case'!D11*$C107*'Business Case'!D12*$B107))-'Business Case'!E15*$F107</f>
        <v>654124722.048223</v>
      </c>
      <c r="L107" s="39" t="n">
        <f aca="false">(('Business Case'!F11*$C107*'Business Case'!F12*$B107)-'Business Case'!F11*$C107*'Business Case'!F13*$D107-'Business Case'!F14*$E107)-MAX(0,(('Business Case'!F11*$C107*'Business Case'!F12*$B107)-'Business Case'!F11*$C107*'Business Case'!F13*$D107-'Business Case'!F14*$E107))*'Business Case'!$B$7-'Business Case'!$B$8*(('Business Case'!F11*$C107*'Business Case'!F12*$B107)-('Business Case'!E11*$C107*'Business Case'!E12*$B107))-'Business Case'!F15*$F107</f>
        <v>792233269.506641</v>
      </c>
      <c r="M107" s="39" t="n">
        <f aca="false">(('Business Case'!G11*$C107*'Business Case'!G12*$B107)-'Business Case'!G11*$C107*'Business Case'!G13*$D107-'Business Case'!G14*$E107)-MAX(0,(('Business Case'!G11*$C107*'Business Case'!G12*$B107)-'Business Case'!G11*$C107*'Business Case'!G13*$D107-'Business Case'!G14*$E107))*'Business Case'!$B$7-'Business Case'!$B$8*(('Business Case'!G11*$C107*'Business Case'!G12*$B107)-('Business Case'!F11*$C107*'Business Case'!F12*$B107))-'Business Case'!G15*$F107+'Business Case'!$B$8*('Business Case'!G11*$C107*'Business Case'!G12*$B107)</f>
        <v>999773155.379361</v>
      </c>
      <c r="N107" s="39" t="n">
        <f aca="false">IF(COUNT('Business Case'!B11:G11)=0,"",H107+NPV(G107,I107:M107))</f>
        <v>-76100708.9516587</v>
      </c>
      <c r="P107" s="40" t="n">
        <f aca="true">RAND()</f>
        <v>0.573234649172224</v>
      </c>
      <c r="Q107" s="40" t="n">
        <f aca="true">RAND()</f>
        <v>0.962745414804879</v>
      </c>
      <c r="R107" s="40" t="n">
        <f aca="true">RAND()</f>
        <v>0.856144455882909</v>
      </c>
      <c r="S107" s="40" t="n">
        <f aca="true">RAND()</f>
        <v>0.454248442578926</v>
      </c>
      <c r="T107" s="40" t="n">
        <f aca="true">RAND()</f>
        <v>0.101669437634959</v>
      </c>
      <c r="U107" s="40" t="n">
        <f aca="true">RAND()</f>
        <v>0.426531988390424</v>
      </c>
    </row>
    <row r="108" customFormat="false" ht="15" hidden="false" customHeight="false" outlineLevel="0" collapsed="false">
      <c r="A108" s="36" t="n">
        <v>28</v>
      </c>
      <c r="B108" s="37" t="n">
        <f aca="false">1+IF($G$6=$E$6,$F$6,IF(P108&lt;($F$6-$E$6)/($G$6-$E$6),$E$6+SQRT(P108*($G$6-$E$6)*($F$6-$E$6)),$G$6-SQRT((1-P108)*($G$6-$E$6)*($G$6-$F$6))))</f>
        <v>1.00115769783446</v>
      </c>
      <c r="C108" s="37" t="n">
        <f aca="false">1+IF($G$7=$E$7,$F$7,IF(Q108&lt;($F$7-$E$7)/($G$7-$E$7),$E$7+SQRT(Q108*($G$7-$E$7)*($F$7-$E$7)),$G$7-SQRT((1-Q108)*($G$7-$E$7)*($G$7-$F$7))))</f>
        <v>0.992929692899043</v>
      </c>
      <c r="D108" s="37" t="n">
        <f aca="false">1+IF($G$8=$E$8,$F$8,IF(R108&lt;($F$8-$E$8)/($G$8-$E$8),$E$8+SQRT(R108*($G$8-$E$8)*($F$8-$E$8)),$G$8-SQRT((1-R108)*($G$8-$E$8)*($G$8-$F$8))))</f>
        <v>1.01557222523952</v>
      </c>
      <c r="E108" s="37" t="n">
        <f aca="false">1+IF($G$9=$E$9,$F$9,IF(S108&lt;($F$9-$E$9)/($G$9-$E$9),$E$9+SQRT(S108*($G$9-$E$9)*($F$9-$E$9)),$G$9-SQRT((1-S108)*($G$9-$E$9)*($G$9-$F$9))))</f>
        <v>0.956959502125718</v>
      </c>
      <c r="F108" s="37" t="n">
        <f aca="false">1+IF($G$10=$E$10,$F$10,IF(T108&lt;($F$10-$E$10)/($G$10-$E$10),$E$10+SQRT(T108*($G$10-$E$10)*($F$10-$E$10)),$G$10-SQRT((1-T108)*($G$10-$E$10)*($G$10-$F$10))))</f>
        <v>1.10119700552498</v>
      </c>
      <c r="G108" s="38" t="n">
        <f aca="false">IF($G$11=$E$11,$F$11,IF(U108&lt;($F$11-$E$11)/($G$11-$E$11),$E$11+SQRT(U108*($G$11-$E$11)*($F$11-$E$11)),$G$11-SQRT((1-U108)*($G$11-$E$11)*($G$11-$F$11))))</f>
        <v>0.119699620141892</v>
      </c>
      <c r="H108" s="39" t="n">
        <f aca="false">(('Business Case'!B11*$C108*'Business Case'!B12*$B108)-'Business Case'!B11*$C108*'Business Case'!B13*$D108-'Business Case'!B14*$E108)-MAX(0,(('Business Case'!B11*$C108*'Business Case'!B12*$B108)-'Business Case'!B11*$C108*'Business Case'!B13*$D108-'Business Case'!B14*$E108))*'Business Case'!$B$7-'Business Case'!$B$8*('Business Case'!B11*$C108*'Business Case'!B12*$B108)-'Business Case'!B15*$F108</f>
        <v>-2202394011.04995</v>
      </c>
      <c r="I108" s="39" t="n">
        <f aca="false">(('Business Case'!C11*$C108*'Business Case'!C12*$B108)-'Business Case'!C11*$C108*'Business Case'!C13*$D108-'Business Case'!C14*$E108)-MAX(0,(('Business Case'!C11*$C108*'Business Case'!C12*$B108)-'Business Case'!C11*$C108*'Business Case'!C13*$D108-'Business Case'!C14*$E108))*'Business Case'!$B$7-'Business Case'!$B$8*(('Business Case'!C11*$C108*'Business Case'!C12*$B108)-('Business Case'!B11*$C108*'Business Case'!B12*$B108))-'Business Case'!C15*$F108</f>
        <v>274095.875121385</v>
      </c>
      <c r="J108" s="39" t="n">
        <f aca="false">(('Business Case'!D11*$C108*'Business Case'!D12*$B108)-'Business Case'!D11*$C108*'Business Case'!D13*$D108-'Business Case'!D14*$E108)-MAX(0,(('Business Case'!D11*$C108*'Business Case'!D12*$B108)-'Business Case'!D11*$C108*'Business Case'!D13*$D108-'Business Case'!D14*$E108))*'Business Case'!$B$7-'Business Case'!$B$8*(('Business Case'!D11*$C108*'Business Case'!D12*$B108)-('Business Case'!C11*$C108*'Business Case'!C12*$B108))-'Business Case'!D15*$F108</f>
        <v>298280599.515768</v>
      </c>
      <c r="K108" s="39" t="n">
        <f aca="false">(('Business Case'!E11*$C108*'Business Case'!E12*$B108)-'Business Case'!E11*$C108*'Business Case'!E13*$D108-'Business Case'!E14*$E108)-MAX(0,(('Business Case'!E11*$C108*'Business Case'!E12*$B108)-'Business Case'!E11*$C108*'Business Case'!E13*$D108-'Business Case'!E14*$E108))*'Business Case'!$B$7-'Business Case'!$B$8*(('Business Case'!E11*$C108*'Business Case'!E12*$B108)-('Business Case'!D11*$C108*'Business Case'!D12*$B108))-'Business Case'!E15*$F108</f>
        <v>651346953.432663</v>
      </c>
      <c r="L108" s="39" t="n">
        <f aca="false">(('Business Case'!F11*$C108*'Business Case'!F12*$B108)-'Business Case'!F11*$C108*'Business Case'!F13*$D108-'Business Case'!F14*$E108)-MAX(0,(('Business Case'!F11*$C108*'Business Case'!F12*$B108)-'Business Case'!F11*$C108*'Business Case'!F13*$D108-'Business Case'!F14*$E108))*'Business Case'!$B$7-'Business Case'!$B$8*(('Business Case'!F11*$C108*'Business Case'!F12*$B108)-('Business Case'!E11*$C108*'Business Case'!E12*$B108))-'Business Case'!F15*$F108</f>
        <v>785037831.986712</v>
      </c>
      <c r="M108" s="39" t="n">
        <f aca="false">(('Business Case'!G11*$C108*'Business Case'!G12*$B108)-'Business Case'!G11*$C108*'Business Case'!G13*$D108-'Business Case'!G14*$E108)-MAX(0,(('Business Case'!G11*$C108*'Business Case'!G12*$B108)-'Business Case'!G11*$C108*'Business Case'!G13*$D108-'Business Case'!G14*$E108))*'Business Case'!$B$7-'Business Case'!$B$8*(('Business Case'!G11*$C108*'Business Case'!G12*$B108)-('Business Case'!F11*$C108*'Business Case'!F12*$B108))-'Business Case'!G15*$F108+'Business Case'!$B$8*('Business Case'!G11*$C108*'Business Case'!G12*$B108)</f>
        <v>973992407.359463</v>
      </c>
      <c r="N108" s="39" t="n">
        <f aca="false">IF(COUNT('Business Case'!B11:G11)=0,"",H108+NPV(G108,I108:M108))</f>
        <v>-447392556.547292</v>
      </c>
      <c r="P108" s="40" t="n">
        <f aca="true">RAND()</f>
        <v>0.681923935889393</v>
      </c>
      <c r="Q108" s="40" t="n">
        <f aca="true">RAND()</f>
        <v>0.635613370236501</v>
      </c>
      <c r="R108" s="40" t="n">
        <f aca="true">RAND()</f>
        <v>0.524796723266276</v>
      </c>
      <c r="S108" s="40" t="n">
        <f aca="true">RAND()</f>
        <v>0.129775395296388</v>
      </c>
      <c r="T108" s="40" t="n">
        <f aca="true">RAND()</f>
        <v>0.704768917803551</v>
      </c>
      <c r="U108" s="40" t="n">
        <f aca="true">RAND()</f>
        <v>0.929268116519123</v>
      </c>
    </row>
    <row r="109" customFormat="false" ht="15" hidden="false" customHeight="false" outlineLevel="0" collapsed="false">
      <c r="A109" s="36" t="n">
        <v>29</v>
      </c>
      <c r="B109" s="37" t="n">
        <f aca="false">1+IF($G$6=$E$6,$F$6,IF(P109&lt;($F$6-$E$6)/($G$6-$E$6),$E$6+SQRT(P109*($G$6-$E$6)*($F$6-$E$6)),$G$6-SQRT((1-P109)*($G$6-$E$6)*($G$6-$F$6))))</f>
        <v>0.997902452659548</v>
      </c>
      <c r="C109" s="37" t="n">
        <f aca="false">1+IF($G$7=$E$7,$F$7,IF(Q109&lt;($F$7-$E$7)/($G$7-$E$7),$E$7+SQRT(Q109*($G$7-$E$7)*($F$7-$E$7)),$G$7-SQRT((1-Q109)*($G$7-$E$7)*($G$7-$F$7))))</f>
        <v>1.011961351962</v>
      </c>
      <c r="D109" s="37" t="n">
        <f aca="false">1+IF($G$8=$E$8,$F$8,IF(R109&lt;($F$8-$E$8)/($G$8-$E$8),$E$8+SQRT(R109*($G$8-$E$8)*($F$8-$E$8)),$G$8-SQRT((1-R109)*($G$8-$E$8)*($G$8-$F$8))))</f>
        <v>1.02137148699472</v>
      </c>
      <c r="E109" s="37" t="n">
        <f aca="false">1+IF($G$9=$E$9,$F$9,IF(S109&lt;($F$9-$E$9)/($G$9-$E$9),$E$9+SQRT(S109*($G$9-$E$9)*($F$9-$E$9)),$G$9-SQRT((1-S109)*($G$9-$E$9)*($G$9-$F$9))))</f>
        <v>1.01851697072024</v>
      </c>
      <c r="F109" s="37" t="n">
        <f aca="false">1+IF($G$10=$E$10,$F$10,IF(T109&lt;($F$10-$E$10)/($G$10-$E$10),$E$10+SQRT(T109*($G$10-$E$10)*($F$10-$E$10)),$G$10-SQRT((1-T109)*($G$10-$E$10)*($G$10-$F$10))))</f>
        <v>1.02822793650321</v>
      </c>
      <c r="G109" s="38" t="n">
        <f aca="false">IF($G$11=$E$11,$F$11,IF(U109&lt;($F$11-$E$11)/($G$11-$E$11),$E$11+SQRT(U109*($G$11-$E$11)*($F$11-$E$11)),$G$11-SQRT((1-U109)*($G$11-$E$11)*($G$11-$F$11))))</f>
        <v>0.100594951624684</v>
      </c>
      <c r="H109" s="39" t="n">
        <f aca="false">(('Business Case'!B11*$C109*'Business Case'!B12*$B109)-'Business Case'!B11*$C109*'Business Case'!B13*$D109-'Business Case'!B14*$E109)-MAX(0,(('Business Case'!B11*$C109*'Business Case'!B12*$B109)-'Business Case'!B11*$C109*'Business Case'!B13*$D109-'Business Case'!B14*$E109))*'Business Case'!$B$7-'Business Case'!$B$8*('Business Case'!B11*$C109*'Business Case'!B12*$B109)-'Business Case'!B15*$F109</f>
        <v>-2056455873.00642</v>
      </c>
      <c r="I109" s="39" t="n">
        <f aca="false">(('Business Case'!C11*$C109*'Business Case'!C12*$B109)-'Business Case'!C11*$C109*'Business Case'!C13*$D109-'Business Case'!C14*$E109)-MAX(0,(('Business Case'!C11*$C109*'Business Case'!C12*$B109)-'Business Case'!C11*$C109*'Business Case'!C13*$D109-'Business Case'!C14*$E109))*'Business Case'!$B$7-'Business Case'!$B$8*(('Business Case'!C11*$C109*'Business Case'!C12*$B109)-('Business Case'!B11*$C109*'Business Case'!B12*$B109))-'Business Case'!C15*$F109</f>
        <v>-1989939.79779021</v>
      </c>
      <c r="J109" s="39" t="n">
        <f aca="false">(('Business Case'!D11*$C109*'Business Case'!D12*$B109)-'Business Case'!D11*$C109*'Business Case'!D13*$D109-'Business Case'!D14*$E109)-MAX(0,(('Business Case'!D11*$C109*'Business Case'!D12*$B109)-'Business Case'!D11*$C109*'Business Case'!D13*$D109-'Business Case'!D14*$E109))*'Business Case'!$B$7-'Business Case'!$B$8*(('Business Case'!D11*$C109*'Business Case'!D12*$B109)-('Business Case'!C11*$C109*'Business Case'!C12*$B109))-'Business Case'!D15*$F109</f>
        <v>296026066.282956</v>
      </c>
      <c r="K109" s="39" t="n">
        <f aca="false">(('Business Case'!E11*$C109*'Business Case'!E12*$B109)-'Business Case'!E11*$C109*'Business Case'!E13*$D109-'Business Case'!E14*$E109)-MAX(0,(('Business Case'!E11*$C109*'Business Case'!E12*$B109)-'Business Case'!E11*$C109*'Business Case'!E13*$D109-'Business Case'!E14*$E109))*'Business Case'!$B$7-'Business Case'!$B$8*(('Business Case'!E11*$C109*'Business Case'!E12*$B109)-('Business Case'!D11*$C109*'Business Case'!D12*$B109))-'Business Case'!E15*$F109</f>
        <v>645453469.188863</v>
      </c>
      <c r="L109" s="39" t="n">
        <f aca="false">(('Business Case'!F11*$C109*'Business Case'!F12*$B109)-'Business Case'!F11*$C109*'Business Case'!F13*$D109-'Business Case'!F14*$E109)-MAX(0,(('Business Case'!F11*$C109*'Business Case'!F12*$B109)-'Business Case'!F11*$C109*'Business Case'!F13*$D109-'Business Case'!F14*$E109))*'Business Case'!$B$7-'Business Case'!$B$8*(('Business Case'!F11*$C109*'Business Case'!F12*$B109)-('Business Case'!E11*$C109*'Business Case'!E12*$B109))-'Business Case'!F15*$F109</f>
        <v>779692163.876977</v>
      </c>
      <c r="M109" s="39" t="n">
        <f aca="false">(('Business Case'!G11*$C109*'Business Case'!G12*$B109)-'Business Case'!G11*$C109*'Business Case'!G13*$D109-'Business Case'!G14*$E109)-MAX(0,(('Business Case'!G11*$C109*'Business Case'!G12*$B109)-'Business Case'!G11*$C109*'Business Case'!G13*$D109-'Business Case'!G14*$E109))*'Business Case'!$B$7-'Business Case'!$B$8*(('Business Case'!G11*$C109*'Business Case'!G12*$B109)-('Business Case'!F11*$C109*'Business Case'!F12*$B109))-'Business Case'!G15*$F109+'Business Case'!$B$8*('Business Case'!G11*$C109*'Business Case'!G12*$B109)</f>
        <v>971642306.846901</v>
      </c>
      <c r="N109" s="39" t="n">
        <f aca="false">IF(COUNT('Business Case'!B11:G11)=0,"",H109+NPV(G109,I109:M109))</f>
        <v>-196651804.117331</v>
      </c>
      <c r="P109" s="40" t="n">
        <f aca="true">RAND()</f>
        <v>0.638992682450331</v>
      </c>
      <c r="Q109" s="40" t="n">
        <f aca="true">RAND()</f>
        <v>0.717708617005042</v>
      </c>
      <c r="R109" s="40" t="n">
        <f aca="true">RAND()</f>
        <v>0.587837129505192</v>
      </c>
      <c r="S109" s="40" t="n">
        <f aca="true">RAND()</f>
        <v>0.538992346971148</v>
      </c>
      <c r="T109" s="40" t="n">
        <f aca="true">RAND()</f>
        <v>0.344228691365013</v>
      </c>
      <c r="U109" s="40" t="n">
        <f aca="true">RAND()</f>
        <v>0.423562086696877</v>
      </c>
    </row>
    <row r="110" customFormat="false" ht="15" hidden="false" customHeight="false" outlineLevel="0" collapsed="false">
      <c r="A110" s="36" t="n">
        <v>30</v>
      </c>
      <c r="B110" s="37" t="n">
        <f aca="false">1+IF($G$6=$E$6,$F$6,IF(P110&lt;($F$6-$E$6)/($G$6-$E$6),$E$6+SQRT(P110*($G$6-$E$6)*($F$6-$E$6)),$G$6-SQRT((1-P110)*($G$6-$E$6)*($G$6-$F$6))))</f>
        <v>0.951667720924551</v>
      </c>
      <c r="C110" s="37" t="n">
        <f aca="false">1+IF($G$7=$E$7,$F$7,IF(Q110&lt;($F$7-$E$7)/($G$7-$E$7),$E$7+SQRT(Q110*($G$7-$E$7)*($F$7-$E$7)),$G$7-SQRT((1-Q110)*($G$7-$E$7)*($G$7-$F$7))))</f>
        <v>1.0221425522055</v>
      </c>
      <c r="D110" s="37" t="n">
        <f aca="false">1+IF($G$8=$E$8,$F$8,IF(R110&lt;($F$8-$E$8)/($G$8-$E$8),$E$8+SQRT(R110*($G$8-$E$8)*($F$8-$E$8)),$G$8-SQRT((1-R110)*($G$8-$E$8)*($G$8-$F$8))))</f>
        <v>0.999354665728325</v>
      </c>
      <c r="E110" s="37" t="n">
        <f aca="false">1+IF($G$9=$E$9,$F$9,IF(S110&lt;($F$9-$E$9)/($G$9-$E$9),$E$9+SQRT(S110*($G$9-$E$9)*($F$9-$E$9)),$G$9-SQRT((1-S110)*($G$9-$E$9)*($G$9-$F$9))))</f>
        <v>0.997326817164812</v>
      </c>
      <c r="F110" s="37" t="n">
        <f aca="false">1+IF($G$10=$E$10,$F$10,IF(T110&lt;($F$10-$E$10)/($G$10-$E$10),$E$10+SQRT(T110*($G$10-$E$10)*($F$10-$E$10)),$G$10-SQRT((1-T110)*($G$10-$E$10)*($G$10-$F$10))))</f>
        <v>1.02820923994045</v>
      </c>
      <c r="G110" s="38" t="n">
        <f aca="false">IF($G$11=$E$11,$F$11,IF(U110&lt;($F$11-$E$11)/($G$11-$E$11),$E$11+SQRT(U110*($G$11-$E$11)*($F$11-$E$11)),$G$11-SQRT((1-U110)*($G$11-$E$11)*($G$11-$F$11))))</f>
        <v>0.101761906565615</v>
      </c>
      <c r="H110" s="39" t="n">
        <f aca="false">(('Business Case'!B11*$C110*'Business Case'!B12*$B110)-'Business Case'!B11*$C110*'Business Case'!B13*$D110-'Business Case'!B14*$E110)-MAX(0,(('Business Case'!B11*$C110*'Business Case'!B12*$B110)-'Business Case'!B11*$C110*'Business Case'!B13*$D110-'Business Case'!B14*$E110))*'Business Case'!$B$7-'Business Case'!$B$8*('Business Case'!B11*$C110*'Business Case'!B12*$B110)-'Business Case'!B15*$F110</f>
        <v>-2056418479.88091</v>
      </c>
      <c r="I110" s="39" t="n">
        <f aca="false">(('Business Case'!C11*$C110*'Business Case'!C12*$B110)-'Business Case'!C11*$C110*'Business Case'!C13*$D110-'Business Case'!C14*$E110)-MAX(0,(('Business Case'!C11*$C110*'Business Case'!C12*$B110)-'Business Case'!C11*$C110*'Business Case'!C13*$D110-'Business Case'!C14*$E110))*'Business Case'!$B$7-'Business Case'!$B$8*(('Business Case'!C11*$C110*'Business Case'!C12*$B110)-('Business Case'!B11*$C110*'Business Case'!B12*$B110))-'Business Case'!C15*$F110</f>
        <v>-21241026.4186217</v>
      </c>
      <c r="J110" s="39" t="n">
        <f aca="false">(('Business Case'!D11*$C110*'Business Case'!D12*$B110)-'Business Case'!D11*$C110*'Business Case'!D13*$D110-'Business Case'!D14*$E110)-MAX(0,(('Business Case'!D11*$C110*'Business Case'!D12*$B110)-'Business Case'!D11*$C110*'Business Case'!D13*$D110-'Business Case'!D14*$E110))*'Business Case'!$B$7-'Business Case'!$B$8*(('Business Case'!D11*$C110*'Business Case'!D12*$B110)-('Business Case'!C11*$C110*'Business Case'!C12*$B110))-'Business Case'!D15*$F110</f>
        <v>252585589.948045</v>
      </c>
      <c r="K110" s="39" t="n">
        <f aca="false">(('Business Case'!E11*$C110*'Business Case'!E12*$B110)-'Business Case'!E11*$C110*'Business Case'!E13*$D110-'Business Case'!E14*$E110)-MAX(0,(('Business Case'!E11*$C110*'Business Case'!E12*$B110)-'Business Case'!E11*$C110*'Business Case'!E13*$D110-'Business Case'!E14*$E110))*'Business Case'!$B$7-'Business Case'!$B$8*(('Business Case'!E11*$C110*'Business Case'!E12*$B110)-('Business Case'!D11*$C110*'Business Case'!D12*$B110))-'Business Case'!E15*$F110</f>
        <v>577822668.311734</v>
      </c>
      <c r="L110" s="39" t="n">
        <f aca="false">(('Business Case'!F11*$C110*'Business Case'!F12*$B110)-'Business Case'!F11*$C110*'Business Case'!F13*$D110-'Business Case'!F14*$E110)-MAX(0,(('Business Case'!F11*$C110*'Business Case'!F12*$B110)-'Business Case'!F11*$C110*'Business Case'!F13*$D110-'Business Case'!F14*$E110))*'Business Case'!$B$7-'Business Case'!$B$8*(('Business Case'!F11*$C110*'Business Case'!F12*$B110)-('Business Case'!E11*$C110*'Business Case'!E12*$B110))-'Business Case'!F15*$F110</f>
        <v>702716104.02756</v>
      </c>
      <c r="M110" s="39" t="n">
        <f aca="false">(('Business Case'!G11*$C110*'Business Case'!G12*$B110)-'Business Case'!G11*$C110*'Business Case'!G13*$D110-'Business Case'!G14*$E110)-MAX(0,(('Business Case'!G11*$C110*'Business Case'!G12*$B110)-'Business Case'!G11*$C110*'Business Case'!G13*$D110-'Business Case'!G14*$E110))*'Business Case'!$B$7-'Business Case'!$B$8*(('Business Case'!G11*$C110*'Business Case'!G12*$B110)-('Business Case'!F11*$C110*'Business Case'!F12*$B110))-'Business Case'!G15*$F110+'Business Case'!$B$8*('Business Case'!G11*$C110*'Business Case'!G12*$B110)</f>
        <v>887614537.125717</v>
      </c>
      <c r="N110" s="39" t="n">
        <f aca="false">IF(COUNT('Business Case'!B11:G11)=0,"",H110+NPV(G110,I110:M110))</f>
        <v>-411921230.763115</v>
      </c>
      <c r="P110" s="40" t="n">
        <f aca="true">RAND()</f>
        <v>0.177970225702485</v>
      </c>
      <c r="Q110" s="40" t="n">
        <f aca="true">RAND()</f>
        <v>0.757814415458904</v>
      </c>
      <c r="R110" s="40" t="n">
        <f aca="true">RAND()</f>
        <v>0.324784403887294</v>
      </c>
      <c r="S110" s="40" t="n">
        <f aca="true">RAND()</f>
        <v>0.378900373577308</v>
      </c>
      <c r="T110" s="40" t="n">
        <f aca="true">RAND()</f>
        <v>0.344118116696111</v>
      </c>
      <c r="U110" s="40" t="n">
        <f aca="true">RAND()</f>
        <v>0.468406719460646</v>
      </c>
    </row>
    <row r="111" customFormat="false" ht="15" hidden="false" customHeight="false" outlineLevel="0" collapsed="false">
      <c r="A111" s="36" t="n">
        <v>31</v>
      </c>
      <c r="B111" s="37" t="n">
        <f aca="false">1+IF($G$6=$E$6,$F$6,IF(P111&lt;($F$6-$E$6)/($G$6-$E$6),$E$6+SQRT(P111*($G$6-$E$6)*($F$6-$E$6)),$G$6-SQRT((1-P111)*($G$6-$E$6)*($G$6-$F$6))))</f>
        <v>0.963893891107335</v>
      </c>
      <c r="C111" s="37" t="n">
        <f aca="false">1+IF($G$7=$E$7,$F$7,IF(Q111&lt;($F$7-$E$7)/($G$7-$E$7),$E$7+SQRT(Q111*($G$7-$E$7)*($F$7-$E$7)),$G$7-SQRT((1-Q111)*($G$7-$E$7)*($G$7-$F$7))))</f>
        <v>0.75573043894063</v>
      </c>
      <c r="D111" s="37" t="n">
        <f aca="false">1+IF($G$8=$E$8,$F$8,IF(R111&lt;($F$8-$E$8)/($G$8-$E$8),$E$8+SQRT(R111*($G$8-$E$8)*($F$8-$E$8)),$G$8-SQRT((1-R111)*($G$8-$E$8)*($G$8-$F$8))))</f>
        <v>1.06818934627318</v>
      </c>
      <c r="E111" s="37" t="n">
        <f aca="false">1+IF($G$9=$E$9,$F$9,IF(S111&lt;($F$9-$E$9)/($G$9-$E$9),$E$9+SQRT(S111*($G$9-$E$9)*($F$9-$E$9)),$G$9-SQRT((1-S111)*($G$9-$E$9)*($G$9-$F$9))))</f>
        <v>1.0190387264925</v>
      </c>
      <c r="F111" s="37" t="n">
        <f aca="false">1+IF($G$10=$E$10,$F$10,IF(T111&lt;($F$10-$E$10)/($G$10-$E$10),$E$10+SQRT(T111*($G$10-$E$10)*($F$10-$E$10)),$G$10-SQRT((1-T111)*($G$10-$E$10)*($G$10-$F$10))))</f>
        <v>1.12129475632089</v>
      </c>
      <c r="G111" s="38" t="n">
        <f aca="false">IF($G$11=$E$11,$F$11,IF(U111&lt;($F$11-$E$11)/($G$11-$E$11),$E$11+SQRT(U111*($G$11-$E$11)*($F$11-$E$11)),$G$11-SQRT((1-U111)*($G$11-$E$11)*($G$11-$F$11))))</f>
        <v>0.109050953791208</v>
      </c>
      <c r="H111" s="39" t="n">
        <f aca="false">(('Business Case'!B11*$C111*'Business Case'!B12*$B111)-'Business Case'!B11*$C111*'Business Case'!B13*$D111-'Business Case'!B14*$E111)-MAX(0,(('Business Case'!B11*$C111*'Business Case'!B12*$B111)-'Business Case'!B11*$C111*'Business Case'!B13*$D111-'Business Case'!B14*$E111))*'Business Case'!$B$7-'Business Case'!$B$8*('Business Case'!B11*$C111*'Business Case'!B12*$B111)-'Business Case'!B15*$F111</f>
        <v>-2242589512.64177</v>
      </c>
      <c r="I111" s="39" t="n">
        <f aca="false">(('Business Case'!C11*$C111*'Business Case'!C12*$B111)-'Business Case'!C11*$C111*'Business Case'!C13*$D111-'Business Case'!C14*$E111)-MAX(0,(('Business Case'!C11*$C111*'Business Case'!C12*$B111)-'Business Case'!C11*$C111*'Business Case'!C13*$D111-'Business Case'!C14*$E111))*'Business Case'!$B$7-'Business Case'!$B$8*(('Business Case'!C11*$C111*'Business Case'!C12*$B111)-('Business Case'!B11*$C111*'Business Case'!B12*$B111))-'Business Case'!C15*$F111</f>
        <v>-111405450.421412</v>
      </c>
      <c r="J111" s="39" t="n">
        <f aca="false">(('Business Case'!D11*$C111*'Business Case'!D12*$B111)-'Business Case'!D11*$C111*'Business Case'!D13*$D111-'Business Case'!D14*$E111)-MAX(0,(('Business Case'!D11*$C111*'Business Case'!D12*$B111)-'Business Case'!D11*$C111*'Business Case'!D13*$D111-'Business Case'!D14*$E111))*'Business Case'!$B$7-'Business Case'!$B$8*(('Business Case'!D11*$C111*'Business Case'!D12*$B111)-('Business Case'!C11*$C111*'Business Case'!C12*$B111))-'Business Case'!D15*$F111</f>
        <v>71988416.2417265</v>
      </c>
      <c r="K111" s="39" t="n">
        <f aca="false">(('Business Case'!E11*$C111*'Business Case'!E12*$B111)-'Business Case'!E11*$C111*'Business Case'!E13*$D111-'Business Case'!E14*$E111)-MAX(0,(('Business Case'!E11*$C111*'Business Case'!E12*$B111)-'Business Case'!E11*$C111*'Business Case'!E13*$D111-'Business Case'!E14*$E111))*'Business Case'!$B$7-'Business Case'!$B$8*(('Business Case'!E11*$C111*'Business Case'!E12*$B111)-('Business Case'!D11*$C111*'Business Case'!D12*$B111))-'Business Case'!E15*$F111</f>
        <v>311447020.720909</v>
      </c>
      <c r="L111" s="39" t="n">
        <f aca="false">(('Business Case'!F11*$C111*'Business Case'!F12*$B111)-'Business Case'!F11*$C111*'Business Case'!F13*$D111-'Business Case'!F14*$E111)-MAX(0,(('Business Case'!F11*$C111*'Business Case'!F12*$B111)-'Business Case'!F11*$C111*'Business Case'!F13*$D111-'Business Case'!F14*$E111))*'Business Case'!$B$7-'Business Case'!$B$8*(('Business Case'!F11*$C111*'Business Case'!F12*$B111)-('Business Case'!E11*$C111*'Business Case'!E12*$B111))-'Business Case'!F15*$F111</f>
        <v>397753332.638773</v>
      </c>
      <c r="M111" s="39" t="n">
        <f aca="false">(('Business Case'!G11*$C111*'Business Case'!G12*$B111)-'Business Case'!G11*$C111*'Business Case'!G13*$D111-'Business Case'!G14*$E111)-MAX(0,(('Business Case'!G11*$C111*'Business Case'!G12*$B111)-'Business Case'!G11*$C111*'Business Case'!G13*$D111-'Business Case'!G14*$E111))*'Business Case'!$B$7-'Business Case'!$B$8*(('Business Case'!G11*$C111*'Business Case'!G12*$B111)-('Business Case'!F11*$C111*'Business Case'!F12*$B111))-'Business Case'!G15*$F111+'Business Case'!$B$8*('Business Case'!G11*$C111*'Business Case'!G12*$B111)</f>
        <v>536215959.304607</v>
      </c>
      <c r="N111" s="39" t="n">
        <f aca="false">IF(COUNT('Business Case'!B11:G11)=0,"",H111+NPV(G111,I111:M111))</f>
        <v>-1473708336.22089</v>
      </c>
      <c r="P111" s="40" t="n">
        <f aca="true">RAND()</f>
        <v>0.272161954722394</v>
      </c>
      <c r="Q111" s="40" t="n">
        <f aca="true">RAND()</f>
        <v>0.0230065320334463</v>
      </c>
      <c r="R111" s="40" t="n">
        <f aca="true">RAND()</f>
        <v>0.932538820631496</v>
      </c>
      <c r="S111" s="40" t="n">
        <f aca="true">RAND()</f>
        <v>0.542643862434505</v>
      </c>
      <c r="T111" s="40" t="n">
        <f aca="true">RAND()</f>
        <v>0.779132803326664</v>
      </c>
      <c r="U111" s="40" t="n">
        <f aca="true">RAND()</f>
        <v>0.707424975294611</v>
      </c>
    </row>
    <row r="112" customFormat="false" ht="15" hidden="false" customHeight="false" outlineLevel="0" collapsed="false">
      <c r="A112" s="36" t="n">
        <v>32</v>
      </c>
      <c r="B112" s="37" t="n">
        <f aca="false">1+IF($G$6=$E$6,$F$6,IF(P112&lt;($F$6-$E$6)/($G$6-$E$6),$E$6+SQRT(P112*($G$6-$E$6)*($F$6-$E$6)),$G$6-SQRT((1-P112)*($G$6-$E$6)*($G$6-$F$6))))</f>
        <v>0.981759648525238</v>
      </c>
      <c r="C112" s="37" t="n">
        <f aca="false">1+IF($G$7=$E$7,$F$7,IF(Q112&lt;($F$7-$E$7)/($G$7-$E$7),$E$7+SQRT(Q112*($G$7-$E$7)*($F$7-$E$7)),$G$7-SQRT((1-Q112)*($G$7-$E$7)*($G$7-$F$7))))</f>
        <v>0.94592959711137</v>
      </c>
      <c r="D112" s="37" t="n">
        <f aca="false">1+IF($G$8=$E$8,$F$8,IF(R112&lt;($F$8-$E$8)/($G$8-$E$8),$E$8+SQRT(R112*($G$8-$E$8)*($F$8-$E$8)),$G$8-SQRT((1-R112)*($G$8-$E$8)*($G$8-$F$8))))</f>
        <v>1.03899413214142</v>
      </c>
      <c r="E112" s="37" t="n">
        <f aca="false">1+IF($G$9=$E$9,$F$9,IF(S112&lt;($F$9-$E$9)/($G$9-$E$9),$E$9+SQRT(S112*($G$9-$E$9)*($F$9-$E$9)),$G$9-SQRT((1-S112)*($G$9-$E$9)*($G$9-$F$9))))</f>
        <v>1.00955253476472</v>
      </c>
      <c r="F112" s="37" t="n">
        <f aca="false">1+IF($G$10=$E$10,$F$10,IF(T112&lt;($F$10-$E$10)/($G$10-$E$10),$E$10+SQRT(T112*($G$10-$E$10)*($F$10-$E$10)),$G$10-SQRT((1-T112)*($G$10-$E$10)*($G$10-$F$10))))</f>
        <v>1.02977056016038</v>
      </c>
      <c r="G112" s="38" t="n">
        <f aca="false">IF($G$11=$E$11,$F$11,IF(U112&lt;($F$11-$E$11)/($G$11-$E$11),$E$11+SQRT(U112*($G$11-$E$11)*($F$11-$E$11)),$G$11-SQRT((1-U112)*($G$11-$E$11)*($G$11-$F$11))))</f>
        <v>0.0979638113856896</v>
      </c>
      <c r="H112" s="39" t="n">
        <f aca="false">(('Business Case'!B11*$C112*'Business Case'!B12*$B112)-'Business Case'!B11*$C112*'Business Case'!B13*$D112-'Business Case'!B14*$E112)-MAX(0,(('Business Case'!B11*$C112*'Business Case'!B12*$B112)-'Business Case'!B11*$C112*'Business Case'!B13*$D112-'Business Case'!B14*$E112))*'Business Case'!$B$7-'Business Case'!$B$8*('Business Case'!B11*$C112*'Business Case'!B12*$B112)-'Business Case'!B15*$F112</f>
        <v>-2059541120.32075</v>
      </c>
      <c r="I112" s="39" t="n">
        <f aca="false">(('Business Case'!C11*$C112*'Business Case'!C12*$B112)-'Business Case'!C11*$C112*'Business Case'!C13*$D112-'Business Case'!C14*$E112)-MAX(0,(('Business Case'!C11*$C112*'Business Case'!C12*$B112)-'Business Case'!C11*$C112*'Business Case'!C13*$D112-'Business Case'!C14*$E112))*'Business Case'!$B$7-'Business Case'!$B$8*(('Business Case'!C11*$C112*'Business Case'!C12*$B112)-('Business Case'!B11*$C112*'Business Case'!B12*$B112))-'Business Case'!C15*$F112</f>
        <v>-37148667.2944117</v>
      </c>
      <c r="J112" s="39" t="n">
        <f aca="false">(('Business Case'!D11*$C112*'Business Case'!D12*$B112)-'Business Case'!D11*$C112*'Business Case'!D13*$D112-'Business Case'!D14*$E112)-MAX(0,(('Business Case'!D11*$C112*'Business Case'!D12*$B112)-'Business Case'!D11*$C112*'Business Case'!D13*$D112-'Business Case'!D14*$E112))*'Business Case'!$B$7-'Business Case'!$B$8*(('Business Case'!D11*$C112*'Business Case'!D12*$B112)-('Business Case'!C11*$C112*'Business Case'!C12*$B112))-'Business Case'!D15*$F112</f>
        <v>220380630.246414</v>
      </c>
      <c r="K112" s="39" t="n">
        <f aca="false">(('Business Case'!E11*$C112*'Business Case'!E12*$B112)-'Business Case'!E11*$C112*'Business Case'!E13*$D112-'Business Case'!E14*$E112)-MAX(0,(('Business Case'!E11*$C112*'Business Case'!E12*$B112)-'Business Case'!E11*$C112*'Business Case'!E13*$D112-'Business Case'!E14*$E112))*'Business Case'!$B$7-'Business Case'!$B$8*(('Business Case'!E11*$C112*'Business Case'!E12*$B112)-('Business Case'!D11*$C112*'Business Case'!D12*$B112))-'Business Case'!E15*$F112</f>
        <v>529398455.795258</v>
      </c>
      <c r="L112" s="39" t="n">
        <f aca="false">(('Business Case'!F11*$C112*'Business Case'!F12*$B112)-'Business Case'!F11*$C112*'Business Case'!F13*$D112-'Business Case'!F14*$E112)-MAX(0,(('Business Case'!F11*$C112*'Business Case'!F12*$B112)-'Business Case'!F11*$C112*'Business Case'!F13*$D112-'Business Case'!F14*$E112))*'Business Case'!$B$7-'Business Case'!$B$8*(('Business Case'!F11*$C112*'Business Case'!F12*$B112)-('Business Case'!E11*$C112*'Business Case'!E12*$B112))-'Business Case'!F15*$F112</f>
        <v>647336580.559305</v>
      </c>
      <c r="M112" s="39" t="n">
        <f aca="false">(('Business Case'!G11*$C112*'Business Case'!G12*$B112)-'Business Case'!G11*$C112*'Business Case'!G13*$D112-'Business Case'!G14*$E112)-MAX(0,(('Business Case'!G11*$C112*'Business Case'!G12*$B112)-'Business Case'!G11*$C112*'Business Case'!G13*$D112-'Business Case'!G14*$E112))*'Business Case'!$B$7-'Business Case'!$B$8*(('Business Case'!G11*$C112*'Business Case'!G12*$B112)-('Business Case'!F11*$C112*'Business Case'!F12*$B112))-'Business Case'!G15*$F112+'Business Case'!$B$8*('Business Case'!G11*$C112*'Business Case'!G12*$B112)</f>
        <v>823859221.270047</v>
      </c>
      <c r="N112" s="39" t="n">
        <f aca="false">IF(COUNT('Business Case'!B11:G11)=0,"",H112+NPV(G112,I112:M112))</f>
        <v>-548863153.772969</v>
      </c>
      <c r="P112" s="40" t="n">
        <f aca="true">RAND()</f>
        <v>0.445642675131361</v>
      </c>
      <c r="Q112" s="40" t="n">
        <f aca="true">RAND()</f>
        <v>0.448010123965635</v>
      </c>
      <c r="R112" s="40" t="n">
        <f aca="true">RAND()</f>
        <v>0.751885605788138</v>
      </c>
      <c r="S112" s="40" t="n">
        <f aca="true">RAND()</f>
        <v>0.473986920239577</v>
      </c>
      <c r="T112" s="40" t="n">
        <f aca="true">RAND()</f>
        <v>0.353319917705672</v>
      </c>
      <c r="U112" s="40" t="n">
        <f aca="true">RAND()</f>
        <v>0.32269851950063</v>
      </c>
    </row>
    <row r="113" customFormat="false" ht="15" hidden="false" customHeight="false" outlineLevel="0" collapsed="false">
      <c r="A113" s="36" t="n">
        <v>33</v>
      </c>
      <c r="B113" s="37" t="n">
        <f aca="false">1+IF($G$6=$E$6,$F$6,IF(P113&lt;($F$6-$E$6)/($G$6-$E$6),$E$6+SQRT(P113*($G$6-$E$6)*($F$6-$E$6)),$G$6-SQRT((1-P113)*($G$6-$E$6)*($G$6-$F$6))))</f>
        <v>1.01837461279593</v>
      </c>
      <c r="C113" s="37" t="n">
        <f aca="false">1+IF($G$7=$E$7,$F$7,IF(Q113&lt;($F$7-$E$7)/($G$7-$E$7),$E$7+SQRT(Q113*($G$7-$E$7)*($F$7-$E$7)),$G$7-SQRT((1-Q113)*($G$7-$E$7)*($G$7-$F$7))))</f>
        <v>0.755390203812813</v>
      </c>
      <c r="D113" s="37" t="n">
        <f aca="false">1+IF($G$8=$E$8,$F$8,IF(R113&lt;($F$8-$E$8)/($G$8-$E$8),$E$8+SQRT(R113*($G$8-$E$8)*($F$8-$E$8)),$G$8-SQRT((1-R113)*($G$8-$E$8)*($G$8-$F$8))))</f>
        <v>0.977827799665628</v>
      </c>
      <c r="E113" s="37" t="n">
        <f aca="false">1+IF($G$9=$E$9,$F$9,IF(S113&lt;($F$9-$E$9)/($G$9-$E$9),$E$9+SQRT(S113*($G$9-$E$9)*($F$9-$E$9)),$G$9-SQRT((1-S113)*($G$9-$E$9)*($G$9-$F$9))))</f>
        <v>1.00959155674317</v>
      </c>
      <c r="F113" s="37" t="n">
        <f aca="false">1+IF($G$10=$E$10,$F$10,IF(T113&lt;($F$10-$E$10)/($G$10-$E$10),$E$10+SQRT(T113*($G$10-$E$10)*($F$10-$E$10)),$G$10-SQRT((1-T113)*($G$10-$E$10)*($G$10-$F$10))))</f>
        <v>1.07201682671482</v>
      </c>
      <c r="G113" s="38" t="n">
        <f aca="false">IF($G$11=$E$11,$F$11,IF(U113&lt;($F$11-$E$11)/($G$11-$E$11),$E$11+SQRT(U113*($G$11-$E$11)*($F$11-$E$11)),$G$11-SQRT((1-U113)*($G$11-$E$11)*($G$11-$F$11))))</f>
        <v>0.121076612926414</v>
      </c>
      <c r="H113" s="39" t="n">
        <f aca="false">(('Business Case'!B11*$C113*'Business Case'!B12*$B113)-'Business Case'!B11*$C113*'Business Case'!B13*$D113-'Business Case'!B14*$E113)-MAX(0,(('Business Case'!B11*$C113*'Business Case'!B12*$B113)-'Business Case'!B11*$C113*'Business Case'!B13*$D113-'Business Case'!B14*$E113))*'Business Case'!$B$7-'Business Case'!$B$8*('Business Case'!B11*$C113*'Business Case'!B12*$B113)-'Business Case'!B15*$F113</f>
        <v>-2144033653.42963</v>
      </c>
      <c r="I113" s="39" t="n">
        <f aca="false">(('Business Case'!C11*$C113*'Business Case'!C12*$B113)-'Business Case'!C11*$C113*'Business Case'!C13*$D113-'Business Case'!C14*$E113)-MAX(0,(('Business Case'!C11*$C113*'Business Case'!C12*$B113)-'Business Case'!C11*$C113*'Business Case'!C13*$D113-'Business Case'!C14*$E113))*'Business Case'!$B$7-'Business Case'!$B$8*(('Business Case'!C11*$C113*'Business Case'!C12*$B113)-('Business Case'!B11*$C113*'Business Case'!B12*$B113))-'Business Case'!C15*$F113</f>
        <v>-38682260.7157631</v>
      </c>
      <c r="J113" s="39" t="n">
        <f aca="false">(('Business Case'!D11*$C113*'Business Case'!D12*$B113)-'Business Case'!D11*$C113*'Business Case'!D13*$D113-'Business Case'!D14*$E113)-MAX(0,(('Business Case'!D11*$C113*'Business Case'!D12*$B113)-'Business Case'!D11*$C113*'Business Case'!D13*$D113-'Business Case'!D14*$E113))*'Business Case'!$B$7-'Business Case'!$B$8*(('Business Case'!D11*$C113*'Business Case'!D12*$B113)-('Business Case'!C11*$C113*'Business Case'!C12*$B113))-'Business Case'!D15*$F113</f>
        <v>213280048.104344</v>
      </c>
      <c r="K113" s="39" t="n">
        <f aca="false">(('Business Case'!E11*$C113*'Business Case'!E12*$B113)-'Business Case'!E11*$C113*'Business Case'!E13*$D113-'Business Case'!E14*$E113)-MAX(0,(('Business Case'!E11*$C113*'Business Case'!E12*$B113)-'Business Case'!E11*$C113*'Business Case'!E13*$D113-'Business Case'!E14*$E113))*'Business Case'!$B$7-'Business Case'!$B$8*(('Business Case'!E11*$C113*'Business Case'!E12*$B113)-('Business Case'!D11*$C113*'Business Case'!D12*$B113))-'Business Case'!E15*$F113</f>
        <v>518843198.260192</v>
      </c>
      <c r="L113" s="39" t="n">
        <f aca="false">(('Business Case'!F11*$C113*'Business Case'!F12*$B113)-'Business Case'!F11*$C113*'Business Case'!F13*$D113-'Business Case'!F14*$E113)-MAX(0,(('Business Case'!F11*$C113*'Business Case'!F12*$B113)-'Business Case'!F11*$C113*'Business Case'!F13*$D113-'Business Case'!F14*$E113))*'Business Case'!$B$7-'Business Case'!$B$8*(('Business Case'!F11*$C113*'Business Case'!F12*$B113)-('Business Case'!E11*$C113*'Business Case'!E12*$B113))-'Business Case'!F15*$F113</f>
        <v>629416612.863901</v>
      </c>
      <c r="M113" s="39" t="n">
        <f aca="false">(('Business Case'!G11*$C113*'Business Case'!G12*$B113)-'Business Case'!G11*$C113*'Business Case'!G13*$D113-'Business Case'!G14*$E113)-MAX(0,(('Business Case'!G11*$C113*'Business Case'!G12*$B113)-'Business Case'!G11*$C113*'Business Case'!G13*$D113-'Business Case'!G14*$E113))*'Business Case'!$B$7-'Business Case'!$B$8*(('Business Case'!G11*$C113*'Business Case'!G12*$B113)-('Business Case'!F11*$C113*'Business Case'!F12*$B113))-'Business Case'!G15*$F113+'Business Case'!$B$8*('Business Case'!G11*$C113*'Business Case'!G12*$B113)</f>
        <v>775639493.680772</v>
      </c>
      <c r="N113" s="39" t="n">
        <f aca="false">IF(COUNT('Business Case'!B11:G11)=0,"",H113+NPV(G113,I113:M113))</f>
        <v>-804118976.002351</v>
      </c>
      <c r="P113" s="40" t="n">
        <f aca="true">RAND()</f>
        <v>0.866644651225703</v>
      </c>
      <c r="Q113" s="40" t="n">
        <f aca="true">RAND()</f>
        <v>0.022726479099444</v>
      </c>
      <c r="R113" s="40" t="n">
        <f aca="true">RAND()</f>
        <v>0.103251524564042</v>
      </c>
      <c r="S113" s="40" t="n">
        <f aca="true">RAND()</f>
        <v>0.474279174991827</v>
      </c>
      <c r="T113" s="40" t="n">
        <f aca="true">RAND()</f>
        <v>0.577626533697811</v>
      </c>
      <c r="U113" s="40" t="n">
        <f aca="true">RAND()</f>
        <v>0.946915442089968</v>
      </c>
    </row>
    <row r="114" customFormat="false" ht="15" hidden="false" customHeight="false" outlineLevel="0" collapsed="false">
      <c r="A114" s="36" t="n">
        <v>34</v>
      </c>
      <c r="B114" s="37" t="n">
        <f aca="false">1+IF($G$6=$E$6,$F$6,IF(P114&lt;($F$6-$E$6)/($G$6-$E$6),$E$6+SQRT(P114*($G$6-$E$6)*($F$6-$E$6)),$G$6-SQRT((1-P114)*($G$6-$E$6)*($G$6-$F$6))))</f>
        <v>1.01715623694336</v>
      </c>
      <c r="C114" s="37" t="n">
        <f aca="false">1+IF($G$7=$E$7,$F$7,IF(Q114&lt;($F$7-$E$7)/($G$7-$E$7),$E$7+SQRT(Q114*($G$7-$E$7)*($F$7-$E$7)),$G$7-SQRT((1-Q114)*($G$7-$E$7)*($G$7-$F$7))))</f>
        <v>0.950219356684354</v>
      </c>
      <c r="D114" s="37" t="n">
        <f aca="false">1+IF($G$8=$E$8,$F$8,IF(R114&lt;($F$8-$E$8)/($G$8-$E$8),$E$8+SQRT(R114*($G$8-$E$8)*($F$8-$E$8)),$G$8-SQRT((1-R114)*($G$8-$E$8)*($G$8-$F$8))))</f>
        <v>1.02658185866965</v>
      </c>
      <c r="E114" s="37" t="n">
        <f aca="false">1+IF($G$9=$E$9,$F$9,IF(S114&lt;($F$9-$E$9)/($G$9-$E$9),$E$9+SQRT(S114*($G$9-$E$9)*($F$9-$E$9)),$G$9-SQRT((1-S114)*($G$9-$E$9)*($G$9-$F$9))))</f>
        <v>0.941492446656883</v>
      </c>
      <c r="F114" s="37" t="n">
        <f aca="false">1+IF($G$10=$E$10,$F$10,IF(T114&lt;($F$10-$E$10)/($G$10-$E$10),$E$10+SQRT(T114*($G$10-$E$10)*($F$10-$E$10)),$G$10-SQRT((1-T114)*($G$10-$E$10)*($G$10-$F$10))))</f>
        <v>1.19811044523667</v>
      </c>
      <c r="G114" s="38" t="n">
        <f aca="false">IF($G$11=$E$11,$F$11,IF(U114&lt;($F$11-$E$11)/($G$11-$E$11),$E$11+SQRT(U114*($G$11-$E$11)*($F$11-$E$11)),$G$11-SQRT((1-U114)*($G$11-$E$11)*($G$11-$F$11))))</f>
        <v>0.097142726403211</v>
      </c>
      <c r="H114" s="39" t="n">
        <f aca="false">(('Business Case'!B11*$C114*'Business Case'!B12*$B114)-'Business Case'!B11*$C114*'Business Case'!B13*$D114-'Business Case'!B14*$E114)-MAX(0,(('Business Case'!B11*$C114*'Business Case'!B12*$B114)-'Business Case'!B11*$C114*'Business Case'!B13*$D114-'Business Case'!B14*$E114))*'Business Case'!$B$7-'Business Case'!$B$8*('Business Case'!B11*$C114*'Business Case'!B12*$B114)-'Business Case'!B15*$F114</f>
        <v>-2396220890.47334</v>
      </c>
      <c r="I114" s="39" t="n">
        <f aca="false">(('Business Case'!C11*$C114*'Business Case'!C12*$B114)-'Business Case'!C11*$C114*'Business Case'!C13*$D114-'Business Case'!C14*$E114)-MAX(0,(('Business Case'!C11*$C114*'Business Case'!C12*$B114)-'Business Case'!C11*$C114*'Business Case'!C13*$D114-'Business Case'!C14*$E114))*'Business Case'!$B$7-'Business Case'!$B$8*(('Business Case'!C11*$C114*'Business Case'!C12*$B114)-('Business Case'!B11*$C114*'Business Case'!B12*$B114))-'Business Case'!C15*$F114</f>
        <v>-11511686.2041219</v>
      </c>
      <c r="J114" s="39" t="n">
        <f aca="false">(('Business Case'!D11*$C114*'Business Case'!D12*$B114)-'Business Case'!D11*$C114*'Business Case'!D13*$D114-'Business Case'!D14*$E114)-MAX(0,(('Business Case'!D11*$C114*'Business Case'!D12*$B114)-'Business Case'!D11*$C114*'Business Case'!D13*$D114-'Business Case'!D14*$E114))*'Business Case'!$B$7-'Business Case'!$B$8*(('Business Case'!D11*$C114*'Business Case'!D12*$B114)-('Business Case'!C11*$C114*'Business Case'!C12*$B114))-'Business Case'!D15*$F114</f>
        <v>280772374.928835</v>
      </c>
      <c r="K114" s="39" t="n">
        <f aca="false">(('Business Case'!E11*$C114*'Business Case'!E12*$B114)-'Business Case'!E11*$C114*'Business Case'!E13*$D114-'Business Case'!E14*$E114)-MAX(0,(('Business Case'!E11*$C114*'Business Case'!E12*$B114)-'Business Case'!E11*$C114*'Business Case'!E13*$D114-'Business Case'!E14*$E114))*'Business Case'!$B$7-'Business Case'!$B$8*(('Business Case'!E11*$C114*'Business Case'!E12*$B114)-('Business Case'!D11*$C114*'Business Case'!D12*$B114))-'Business Case'!E15*$F114</f>
        <v>632961958.323625</v>
      </c>
      <c r="L114" s="39" t="n">
        <f aca="false">(('Business Case'!F11*$C114*'Business Case'!F12*$B114)-'Business Case'!F11*$C114*'Business Case'!F13*$D114-'Business Case'!F14*$E114)-MAX(0,(('Business Case'!F11*$C114*'Business Case'!F12*$B114)-'Business Case'!F11*$C114*'Business Case'!F13*$D114-'Business Case'!F14*$E114))*'Business Case'!$B$7-'Business Case'!$B$8*(('Business Case'!F11*$C114*'Business Case'!F12*$B114)-('Business Case'!E11*$C114*'Business Case'!E12*$B114))-'Business Case'!F15*$F114</f>
        <v>763792963.30048</v>
      </c>
      <c r="M114" s="39" t="n">
        <f aca="false">(('Business Case'!G11*$C114*'Business Case'!G12*$B114)-'Business Case'!G11*$C114*'Business Case'!G13*$D114-'Business Case'!G14*$E114)-MAX(0,(('Business Case'!G11*$C114*'Business Case'!G12*$B114)-'Business Case'!G11*$C114*'Business Case'!G13*$D114-'Business Case'!G14*$E114))*'Business Case'!$B$7-'Business Case'!$B$8*(('Business Case'!G11*$C114*'Business Case'!G12*$B114)-('Business Case'!F11*$C114*'Business Case'!F12*$B114))-'Business Case'!G15*$F114+'Business Case'!$B$8*('Business Case'!G11*$C114*'Business Case'!G12*$B114)</f>
        <v>947509378.596092</v>
      </c>
      <c r="N114" s="39" t="n">
        <f aca="false">IF(COUNT('Business Case'!B11:G11)=0,"",H114+NPV(G114,I114:M114))</f>
        <v>-571014807.329581</v>
      </c>
      <c r="P114" s="40" t="n">
        <f aca="true">RAND()</f>
        <v>0.856171630437281</v>
      </c>
      <c r="Q114" s="40" t="n">
        <f aca="true">RAND()</f>
        <v>0.46377575155209</v>
      </c>
      <c r="R114" s="40" t="n">
        <f aca="true">RAND()</f>
        <v>0.640651768239819</v>
      </c>
      <c r="S114" s="40" t="n">
        <f aca="true">RAND()</f>
        <v>0.0688649251829709</v>
      </c>
      <c r="T114" s="40" t="n">
        <f aca="true">RAND()</f>
        <v>0.964099654752842</v>
      </c>
      <c r="U114" s="40" t="n">
        <f aca="true">RAND()</f>
        <v>0.293873068535348</v>
      </c>
    </row>
    <row r="115" customFormat="false" ht="15" hidden="false" customHeight="false" outlineLevel="0" collapsed="false">
      <c r="A115" s="36" t="n">
        <v>35</v>
      </c>
      <c r="B115" s="37" t="n">
        <f aca="false">1+IF($G$6=$E$6,$F$6,IF(P115&lt;($F$6-$E$6)/($G$6-$E$6),$E$6+SQRT(P115*($G$6-$E$6)*($F$6-$E$6)),$G$6-SQRT((1-P115)*($G$6-$E$6)*($G$6-$F$6))))</f>
        <v>1.00834442825851</v>
      </c>
      <c r="C115" s="37" t="n">
        <f aca="false">1+IF($G$7=$E$7,$F$7,IF(Q115&lt;($F$7-$E$7)/($G$7-$E$7),$E$7+SQRT(Q115*($G$7-$E$7)*($F$7-$E$7)),$G$7-SQRT((1-Q115)*($G$7-$E$7)*($G$7-$F$7))))</f>
        <v>1.03100718647392</v>
      </c>
      <c r="D115" s="37" t="n">
        <f aca="false">1+IF($G$8=$E$8,$F$8,IF(R115&lt;($F$8-$E$8)/($G$8-$E$8),$E$8+SQRT(R115*($G$8-$E$8)*($F$8-$E$8)),$G$8-SQRT((1-R115)*($G$8-$E$8)*($G$8-$F$8))))</f>
        <v>0.970868570479306</v>
      </c>
      <c r="E115" s="37" t="n">
        <f aca="false">1+IF($G$9=$E$9,$F$9,IF(S115&lt;($F$9-$E$9)/($G$9-$E$9),$E$9+SQRT(S115*($G$9-$E$9)*($F$9-$E$9)),$G$9-SQRT((1-S115)*($G$9-$E$9)*($G$9-$F$9))))</f>
        <v>1.0034472007631</v>
      </c>
      <c r="F115" s="37" t="n">
        <f aca="false">1+IF($G$10=$E$10,$F$10,IF(T115&lt;($F$10-$E$10)/($G$10-$E$10),$E$10+SQRT(T115*($G$10-$E$10)*($F$10-$E$10)),$G$10-SQRT((1-T115)*($G$10-$E$10)*($G$10-$F$10))))</f>
        <v>1.20998451243158</v>
      </c>
      <c r="G115" s="38" t="n">
        <f aca="false">IF($G$11=$E$11,$F$11,IF(U115&lt;($F$11-$E$11)/($G$11-$E$11),$E$11+SQRT(U115*($G$11-$E$11)*($F$11-$E$11)),$G$11-SQRT((1-U115)*($G$11-$E$11)*($G$11-$F$11))))</f>
        <v>0.085814461943236</v>
      </c>
      <c r="H115" s="39" t="n">
        <f aca="false">(('Business Case'!B11*$C115*'Business Case'!B12*$B115)-'Business Case'!B11*$C115*'Business Case'!B13*$D115-'Business Case'!B14*$E115)-MAX(0,(('Business Case'!B11*$C115*'Business Case'!B12*$B115)-'Business Case'!B11*$C115*'Business Case'!B13*$D115-'Business Case'!B14*$E115))*'Business Case'!$B$7-'Business Case'!$B$8*('Business Case'!B11*$C115*'Business Case'!B12*$B115)-'Business Case'!B15*$F115</f>
        <v>-2419969024.86316</v>
      </c>
      <c r="I115" s="39" t="n">
        <f aca="false">(('Business Case'!C11*$C115*'Business Case'!C12*$B115)-'Business Case'!C11*$C115*'Business Case'!C13*$D115-'Business Case'!C14*$E115)-MAX(0,(('Business Case'!C11*$C115*'Business Case'!C12*$B115)-'Business Case'!C11*$C115*'Business Case'!C13*$D115-'Business Case'!C14*$E115))*'Business Case'!$B$7-'Business Case'!$B$8*(('Business Case'!C11*$C115*'Business Case'!C12*$B115)-('Business Case'!B11*$C115*'Business Case'!B12*$B115))-'Business Case'!C15*$F115</f>
        <v>21515857.8506876</v>
      </c>
      <c r="J115" s="39" t="n">
        <f aca="false">(('Business Case'!D11*$C115*'Business Case'!D12*$B115)-'Business Case'!D11*$C115*'Business Case'!D13*$D115-'Business Case'!D14*$E115)-MAX(0,(('Business Case'!D11*$C115*'Business Case'!D12*$B115)-'Business Case'!D11*$C115*'Business Case'!D13*$D115-'Business Case'!D14*$E115))*'Business Case'!$B$7-'Business Case'!$B$8*(('Business Case'!D11*$C115*'Business Case'!D12*$B115)-('Business Case'!C11*$C115*'Business Case'!C12*$B115))-'Business Case'!D15*$F115</f>
        <v>360613759.539454</v>
      </c>
      <c r="K115" s="39" t="n">
        <f aca="false">(('Business Case'!E11*$C115*'Business Case'!E12*$B115)-'Business Case'!E11*$C115*'Business Case'!E13*$D115-'Business Case'!E14*$E115)-MAX(0,(('Business Case'!E11*$C115*'Business Case'!E12*$B115)-'Business Case'!E11*$C115*'Business Case'!E13*$D115-'Business Case'!E14*$E115))*'Business Case'!$B$7-'Business Case'!$B$8*(('Business Case'!E11*$C115*'Business Case'!E12*$B115)-('Business Case'!D11*$C115*'Business Case'!D12*$B115))-'Business Case'!E15*$F115</f>
        <v>760210886.849799</v>
      </c>
      <c r="L115" s="39" t="n">
        <f aca="false">(('Business Case'!F11*$C115*'Business Case'!F12*$B115)-'Business Case'!F11*$C115*'Business Case'!F13*$D115-'Business Case'!F14*$E115)-MAX(0,(('Business Case'!F11*$C115*'Business Case'!F12*$B115)-'Business Case'!F11*$C115*'Business Case'!F13*$D115-'Business Case'!F14*$E115))*'Business Case'!$B$7-'Business Case'!$B$8*(('Business Case'!F11*$C115*'Business Case'!F12*$B115)-('Business Case'!E11*$C115*'Business Case'!E12*$B115))-'Business Case'!F15*$F115</f>
        <v>909172454.510326</v>
      </c>
      <c r="M115" s="39" t="n">
        <f aca="false">(('Business Case'!G11*$C115*'Business Case'!G12*$B115)-'Business Case'!G11*$C115*'Business Case'!G13*$D115-'Business Case'!G14*$E115)-MAX(0,(('Business Case'!G11*$C115*'Business Case'!G12*$B115)-'Business Case'!G11*$C115*'Business Case'!G13*$D115-'Business Case'!G14*$E115))*'Business Case'!$B$7-'Business Case'!$B$8*(('Business Case'!G11*$C115*'Business Case'!G12*$B115)-('Business Case'!F11*$C115*'Business Case'!F12*$B115))-'Business Case'!G15*$F115+'Business Case'!$B$8*('Business Case'!G11*$C115*'Business Case'!G12*$B115)</f>
        <v>1106781590.21382</v>
      </c>
      <c r="N115" s="39" t="n">
        <f aca="false">IF(COUNT('Business Case'!B11:G11)=0,"",H115+NPV(G115,I115:M115))</f>
        <v>-113077842.516626</v>
      </c>
      <c r="P115" s="40" t="n">
        <f aca="true">RAND()</f>
        <v>0.768641779051978</v>
      </c>
      <c r="Q115" s="40" t="n">
        <f aca="true">RAND()</f>
        <v>0.790232745617</v>
      </c>
      <c r="R115" s="40" t="n">
        <f aca="true">RAND()</f>
        <v>0.0580662978466345</v>
      </c>
      <c r="S115" s="40" t="n">
        <f aca="true">RAND()</f>
        <v>0.427260720955439</v>
      </c>
      <c r="T115" s="40" t="n">
        <f aca="true">RAND()</f>
        <v>0.978650143395487</v>
      </c>
      <c r="U115" s="40" t="n">
        <f aca="true">RAND()</f>
        <v>0.0338079676893394</v>
      </c>
    </row>
    <row r="116" customFormat="false" ht="15" hidden="false" customHeight="false" outlineLevel="0" collapsed="false">
      <c r="A116" s="36" t="n">
        <v>36</v>
      </c>
      <c r="B116" s="37" t="n">
        <f aca="false">1+IF($G$6=$E$6,$F$6,IF(P116&lt;($F$6-$E$6)/($G$6-$E$6),$E$6+SQRT(P116*($G$6-$E$6)*($F$6-$E$6)),$G$6-SQRT((1-P116)*($G$6-$E$6)*($G$6-$F$6))))</f>
        <v>0.92934418255362</v>
      </c>
      <c r="C116" s="37" t="n">
        <f aca="false">1+IF($G$7=$E$7,$F$7,IF(Q116&lt;($F$7-$E$7)/($G$7-$E$7),$E$7+SQRT(Q116*($G$7-$E$7)*($F$7-$E$7)),$G$7-SQRT((1-Q116)*($G$7-$E$7)*($G$7-$F$7))))</f>
        <v>0.950651351076463</v>
      </c>
      <c r="D116" s="37" t="n">
        <f aca="false">1+IF($G$8=$E$8,$F$8,IF(R116&lt;($F$8-$E$8)/($G$8-$E$8),$E$8+SQRT(R116*($G$8-$E$8)*($F$8-$E$8)),$G$8-SQRT((1-R116)*($G$8-$E$8)*($G$8-$F$8))))</f>
        <v>1.02619665177478</v>
      </c>
      <c r="E116" s="37" t="n">
        <f aca="false">1+IF($G$9=$E$9,$F$9,IF(S116&lt;($F$9-$E$9)/($G$9-$E$9),$E$9+SQRT(S116*($G$9-$E$9)*($F$9-$E$9)),$G$9-SQRT((1-S116)*($G$9-$E$9)*($G$9-$F$9))))</f>
        <v>1.00828781387469</v>
      </c>
      <c r="F116" s="37" t="n">
        <f aca="false">1+IF($G$10=$E$10,$F$10,IF(T116&lt;($F$10-$E$10)/($G$10-$E$10),$E$10+SQRT(T116*($G$10-$E$10)*($F$10-$E$10)),$G$10-SQRT((1-T116)*($G$10-$E$10)*($G$10-$F$10))))</f>
        <v>1.11059399020445</v>
      </c>
      <c r="G116" s="38" t="n">
        <f aca="false">IF($G$11=$E$11,$F$11,IF(U116&lt;($F$11-$E$11)/($G$11-$E$11),$E$11+SQRT(U116*($G$11-$E$11)*($F$11-$E$11)),$G$11-SQRT((1-U116)*($G$11-$E$11)*($G$11-$F$11))))</f>
        <v>0.112888429867843</v>
      </c>
      <c r="H116" s="39" t="n">
        <f aca="false">(('Business Case'!B11*$C116*'Business Case'!B12*$B116)-'Business Case'!B11*$C116*'Business Case'!B13*$D116-'Business Case'!B14*$E116)-MAX(0,(('Business Case'!B11*$C116*'Business Case'!B12*$B116)-'Business Case'!B11*$C116*'Business Case'!B13*$D116-'Business Case'!B14*$E116))*'Business Case'!$B$7-'Business Case'!$B$8*('Business Case'!B11*$C116*'Business Case'!B12*$B116)-'Business Case'!B15*$F116</f>
        <v>-2221187980.40889</v>
      </c>
      <c r="I116" s="39" t="n">
        <f aca="false">(('Business Case'!C11*$C116*'Business Case'!C12*$B116)-'Business Case'!C11*$C116*'Business Case'!C13*$D116-'Business Case'!C14*$E116)-MAX(0,(('Business Case'!C11*$C116*'Business Case'!C12*$B116)-'Business Case'!C11*$C116*'Business Case'!C13*$D116-'Business Case'!C14*$E116))*'Business Case'!$B$7-'Business Case'!$B$8*(('Business Case'!C11*$C116*'Business Case'!C12*$B116)-('Business Case'!B11*$C116*'Business Case'!B12*$B116))-'Business Case'!C15*$F116</f>
        <v>-76008267.1655321</v>
      </c>
      <c r="J116" s="39" t="n">
        <f aca="false">(('Business Case'!D11*$C116*'Business Case'!D12*$B116)-'Business Case'!D11*$C116*'Business Case'!D13*$D116-'Business Case'!D14*$E116)-MAX(0,(('Business Case'!D11*$C116*'Business Case'!D12*$B116)-'Business Case'!D11*$C116*'Business Case'!D13*$D116-'Business Case'!D14*$E116))*'Business Case'!$B$7-'Business Case'!$B$8*(('Business Case'!D11*$C116*'Business Case'!D12*$B116)-('Business Case'!C11*$C116*'Business Case'!C12*$B116))-'Business Case'!D15*$F116</f>
        <v>148221114.397421</v>
      </c>
      <c r="K116" s="39" t="n">
        <f aca="false">(('Business Case'!E11*$C116*'Business Case'!E12*$B116)-'Business Case'!E11*$C116*'Business Case'!E13*$D116-'Business Case'!E14*$E116)-MAX(0,(('Business Case'!E11*$C116*'Business Case'!E12*$B116)-'Business Case'!E11*$C116*'Business Case'!E13*$D116-'Business Case'!E14*$E116))*'Business Case'!$B$7-'Business Case'!$B$8*(('Business Case'!E11*$C116*'Business Case'!E12*$B116)-('Business Case'!D11*$C116*'Business Case'!D12*$B116))-'Business Case'!E15*$F116</f>
        <v>427980195.470596</v>
      </c>
      <c r="L116" s="39" t="n">
        <f aca="false">(('Business Case'!F11*$C116*'Business Case'!F12*$B116)-'Business Case'!F11*$C116*'Business Case'!F13*$D116-'Business Case'!F14*$E116)-MAX(0,(('Business Case'!F11*$C116*'Business Case'!F12*$B116)-'Business Case'!F11*$C116*'Business Case'!F13*$D116-'Business Case'!F14*$E116))*'Business Case'!$B$7-'Business Case'!$B$8*(('Business Case'!F11*$C116*'Business Case'!F12*$B116)-('Business Case'!E11*$C116*'Business Case'!E12*$B116))-'Business Case'!F15*$F116</f>
        <v>533256471.041621</v>
      </c>
      <c r="M116" s="39" t="n">
        <f aca="false">(('Business Case'!G11*$C116*'Business Case'!G12*$B116)-'Business Case'!G11*$C116*'Business Case'!G13*$D116-'Business Case'!G14*$E116)-MAX(0,(('Business Case'!G11*$C116*'Business Case'!G12*$B116)-'Business Case'!G11*$C116*'Business Case'!G13*$D116-'Business Case'!G14*$E116))*'Business Case'!$B$7-'Business Case'!$B$8*(('Business Case'!G11*$C116*'Business Case'!G12*$B116)-('Business Case'!F11*$C116*'Business Case'!F12*$B116))-'Business Case'!G15*$F116+'Business Case'!$B$8*('Business Case'!G11*$C116*'Business Case'!G12*$B116)</f>
        <v>701188787.150175</v>
      </c>
      <c r="N116" s="39" t="n">
        <f aca="false">IF(COUNT('Business Case'!B11:G11)=0,"",H116+NPV(G116,I116:M116))</f>
        <v>-1100915900.21653</v>
      </c>
      <c r="P116" s="40" t="n">
        <f aca="true">RAND()</f>
        <v>0.0574054033160127</v>
      </c>
      <c r="Q116" s="40" t="n">
        <f aca="true">RAND()</f>
        <v>0.465378517010786</v>
      </c>
      <c r="R116" s="40" t="n">
        <f aca="true">RAND()</f>
        <v>0.636871052716477</v>
      </c>
      <c r="S116" s="40" t="n">
        <f aca="true">RAND()</f>
        <v>0.464470834762255</v>
      </c>
      <c r="T116" s="40" t="n">
        <f aca="true">RAND()</f>
        <v>0.740879525771756</v>
      </c>
      <c r="U116" s="40" t="n">
        <f aca="true">RAND()</f>
        <v>0.804796111741524</v>
      </c>
    </row>
    <row r="117" customFormat="false" ht="15" hidden="false" customHeight="false" outlineLevel="0" collapsed="false">
      <c r="A117" s="36" t="n">
        <v>37</v>
      </c>
      <c r="B117" s="37" t="n">
        <f aca="false">1+IF($G$6=$E$6,$F$6,IF(P117&lt;($F$6-$E$6)/($G$6-$E$6),$E$6+SQRT(P117*($G$6-$E$6)*($F$6-$E$6)),$G$6-SQRT((1-P117)*($G$6-$E$6)*($G$6-$F$6))))</f>
        <v>0.997281117480492</v>
      </c>
      <c r="C117" s="37" t="n">
        <f aca="false">1+IF($G$7=$E$7,$F$7,IF(Q117&lt;($F$7-$E$7)/($G$7-$E$7),$E$7+SQRT(Q117*($G$7-$E$7)*($F$7-$E$7)),$G$7-SQRT((1-Q117)*($G$7-$E$7)*($G$7-$F$7))))</f>
        <v>0.793262216869685</v>
      </c>
      <c r="D117" s="37" t="n">
        <f aca="false">1+IF($G$8=$E$8,$F$8,IF(R117&lt;($F$8-$E$8)/($G$8-$E$8),$E$8+SQRT(R117*($G$8-$E$8)*($F$8-$E$8)),$G$8-SQRT((1-R117)*($G$8-$E$8)*($G$8-$F$8))))</f>
        <v>0.983764208969607</v>
      </c>
      <c r="E117" s="37" t="n">
        <f aca="false">1+IF($G$9=$E$9,$F$9,IF(S117&lt;($F$9-$E$9)/($G$9-$E$9),$E$9+SQRT(S117*($G$9-$E$9)*($F$9-$E$9)),$G$9-SQRT((1-S117)*($G$9-$E$9)*($G$9-$F$9))))</f>
        <v>1.09055799929252</v>
      </c>
      <c r="F117" s="37" t="n">
        <f aca="false">1+IF($G$10=$E$10,$F$10,IF(T117&lt;($F$10-$E$10)/($G$10-$E$10),$E$10+SQRT(T117*($G$10-$E$10)*($F$10-$E$10)),$G$10-SQRT((1-T117)*($G$10-$E$10)*($G$10-$F$10))))</f>
        <v>1.00222413918604</v>
      </c>
      <c r="G117" s="38" t="n">
        <f aca="false">IF($G$11=$E$11,$F$11,IF(U117&lt;($F$11-$E$11)/($G$11-$E$11),$E$11+SQRT(U117*($G$11-$E$11)*($F$11-$E$11)),$G$11-SQRT((1-U117)*($G$11-$E$11)*($G$11-$F$11))))</f>
        <v>0.0877100968171845</v>
      </c>
      <c r="H117" s="39" t="n">
        <f aca="false">(('Business Case'!B11*$C117*'Business Case'!B12*$B117)-'Business Case'!B11*$C117*'Business Case'!B13*$D117-'Business Case'!B14*$E117)-MAX(0,(('Business Case'!B11*$C117*'Business Case'!B12*$B117)-'Business Case'!B11*$C117*'Business Case'!B13*$D117-'Business Case'!B14*$E117))*'Business Case'!$B$7-'Business Case'!$B$8*('Business Case'!B11*$C117*'Business Case'!B12*$B117)-'Business Case'!B15*$F117</f>
        <v>-2004448278.37208</v>
      </c>
      <c r="I117" s="39" t="n">
        <f aca="false">(('Business Case'!C11*$C117*'Business Case'!C12*$B117)-'Business Case'!C11*$C117*'Business Case'!C13*$D117-'Business Case'!C14*$E117)-MAX(0,(('Business Case'!C11*$C117*'Business Case'!C12*$B117)-'Business Case'!C11*$C117*'Business Case'!C13*$D117-'Business Case'!C14*$E117))*'Business Case'!$B$7-'Business Case'!$B$8*(('Business Case'!C11*$C117*'Business Case'!C12*$B117)-('Business Case'!B11*$C117*'Business Case'!B12*$B117))-'Business Case'!C15*$F117</f>
        <v>-47832013.8068369</v>
      </c>
      <c r="J117" s="39" t="n">
        <f aca="false">(('Business Case'!D11*$C117*'Business Case'!D12*$B117)-'Business Case'!D11*$C117*'Business Case'!D13*$D117-'Business Case'!D14*$E117)-MAX(0,(('Business Case'!D11*$C117*'Business Case'!D12*$B117)-'Business Case'!D11*$C117*'Business Case'!D13*$D117-'Business Case'!D14*$E117))*'Business Case'!$B$7-'Business Case'!$B$8*(('Business Case'!D11*$C117*'Business Case'!D12*$B117)-('Business Case'!C11*$C117*'Business Case'!C12*$B117))-'Business Case'!D15*$F117</f>
        <v>200646639.300444</v>
      </c>
      <c r="K117" s="39" t="n">
        <f aca="false">(('Business Case'!E11*$C117*'Business Case'!E12*$B117)-'Business Case'!E11*$C117*'Business Case'!E13*$D117-'Business Case'!E14*$E117)-MAX(0,(('Business Case'!E11*$C117*'Business Case'!E12*$B117)-'Business Case'!E11*$C117*'Business Case'!E13*$D117-'Business Case'!E14*$E117))*'Business Case'!$B$7-'Business Case'!$B$8*(('Business Case'!E11*$C117*'Business Case'!E12*$B117)-('Business Case'!D11*$C117*'Business Case'!D12*$B117))-'Business Case'!E15*$F117</f>
        <v>499236499.367027</v>
      </c>
      <c r="L117" s="39" t="n">
        <f aca="false">(('Business Case'!F11*$C117*'Business Case'!F12*$B117)-'Business Case'!F11*$C117*'Business Case'!F13*$D117-'Business Case'!F14*$E117)-MAX(0,(('Business Case'!F11*$C117*'Business Case'!F12*$B117)-'Business Case'!F11*$C117*'Business Case'!F13*$D117-'Business Case'!F14*$E117))*'Business Case'!$B$7-'Business Case'!$B$8*(('Business Case'!F11*$C117*'Business Case'!F12*$B117)-('Business Case'!E11*$C117*'Business Case'!E12*$B117))-'Business Case'!F15*$F117</f>
        <v>609403320.733532</v>
      </c>
      <c r="M117" s="39" t="n">
        <f aca="false">(('Business Case'!G11*$C117*'Business Case'!G12*$B117)-'Business Case'!G11*$C117*'Business Case'!G13*$D117-'Business Case'!G14*$E117)-MAX(0,(('Business Case'!G11*$C117*'Business Case'!G12*$B117)-'Business Case'!G11*$C117*'Business Case'!G13*$D117-'Business Case'!G14*$E117))*'Business Case'!$B$7-'Business Case'!$B$8*(('Business Case'!G11*$C117*'Business Case'!G12*$B117)-('Business Case'!F11*$C117*'Business Case'!F12*$B117))-'Business Case'!G15*$F117+'Business Case'!$B$8*('Business Case'!G11*$C117*'Business Case'!G12*$B117)</f>
        <v>759776640.885962</v>
      </c>
      <c r="N117" s="39" t="n">
        <f aca="false">IF(COUNT('Business Case'!B11:G11)=0,"",H117+NPV(G117,I117:M117))</f>
        <v>-556502946.176765</v>
      </c>
      <c r="P117" s="40" t="n">
        <f aca="true">RAND()</f>
        <v>0.630907721216891</v>
      </c>
      <c r="Q117" s="40" t="n">
        <f aca="true">RAND()</f>
        <v>0.0644284525588756</v>
      </c>
      <c r="R117" s="40" t="n">
        <f aca="true">RAND()</f>
        <v>0.152002907645771</v>
      </c>
      <c r="S117" s="40" t="n">
        <f aca="true">RAND()</f>
        <v>0.905777294717131</v>
      </c>
      <c r="T117" s="40" t="n">
        <f aca="true">RAND()</f>
        <v>0.181428303972008</v>
      </c>
      <c r="U117" s="40" t="n">
        <f aca="true">RAND()</f>
        <v>0.0594455929303587</v>
      </c>
    </row>
    <row r="118" customFormat="false" ht="15" hidden="false" customHeight="false" outlineLevel="0" collapsed="false">
      <c r="A118" s="36" t="n">
        <v>38</v>
      </c>
      <c r="B118" s="37" t="n">
        <f aca="false">1+IF($G$6=$E$6,$F$6,IF(P118&lt;($F$6-$E$6)/($G$6-$E$6),$E$6+SQRT(P118*($G$6-$E$6)*($F$6-$E$6)),$G$6-SQRT((1-P118)*($G$6-$E$6)*($G$6-$F$6))))</f>
        <v>0.968948691119772</v>
      </c>
      <c r="C118" s="37" t="n">
        <f aca="false">1+IF($G$7=$E$7,$F$7,IF(Q118&lt;($F$7-$E$7)/($G$7-$E$7),$E$7+SQRT(Q118*($G$7-$E$7)*($F$7-$E$7)),$G$7-SQRT((1-Q118)*($G$7-$E$7)*($G$7-$F$7))))</f>
        <v>0.974446402962183</v>
      </c>
      <c r="D118" s="37" t="n">
        <f aca="false">1+IF($G$8=$E$8,$F$8,IF(R118&lt;($F$8-$E$8)/($G$8-$E$8),$E$8+SQRT(R118*($G$8-$E$8)*($F$8-$E$8)),$G$8-SQRT((1-R118)*($G$8-$E$8)*($G$8-$F$8))))</f>
        <v>0.975301058596843</v>
      </c>
      <c r="E118" s="37" t="n">
        <f aca="false">1+IF($G$9=$E$9,$F$9,IF(S118&lt;($F$9-$E$9)/($G$9-$E$9),$E$9+SQRT(S118*($G$9-$E$9)*($F$9-$E$9)),$G$9-SQRT((1-S118)*($G$9-$E$9)*($G$9-$F$9))))</f>
        <v>0.99070525525839</v>
      </c>
      <c r="F118" s="37" t="n">
        <f aca="false">1+IF($G$10=$E$10,$F$10,IF(T118&lt;($F$10-$E$10)/($G$10-$E$10),$E$10+SQRT(T118*($G$10-$E$10)*($F$10-$E$10)),$G$10-SQRT((1-T118)*($G$10-$E$10)*($G$10-$F$10))))</f>
        <v>1.07867503079384</v>
      </c>
      <c r="G118" s="38" t="n">
        <f aca="false">IF($G$11=$E$11,$F$11,IF(U118&lt;($F$11-$E$11)/($G$11-$E$11),$E$11+SQRT(U118*($G$11-$E$11)*($F$11-$E$11)),$G$11-SQRT((1-U118)*($G$11-$E$11)*($G$11-$F$11))))</f>
        <v>0.115325222742127</v>
      </c>
      <c r="H118" s="39" t="n">
        <f aca="false">(('Business Case'!B11*$C118*'Business Case'!B12*$B118)-'Business Case'!B11*$C118*'Business Case'!B13*$D118-'Business Case'!B14*$E118)-MAX(0,(('Business Case'!B11*$C118*'Business Case'!B12*$B118)-'Business Case'!B11*$C118*'Business Case'!B13*$D118-'Business Case'!B14*$E118))*'Business Case'!$B$7-'Business Case'!$B$8*('Business Case'!B11*$C118*'Business Case'!B12*$B118)-'Business Case'!B15*$F118</f>
        <v>-2157350061.58767</v>
      </c>
      <c r="I118" s="39" t="n">
        <f aca="false">(('Business Case'!C11*$C118*'Business Case'!C12*$B118)-'Business Case'!C11*$C118*'Business Case'!C13*$D118-'Business Case'!C14*$E118)-MAX(0,(('Business Case'!C11*$C118*'Business Case'!C12*$B118)-'Business Case'!C11*$C118*'Business Case'!C13*$D118-'Business Case'!C14*$E118))*'Business Case'!$B$7-'Business Case'!$B$8*(('Business Case'!C11*$C118*'Business Case'!C12*$B118)-('Business Case'!B11*$C118*'Business Case'!B12*$B118))-'Business Case'!C15*$F118</f>
        <v>-10851925.1470759</v>
      </c>
      <c r="J118" s="39" t="n">
        <f aca="false">(('Business Case'!D11*$C118*'Business Case'!D12*$B118)-'Business Case'!D11*$C118*'Business Case'!D13*$D118-'Business Case'!D14*$E118)-MAX(0,(('Business Case'!D11*$C118*'Business Case'!D12*$B118)-'Business Case'!D11*$C118*'Business Case'!D13*$D118-'Business Case'!D14*$E118))*'Business Case'!$B$7-'Business Case'!$B$8*(('Business Case'!D11*$C118*'Business Case'!D12*$B118)-('Business Case'!C11*$C118*'Business Case'!C12*$B118))-'Business Case'!D15*$F118</f>
        <v>275988675.381562</v>
      </c>
      <c r="K118" s="39" t="n">
        <f aca="false">(('Business Case'!E11*$C118*'Business Case'!E12*$B118)-'Business Case'!E11*$C118*'Business Case'!E13*$D118-'Business Case'!E14*$E118)-MAX(0,(('Business Case'!E11*$C118*'Business Case'!E12*$B118)-'Business Case'!E11*$C118*'Business Case'!E13*$D118-'Business Case'!E14*$E118))*'Business Case'!$B$7-'Business Case'!$B$8*(('Business Case'!E11*$C118*'Business Case'!E12*$B118)-('Business Case'!D11*$C118*'Business Case'!D12*$B118))-'Business Case'!E15*$F118</f>
        <v>616763027.449893</v>
      </c>
      <c r="L118" s="39" t="n">
        <f aca="false">(('Business Case'!F11*$C118*'Business Case'!F12*$B118)-'Business Case'!F11*$C118*'Business Case'!F13*$D118-'Business Case'!F14*$E118)-MAX(0,(('Business Case'!F11*$C118*'Business Case'!F12*$B118)-'Business Case'!F11*$C118*'Business Case'!F13*$D118-'Business Case'!F14*$E118))*'Business Case'!$B$7-'Business Case'!$B$8*(('Business Case'!F11*$C118*'Business Case'!F12*$B118)-('Business Case'!E11*$C118*'Business Case'!E12*$B118))-'Business Case'!F15*$F118</f>
        <v>745007717.825164</v>
      </c>
      <c r="M118" s="39" t="n">
        <f aca="false">(('Business Case'!G11*$C118*'Business Case'!G12*$B118)-'Business Case'!G11*$C118*'Business Case'!G13*$D118-'Business Case'!G14*$E118)-MAX(0,(('Business Case'!G11*$C118*'Business Case'!G12*$B118)-'Business Case'!G11*$C118*'Business Case'!G13*$D118-'Business Case'!G14*$E118))*'Business Case'!$B$7-'Business Case'!$B$8*(('Business Case'!G11*$C118*'Business Case'!G12*$B118)-('Business Case'!F11*$C118*'Business Case'!F12*$B118))-'Business Case'!G15*$F118+'Business Case'!$B$8*('Business Case'!G11*$C118*'Business Case'!G12*$B118)</f>
        <v>924479080.586651</v>
      </c>
      <c r="N118" s="39" t="n">
        <f aca="false">IF(COUNT('Business Case'!B11:G11)=0,"",H118+NPV(G118,I118:M118))</f>
        <v>-483558029.343505</v>
      </c>
      <c r="P118" s="40" t="n">
        <f aca="true">RAND()</f>
        <v>0.316928133808648</v>
      </c>
      <c r="Q118" s="40" t="n">
        <f aca="true">RAND()</f>
        <v>0.55793205999171</v>
      </c>
      <c r="R118" s="40" t="n">
        <f aca="true">RAND()</f>
        <v>0.0853524754827848</v>
      </c>
      <c r="S118" s="40" t="n">
        <f aca="true">RAND()</f>
        <v>0.329097733259587</v>
      </c>
      <c r="T118" s="40" t="n">
        <f aca="true">RAND()</f>
        <v>0.608636732353431</v>
      </c>
      <c r="U118" s="40" t="n">
        <f aca="true">RAND()</f>
        <v>0.856433941621206</v>
      </c>
    </row>
    <row r="119" customFormat="false" ht="15" hidden="false" customHeight="false" outlineLevel="0" collapsed="false">
      <c r="A119" s="36" t="n">
        <v>39</v>
      </c>
      <c r="B119" s="37" t="n">
        <f aca="false">1+IF($G$6=$E$6,$F$6,IF(P119&lt;($F$6-$E$6)/($G$6-$E$6),$E$6+SQRT(P119*($G$6-$E$6)*($F$6-$E$6)),$G$6-SQRT((1-P119)*($G$6-$E$6)*($G$6-$F$6))))</f>
        <v>1.01833790493399</v>
      </c>
      <c r="C119" s="37" t="n">
        <f aca="false">1+IF($G$7=$E$7,$F$7,IF(Q119&lt;($F$7-$E$7)/($G$7-$E$7),$E$7+SQRT(Q119*($G$7-$E$7)*($F$7-$E$7)),$G$7-SQRT((1-Q119)*($G$7-$E$7)*($G$7-$F$7))))</f>
        <v>1.00651463247308</v>
      </c>
      <c r="D119" s="37" t="n">
        <f aca="false">1+IF($G$8=$E$8,$F$8,IF(R119&lt;($F$8-$E$8)/($G$8-$E$8),$E$8+SQRT(R119*($G$8-$E$8)*($F$8-$E$8)),$G$8-SQRT((1-R119)*($G$8-$E$8)*($G$8-$F$8))))</f>
        <v>1.01439389812615</v>
      </c>
      <c r="E119" s="37" t="n">
        <f aca="false">1+IF($G$9=$E$9,$F$9,IF(S119&lt;($F$9-$E$9)/($G$9-$E$9),$E$9+SQRT(S119*($G$9-$E$9)*($F$9-$E$9)),$G$9-SQRT((1-S119)*($G$9-$E$9)*($G$9-$F$9))))</f>
        <v>1.00700828770987</v>
      </c>
      <c r="F119" s="37" t="n">
        <f aca="false">1+IF($G$10=$E$10,$F$10,IF(T119&lt;($F$10-$E$10)/($G$10-$E$10),$E$10+SQRT(T119*($G$10-$E$10)*($F$10-$E$10)),$G$10-SQRT((1-T119)*($G$10-$E$10)*($G$10-$F$10))))</f>
        <v>1.02036809678293</v>
      </c>
      <c r="G119" s="38" t="n">
        <f aca="false">IF($G$11=$E$11,$F$11,IF(U119&lt;($F$11-$E$11)/($G$11-$E$11),$E$11+SQRT(U119*($G$11-$E$11)*($F$11-$E$11)),$G$11-SQRT((1-U119)*($G$11-$E$11)*($G$11-$F$11))))</f>
        <v>0.109738775462435</v>
      </c>
      <c r="H119" s="39" t="n">
        <f aca="false">(('Business Case'!B11*$C119*'Business Case'!B12*$B119)-'Business Case'!B11*$C119*'Business Case'!B13*$D119-'Business Case'!B14*$E119)-MAX(0,(('Business Case'!B11*$C119*'Business Case'!B12*$B119)-'Business Case'!B11*$C119*'Business Case'!B13*$D119-'Business Case'!B14*$E119))*'Business Case'!$B$7-'Business Case'!$B$8*('Business Case'!B11*$C119*'Business Case'!B12*$B119)-'Business Case'!B15*$F119</f>
        <v>-2040736193.56585</v>
      </c>
      <c r="I119" s="39" t="n">
        <f aca="false">(('Business Case'!C11*$C119*'Business Case'!C12*$B119)-'Business Case'!C11*$C119*'Business Case'!C13*$D119-'Business Case'!C14*$E119)-MAX(0,(('Business Case'!C11*$C119*'Business Case'!C12*$B119)-'Business Case'!C11*$C119*'Business Case'!C13*$D119-'Business Case'!C14*$E119))*'Business Case'!$B$7-'Business Case'!$B$8*(('Business Case'!C11*$C119*'Business Case'!C12*$B119)-('Business Case'!B11*$C119*'Business Case'!B12*$B119))-'Business Case'!C15*$F119</f>
        <v>18486432.7261682</v>
      </c>
      <c r="J119" s="39" t="n">
        <f aca="false">(('Business Case'!D11*$C119*'Business Case'!D12*$B119)-'Business Case'!D11*$C119*'Business Case'!D13*$D119-'Business Case'!D14*$E119)-MAX(0,(('Business Case'!D11*$C119*'Business Case'!D12*$B119)-'Business Case'!D11*$C119*'Business Case'!D13*$D119-'Business Case'!D14*$E119))*'Business Case'!$B$7-'Business Case'!$B$8*(('Business Case'!D11*$C119*'Business Case'!D12*$B119)-('Business Case'!C11*$C119*'Business Case'!C12*$B119))-'Business Case'!D15*$F119</f>
        <v>335340802.232772</v>
      </c>
      <c r="K119" s="39" t="n">
        <f aca="false">(('Business Case'!E11*$C119*'Business Case'!E12*$B119)-'Business Case'!E11*$C119*'Business Case'!E13*$D119-'Business Case'!E14*$E119)-MAX(0,(('Business Case'!E11*$C119*'Business Case'!E12*$B119)-'Business Case'!E11*$C119*'Business Case'!E13*$D119-'Business Case'!E14*$E119))*'Business Case'!$B$7-'Business Case'!$B$8*(('Business Case'!E11*$C119*'Business Case'!E12*$B119)-('Business Case'!D11*$C119*'Business Case'!D12*$B119))-'Business Case'!E15*$F119</f>
        <v>703213576.578522</v>
      </c>
      <c r="L119" s="39" t="n">
        <f aca="false">(('Business Case'!F11*$C119*'Business Case'!F12*$B119)-'Business Case'!F11*$C119*'Business Case'!F13*$D119-'Business Case'!F14*$E119)-MAX(0,(('Business Case'!F11*$C119*'Business Case'!F12*$B119)-'Business Case'!F11*$C119*'Business Case'!F13*$D119-'Business Case'!F14*$E119))*'Business Case'!$B$7-'Business Case'!$B$8*(('Business Case'!F11*$C119*'Business Case'!F12*$B119)-('Business Case'!E11*$C119*'Business Case'!E12*$B119))-'Business Case'!F15*$F119</f>
        <v>844254732.140589</v>
      </c>
      <c r="M119" s="39" t="n">
        <f aca="false">(('Business Case'!G11*$C119*'Business Case'!G12*$B119)-'Business Case'!G11*$C119*'Business Case'!G13*$D119-'Business Case'!G14*$E119)-MAX(0,(('Business Case'!G11*$C119*'Business Case'!G12*$B119)-'Business Case'!G11*$C119*'Business Case'!G13*$D119-'Business Case'!G14*$E119))*'Business Case'!$B$7-'Business Case'!$B$8*(('Business Case'!G11*$C119*'Business Case'!G12*$B119)-('Business Case'!F11*$C119*'Business Case'!F12*$B119))-'Business Case'!G15*$F119+'Business Case'!$B$8*('Business Case'!G11*$C119*'Business Case'!G12*$B119)</f>
        <v>1039081410.30319</v>
      </c>
      <c r="N119" s="39" t="n">
        <f aca="false">IF(COUNT('Business Case'!B11:G11)=0,"",H119+NPV(G119,I119:M119))</f>
        <v>-63201743.0251021</v>
      </c>
      <c r="P119" s="40" t="n">
        <f aca="true">RAND()</f>
        <v>0.866334898137496</v>
      </c>
      <c r="Q119" s="40" t="n">
        <f aca="true">RAND()</f>
        <v>0.694991841565388</v>
      </c>
      <c r="R119" s="40" t="n">
        <f aca="true">RAND()</f>
        <v>0.511439688130901</v>
      </c>
      <c r="S119" s="40" t="n">
        <f aca="true">RAND()</f>
        <v>0.454756539102316</v>
      </c>
      <c r="T119" s="40" t="n">
        <f aca="true">RAND()</f>
        <v>0.296922520332056</v>
      </c>
      <c r="U119" s="40" t="n">
        <f aca="true">RAND()</f>
        <v>0.726321853492242</v>
      </c>
    </row>
    <row r="120" customFormat="false" ht="15" hidden="false" customHeight="false" outlineLevel="0" collapsed="false">
      <c r="A120" s="36" t="n">
        <v>40</v>
      </c>
      <c r="B120" s="37" t="n">
        <f aca="false">1+IF($G$6=$E$6,$F$6,IF(P120&lt;($F$6-$E$6)/($G$6-$E$6),$E$6+SQRT(P120*($G$6-$E$6)*($F$6-$E$6)),$G$6-SQRT((1-P120)*($G$6-$E$6)*($G$6-$F$6))))</f>
        <v>1.01282191054491</v>
      </c>
      <c r="C120" s="37" t="n">
        <f aca="false">1+IF($G$7=$E$7,$F$7,IF(Q120&lt;($F$7-$E$7)/($G$7-$E$7),$E$7+SQRT(Q120*($G$7-$E$7)*($F$7-$E$7)),$G$7-SQRT((1-Q120)*($G$7-$E$7)*($G$7-$F$7))))</f>
        <v>1.11070941356806</v>
      </c>
      <c r="D120" s="37" t="n">
        <f aca="false">1+IF($G$8=$E$8,$F$8,IF(R120&lt;($F$8-$E$8)/($G$8-$E$8),$E$8+SQRT(R120*($G$8-$E$8)*($F$8-$E$8)),$G$8-SQRT((1-R120)*($G$8-$E$8)*($G$8-$F$8))))</f>
        <v>1.02362839365431</v>
      </c>
      <c r="E120" s="37" t="n">
        <f aca="false">1+IF($G$9=$E$9,$F$9,IF(S120&lt;($F$9-$E$9)/($G$9-$E$9),$E$9+SQRT(S120*($G$9-$E$9)*($F$9-$E$9)),$G$9-SQRT((1-S120)*($G$9-$E$9)*($G$9-$F$9))))</f>
        <v>1.02307791386628</v>
      </c>
      <c r="F120" s="37" t="n">
        <f aca="false">1+IF($G$10=$E$10,$F$10,IF(T120&lt;($F$10-$E$10)/($G$10-$E$10),$E$10+SQRT(T120*($G$10-$E$10)*($F$10-$E$10)),$G$10-SQRT((1-T120)*($G$10-$E$10)*($G$10-$F$10))))</f>
        <v>1.16324656518984</v>
      </c>
      <c r="G120" s="38" t="n">
        <f aca="false">IF($G$11=$E$11,$F$11,IF(U120&lt;($F$11-$E$11)/($G$11-$E$11),$E$11+SQRT(U120*($G$11-$E$11)*($F$11-$E$11)),$G$11-SQRT((1-U120)*($G$11-$E$11)*($G$11-$F$11))))</f>
        <v>0.103073614043901</v>
      </c>
      <c r="H120" s="39" t="n">
        <f aca="false">(('Business Case'!B11*$C120*'Business Case'!B12*$B120)-'Business Case'!B11*$C120*'Business Case'!B13*$D120-'Business Case'!B14*$E120)-MAX(0,(('Business Case'!B11*$C120*'Business Case'!B12*$B120)-'Business Case'!B11*$C120*'Business Case'!B13*$D120-'Business Case'!B14*$E120))*'Business Case'!$B$7-'Business Case'!$B$8*('Business Case'!B11*$C120*'Business Case'!B12*$B120)-'Business Case'!B15*$F120</f>
        <v>-2326493130.37967</v>
      </c>
      <c r="I120" s="39" t="n">
        <f aca="false">(('Business Case'!C11*$C120*'Business Case'!C12*$B120)-'Business Case'!C11*$C120*'Business Case'!C13*$D120-'Business Case'!C14*$E120)-MAX(0,(('Business Case'!C11*$C120*'Business Case'!C12*$B120)-'Business Case'!C11*$C120*'Business Case'!C13*$D120-'Business Case'!C14*$E120))*'Business Case'!$B$7-'Business Case'!$B$8*(('Business Case'!C11*$C120*'Business Case'!C12*$B120)-('Business Case'!B11*$C120*'Business Case'!B12*$B120))-'Business Case'!C15*$F120</f>
        <v>19262605.137602</v>
      </c>
      <c r="J120" s="39" t="n">
        <f aca="false">(('Business Case'!D11*$C120*'Business Case'!D12*$B120)-'Business Case'!D11*$C120*'Business Case'!D13*$D120-'Business Case'!D14*$E120)-MAX(0,(('Business Case'!D11*$C120*'Business Case'!D12*$B120)-'Business Case'!D11*$C120*'Business Case'!D13*$D120-'Business Case'!D14*$E120))*'Business Case'!$B$7-'Business Case'!$B$8*(('Business Case'!D11*$C120*'Business Case'!D12*$B120)-('Business Case'!C11*$C120*'Business Case'!C12*$B120))-'Business Case'!D15*$F120</f>
        <v>358648997.189254</v>
      </c>
      <c r="K120" s="39" t="n">
        <f aca="false">(('Business Case'!E11*$C120*'Business Case'!E12*$B120)-'Business Case'!E11*$C120*'Business Case'!E13*$D120-'Business Case'!E14*$E120)-MAX(0,(('Business Case'!E11*$C120*'Business Case'!E12*$B120)-'Business Case'!E11*$C120*'Business Case'!E13*$D120-'Business Case'!E14*$E120))*'Business Case'!$B$7-'Business Case'!$B$8*(('Business Case'!E11*$C120*'Business Case'!E12*$B120)-('Business Case'!D11*$C120*'Business Case'!D12*$B120))-'Business Case'!E15*$F120</f>
        <v>756197717.500397</v>
      </c>
      <c r="L120" s="39" t="n">
        <f aca="false">(('Business Case'!F11*$C120*'Business Case'!F12*$B120)-'Business Case'!F11*$C120*'Business Case'!F13*$D120-'Business Case'!F14*$E120)-MAX(0,(('Business Case'!F11*$C120*'Business Case'!F12*$B120)-'Business Case'!F11*$C120*'Business Case'!F13*$D120-'Business Case'!F14*$E120))*'Business Case'!$B$7-'Business Case'!$B$8*(('Business Case'!F11*$C120*'Business Case'!F12*$B120)-('Business Case'!E11*$C120*'Business Case'!E12*$B120))-'Business Case'!F15*$F120</f>
        <v>908204815.546469</v>
      </c>
      <c r="M120" s="39" t="n">
        <f aca="false">(('Business Case'!G11*$C120*'Business Case'!G12*$B120)-'Business Case'!G11*$C120*'Business Case'!G13*$D120-'Business Case'!G14*$E120)-MAX(0,(('Business Case'!G11*$C120*'Business Case'!G12*$B120)-'Business Case'!G11*$C120*'Business Case'!G13*$D120-'Business Case'!G14*$E120))*'Business Case'!$B$7-'Business Case'!$B$8*(('Business Case'!G11*$C120*'Business Case'!G12*$B120)-('Business Case'!F11*$C120*'Business Case'!F12*$B120))-'Business Case'!G15*$F120+'Business Case'!$B$8*('Business Case'!G11*$C120*'Business Case'!G12*$B120)</f>
        <v>1122035469.37184</v>
      </c>
      <c r="N120" s="39" t="n">
        <f aca="false">IF(COUNT('Business Case'!B11:G11)=0,"",H120+NPV(G120,I120:M120))</f>
        <v>-150394884.421567</v>
      </c>
      <c r="P120" s="40" t="n">
        <f aca="true">RAND()</f>
        <v>0.815705288595862</v>
      </c>
      <c r="Q120" s="40" t="n">
        <f aca="true">RAND()</f>
        <v>0.977129626930883</v>
      </c>
      <c r="R120" s="40" t="n">
        <f aca="true">RAND()</f>
        <v>0.61115851627855</v>
      </c>
      <c r="S120" s="40" t="n">
        <f aca="true">RAND()</f>
        <v>0.570420908039039</v>
      </c>
      <c r="T120" s="40" t="n">
        <f aca="true">RAND()</f>
        <v>0.899651220648514</v>
      </c>
      <c r="U120" s="40" t="n">
        <f aca="true">RAND()</f>
        <v>0.516646492895454</v>
      </c>
    </row>
    <row r="121" customFormat="false" ht="15" hidden="false" customHeight="false" outlineLevel="0" collapsed="false">
      <c r="A121" s="36" t="n">
        <v>41</v>
      </c>
      <c r="B121" s="37" t="n">
        <f aca="false">1+IF($G$6=$E$6,$F$6,IF(P121&lt;($F$6-$E$6)/($G$6-$E$6),$E$6+SQRT(P121*($G$6-$E$6)*($F$6-$E$6)),$G$6-SQRT((1-P121)*($G$6-$E$6)*($G$6-$F$6))))</f>
        <v>0.954557828443454</v>
      </c>
      <c r="C121" s="37" t="n">
        <f aca="false">1+IF($G$7=$E$7,$F$7,IF(Q121&lt;($F$7-$E$7)/($G$7-$E$7),$E$7+SQRT(Q121*($G$7-$E$7)*($F$7-$E$7)),$G$7-SQRT((1-Q121)*($G$7-$E$7)*($G$7-$F$7))))</f>
        <v>1.00788234390687</v>
      </c>
      <c r="D121" s="37" t="n">
        <f aca="false">1+IF($G$8=$E$8,$F$8,IF(R121&lt;($F$8-$E$8)/($G$8-$E$8),$E$8+SQRT(R121*($G$8-$E$8)*($F$8-$E$8)),$G$8-SQRT((1-R121)*($G$8-$E$8)*($G$8-$F$8))))</f>
        <v>1.0352714726053</v>
      </c>
      <c r="E121" s="37" t="n">
        <f aca="false">1+IF($G$9=$E$9,$F$9,IF(S121&lt;($F$9-$E$9)/($G$9-$E$9),$E$9+SQRT(S121*($G$9-$E$9)*($F$9-$E$9)),$G$9-SQRT((1-S121)*($G$9-$E$9)*($G$9-$F$9))))</f>
        <v>1.05742952146123</v>
      </c>
      <c r="F121" s="37" t="n">
        <f aca="false">1+IF($G$10=$E$10,$F$10,IF(T121&lt;($F$10-$E$10)/($G$10-$E$10),$E$10+SQRT(T121*($G$10-$E$10)*($F$10-$E$10)),$G$10-SQRT((1-T121)*($G$10-$E$10)*($G$10-$F$10))))</f>
        <v>1.07533271979061</v>
      </c>
      <c r="G121" s="38" t="n">
        <f aca="false">IF($G$11=$E$11,$F$11,IF(U121&lt;($F$11-$E$11)/($G$11-$E$11),$E$11+SQRT(U121*($G$11-$E$11)*($F$11-$E$11)),$G$11-SQRT((1-U121)*($G$11-$E$11)*($G$11-$F$11))))</f>
        <v>0.105827351584387</v>
      </c>
      <c r="H121" s="39" t="n">
        <f aca="false">(('Business Case'!B11*$C121*'Business Case'!B12*$B121)-'Business Case'!B11*$C121*'Business Case'!B13*$D121-'Business Case'!B14*$E121)-MAX(0,(('Business Case'!B11*$C121*'Business Case'!B12*$B121)-'Business Case'!B11*$C121*'Business Case'!B13*$D121-'Business Case'!B14*$E121))*'Business Case'!$B$7-'Business Case'!$B$8*('Business Case'!B11*$C121*'Business Case'!B12*$B121)-'Business Case'!B15*$F121</f>
        <v>-2150665439.58121</v>
      </c>
      <c r="I121" s="39" t="n">
        <f aca="false">(('Business Case'!C11*$C121*'Business Case'!C12*$B121)-'Business Case'!C11*$C121*'Business Case'!C13*$D121-'Business Case'!C14*$E121)-MAX(0,(('Business Case'!C11*$C121*'Business Case'!C12*$B121)-'Business Case'!C11*$C121*'Business Case'!C13*$D121-'Business Case'!C14*$E121))*'Business Case'!$B$7-'Business Case'!$B$8*(('Business Case'!C11*$C121*'Business Case'!C12*$B121)-('Business Case'!B11*$C121*'Business Case'!B12*$B121))-'Business Case'!C15*$F121</f>
        <v>-53913293.7887834</v>
      </c>
      <c r="J121" s="39" t="n">
        <f aca="false">(('Business Case'!D11*$C121*'Business Case'!D12*$B121)-'Business Case'!D11*$C121*'Business Case'!D13*$D121-'Business Case'!D14*$E121)-MAX(0,(('Business Case'!D11*$C121*'Business Case'!D12*$B121)-'Business Case'!D11*$C121*'Business Case'!D13*$D121-'Business Case'!D14*$E121))*'Business Case'!$B$7-'Business Case'!$B$8*(('Business Case'!D11*$C121*'Business Case'!D12*$B121)-('Business Case'!C11*$C121*'Business Case'!C12*$B121))-'Business Case'!D15*$F121</f>
        <v>199947492.275601</v>
      </c>
      <c r="K121" s="39" t="n">
        <f aca="false">(('Business Case'!E11*$C121*'Business Case'!E12*$B121)-'Business Case'!E11*$C121*'Business Case'!E13*$D121-'Business Case'!E14*$E121)-MAX(0,(('Business Case'!E11*$C121*'Business Case'!E12*$B121)-'Business Case'!E11*$C121*'Business Case'!E13*$D121-'Business Case'!E14*$E121))*'Business Case'!$B$7-'Business Case'!$B$8*(('Business Case'!E11*$C121*'Business Case'!E12*$B121)-('Business Case'!D11*$C121*'Business Case'!D12*$B121))-'Business Case'!E15*$F121</f>
        <v>507574914.329516</v>
      </c>
      <c r="L121" s="39" t="n">
        <f aca="false">(('Business Case'!F11*$C121*'Business Case'!F12*$B121)-'Business Case'!F11*$C121*'Business Case'!F13*$D121-'Business Case'!F14*$E121)-MAX(0,(('Business Case'!F11*$C121*'Business Case'!F12*$B121)-'Business Case'!F11*$C121*'Business Case'!F13*$D121-'Business Case'!F14*$E121))*'Business Case'!$B$7-'Business Case'!$B$8*(('Business Case'!F11*$C121*'Business Case'!F12*$B121)-('Business Case'!E11*$C121*'Business Case'!E12*$B121))-'Business Case'!F15*$F121</f>
        <v>625444729.632525</v>
      </c>
      <c r="M121" s="39" t="n">
        <f aca="false">(('Business Case'!G11*$C121*'Business Case'!G12*$B121)-'Business Case'!G11*$C121*'Business Case'!G13*$D121-'Business Case'!G14*$E121)-MAX(0,(('Business Case'!G11*$C121*'Business Case'!G12*$B121)-'Business Case'!G11*$C121*'Business Case'!G13*$D121-'Business Case'!G14*$E121))*'Business Case'!$B$7-'Business Case'!$B$8*(('Business Case'!G11*$C121*'Business Case'!G12*$B121)-('Business Case'!F11*$C121*'Business Case'!F12*$B121))-'Business Case'!G15*$F121+'Business Case'!$B$8*('Business Case'!G11*$C121*'Business Case'!G12*$B121)</f>
        <v>808317272.681032</v>
      </c>
      <c r="N121" s="39" t="n">
        <f aca="false">IF(COUNT('Business Case'!B11:G11)=0,"",H121+NPV(G121,I121:M121))</f>
        <v>-753489545.487521</v>
      </c>
      <c r="P121" s="40" t="n">
        <f aca="true">RAND()</f>
        <v>0.19843710963102</v>
      </c>
      <c r="Q121" s="40" t="n">
        <f aca="true">RAND()</f>
        <v>0.700778841875469</v>
      </c>
      <c r="R121" s="40" t="n">
        <f aca="true">RAND()</f>
        <v>0.720681182754253</v>
      </c>
      <c r="S121" s="40" t="n">
        <f aca="true">RAND()</f>
        <v>0.77148550674942</v>
      </c>
      <c r="T121" s="40" t="n">
        <f aca="true">RAND()</f>
        <v>0.593217882990044</v>
      </c>
      <c r="U121" s="40" t="n">
        <f aca="true">RAND()</f>
        <v>0.610455379050099</v>
      </c>
    </row>
    <row r="122" customFormat="false" ht="15" hidden="false" customHeight="false" outlineLevel="0" collapsed="false">
      <c r="A122" s="36" t="n">
        <v>42</v>
      </c>
      <c r="B122" s="37" t="n">
        <f aca="false">1+IF($G$6=$E$6,$F$6,IF(P122&lt;($F$6-$E$6)/($G$6-$E$6),$E$6+SQRT(P122*($G$6-$E$6)*($F$6-$E$6)),$G$6-SQRT((1-P122)*($G$6-$E$6)*($G$6-$F$6))))</f>
        <v>1.00391731235267</v>
      </c>
      <c r="C122" s="37" t="n">
        <f aca="false">1+IF($G$7=$E$7,$F$7,IF(Q122&lt;($F$7-$E$7)/($G$7-$E$7),$E$7+SQRT(Q122*($G$7-$E$7)*($F$7-$E$7)),$G$7-SQRT((1-Q122)*($G$7-$E$7)*($G$7-$F$7))))</f>
        <v>0.988213884661707</v>
      </c>
      <c r="D122" s="37" t="n">
        <f aca="false">1+IF($G$8=$E$8,$F$8,IF(R122&lt;($F$8-$E$8)/($G$8-$E$8),$E$8+SQRT(R122*($G$8-$E$8)*($F$8-$E$8)),$G$8-SQRT((1-R122)*($G$8-$E$8)*($G$8-$F$8))))</f>
        <v>0.953380538948318</v>
      </c>
      <c r="E122" s="37" t="n">
        <f aca="false">1+IF($G$9=$E$9,$F$9,IF(S122&lt;($F$9-$E$9)/($G$9-$E$9),$E$9+SQRT(S122*($G$9-$E$9)*($F$9-$E$9)),$G$9-SQRT((1-S122)*($G$9-$E$9)*($G$9-$F$9))))</f>
        <v>0.994827320825288</v>
      </c>
      <c r="F122" s="37" t="n">
        <f aca="false">1+IF($G$10=$E$10,$F$10,IF(T122&lt;($F$10-$E$10)/($G$10-$E$10),$E$10+SQRT(T122*($G$10-$E$10)*($F$10-$E$10)),$G$10-SQRT((1-T122)*($G$10-$E$10)*($G$10-$F$10))))</f>
        <v>1.06746564003661</v>
      </c>
      <c r="G122" s="38" t="n">
        <f aca="false">IF($G$11=$E$11,$F$11,IF(U122&lt;($F$11-$E$11)/($G$11-$E$11),$E$11+SQRT(U122*($G$11-$E$11)*($F$11-$E$11)),$G$11-SQRT((1-U122)*($G$11-$E$11)*($G$11-$F$11))))</f>
        <v>0.0992408344675858</v>
      </c>
      <c r="H122" s="39" t="n">
        <f aca="false">(('Business Case'!B11*$C122*'Business Case'!B12*$B122)-'Business Case'!B11*$C122*'Business Case'!B13*$D122-'Business Case'!B14*$E122)-MAX(0,(('Business Case'!B11*$C122*'Business Case'!B12*$B122)-'Business Case'!B11*$C122*'Business Case'!B13*$D122-'Business Case'!B14*$E122))*'Business Case'!$B$7-'Business Case'!$B$8*('Business Case'!B11*$C122*'Business Case'!B12*$B122)-'Business Case'!B15*$F122</f>
        <v>-2134931280.07321</v>
      </c>
      <c r="I122" s="39" t="n">
        <f aca="false">(('Business Case'!C11*$C122*'Business Case'!C12*$B122)-'Business Case'!C11*$C122*'Business Case'!C13*$D122-'Business Case'!C14*$E122)-MAX(0,(('Business Case'!C11*$C122*'Business Case'!C12*$B122)-'Business Case'!C11*$C122*'Business Case'!C13*$D122-'Business Case'!C14*$E122))*'Business Case'!$B$7-'Business Case'!$B$8*(('Business Case'!C11*$C122*'Business Case'!C12*$B122)-('Business Case'!B11*$C122*'Business Case'!B12*$B122))-'Business Case'!C15*$F122</f>
        <v>30646072.4035995</v>
      </c>
      <c r="J122" s="39" t="n">
        <f aca="false">(('Business Case'!D11*$C122*'Business Case'!D12*$B122)-'Business Case'!D11*$C122*'Business Case'!D13*$D122-'Business Case'!D14*$E122)-MAX(0,(('Business Case'!D11*$C122*'Business Case'!D12*$B122)-'Business Case'!D11*$C122*'Business Case'!D13*$D122-'Business Case'!D14*$E122))*'Business Case'!$B$7-'Business Case'!$B$8*(('Business Case'!D11*$C122*'Business Case'!D12*$B122)-('Business Case'!C11*$C122*'Business Case'!C12*$B122))-'Business Case'!D15*$F122</f>
        <v>360932841.638073</v>
      </c>
      <c r="K122" s="39" t="n">
        <f aca="false">(('Business Case'!E11*$C122*'Business Case'!E12*$B122)-'Business Case'!E11*$C122*'Business Case'!E13*$D122-'Business Case'!E14*$E122)-MAX(0,(('Business Case'!E11*$C122*'Business Case'!E12*$B122)-'Business Case'!E11*$C122*'Business Case'!E13*$D122-'Business Case'!E14*$E122))*'Business Case'!$B$7-'Business Case'!$B$8*(('Business Case'!E11*$C122*'Business Case'!E12*$B122)-('Business Case'!D11*$C122*'Business Case'!D12*$B122))-'Business Case'!E15*$F122</f>
        <v>744592892.874378</v>
      </c>
      <c r="L122" s="39" t="n">
        <f aca="false">(('Business Case'!F11*$C122*'Business Case'!F12*$B122)-'Business Case'!F11*$C122*'Business Case'!F13*$D122-'Business Case'!F14*$E122)-MAX(0,(('Business Case'!F11*$C122*'Business Case'!F12*$B122)-'Business Case'!F11*$C122*'Business Case'!F13*$D122-'Business Case'!F14*$E122))*'Business Case'!$B$7-'Business Case'!$B$8*(('Business Case'!F11*$C122*'Business Case'!F12*$B122)-('Business Case'!E11*$C122*'Business Case'!E12*$B122))-'Business Case'!F15*$F122</f>
        <v>888974941.156441</v>
      </c>
      <c r="M122" s="39" t="n">
        <f aca="false">(('Business Case'!G11*$C122*'Business Case'!G12*$B122)-'Business Case'!G11*$C122*'Business Case'!G13*$D122-'Business Case'!G14*$E122)-MAX(0,(('Business Case'!G11*$C122*'Business Case'!G12*$B122)-'Business Case'!G11*$C122*'Business Case'!G13*$D122-'Business Case'!G14*$E122))*'Business Case'!$B$7-'Business Case'!$B$8*(('Business Case'!G11*$C122*'Business Case'!G12*$B122)-('Business Case'!F11*$C122*'Business Case'!F12*$B122))-'Business Case'!G15*$F122+'Business Case'!$B$8*('Business Case'!G11*$C122*'Business Case'!G12*$B122)</f>
        <v>1077550463.11125</v>
      </c>
      <c r="N122" s="39" t="n">
        <f aca="false">IF(COUNT('Business Case'!B11:G11)=0,"",H122+NPV(G122,I122:M122))</f>
        <v>32483897.1810882</v>
      </c>
      <c r="P122" s="40" t="n">
        <f aca="true">RAND()</f>
        <v>0.716851453226443</v>
      </c>
      <c r="Q122" s="40" t="n">
        <f aca="true">RAND()</f>
        <v>0.61531291342068</v>
      </c>
      <c r="R122" s="40" t="n">
        <f aca="true">RAND()</f>
        <v>0.00152373914414625</v>
      </c>
      <c r="S122" s="40" t="n">
        <f aca="true">RAND()</f>
        <v>0.359688830996082</v>
      </c>
      <c r="T122" s="40" t="n">
        <f aca="true">RAND()</f>
        <v>0.555749432436727</v>
      </c>
      <c r="U122" s="40" t="n">
        <f aca="true">RAND()</f>
        <v>0.370209711009036</v>
      </c>
    </row>
    <row r="123" customFormat="false" ht="15" hidden="false" customHeight="false" outlineLevel="0" collapsed="false">
      <c r="A123" s="36" t="n">
        <v>43</v>
      </c>
      <c r="B123" s="37" t="n">
        <f aca="false">1+IF($G$6=$E$6,$F$6,IF(P123&lt;($F$6-$E$6)/($G$6-$E$6),$E$6+SQRT(P123*($G$6-$E$6)*($F$6-$E$6)),$G$6-SQRT((1-P123)*($G$6-$E$6)*($G$6-$F$6))))</f>
        <v>1.03797667526297</v>
      </c>
      <c r="C123" s="37" t="n">
        <f aca="false">1+IF($G$7=$E$7,$F$7,IF(Q123&lt;($F$7-$E$7)/($G$7-$E$7),$E$7+SQRT(Q123*($G$7-$E$7)*($F$7-$E$7)),$G$7-SQRT((1-Q123)*($G$7-$E$7)*($G$7-$F$7))))</f>
        <v>0.85739793339405</v>
      </c>
      <c r="D123" s="37" t="n">
        <f aca="false">1+IF($G$8=$E$8,$F$8,IF(R123&lt;($F$8-$E$8)/($G$8-$E$8),$E$8+SQRT(R123*($G$8-$E$8)*($F$8-$E$8)),$G$8-SQRT((1-R123)*($G$8-$E$8)*($G$8-$F$8))))</f>
        <v>0.996083894320694</v>
      </c>
      <c r="E123" s="37" t="n">
        <f aca="false">1+IF($G$9=$E$9,$F$9,IF(S123&lt;($F$9-$E$9)/($G$9-$E$9),$E$9+SQRT(S123*($G$9-$E$9)*($F$9-$E$9)),$G$9-SQRT((1-S123)*($G$9-$E$9)*($G$9-$F$9))))</f>
        <v>1.09586571563559</v>
      </c>
      <c r="F123" s="37" t="n">
        <f aca="false">1+IF($G$10=$E$10,$F$10,IF(T123&lt;($F$10-$E$10)/($G$10-$E$10),$E$10+SQRT(T123*($G$10-$E$10)*($F$10-$E$10)),$G$10-SQRT((1-T123)*($G$10-$E$10)*($G$10-$F$10))))</f>
        <v>1.05817235864343</v>
      </c>
      <c r="G123" s="38" t="n">
        <f aca="false">IF($G$11=$E$11,$F$11,IF(U123&lt;($F$11-$E$11)/($G$11-$E$11),$E$11+SQRT(U123*($G$11-$E$11)*($F$11-$E$11)),$G$11-SQRT((1-U123)*($G$11-$E$11)*($G$11-$F$11))))</f>
        <v>0.104384954912601</v>
      </c>
      <c r="H123" s="39" t="n">
        <f aca="false">(('Business Case'!B11*$C123*'Business Case'!B12*$B123)-'Business Case'!B11*$C123*'Business Case'!B13*$D123-'Business Case'!B14*$E123)-MAX(0,(('Business Case'!B11*$C123*'Business Case'!B12*$B123)-'Business Case'!B11*$C123*'Business Case'!B13*$D123-'Business Case'!B14*$E123))*'Business Case'!$B$7-'Business Case'!$B$8*('Business Case'!B11*$C123*'Business Case'!B12*$B123)-'Business Case'!B15*$F123</f>
        <v>-2116344717.28685</v>
      </c>
      <c r="I123" s="39" t="n">
        <f aca="false">(('Business Case'!C11*$C123*'Business Case'!C12*$B123)-'Business Case'!C11*$C123*'Business Case'!C13*$D123-'Business Case'!C14*$E123)-MAX(0,(('Business Case'!C11*$C123*'Business Case'!C12*$B123)-'Business Case'!C11*$C123*'Business Case'!C13*$D123-'Business Case'!C14*$E123))*'Business Case'!$B$7-'Business Case'!$B$8*(('Business Case'!C11*$C123*'Business Case'!C12*$B123)-('Business Case'!B11*$C123*'Business Case'!B12*$B123))-'Business Case'!C15*$F123</f>
        <v>-16044570.2453683</v>
      </c>
      <c r="J123" s="39" t="n">
        <f aca="false">(('Business Case'!D11*$C123*'Business Case'!D12*$B123)-'Business Case'!D11*$C123*'Business Case'!D13*$D123-'Business Case'!D14*$E123)-MAX(0,(('Business Case'!D11*$C123*'Business Case'!D12*$B123)-'Business Case'!D11*$C123*'Business Case'!D13*$D123-'Business Case'!D14*$E123))*'Business Case'!$B$7-'Business Case'!$B$8*(('Business Case'!D11*$C123*'Business Case'!D12*$B123)-('Business Case'!C11*$C123*'Business Case'!C12*$B123))-'Business Case'!D15*$F123</f>
        <v>275695677.61463</v>
      </c>
      <c r="K123" s="39" t="n">
        <f aca="false">(('Business Case'!E11*$C123*'Business Case'!E12*$B123)-'Business Case'!E11*$C123*'Business Case'!E13*$D123-'Business Case'!E14*$E123)-MAX(0,(('Business Case'!E11*$C123*'Business Case'!E12*$B123)-'Business Case'!E11*$C123*'Business Case'!E13*$D123-'Business Case'!E14*$E123))*'Business Case'!$B$7-'Business Case'!$B$8*(('Business Case'!E11*$C123*'Business Case'!E12*$B123)-('Business Case'!D11*$C123*'Business Case'!D12*$B123))-'Business Case'!E15*$F123</f>
        <v>620344543.406801</v>
      </c>
      <c r="L123" s="39" t="n">
        <f aca="false">(('Business Case'!F11*$C123*'Business Case'!F12*$B123)-'Business Case'!F11*$C123*'Business Case'!F13*$D123-'Business Case'!F14*$E123)-MAX(0,(('Business Case'!F11*$C123*'Business Case'!F12*$B123)-'Business Case'!F11*$C123*'Business Case'!F13*$D123-'Business Case'!F14*$E123))*'Business Case'!$B$7-'Business Case'!$B$8*(('Business Case'!F11*$C123*'Business Case'!F12*$B123)-('Business Case'!E11*$C123*'Business Case'!E12*$B123))-'Business Case'!F15*$F123</f>
        <v>748348277.678562</v>
      </c>
      <c r="M123" s="39" t="n">
        <f aca="false">(('Business Case'!G11*$C123*'Business Case'!G12*$B123)-'Business Case'!G11*$C123*'Business Case'!G13*$D123-'Business Case'!G14*$E123)-MAX(0,(('Business Case'!G11*$C123*'Business Case'!G12*$B123)-'Business Case'!G11*$C123*'Business Case'!G13*$D123-'Business Case'!G14*$E123))*'Business Case'!$B$7-'Business Case'!$B$8*(('Business Case'!G11*$C123*'Business Case'!G12*$B123)-('Business Case'!F11*$C123*'Business Case'!F12*$B123))-'Business Case'!G15*$F123+'Business Case'!$B$8*('Business Case'!G11*$C123*'Business Case'!G12*$B123)</f>
        <v>917511695.096587</v>
      </c>
      <c r="N123" s="39" t="n">
        <f aca="false">IF(COUNT('Business Case'!B11:G11)=0,"",H123+NPV(G123,I123:M123))</f>
        <v>-382742034.855476</v>
      </c>
      <c r="P123" s="40" t="n">
        <f aca="true">RAND()</f>
        <v>0.980725288302391</v>
      </c>
      <c r="Q123" s="40" t="n">
        <f aca="true">RAND()</f>
        <v>0.183511921753465</v>
      </c>
      <c r="R123" s="40" t="n">
        <f aca="true">RAND()</f>
        <v>0.28316337543479</v>
      </c>
      <c r="S123" s="40" t="n">
        <f aca="true">RAND()</f>
        <v>0.921852780169424</v>
      </c>
      <c r="T123" s="40" t="n">
        <f aca="true">RAND()</f>
        <v>0.509362080154313</v>
      </c>
      <c r="U123" s="40" t="n">
        <f aca="true">RAND()</f>
        <v>0.562579643447014</v>
      </c>
    </row>
    <row r="124" customFormat="false" ht="15" hidden="false" customHeight="false" outlineLevel="0" collapsed="false">
      <c r="A124" s="36" t="n">
        <v>44</v>
      </c>
      <c r="B124" s="37" t="n">
        <f aca="false">1+IF($G$6=$E$6,$F$6,IF(P124&lt;($F$6-$E$6)/($G$6-$E$6),$E$6+SQRT(P124*($G$6-$E$6)*($F$6-$E$6)),$G$6-SQRT((1-P124)*($G$6-$E$6)*($G$6-$F$6))))</f>
        <v>0.951629131552942</v>
      </c>
      <c r="C124" s="37" t="n">
        <f aca="false">1+IF($G$7=$E$7,$F$7,IF(Q124&lt;($F$7-$E$7)/($G$7-$E$7),$E$7+SQRT(Q124*($G$7-$E$7)*($F$7-$E$7)),$G$7-SQRT((1-Q124)*($G$7-$E$7)*($G$7-$F$7))))</f>
        <v>0.99626753754417</v>
      </c>
      <c r="D124" s="37" t="n">
        <f aca="false">1+IF($G$8=$E$8,$F$8,IF(R124&lt;($F$8-$E$8)/($G$8-$E$8),$E$8+SQRT(R124*($G$8-$E$8)*($F$8-$E$8)),$G$8-SQRT((1-R124)*($G$8-$E$8)*($G$8-$F$8))))</f>
        <v>1.04709531651301</v>
      </c>
      <c r="E124" s="37" t="n">
        <f aca="false">1+IF($G$9=$E$9,$F$9,IF(S124&lt;($F$9-$E$9)/($G$9-$E$9),$E$9+SQRT(S124*($G$9-$E$9)*($F$9-$E$9)),$G$9-SQRT((1-S124)*($G$9-$E$9)*($G$9-$F$9))))</f>
        <v>1.05834238071651</v>
      </c>
      <c r="F124" s="37" t="n">
        <f aca="false">1+IF($G$10=$E$10,$F$10,IF(T124&lt;($F$10-$E$10)/($G$10-$E$10),$E$10+SQRT(T124*($G$10-$E$10)*($F$10-$E$10)),$G$10-SQRT((1-T124)*($G$10-$E$10)*($G$10-$F$10))))</f>
        <v>0.985422758367794</v>
      </c>
      <c r="G124" s="38" t="n">
        <f aca="false">IF($G$11=$E$11,$F$11,IF(U124&lt;($F$11-$E$11)/($G$11-$E$11),$E$11+SQRT(U124*($G$11-$E$11)*($F$11-$E$11)),$G$11-SQRT((1-U124)*($G$11-$E$11)*($G$11-$F$11))))</f>
        <v>0.092412585745721</v>
      </c>
      <c r="H124" s="39" t="n">
        <f aca="false">(('Business Case'!B11*$C124*'Business Case'!B12*$B124)-'Business Case'!B11*$C124*'Business Case'!B13*$D124-'Business Case'!B14*$E124)-MAX(0,(('Business Case'!B11*$C124*'Business Case'!B12*$B124)-'Business Case'!B11*$C124*'Business Case'!B13*$D124-'Business Case'!B14*$E124))*'Business Case'!$B$7-'Business Case'!$B$8*('Business Case'!B11*$C124*'Business Case'!B12*$B124)-'Business Case'!B15*$F124</f>
        <v>-1970845516.73559</v>
      </c>
      <c r="I124" s="39" t="n">
        <f aca="false">(('Business Case'!C11*$C124*'Business Case'!C12*$B124)-'Business Case'!C11*$C124*'Business Case'!C13*$D124-'Business Case'!C14*$E124)-MAX(0,(('Business Case'!C11*$C124*'Business Case'!C12*$B124)-'Business Case'!C11*$C124*'Business Case'!C13*$D124-'Business Case'!C14*$E124))*'Business Case'!$B$7-'Business Case'!$B$8*(('Business Case'!C11*$C124*'Business Case'!C12*$B124)-('Business Case'!B11*$C124*'Business Case'!B12*$B124))-'Business Case'!C15*$F124</f>
        <v>-55671713.3877173</v>
      </c>
      <c r="J124" s="39" t="n">
        <f aca="false">(('Business Case'!D11*$C124*'Business Case'!D12*$B124)-'Business Case'!D11*$C124*'Business Case'!D13*$D124-'Business Case'!D14*$E124)-MAX(0,(('Business Case'!D11*$C124*'Business Case'!D12*$B124)-'Business Case'!D11*$C124*'Business Case'!D13*$D124-'Business Case'!D14*$E124))*'Business Case'!$B$7-'Business Case'!$B$8*(('Business Case'!D11*$C124*'Business Case'!D12*$B124)-('Business Case'!C11*$C124*'Business Case'!C12*$B124))-'Business Case'!D15*$F124</f>
        <v>186843458.245858</v>
      </c>
      <c r="K124" s="39" t="n">
        <f aca="false">(('Business Case'!E11*$C124*'Business Case'!E12*$B124)-'Business Case'!E11*$C124*'Business Case'!E13*$D124-'Business Case'!E14*$E124)-MAX(0,(('Business Case'!E11*$C124*'Business Case'!E12*$B124)-'Business Case'!E11*$C124*'Business Case'!E13*$D124-'Business Case'!E14*$E124))*'Business Case'!$B$7-'Business Case'!$B$8*(('Business Case'!E11*$C124*'Business Case'!E12*$B124)-('Business Case'!D11*$C124*'Business Case'!D12*$B124))-'Business Case'!E15*$F124</f>
        <v>478629767.797823</v>
      </c>
      <c r="L124" s="39" t="n">
        <f aca="false">(('Business Case'!F11*$C124*'Business Case'!F12*$B124)-'Business Case'!F11*$C124*'Business Case'!F13*$D124-'Business Case'!F14*$E124)-MAX(0,(('Business Case'!F11*$C124*'Business Case'!F12*$B124)-'Business Case'!F11*$C124*'Business Case'!F13*$D124-'Business Case'!F14*$E124))*'Business Case'!$B$7-'Business Case'!$B$8*(('Business Case'!F11*$C124*'Business Case'!F12*$B124)-('Business Case'!E11*$C124*'Business Case'!E12*$B124))-'Business Case'!F15*$F124</f>
        <v>592233706.773431</v>
      </c>
      <c r="M124" s="39" t="n">
        <f aca="false">(('Business Case'!G11*$C124*'Business Case'!G12*$B124)-'Business Case'!G11*$C124*'Business Case'!G13*$D124-'Business Case'!G14*$E124)-MAX(0,(('Business Case'!G11*$C124*'Business Case'!G12*$B124)-'Business Case'!G11*$C124*'Business Case'!G13*$D124-'Business Case'!G14*$E124))*'Business Case'!$B$7-'Business Case'!$B$8*(('Business Case'!G11*$C124*'Business Case'!G12*$B124)-('Business Case'!F11*$C124*'Business Case'!F12*$B124))-'Business Case'!G15*$F124+'Business Case'!$B$8*('Business Case'!G11*$C124*'Business Case'!G12*$B124)</f>
        <v>772444223.144389</v>
      </c>
      <c r="N124" s="39" t="n">
        <f aca="false">IF(COUNT('Business Case'!B11:G11)=0,"",H124+NPV(G124,I124:M124))</f>
        <v>-585716758.73167</v>
      </c>
      <c r="P124" s="40" t="n">
        <f aca="true">RAND()</f>
        <v>0.177704481660731</v>
      </c>
      <c r="Q124" s="40" t="n">
        <f aca="true">RAND()</f>
        <v>0.650181139277676</v>
      </c>
      <c r="R124" s="40" t="n">
        <f aca="true">RAND()</f>
        <v>0.81340629767608</v>
      </c>
      <c r="S124" s="40" t="n">
        <f aca="true">RAND()</f>
        <v>0.77597015539423</v>
      </c>
      <c r="T124" s="40" t="n">
        <f aca="true">RAND()</f>
        <v>0.083651454025539</v>
      </c>
      <c r="U124" s="40" t="n">
        <f aca="true">RAND()</f>
        <v>0.154072284894876</v>
      </c>
    </row>
    <row r="125" customFormat="false" ht="15" hidden="false" customHeight="false" outlineLevel="0" collapsed="false">
      <c r="A125" s="36" t="n">
        <v>45</v>
      </c>
      <c r="B125" s="37" t="n">
        <f aca="false">1+IF($G$6=$E$6,$F$6,IF(P125&lt;($F$6-$E$6)/($G$6-$E$6),$E$6+SQRT(P125*($G$6-$E$6)*($F$6-$E$6)),$G$6-SQRT((1-P125)*($G$6-$E$6)*($G$6-$F$6))))</f>
        <v>1.00647823636942</v>
      </c>
      <c r="C125" s="37" t="n">
        <f aca="false">1+IF($G$7=$E$7,$F$7,IF(Q125&lt;($F$7-$E$7)/($G$7-$E$7),$E$7+SQRT(Q125*($G$7-$E$7)*($F$7-$E$7)),$G$7-SQRT((1-Q125)*($G$7-$E$7)*($G$7-$F$7))))</f>
        <v>1.01148495612278</v>
      </c>
      <c r="D125" s="37" t="n">
        <f aca="false">1+IF($G$8=$E$8,$F$8,IF(R125&lt;($F$8-$E$8)/($G$8-$E$8),$E$8+SQRT(R125*($G$8-$E$8)*($F$8-$E$8)),$G$8-SQRT((1-R125)*($G$8-$E$8)*($G$8-$F$8))))</f>
        <v>0.956093887136172</v>
      </c>
      <c r="E125" s="37" t="n">
        <f aca="false">1+IF($G$9=$E$9,$F$9,IF(S125&lt;($F$9-$E$9)/($G$9-$E$9),$E$9+SQRT(S125*($G$9-$E$9)*($F$9-$E$9)),$G$9-SQRT((1-S125)*($G$9-$E$9)*($G$9-$F$9))))</f>
        <v>0.975836007914358</v>
      </c>
      <c r="F125" s="37" t="n">
        <f aca="false">1+IF($G$10=$E$10,$F$10,IF(T125&lt;($F$10-$E$10)/($G$10-$E$10),$E$10+SQRT(T125*($G$10-$E$10)*($F$10-$E$10)),$G$10-SQRT((1-T125)*($G$10-$E$10)*($G$10-$F$10))))</f>
        <v>1.10044508004395</v>
      </c>
      <c r="G125" s="38" t="n">
        <f aca="false">IF($G$11=$E$11,$F$11,IF(U125&lt;($F$11-$E$11)/($G$11-$E$11),$E$11+SQRT(U125*($G$11-$E$11)*($F$11-$E$11)),$G$11-SQRT((1-U125)*($G$11-$E$11)*($G$11-$F$11))))</f>
        <v>0.0884585198152834</v>
      </c>
      <c r="H125" s="39" t="n">
        <f aca="false">(('Business Case'!B11*$C125*'Business Case'!B12*$B125)-'Business Case'!B11*$C125*'Business Case'!B13*$D125-'Business Case'!B14*$E125)-MAX(0,(('Business Case'!B11*$C125*'Business Case'!B12*$B125)-'Business Case'!B11*$C125*'Business Case'!B13*$D125-'Business Case'!B14*$E125))*'Business Case'!$B$7-'Business Case'!$B$8*('Business Case'!B11*$C125*'Business Case'!B12*$B125)-'Business Case'!B15*$F125</f>
        <v>-2200890160.08789</v>
      </c>
      <c r="I125" s="39" t="n">
        <f aca="false">(('Business Case'!C11*$C125*'Business Case'!C12*$B125)-'Business Case'!C11*$C125*'Business Case'!C13*$D125-'Business Case'!C14*$E125)-MAX(0,(('Business Case'!C11*$C125*'Business Case'!C12*$B125)-'Business Case'!C11*$C125*'Business Case'!C13*$D125-'Business Case'!C14*$E125))*'Business Case'!$B$7-'Business Case'!$B$8*(('Business Case'!C11*$C125*'Business Case'!C12*$B125)-('Business Case'!B11*$C125*'Business Case'!B12*$B125))-'Business Case'!C15*$F125</f>
        <v>37197810.7927876</v>
      </c>
      <c r="J125" s="39" t="n">
        <f aca="false">(('Business Case'!D11*$C125*'Business Case'!D12*$B125)-'Business Case'!D11*$C125*'Business Case'!D13*$D125-'Business Case'!D14*$E125)-MAX(0,(('Business Case'!D11*$C125*'Business Case'!D12*$B125)-'Business Case'!D11*$C125*'Business Case'!D13*$D125-'Business Case'!D14*$E125))*'Business Case'!$B$7-'Business Case'!$B$8*(('Business Case'!D11*$C125*'Business Case'!D12*$B125)-('Business Case'!C11*$C125*'Business Case'!C12*$B125))-'Business Case'!D15*$F125</f>
        <v>375979078.827369</v>
      </c>
      <c r="K125" s="39" t="n">
        <f aca="false">(('Business Case'!E11*$C125*'Business Case'!E12*$B125)-'Business Case'!E11*$C125*'Business Case'!E13*$D125-'Business Case'!E14*$E125)-MAX(0,(('Business Case'!E11*$C125*'Business Case'!E12*$B125)-'Business Case'!E11*$C125*'Business Case'!E13*$D125-'Business Case'!E14*$E125))*'Business Case'!$B$7-'Business Case'!$B$8*(('Business Case'!E11*$C125*'Business Case'!E12*$B125)-('Business Case'!D11*$C125*'Business Case'!D12*$B125))-'Business Case'!E15*$F125</f>
        <v>769782600.864148</v>
      </c>
      <c r="L125" s="39" t="n">
        <f aca="false">(('Business Case'!F11*$C125*'Business Case'!F12*$B125)-'Business Case'!F11*$C125*'Business Case'!F13*$D125-'Business Case'!F14*$E125)-MAX(0,(('Business Case'!F11*$C125*'Business Case'!F12*$B125)-'Business Case'!F11*$C125*'Business Case'!F13*$D125-'Business Case'!F14*$E125))*'Business Case'!$B$7-'Business Case'!$B$8*(('Business Case'!F11*$C125*'Business Case'!F12*$B125)-('Business Case'!E11*$C125*'Business Case'!E12*$B125))-'Business Case'!F15*$F125</f>
        <v>917893069.483661</v>
      </c>
      <c r="M125" s="39" t="n">
        <f aca="false">(('Business Case'!G11*$C125*'Business Case'!G12*$B125)-'Business Case'!G11*$C125*'Business Case'!G13*$D125-'Business Case'!G14*$E125)-MAX(0,(('Business Case'!G11*$C125*'Business Case'!G12*$B125)-'Business Case'!G11*$C125*'Business Case'!G13*$D125-'Business Case'!G14*$E125))*'Business Case'!$B$7-'Business Case'!$B$8*(('Business Case'!G11*$C125*'Business Case'!G12*$B125)-('Business Case'!F11*$C125*'Business Case'!F12*$B125))-'Business Case'!G15*$F125+'Business Case'!$B$8*('Business Case'!G11*$C125*'Business Case'!G12*$B125)</f>
        <v>1111401655.49425</v>
      </c>
      <c r="N125" s="39" t="n">
        <f aca="false">IF(COUNT('Business Case'!B11:G11)=0,"",H125+NPV(G125,I125:M125))</f>
        <v>128992269.998001</v>
      </c>
      <c r="P125" s="40" t="n">
        <f aca="true">RAND()</f>
        <v>0.747447478731178</v>
      </c>
      <c r="Q125" s="40" t="n">
        <f aca="true">RAND()</f>
        <v>0.715756779551009</v>
      </c>
      <c r="R125" s="40" t="n">
        <f aca="true">RAND()</f>
        <v>0.00495139472378646</v>
      </c>
      <c r="S125" s="40" t="n">
        <f aca="true">RAND()</f>
        <v>0.23004400385546</v>
      </c>
      <c r="T125" s="40" t="n">
        <f aca="true">RAND()</f>
        <v>0.70177767889251</v>
      </c>
      <c r="U125" s="40" t="n">
        <f aca="true">RAND()</f>
        <v>0.0715465574655418</v>
      </c>
    </row>
    <row r="126" customFormat="false" ht="15" hidden="false" customHeight="false" outlineLevel="0" collapsed="false">
      <c r="A126" s="36" t="n">
        <v>46</v>
      </c>
      <c r="B126" s="37" t="n">
        <f aca="false">1+IF($G$6=$E$6,$F$6,IF(P126&lt;($F$6-$E$6)/($G$6-$E$6),$E$6+SQRT(P126*($G$6-$E$6)*($F$6-$E$6)),$G$6-SQRT((1-P126)*($G$6-$E$6)*($G$6-$F$6))))</f>
        <v>0.973341241187606</v>
      </c>
      <c r="C126" s="37" t="n">
        <f aca="false">1+IF($G$7=$E$7,$F$7,IF(Q126&lt;($F$7-$E$7)/($G$7-$E$7),$E$7+SQRT(Q126*($G$7-$E$7)*($F$7-$E$7)),$G$7-SQRT((1-Q126)*($G$7-$E$7)*($G$7-$F$7))))</f>
        <v>1.04333874188293</v>
      </c>
      <c r="D126" s="37" t="n">
        <f aca="false">1+IF($G$8=$E$8,$F$8,IF(R126&lt;($F$8-$E$8)/($G$8-$E$8),$E$8+SQRT(R126*($G$8-$E$8)*($F$8-$E$8)),$G$8-SQRT((1-R126)*($G$8-$E$8)*($G$8-$F$8))))</f>
        <v>1.00348171283074</v>
      </c>
      <c r="E126" s="37" t="n">
        <f aca="false">1+IF($G$9=$E$9,$F$9,IF(S126&lt;($F$9-$E$9)/($G$9-$E$9),$E$9+SQRT(S126*($G$9-$E$9)*($F$9-$E$9)),$G$9-SQRT((1-S126)*($G$9-$E$9)*($G$9-$F$9))))</f>
        <v>1.07429849340451</v>
      </c>
      <c r="F126" s="37" t="n">
        <f aca="false">1+IF($G$10=$E$10,$F$10,IF(T126&lt;($F$10-$E$10)/($G$10-$E$10),$E$10+SQRT(T126*($G$10-$E$10)*($F$10-$E$10)),$G$10-SQRT((1-T126)*($G$10-$E$10)*($G$10-$F$10))))</f>
        <v>1.17162479402195</v>
      </c>
      <c r="G126" s="38" t="n">
        <f aca="false">IF($G$11=$E$11,$F$11,IF(U126&lt;($F$11-$E$11)/($G$11-$E$11),$E$11+SQRT(U126*($G$11-$E$11)*($F$11-$E$11)),$G$11-SQRT((1-U126)*($G$11-$E$11)*($G$11-$F$11))))</f>
        <v>0.0925070267518452</v>
      </c>
      <c r="H126" s="39" t="n">
        <f aca="false">(('Business Case'!B11*$C126*'Business Case'!B12*$B126)-'Business Case'!B11*$C126*'Business Case'!B13*$D126-'Business Case'!B14*$E126)-MAX(0,(('Business Case'!B11*$C126*'Business Case'!B12*$B126)-'Business Case'!B11*$C126*'Business Case'!B13*$D126-'Business Case'!B14*$E126))*'Business Case'!$B$7-'Business Case'!$B$8*('Business Case'!B11*$C126*'Business Case'!B12*$B126)-'Business Case'!B15*$F126</f>
        <v>-2343249588.0439</v>
      </c>
      <c r="I126" s="39" t="n">
        <f aca="false">(('Business Case'!C11*$C126*'Business Case'!C12*$B126)-'Business Case'!C11*$C126*'Business Case'!C13*$D126-'Business Case'!C14*$E126)-MAX(0,(('Business Case'!C11*$C126*'Business Case'!C12*$B126)-'Business Case'!C11*$C126*'Business Case'!C13*$D126-'Business Case'!C14*$E126))*'Business Case'!$B$7-'Business Case'!$B$8*(('Business Case'!C11*$C126*'Business Case'!C12*$B126)-('Business Case'!B11*$C126*'Business Case'!B12*$B126))-'Business Case'!C15*$F126</f>
        <v>-26750307.6554998</v>
      </c>
      <c r="J126" s="39" t="n">
        <f aca="false">(('Business Case'!D11*$C126*'Business Case'!D12*$B126)-'Business Case'!D11*$C126*'Business Case'!D13*$D126-'Business Case'!D14*$E126)-MAX(0,(('Business Case'!D11*$C126*'Business Case'!D12*$B126)-'Business Case'!D11*$C126*'Business Case'!D13*$D126-'Business Case'!D14*$E126))*'Business Case'!$B$7-'Business Case'!$B$8*(('Business Case'!D11*$C126*'Business Case'!D12*$B126)-('Business Case'!C11*$C126*'Business Case'!C12*$B126))-'Business Case'!D15*$F126</f>
        <v>269071906.465334</v>
      </c>
      <c r="K126" s="39" t="n">
        <f aca="false">(('Business Case'!E11*$C126*'Business Case'!E12*$B126)-'Business Case'!E11*$C126*'Business Case'!E13*$D126-'Business Case'!E14*$E126)-MAX(0,(('Business Case'!E11*$C126*'Business Case'!E12*$B126)-'Business Case'!E11*$C126*'Business Case'!E13*$D126-'Business Case'!E14*$E126))*'Business Case'!$B$7-'Business Case'!$B$8*(('Business Case'!E11*$C126*'Business Case'!E12*$B126)-('Business Case'!D11*$C126*'Business Case'!D12*$B126))-'Business Case'!E15*$F126</f>
        <v>623475360.287266</v>
      </c>
      <c r="L126" s="39" t="n">
        <f aca="false">(('Business Case'!F11*$C126*'Business Case'!F12*$B126)-'Business Case'!F11*$C126*'Business Case'!F13*$D126-'Business Case'!F14*$E126)-MAX(0,(('Business Case'!F11*$C126*'Business Case'!F12*$B126)-'Business Case'!F11*$C126*'Business Case'!F13*$D126-'Business Case'!F14*$E126))*'Business Case'!$B$7-'Business Case'!$B$8*(('Business Case'!F11*$C126*'Business Case'!F12*$B126)-('Business Case'!E11*$C126*'Business Case'!E12*$B126))-'Business Case'!F15*$F126</f>
        <v>757179296.06889</v>
      </c>
      <c r="M126" s="39" t="n">
        <f aca="false">(('Business Case'!G11*$C126*'Business Case'!G12*$B126)-'Business Case'!G11*$C126*'Business Case'!G13*$D126-'Business Case'!G14*$E126)-MAX(0,(('Business Case'!G11*$C126*'Business Case'!G12*$B126)-'Business Case'!G11*$C126*'Business Case'!G13*$D126-'Business Case'!G14*$E126))*'Business Case'!$B$7-'Business Case'!$B$8*(('Business Case'!G11*$C126*'Business Case'!G12*$B126)-('Business Case'!F11*$C126*'Business Case'!F12*$B126))-'Business Case'!G15*$F126+'Business Case'!$B$8*('Business Case'!G11*$C126*'Business Case'!G12*$B126)</f>
        <v>950210216.979625</v>
      </c>
      <c r="N126" s="39" t="n">
        <f aca="false">IF(COUNT('Business Case'!B11:G11)=0,"",H126+NPV(G126,I126:M126))</f>
        <v>-522153744.815863</v>
      </c>
      <c r="P126" s="40" t="n">
        <f aca="true">RAND()</f>
        <v>0.358595843929244</v>
      </c>
      <c r="Q126" s="40" t="n">
        <f aca="true">RAND()</f>
        <v>0.831457422472351</v>
      </c>
      <c r="R126" s="40" t="n">
        <f aca="true">RAND()</f>
        <v>0.378948016127439</v>
      </c>
      <c r="S126" s="40" t="n">
        <f aca="true">RAND()</f>
        <v>0.847180850644593</v>
      </c>
      <c r="T126" s="40" t="n">
        <f aca="true">RAND()</f>
        <v>0.918097694505305</v>
      </c>
      <c r="U126" s="40" t="n">
        <f aca="true">RAND()</f>
        <v>0.156425718171371</v>
      </c>
    </row>
    <row r="127" customFormat="false" ht="15" hidden="false" customHeight="false" outlineLevel="0" collapsed="false">
      <c r="A127" s="36" t="n">
        <v>47</v>
      </c>
      <c r="B127" s="37" t="n">
        <f aca="false">1+IF($G$6=$E$6,$F$6,IF(P127&lt;($F$6-$E$6)/($G$6-$E$6),$E$6+SQRT(P127*($G$6-$E$6)*($F$6-$E$6)),$G$6-SQRT((1-P127)*($G$6-$E$6)*($G$6-$F$6))))</f>
        <v>0.961448702142737</v>
      </c>
      <c r="C127" s="37" t="n">
        <f aca="false">1+IF($G$7=$E$7,$F$7,IF(Q127&lt;($F$7-$E$7)/($G$7-$E$7),$E$7+SQRT(Q127*($G$7-$E$7)*($F$7-$E$7)),$G$7-SQRT((1-Q127)*($G$7-$E$7)*($G$7-$F$7))))</f>
        <v>0.87529597018698</v>
      </c>
      <c r="D127" s="37" t="n">
        <f aca="false">1+IF($G$8=$E$8,$F$8,IF(R127&lt;($F$8-$E$8)/($G$8-$E$8),$E$8+SQRT(R127*($G$8-$E$8)*($F$8-$E$8)),$G$8-SQRT((1-R127)*($G$8-$E$8)*($G$8-$F$8))))</f>
        <v>1.01336705367828</v>
      </c>
      <c r="E127" s="37" t="n">
        <f aca="false">1+IF($G$9=$E$9,$F$9,IF(S127&lt;($F$9-$E$9)/($G$9-$E$9),$E$9+SQRT(S127*($G$9-$E$9)*($F$9-$E$9)),$G$9-SQRT((1-S127)*($G$9-$E$9)*($G$9-$F$9))))</f>
        <v>0.984336686827516</v>
      </c>
      <c r="F127" s="37" t="n">
        <f aca="false">1+IF($G$10=$E$10,$F$10,IF(T127&lt;($F$10-$E$10)/($G$10-$E$10),$E$10+SQRT(T127*($G$10-$E$10)*($F$10-$E$10)),$G$10-SQRT((1-T127)*($G$10-$E$10)*($G$10-$F$10))))</f>
        <v>1.14621089099471</v>
      </c>
      <c r="G127" s="38" t="n">
        <f aca="false">IF($G$11=$E$11,$F$11,IF(U127&lt;($F$11-$E$11)/($G$11-$E$11),$E$11+SQRT(U127*($G$11-$E$11)*($F$11-$E$11)),$G$11-SQRT((1-U127)*($G$11-$E$11)*($G$11-$F$11))))</f>
        <v>0.101006110072676</v>
      </c>
      <c r="H127" s="39" t="n">
        <f aca="false">(('Business Case'!B11*$C127*'Business Case'!B12*$B127)-'Business Case'!B11*$C127*'Business Case'!B13*$D127-'Business Case'!B14*$E127)-MAX(0,(('Business Case'!B11*$C127*'Business Case'!B12*$B127)-'Business Case'!B11*$C127*'Business Case'!B13*$D127-'Business Case'!B14*$E127))*'Business Case'!$B$7-'Business Case'!$B$8*('Business Case'!B11*$C127*'Business Case'!B12*$B127)-'Business Case'!B15*$F127</f>
        <v>-2292421781.98942</v>
      </c>
      <c r="I127" s="39" t="n">
        <f aca="false">(('Business Case'!C11*$C127*'Business Case'!C12*$B127)-'Business Case'!C11*$C127*'Business Case'!C13*$D127-'Business Case'!C14*$E127)-MAX(0,(('Business Case'!C11*$C127*'Business Case'!C12*$B127)-'Business Case'!C11*$C127*'Business Case'!C13*$D127-'Business Case'!C14*$E127))*'Business Case'!$B$7-'Business Case'!$B$8*(('Business Case'!C11*$C127*'Business Case'!C12*$B127)-('Business Case'!B11*$C127*'Business Case'!B12*$B127))-'Business Case'!C15*$F127</f>
        <v>-62999050.6950243</v>
      </c>
      <c r="J127" s="39" t="n">
        <f aca="false">(('Business Case'!D11*$C127*'Business Case'!D12*$B127)-'Business Case'!D11*$C127*'Business Case'!D13*$D127-'Business Case'!D14*$E127)-MAX(0,(('Business Case'!D11*$C127*'Business Case'!D12*$B127)-'Business Case'!D11*$C127*'Business Case'!D13*$D127-'Business Case'!D14*$E127))*'Business Case'!$B$7-'Business Case'!$B$8*(('Business Case'!D11*$C127*'Business Case'!D12*$B127)-('Business Case'!C11*$C127*'Business Case'!C12*$B127))-'Business Case'!D15*$F127</f>
        <v>172221729.303777</v>
      </c>
      <c r="K127" s="39" t="n">
        <f aca="false">(('Business Case'!E11*$C127*'Business Case'!E12*$B127)-'Business Case'!E11*$C127*'Business Case'!E13*$D127-'Business Case'!E14*$E127)-MAX(0,(('Business Case'!E11*$C127*'Business Case'!E12*$B127)-'Business Case'!E11*$C127*'Business Case'!E13*$D127-'Business Case'!E14*$E127))*'Business Case'!$B$7-'Business Case'!$B$8*(('Business Case'!E11*$C127*'Business Case'!E12*$B127)-('Business Case'!D11*$C127*'Business Case'!D12*$B127))-'Business Case'!E15*$F127</f>
        <v>464753053.852314</v>
      </c>
      <c r="L127" s="39" t="n">
        <f aca="false">(('Business Case'!F11*$C127*'Business Case'!F12*$B127)-'Business Case'!F11*$C127*'Business Case'!F13*$D127-'Business Case'!F14*$E127)-MAX(0,(('Business Case'!F11*$C127*'Business Case'!F12*$B127)-'Business Case'!F11*$C127*'Business Case'!F13*$D127-'Business Case'!F14*$E127))*'Business Case'!$B$7-'Business Case'!$B$8*(('Business Case'!F11*$C127*'Business Case'!F12*$B127)-('Business Case'!E11*$C127*'Business Case'!E12*$B127))-'Business Case'!F15*$F127</f>
        <v>572244023.670236</v>
      </c>
      <c r="M127" s="39" t="n">
        <f aca="false">(('Business Case'!G11*$C127*'Business Case'!G12*$B127)-'Business Case'!G11*$C127*'Business Case'!G13*$D127-'Business Case'!G14*$E127)-MAX(0,(('Business Case'!G11*$C127*'Business Case'!G12*$B127)-'Business Case'!G11*$C127*'Business Case'!G13*$D127-'Business Case'!G14*$E127))*'Business Case'!$B$7-'Business Case'!$B$8*(('Business Case'!G11*$C127*'Business Case'!G12*$B127)-('Business Case'!F11*$C127*'Business Case'!F12*$B127))-'Business Case'!G15*$F127+'Business Case'!$B$8*('Business Case'!G11*$C127*'Business Case'!G12*$B127)</f>
        <v>732206261.004335</v>
      </c>
      <c r="N127" s="39" t="n">
        <f aca="false">IF(COUNT('Business Case'!B11:G11)=0,"",H127+NPV(G127,I127:M127))</f>
        <v>-1017357167.77208</v>
      </c>
      <c r="P127" s="40" t="n">
        <f aca="true">RAND()</f>
        <v>0.251729533001789</v>
      </c>
      <c r="Q127" s="40" t="n">
        <f aca="true">RAND()</f>
        <v>0.227619830842922</v>
      </c>
      <c r="R127" s="40" t="n">
        <f aca="true">RAND()</f>
        <v>0.499648840774493</v>
      </c>
      <c r="S127" s="40" t="n">
        <f aca="true">RAND()</f>
        <v>0.284507069801703</v>
      </c>
      <c r="T127" s="40" t="n">
        <f aca="true">RAND()</f>
        <v>0.856370944691846</v>
      </c>
      <c r="U127" s="40" t="n">
        <f aca="true">RAND()</f>
        <v>0.439569564588159</v>
      </c>
    </row>
    <row r="128" customFormat="false" ht="15" hidden="false" customHeight="false" outlineLevel="0" collapsed="false">
      <c r="A128" s="36" t="n">
        <v>48</v>
      </c>
      <c r="B128" s="37" t="n">
        <f aca="false">1+IF($G$6=$E$6,$F$6,IF(P128&lt;($F$6-$E$6)/($G$6-$E$6),$E$6+SQRT(P128*($G$6-$E$6)*($F$6-$E$6)),$G$6-SQRT((1-P128)*($G$6-$E$6)*($G$6-$F$6))))</f>
        <v>0.955496089073278</v>
      </c>
      <c r="C128" s="37" t="n">
        <f aca="false">1+IF($G$7=$E$7,$F$7,IF(Q128&lt;($F$7-$E$7)/($G$7-$E$7),$E$7+SQRT(Q128*($G$7-$E$7)*($F$7-$E$7)),$G$7-SQRT((1-Q128)*($G$7-$E$7)*($G$7-$F$7))))</f>
        <v>0.811718636111827</v>
      </c>
      <c r="D128" s="37" t="n">
        <f aca="false">1+IF($G$8=$E$8,$F$8,IF(R128&lt;($F$8-$E$8)/($G$8-$E$8),$E$8+SQRT(R128*($G$8-$E$8)*($F$8-$E$8)),$G$8-SQRT((1-R128)*($G$8-$E$8)*($G$8-$F$8))))</f>
        <v>1.03581126295494</v>
      </c>
      <c r="E128" s="37" t="n">
        <f aca="false">1+IF($G$9=$E$9,$F$9,IF(S128&lt;($F$9-$E$9)/($G$9-$E$9),$E$9+SQRT(S128*($G$9-$E$9)*($F$9-$E$9)),$G$9-SQRT((1-S128)*($G$9-$E$9)*($G$9-$F$9))))</f>
        <v>1.09416843989102</v>
      </c>
      <c r="F128" s="37" t="n">
        <f aca="false">1+IF($G$10=$E$10,$F$10,IF(T128&lt;($F$10-$E$10)/($G$10-$E$10),$E$10+SQRT(T128*($G$10-$E$10)*($F$10-$E$10)),$G$10-SQRT((1-T128)*($G$10-$E$10)*($G$10-$F$10))))</f>
        <v>0.989115802274293</v>
      </c>
      <c r="G128" s="38" t="n">
        <f aca="false">IF($G$11=$E$11,$F$11,IF(U128&lt;($F$11-$E$11)/($G$11-$E$11),$E$11+SQRT(U128*($G$11-$E$11)*($F$11-$E$11)),$G$11-SQRT((1-U128)*($G$11-$E$11)*($G$11-$F$11))))</f>
        <v>0.0931834068693984</v>
      </c>
      <c r="H128" s="39" t="n">
        <f aca="false">(('Business Case'!B11*$C128*'Business Case'!B12*$B128)-'Business Case'!B11*$C128*'Business Case'!B13*$D128-'Business Case'!B14*$E128)-MAX(0,(('Business Case'!B11*$C128*'Business Case'!B12*$B128)-'Business Case'!B11*$C128*'Business Case'!B13*$D128-'Business Case'!B14*$E128))*'Business Case'!$B$7-'Business Case'!$B$8*('Business Case'!B11*$C128*'Business Case'!B12*$B128)-'Business Case'!B15*$F128</f>
        <v>-1978231604.54859</v>
      </c>
      <c r="I128" s="39" t="n">
        <f aca="false">(('Business Case'!C11*$C128*'Business Case'!C12*$B128)-'Business Case'!C11*$C128*'Business Case'!C13*$D128-'Business Case'!C14*$E128)-MAX(0,(('Business Case'!C11*$C128*'Business Case'!C12*$B128)-'Business Case'!C11*$C128*'Business Case'!C13*$D128-'Business Case'!C14*$E128))*'Business Case'!$B$7-'Business Case'!$B$8*(('Business Case'!C11*$C128*'Business Case'!C12*$B128)-('Business Case'!B11*$C128*'Business Case'!B12*$B128))-'Business Case'!C15*$F128</f>
        <v>-89857647.7042334</v>
      </c>
      <c r="J128" s="39" t="n">
        <f aca="false">(('Business Case'!D11*$C128*'Business Case'!D12*$B128)-'Business Case'!D11*$C128*'Business Case'!D13*$D128-'Business Case'!D14*$E128)-MAX(0,(('Business Case'!D11*$C128*'Business Case'!D12*$B128)-'Business Case'!D11*$C128*'Business Case'!D13*$D128-'Business Case'!D14*$E128))*'Business Case'!$B$7-'Business Case'!$B$8*(('Business Case'!D11*$C128*'Business Case'!D12*$B128)-('Business Case'!C11*$C128*'Business Case'!C12*$B128))-'Business Case'!D15*$F128</f>
        <v>114993829.010412</v>
      </c>
      <c r="K128" s="39" t="n">
        <f aca="false">(('Business Case'!E11*$C128*'Business Case'!E12*$B128)-'Business Case'!E11*$C128*'Business Case'!E13*$D128-'Business Case'!E14*$E128)-MAX(0,(('Business Case'!E11*$C128*'Business Case'!E12*$B128)-'Business Case'!E11*$C128*'Business Case'!E13*$D128-'Business Case'!E14*$E128))*'Business Case'!$B$7-'Business Case'!$B$8*(('Business Case'!E11*$C128*'Business Case'!E12*$B128)-('Business Case'!D11*$C128*'Business Case'!D12*$B128))-'Business Case'!E15*$F128</f>
        <v>369301095.838772</v>
      </c>
      <c r="L128" s="39" t="n">
        <f aca="false">(('Business Case'!F11*$C128*'Business Case'!F12*$B128)-'Business Case'!F11*$C128*'Business Case'!F13*$D128-'Business Case'!F14*$E128)-MAX(0,(('Business Case'!F11*$C128*'Business Case'!F12*$B128)-'Business Case'!F11*$C128*'Business Case'!F13*$D128-'Business Case'!F14*$E128))*'Business Case'!$B$7-'Business Case'!$B$8*(('Business Case'!F11*$C128*'Business Case'!F12*$B128)-('Business Case'!E11*$C128*'Business Case'!E12*$B128))-'Business Case'!F15*$F128</f>
        <v>464389449.436284</v>
      </c>
      <c r="M128" s="39" t="n">
        <f aca="false">(('Business Case'!G11*$C128*'Business Case'!G12*$B128)-'Business Case'!G11*$C128*'Business Case'!G13*$D128-'Business Case'!G14*$E128)-MAX(0,(('Business Case'!G11*$C128*'Business Case'!G12*$B128)-'Business Case'!G11*$C128*'Business Case'!G13*$D128-'Business Case'!G14*$E128))*'Business Case'!$B$7-'Business Case'!$B$8*(('Business Case'!G11*$C128*'Business Case'!G12*$B128)-('Business Case'!F11*$C128*'Business Case'!F12*$B128))-'Business Case'!G15*$F128+'Business Case'!$B$8*('Business Case'!G11*$C128*'Business Case'!G12*$B128)</f>
        <v>611814353.579085</v>
      </c>
      <c r="N128" s="39" t="n">
        <f aca="false">IF(COUNT('Business Case'!B11:G11)=0,"",H128+NPV(G128,I128:M128))</f>
        <v>-964469365.470641</v>
      </c>
      <c r="P128" s="40" t="n">
        <f aca="true">RAND()</f>
        <v>0.205321060161946</v>
      </c>
      <c r="Q128" s="40" t="n">
        <f aca="true">RAND()</f>
        <v>0.0924522492939772</v>
      </c>
      <c r="R128" s="40" t="n">
        <f aca="true">RAND()</f>
        <v>0.725320402437305</v>
      </c>
      <c r="S128" s="40" t="n">
        <f aca="true">RAND()</f>
        <v>0.916875650554609</v>
      </c>
      <c r="T128" s="40" t="n">
        <f aca="true">RAND()</f>
        <v>0.10200306583744</v>
      </c>
      <c r="U128" s="40" t="n">
        <f aca="true">RAND()</f>
        <v>0.173802216684102</v>
      </c>
    </row>
    <row r="129" customFormat="false" ht="15" hidden="false" customHeight="false" outlineLevel="0" collapsed="false">
      <c r="A129" s="36" t="n">
        <v>49</v>
      </c>
      <c r="B129" s="37" t="n">
        <f aca="false">1+IF($G$6=$E$6,$F$6,IF(P129&lt;($F$6-$E$6)/($G$6-$E$6),$E$6+SQRT(P129*($G$6-$E$6)*($F$6-$E$6)),$G$6-SQRT((1-P129)*($G$6-$E$6)*($G$6-$F$6))))</f>
        <v>1.01491597605525</v>
      </c>
      <c r="C129" s="37" t="n">
        <f aca="false">1+IF($G$7=$E$7,$F$7,IF(Q129&lt;($F$7-$E$7)/($G$7-$E$7),$E$7+SQRT(Q129*($G$7-$E$7)*($F$7-$E$7)),$G$7-SQRT((1-Q129)*($G$7-$E$7)*($G$7-$F$7))))</f>
        <v>0.808531357922098</v>
      </c>
      <c r="D129" s="37" t="n">
        <f aca="false">1+IF($G$8=$E$8,$F$8,IF(R129&lt;($F$8-$E$8)/($G$8-$E$8),$E$8+SQRT(R129*($G$8-$E$8)*($F$8-$E$8)),$G$8-SQRT((1-R129)*($G$8-$E$8)*($G$8-$F$8))))</f>
        <v>1.07727328153443</v>
      </c>
      <c r="E129" s="37" t="n">
        <f aca="false">1+IF($G$9=$E$9,$F$9,IF(S129&lt;($F$9-$E$9)/($G$9-$E$9),$E$9+SQRT(S129*($G$9-$E$9)*($F$9-$E$9)),$G$9-SQRT((1-S129)*($G$9-$E$9)*($G$9-$F$9))))</f>
        <v>0.985925475591318</v>
      </c>
      <c r="F129" s="37" t="n">
        <f aca="false">1+IF($G$10=$E$10,$F$10,IF(T129&lt;($F$10-$E$10)/($G$10-$E$10),$E$10+SQRT(T129*($G$10-$E$10)*($F$10-$E$10)),$G$10-SQRT((1-T129)*($G$10-$E$10)*($G$10-$F$10))))</f>
        <v>1.19827826393837</v>
      </c>
      <c r="G129" s="38" t="n">
        <f aca="false">IF($G$11=$E$11,$F$11,IF(U129&lt;($F$11-$E$11)/($G$11-$E$11),$E$11+SQRT(U129*($G$11-$E$11)*($F$11-$E$11)),$G$11-SQRT((1-U129)*($G$11-$E$11)*($G$11-$F$11))))</f>
        <v>0.0934064508818245</v>
      </c>
      <c r="H129" s="39" t="n">
        <f aca="false">(('Business Case'!B11*$C129*'Business Case'!B12*$B129)-'Business Case'!B11*$C129*'Business Case'!B13*$D129-'Business Case'!B14*$E129)-MAX(0,(('Business Case'!B11*$C129*'Business Case'!B12*$B129)-'Business Case'!B11*$C129*'Business Case'!B13*$D129-'Business Case'!B14*$E129))*'Business Case'!$B$7-'Business Case'!$B$8*('Business Case'!B11*$C129*'Business Case'!B12*$B129)-'Business Case'!B15*$F129</f>
        <v>-2396556527.87673</v>
      </c>
      <c r="I129" s="39" t="n">
        <f aca="false">(('Business Case'!C11*$C129*'Business Case'!C12*$B129)-'Business Case'!C11*$C129*'Business Case'!C13*$D129-'Business Case'!C14*$E129)-MAX(0,(('Business Case'!C11*$C129*'Business Case'!C12*$B129)-'Business Case'!C11*$C129*'Business Case'!C13*$D129-'Business Case'!C14*$E129))*'Business Case'!$B$7-'Business Case'!$B$8*(('Business Case'!C11*$C129*'Business Case'!C12*$B129)-('Business Case'!B11*$C129*'Business Case'!B12*$B129))-'Business Case'!C15*$F129</f>
        <v>-76329498.5261214</v>
      </c>
      <c r="J129" s="39" t="n">
        <f aca="false">(('Business Case'!D11*$C129*'Business Case'!D12*$B129)-'Business Case'!D11*$C129*'Business Case'!D13*$D129-'Business Case'!D14*$E129)-MAX(0,(('Business Case'!D11*$C129*'Business Case'!D12*$B129)-'Business Case'!D11*$C129*'Business Case'!D13*$D129-'Business Case'!D14*$E129))*'Business Case'!$B$7-'Business Case'!$B$8*(('Business Case'!D11*$C129*'Business Case'!D12*$B129)-('Business Case'!C11*$C129*'Business Case'!C12*$B129))-'Business Case'!D15*$F129</f>
        <v>149906889.747344</v>
      </c>
      <c r="K129" s="39" t="n">
        <f aca="false">(('Business Case'!E11*$C129*'Business Case'!E12*$B129)-'Business Case'!E11*$C129*'Business Case'!E13*$D129-'Business Case'!E14*$E129)-MAX(0,(('Business Case'!E11*$C129*'Business Case'!E12*$B129)-'Business Case'!E11*$C129*'Business Case'!E13*$D129-'Business Case'!E14*$E129))*'Business Case'!$B$7-'Business Case'!$B$8*(('Business Case'!E11*$C129*'Business Case'!E12*$B129)-('Business Case'!D11*$C129*'Business Case'!D12*$B129))-'Business Case'!E15*$F129</f>
        <v>436057191.217729</v>
      </c>
      <c r="L129" s="39" t="n">
        <f aca="false">(('Business Case'!F11*$C129*'Business Case'!F12*$B129)-'Business Case'!F11*$C129*'Business Case'!F13*$D129-'Business Case'!F14*$E129)-MAX(0,(('Business Case'!F11*$C129*'Business Case'!F12*$B129)-'Business Case'!F11*$C129*'Business Case'!F13*$D129-'Business Case'!F14*$E129))*'Business Case'!$B$7-'Business Case'!$B$8*(('Business Case'!F11*$C129*'Business Case'!F12*$B129)-('Business Case'!E11*$C129*'Business Case'!E12*$B129))-'Business Case'!F15*$F129</f>
        <v>539828959.159994</v>
      </c>
      <c r="M129" s="39" t="n">
        <f aca="false">(('Business Case'!G11*$C129*'Business Case'!G12*$B129)-'Business Case'!G11*$C129*'Business Case'!G13*$D129-'Business Case'!G14*$E129)-MAX(0,(('Business Case'!G11*$C129*'Business Case'!G12*$B129)-'Business Case'!G11*$C129*'Business Case'!G13*$D129-'Business Case'!G14*$E129))*'Business Case'!$B$7-'Business Case'!$B$8*(('Business Case'!G11*$C129*'Business Case'!G12*$B129)-('Business Case'!F11*$C129*'Business Case'!F12*$B129))-'Business Case'!G15*$F129+'Business Case'!$B$8*('Business Case'!G11*$C129*'Business Case'!G12*$B129)</f>
        <v>695806971.007767</v>
      </c>
      <c r="N129" s="39" t="n">
        <f aca="false">IF(COUNT('Business Case'!B11:G11)=0,"",H129+NPV(G129,I129:M129))</f>
        <v>-1184486830.04925</v>
      </c>
      <c r="P129" s="40" t="n">
        <f aca="true">RAND()</f>
        <v>0.83588150184592</v>
      </c>
      <c r="Q129" s="40" t="n">
        <f aca="true">RAND()</f>
        <v>0.0872522640919593</v>
      </c>
      <c r="R129" s="40" t="n">
        <f aca="true">RAND()</f>
        <v>0.965566417852446</v>
      </c>
      <c r="S129" s="40" t="n">
        <f aca="true">RAND()</f>
        <v>0.295327494223764</v>
      </c>
      <c r="T129" s="40" t="n">
        <f aca="true">RAND()</f>
        <v>0.964331493583609</v>
      </c>
      <c r="U129" s="40" t="n">
        <f aca="true">RAND()</f>
        <v>0.179732925246772</v>
      </c>
    </row>
    <row r="130" customFormat="false" ht="15" hidden="false" customHeight="false" outlineLevel="0" collapsed="false">
      <c r="A130" s="36" t="n">
        <v>50</v>
      </c>
      <c r="B130" s="37" t="n">
        <f aca="false">1+IF($G$6=$E$6,$F$6,IF(P130&lt;($F$6-$E$6)/($G$6-$E$6),$E$6+SQRT(P130*($G$6-$E$6)*($F$6-$E$6)),$G$6-SQRT((1-P130)*($G$6-$E$6)*($G$6-$F$6))))</f>
        <v>0.98177649553118</v>
      </c>
      <c r="C130" s="37" t="n">
        <f aca="false">1+IF($G$7=$E$7,$F$7,IF(Q130&lt;($F$7-$E$7)/($G$7-$E$7),$E$7+SQRT(Q130*($G$7-$E$7)*($F$7-$E$7)),$G$7-SQRT((1-Q130)*($G$7-$E$7)*($G$7-$F$7))))</f>
        <v>0.939632791501525</v>
      </c>
      <c r="D130" s="37" t="n">
        <f aca="false">1+IF($G$8=$E$8,$F$8,IF(R130&lt;($F$8-$E$8)/($G$8-$E$8),$E$8+SQRT(R130*($G$8-$E$8)*($F$8-$E$8)),$G$8-SQRT((1-R130)*($G$8-$E$8)*($G$8-$F$8))))</f>
        <v>1.06508695513859</v>
      </c>
      <c r="E130" s="37" t="n">
        <f aca="false">1+IF($G$9=$E$9,$F$9,IF(S130&lt;($F$9-$E$9)/($G$9-$E$9),$E$9+SQRT(S130*($G$9-$E$9)*($F$9-$E$9)),$G$9-SQRT((1-S130)*($G$9-$E$9)*($G$9-$F$9))))</f>
        <v>1.11460923019379</v>
      </c>
      <c r="F130" s="37" t="n">
        <f aca="false">1+IF($G$10=$E$10,$F$10,IF(T130&lt;($F$10-$E$10)/($G$10-$E$10),$E$10+SQRT(T130*($G$10-$E$10)*($F$10-$E$10)),$G$10-SQRT((1-T130)*($G$10-$E$10)*($G$10-$F$10))))</f>
        <v>1.11514964742637</v>
      </c>
      <c r="G130" s="38" t="n">
        <f aca="false">IF($G$11=$E$11,$F$11,IF(U130&lt;($F$11-$E$11)/($G$11-$E$11),$E$11+SQRT(U130*($G$11-$E$11)*($F$11-$E$11)),$G$11-SQRT((1-U130)*($G$11-$E$11)*($G$11-$F$11))))</f>
        <v>0.0963695416014501</v>
      </c>
      <c r="H130" s="39" t="n">
        <f aca="false">(('Business Case'!B11*$C130*'Business Case'!B12*$B130)-'Business Case'!B11*$C130*'Business Case'!B13*$D130-'Business Case'!B14*$E130)-MAX(0,(('Business Case'!B11*$C130*'Business Case'!B12*$B130)-'Business Case'!B11*$C130*'Business Case'!B13*$D130-'Business Case'!B14*$E130))*'Business Case'!$B$7-'Business Case'!$B$8*('Business Case'!B11*$C130*'Business Case'!B12*$B130)-'Business Case'!B15*$F130</f>
        <v>-2230299294.85273</v>
      </c>
      <c r="I130" s="39" t="n">
        <f aca="false">(('Business Case'!C11*$C130*'Business Case'!C12*$B130)-'Business Case'!C11*$C130*'Business Case'!C13*$D130-'Business Case'!C14*$E130)-MAX(0,(('Business Case'!C11*$C130*'Business Case'!C12*$B130)-'Business Case'!C11*$C130*'Business Case'!C13*$D130-'Business Case'!C14*$E130))*'Business Case'!$B$7-'Business Case'!$B$8*(('Business Case'!C11*$C130*'Business Case'!C12*$B130)-('Business Case'!B11*$C130*'Business Case'!B12*$B130))-'Business Case'!C15*$F130</f>
        <v>-74558412.3580975</v>
      </c>
      <c r="J130" s="39" t="n">
        <f aca="false">(('Business Case'!D11*$C130*'Business Case'!D12*$B130)-'Business Case'!D11*$C130*'Business Case'!D13*$D130-'Business Case'!D14*$E130)-MAX(0,(('Business Case'!D11*$C130*'Business Case'!D12*$B130)-'Business Case'!D11*$C130*'Business Case'!D13*$D130-'Business Case'!D14*$E130))*'Business Case'!$B$7-'Business Case'!$B$8*(('Business Case'!D11*$C130*'Business Case'!D12*$B130)-('Business Case'!C11*$C130*'Business Case'!C12*$B130))-'Business Case'!D15*$F130</f>
        <v>168718459.292319</v>
      </c>
      <c r="K130" s="39" t="n">
        <f aca="false">(('Business Case'!E11*$C130*'Business Case'!E12*$B130)-'Business Case'!E11*$C130*'Business Case'!E13*$D130-'Business Case'!E14*$E130)-MAX(0,(('Business Case'!E11*$C130*'Business Case'!E12*$B130)-'Business Case'!E11*$C130*'Business Case'!E13*$D130-'Business Case'!E14*$E130))*'Business Case'!$B$7-'Business Case'!$B$8*(('Business Case'!E11*$C130*'Business Case'!E12*$B130)-('Business Case'!D11*$C130*'Business Case'!D12*$B130))-'Business Case'!E15*$F130</f>
        <v>467752813.314053</v>
      </c>
      <c r="L130" s="39" t="n">
        <f aca="false">(('Business Case'!F11*$C130*'Business Case'!F12*$B130)-'Business Case'!F11*$C130*'Business Case'!F13*$D130-'Business Case'!F14*$E130)-MAX(0,(('Business Case'!F11*$C130*'Business Case'!F12*$B130)-'Business Case'!F11*$C130*'Business Case'!F13*$D130-'Business Case'!F14*$E130))*'Business Case'!$B$7-'Business Case'!$B$8*(('Business Case'!F11*$C130*'Business Case'!F12*$B130)-('Business Case'!E11*$C130*'Business Case'!E12*$B130))-'Business Case'!F15*$F130</f>
        <v>580727028.352405</v>
      </c>
      <c r="M130" s="39" t="n">
        <f aca="false">(('Business Case'!G11*$C130*'Business Case'!G12*$B130)-'Business Case'!G11*$C130*'Business Case'!G13*$D130-'Business Case'!G14*$E130)-MAX(0,(('Business Case'!G11*$C130*'Business Case'!G12*$B130)-'Business Case'!G11*$C130*'Business Case'!G13*$D130-'Business Case'!G14*$E130))*'Business Case'!$B$7-'Business Case'!$B$8*(('Business Case'!G11*$C130*'Business Case'!G12*$B130)-('Business Case'!F11*$C130*'Business Case'!F12*$B130))-'Business Case'!G15*$F130+'Business Case'!$B$8*('Business Case'!G11*$C130*'Business Case'!G12*$B130)</f>
        <v>756077613.037579</v>
      </c>
      <c r="N130" s="39" t="n">
        <f aca="false">IF(COUNT('Business Case'!B11:G11)=0,"",H130+NPV(G130,I130:M130))</f>
        <v>-923796703.531601</v>
      </c>
      <c r="P130" s="40" t="n">
        <f aca="true">RAND()</f>
        <v>0.445826348090741</v>
      </c>
      <c r="Q130" s="40" t="n">
        <f aca="true">RAND()</f>
        <v>0.425362035280098</v>
      </c>
      <c r="R130" s="40" t="n">
        <f aca="true">RAND()</f>
        <v>0.918738619900343</v>
      </c>
      <c r="S130" s="40" t="n">
        <f aca="true">RAND()</f>
        <v>0.966599824333966</v>
      </c>
      <c r="T130" s="40" t="n">
        <f aca="true">RAND()</f>
        <v>0.757538432143557</v>
      </c>
      <c r="U130" s="40" t="n">
        <f aca="true">RAND()</f>
        <v>0.267961892241606</v>
      </c>
    </row>
    <row r="131" customFormat="false" ht="15" hidden="false" customHeight="false" outlineLevel="0" collapsed="false">
      <c r="A131" s="36" t="n">
        <v>51</v>
      </c>
      <c r="B131" s="37" t="n">
        <f aca="false">1+IF($G$6=$E$6,$F$6,IF(P131&lt;($F$6-$E$6)/($G$6-$E$6),$E$6+SQRT(P131*($G$6-$E$6)*($F$6-$E$6)),$G$6-SQRT((1-P131)*($G$6-$E$6)*($G$6-$F$6))))</f>
        <v>0.991840161687535</v>
      </c>
      <c r="C131" s="37" t="n">
        <f aca="false">1+IF($G$7=$E$7,$F$7,IF(Q131&lt;($F$7-$E$7)/($G$7-$E$7),$E$7+SQRT(Q131*($G$7-$E$7)*($F$7-$E$7)),$G$7-SQRT((1-Q131)*($G$7-$E$7)*($G$7-$F$7))))</f>
        <v>0.971872642975572</v>
      </c>
      <c r="D131" s="37" t="n">
        <f aca="false">1+IF($G$8=$E$8,$F$8,IF(R131&lt;($F$8-$E$8)/($G$8-$E$8),$E$8+SQRT(R131*($G$8-$E$8)*($F$8-$E$8)),$G$8-SQRT((1-R131)*($G$8-$E$8)*($G$8-$F$8))))</f>
        <v>1.00146534974263</v>
      </c>
      <c r="E131" s="37" t="n">
        <f aca="false">1+IF($G$9=$E$9,$F$9,IF(S131&lt;($F$9-$E$9)/($G$9-$E$9),$E$9+SQRT(S131*($G$9-$E$9)*($F$9-$E$9)),$G$9-SQRT((1-S131)*($G$9-$E$9)*($G$9-$F$9))))</f>
        <v>0.962565697127065</v>
      </c>
      <c r="F131" s="37" t="n">
        <f aca="false">1+IF($G$10=$E$10,$F$10,IF(T131&lt;($F$10-$E$10)/($G$10-$E$10),$E$10+SQRT(T131*($G$10-$E$10)*($F$10-$E$10)),$G$10-SQRT((1-T131)*($G$10-$E$10)*($G$10-$F$10))))</f>
        <v>0.997633141501013</v>
      </c>
      <c r="G131" s="38" t="n">
        <f aca="false">IF($G$11=$E$11,$F$11,IF(U131&lt;($F$11-$E$11)/($G$11-$E$11),$E$11+SQRT(U131*($G$11-$E$11)*($F$11-$E$11)),$G$11-SQRT((1-U131)*($G$11-$E$11)*($G$11-$F$11))))</f>
        <v>0.111643421842135</v>
      </c>
      <c r="H131" s="39" t="n">
        <f aca="false">(('Business Case'!B11*$C131*'Business Case'!B12*$B131)-'Business Case'!B11*$C131*'Business Case'!B13*$D131-'Business Case'!B14*$E131)-MAX(0,(('Business Case'!B11*$C131*'Business Case'!B12*$B131)-'Business Case'!B11*$C131*'Business Case'!B13*$D131-'Business Case'!B14*$E131))*'Business Case'!$B$7-'Business Case'!$B$8*('Business Case'!B11*$C131*'Business Case'!B12*$B131)-'Business Case'!B15*$F131</f>
        <v>-1995266283.00203</v>
      </c>
      <c r="I131" s="39" t="n">
        <f aca="false">(('Business Case'!C11*$C131*'Business Case'!C12*$B131)-'Business Case'!C11*$C131*'Business Case'!C13*$D131-'Business Case'!C14*$E131)-MAX(0,(('Business Case'!C11*$C131*'Business Case'!C12*$B131)-'Business Case'!C11*$C131*'Business Case'!C13*$D131-'Business Case'!C14*$E131))*'Business Case'!$B$7-'Business Case'!$B$8*(('Business Case'!C11*$C131*'Business Case'!C12*$B131)-('Business Case'!B11*$C131*'Business Case'!B12*$B131))-'Business Case'!C15*$F131</f>
        <v>4677151.55194224</v>
      </c>
      <c r="J131" s="39" t="n">
        <f aca="false">(('Business Case'!D11*$C131*'Business Case'!D12*$B131)-'Business Case'!D11*$C131*'Business Case'!D13*$D131-'Business Case'!D14*$E131)-MAX(0,(('Business Case'!D11*$C131*'Business Case'!D12*$B131)-'Business Case'!D11*$C131*'Business Case'!D13*$D131-'Business Case'!D14*$E131))*'Business Case'!$B$7-'Business Case'!$B$8*(('Business Case'!D11*$C131*'Business Case'!D12*$B131)-('Business Case'!C11*$C131*'Business Case'!C12*$B131))-'Business Case'!D15*$F131</f>
        <v>295965229.220485</v>
      </c>
      <c r="K131" s="39" t="n">
        <f aca="false">(('Business Case'!E11*$C131*'Business Case'!E12*$B131)-'Business Case'!E11*$C131*'Business Case'!E13*$D131-'Business Case'!E14*$E131)-MAX(0,(('Business Case'!E11*$C131*'Business Case'!E12*$B131)-'Business Case'!E11*$C131*'Business Case'!E13*$D131-'Business Case'!E14*$E131))*'Business Case'!$B$7-'Business Case'!$B$8*(('Business Case'!E11*$C131*'Business Case'!E12*$B131)-('Business Case'!D11*$C131*'Business Case'!D12*$B131))-'Business Case'!E15*$F131</f>
        <v>637134963.964079</v>
      </c>
      <c r="L131" s="39" t="n">
        <f aca="false">(('Business Case'!F11*$C131*'Business Case'!F12*$B131)-'Business Case'!F11*$C131*'Business Case'!F13*$D131-'Business Case'!F14*$E131)-MAX(0,(('Business Case'!F11*$C131*'Business Case'!F12*$B131)-'Business Case'!F11*$C131*'Business Case'!F13*$D131-'Business Case'!F14*$E131))*'Business Case'!$B$7-'Business Case'!$B$8*(('Business Case'!F11*$C131*'Business Case'!F12*$B131)-('Business Case'!E11*$C131*'Business Case'!E12*$B131))-'Business Case'!F15*$F131</f>
        <v>767544836.41028</v>
      </c>
      <c r="M131" s="39" t="n">
        <f aca="false">(('Business Case'!G11*$C131*'Business Case'!G12*$B131)-'Business Case'!G11*$C131*'Business Case'!G13*$D131-'Business Case'!G14*$E131)-MAX(0,(('Business Case'!G11*$C131*'Business Case'!G12*$B131)-'Business Case'!G11*$C131*'Business Case'!G13*$D131-'Business Case'!G14*$E131))*'Business Case'!$B$7-'Business Case'!$B$8*(('Business Case'!G11*$C131*'Business Case'!G12*$B131)-('Business Case'!F11*$C131*'Business Case'!F12*$B131))-'Business Case'!G15*$F131+'Business Case'!$B$8*('Business Case'!G11*$C131*'Business Case'!G12*$B131)</f>
        <v>950770992.472058</v>
      </c>
      <c r="N131" s="39" t="n">
        <f aca="false">IF(COUNT('Business Case'!B11:G11)=0,"",H131+NPV(G131,I131:M131))</f>
        <v>-225051933.481076</v>
      </c>
      <c r="P131" s="40" t="n">
        <f aca="true">RAND()</f>
        <v>0.56230768658617</v>
      </c>
      <c r="Q131" s="40" t="n">
        <f aca="true">RAND()</f>
        <v>0.547516548137205</v>
      </c>
      <c r="R131" s="40" t="n">
        <f aca="true">RAND()</f>
        <v>0.352728179910452</v>
      </c>
      <c r="S131" s="40" t="n">
        <f aca="true">RAND()</f>
        <v>0.156578658279827</v>
      </c>
      <c r="T131" s="40" t="n">
        <f aca="true">RAND()</f>
        <v>0.15126107795037</v>
      </c>
      <c r="U131" s="40" t="n">
        <f aca="true">RAND()</f>
        <v>0.775357358889471</v>
      </c>
    </row>
    <row r="132" customFormat="false" ht="15" hidden="false" customHeight="false" outlineLevel="0" collapsed="false">
      <c r="A132" s="36" t="n">
        <v>52</v>
      </c>
      <c r="B132" s="37" t="n">
        <f aca="false">1+IF($G$6=$E$6,$F$6,IF(P132&lt;($F$6-$E$6)/($G$6-$E$6),$E$6+SQRT(P132*($G$6-$E$6)*($F$6-$E$6)),$G$6-SQRT((1-P132)*($G$6-$E$6)*($G$6-$F$6))))</f>
        <v>1.00069792056821</v>
      </c>
      <c r="C132" s="37" t="n">
        <f aca="false">1+IF($G$7=$E$7,$F$7,IF(Q132&lt;($F$7-$E$7)/($G$7-$E$7),$E$7+SQRT(Q132*($G$7-$E$7)*($F$7-$E$7)),$G$7-SQRT((1-Q132)*($G$7-$E$7)*($G$7-$F$7))))</f>
        <v>0.884436231551687</v>
      </c>
      <c r="D132" s="37" t="n">
        <f aca="false">1+IF($G$8=$E$8,$F$8,IF(R132&lt;($F$8-$E$8)/($G$8-$E$8),$E$8+SQRT(R132*($G$8-$E$8)*($F$8-$E$8)),$G$8-SQRT((1-R132)*($G$8-$E$8)*($G$8-$F$8))))</f>
        <v>0.969113449719228</v>
      </c>
      <c r="E132" s="37" t="n">
        <f aca="false">1+IF($G$9=$E$9,$F$9,IF(S132&lt;($F$9-$E$9)/($G$9-$E$9),$E$9+SQRT(S132*($G$9-$E$9)*($F$9-$E$9)),$G$9-SQRT((1-S132)*($G$9-$E$9)*($G$9-$F$9))))</f>
        <v>1.07424541314098</v>
      </c>
      <c r="F132" s="37" t="n">
        <f aca="false">1+IF($G$10=$E$10,$F$10,IF(T132&lt;($F$10-$E$10)/($G$10-$E$10),$E$10+SQRT(T132*($G$10-$E$10)*($F$10-$E$10)),$G$10-SQRT((1-T132)*($G$10-$E$10)*($G$10-$F$10))))</f>
        <v>1.11678062880922</v>
      </c>
      <c r="G132" s="38" t="n">
        <f aca="false">IF($G$11=$E$11,$F$11,IF(U132&lt;($F$11-$E$11)/($G$11-$E$11),$E$11+SQRT(U132*($G$11-$E$11)*($F$11-$E$11)),$G$11-SQRT((1-U132)*($G$11-$E$11)*($G$11-$F$11))))</f>
        <v>0.11757549202982</v>
      </c>
      <c r="H132" s="39" t="n">
        <f aca="false">(('Business Case'!B11*$C132*'Business Case'!B12*$B132)-'Business Case'!B11*$C132*'Business Case'!B13*$D132-'Business Case'!B14*$E132)-MAX(0,(('Business Case'!B11*$C132*'Business Case'!B12*$B132)-'Business Case'!B11*$C132*'Business Case'!B13*$D132-'Business Case'!B14*$E132))*'Business Case'!$B$7-'Business Case'!$B$8*('Business Case'!B11*$C132*'Business Case'!B12*$B132)-'Business Case'!B15*$F132</f>
        <v>-2233561257.61845</v>
      </c>
      <c r="I132" s="39" t="n">
        <f aca="false">(('Business Case'!C11*$C132*'Business Case'!C12*$B132)-'Business Case'!C11*$C132*'Business Case'!C13*$D132-'Business Case'!C14*$E132)-MAX(0,(('Business Case'!C11*$C132*'Business Case'!C12*$B132)-'Business Case'!C11*$C132*'Business Case'!C13*$D132-'Business Case'!C14*$E132))*'Business Case'!$B$7-'Business Case'!$B$8*(('Business Case'!C11*$C132*'Business Case'!C12*$B132)-('Business Case'!B11*$C132*'Business Case'!B12*$B132))-'Business Case'!C15*$F132</f>
        <v>-24170778.1670119</v>
      </c>
      <c r="J132" s="39" t="n">
        <f aca="false">(('Business Case'!D11*$C132*'Business Case'!D12*$B132)-'Business Case'!D11*$C132*'Business Case'!D13*$D132-'Business Case'!D14*$E132)-MAX(0,(('Business Case'!D11*$C132*'Business Case'!D12*$B132)-'Business Case'!D11*$C132*'Business Case'!D13*$D132-'Business Case'!D14*$E132))*'Business Case'!$B$7-'Business Case'!$B$8*(('Business Case'!D11*$C132*'Business Case'!D12*$B132)-('Business Case'!C11*$C132*'Business Case'!C12*$B132))-'Business Case'!D15*$F132</f>
        <v>261975377.620926</v>
      </c>
      <c r="K132" s="39" t="n">
        <f aca="false">(('Business Case'!E11*$C132*'Business Case'!E12*$B132)-'Business Case'!E11*$C132*'Business Case'!E13*$D132-'Business Case'!E14*$E132)-MAX(0,(('Business Case'!E11*$C132*'Business Case'!E12*$B132)-'Business Case'!E11*$C132*'Business Case'!E13*$D132-'Business Case'!E14*$E132))*'Business Case'!$B$7-'Business Case'!$B$8*(('Business Case'!E11*$C132*'Business Case'!E12*$B132)-('Business Case'!D11*$C132*'Business Case'!D12*$B132))-'Business Case'!E15*$F132</f>
        <v>603960564.849325</v>
      </c>
      <c r="L132" s="39" t="n">
        <f aca="false">(('Business Case'!F11*$C132*'Business Case'!F12*$B132)-'Business Case'!F11*$C132*'Business Case'!F13*$D132-'Business Case'!F14*$E132)-MAX(0,(('Business Case'!F11*$C132*'Business Case'!F12*$B132)-'Business Case'!F11*$C132*'Business Case'!F13*$D132-'Business Case'!F14*$E132))*'Business Case'!$B$7-'Business Case'!$B$8*(('Business Case'!F11*$C132*'Business Case'!F12*$B132)-('Business Case'!E11*$C132*'Business Case'!E12*$B132))-'Business Case'!F15*$F132</f>
        <v>729930065.662224</v>
      </c>
      <c r="M132" s="39" t="n">
        <f aca="false">(('Business Case'!G11*$C132*'Business Case'!G12*$B132)-'Business Case'!G11*$C132*'Business Case'!G13*$D132-'Business Case'!G14*$E132)-MAX(0,(('Business Case'!G11*$C132*'Business Case'!G12*$B132)-'Business Case'!G11*$C132*'Business Case'!G13*$D132-'Business Case'!G14*$E132))*'Business Case'!$B$7-'Business Case'!$B$8*(('Business Case'!G11*$C132*'Business Case'!G12*$B132)-('Business Case'!F11*$C132*'Business Case'!F12*$B132))-'Business Case'!G15*$F132+'Business Case'!$B$8*('Business Case'!G11*$C132*'Business Case'!G12*$B132)</f>
        <v>898161034.521949</v>
      </c>
      <c r="N132" s="39" t="n">
        <f aca="false">IF(COUNT('Business Case'!B11:G11)=0,"",H132+NPV(G132,I132:M132))</f>
        <v>-629630486.032868</v>
      </c>
      <c r="P132" s="40" t="n">
        <f aca="true">RAND()</f>
        <v>0.675907328493552</v>
      </c>
      <c r="Q132" s="40" t="n">
        <f aca="true">RAND()</f>
        <v>0.251975729696204</v>
      </c>
      <c r="R132" s="40" t="n">
        <f aca="true">RAND()</f>
        <v>0.0487098613559258</v>
      </c>
      <c r="S132" s="40" t="n">
        <f aca="true">RAND()</f>
        <v>0.846966468528525</v>
      </c>
      <c r="T132" s="40" t="n">
        <f aca="true">RAND()</f>
        <v>0.763367988527119</v>
      </c>
      <c r="U132" s="40" t="n">
        <f aca="true">RAND()</f>
        <v>0.897087734465954</v>
      </c>
    </row>
    <row r="133" customFormat="false" ht="15" hidden="false" customHeight="false" outlineLevel="0" collapsed="false">
      <c r="A133" s="36" t="n">
        <v>53</v>
      </c>
      <c r="B133" s="37" t="n">
        <f aca="false">1+IF($G$6=$E$6,$F$6,IF(P133&lt;($F$6-$E$6)/($G$6-$E$6),$E$6+SQRT(P133*($G$6-$E$6)*($F$6-$E$6)),$G$6-SQRT((1-P133)*($G$6-$E$6)*($G$6-$F$6))))</f>
        <v>0.963649065717855</v>
      </c>
      <c r="C133" s="37" t="n">
        <f aca="false">1+IF($G$7=$E$7,$F$7,IF(Q133&lt;($F$7-$E$7)/($G$7-$E$7),$E$7+SQRT(Q133*($G$7-$E$7)*($F$7-$E$7)),$G$7-SQRT((1-Q133)*($G$7-$E$7)*($G$7-$F$7))))</f>
        <v>0.853173848617442</v>
      </c>
      <c r="D133" s="37" t="n">
        <f aca="false">1+IF($G$8=$E$8,$F$8,IF(R133&lt;($F$8-$E$8)/($G$8-$E$8),$E$8+SQRT(R133*($G$8-$E$8)*($F$8-$E$8)),$G$8-SQRT((1-R133)*($G$8-$E$8)*($G$8-$F$8))))</f>
        <v>1.00460914682318</v>
      </c>
      <c r="E133" s="37" t="n">
        <f aca="false">1+IF($G$9=$E$9,$F$9,IF(S133&lt;($F$9-$E$9)/($G$9-$E$9),$E$9+SQRT(S133*($G$9-$E$9)*($F$9-$E$9)),$G$9-SQRT((1-S133)*($G$9-$E$9)*($G$9-$F$9))))</f>
        <v>0.955145586168555</v>
      </c>
      <c r="F133" s="37" t="n">
        <f aca="false">1+IF($G$10=$E$10,$F$10,IF(T133&lt;($F$10-$E$10)/($G$10-$E$10),$E$10+SQRT(T133*($G$10-$E$10)*($F$10-$E$10)),$G$10-SQRT((1-T133)*($G$10-$E$10)*($G$10-$F$10))))</f>
        <v>0.981038359858652</v>
      </c>
      <c r="G133" s="38" t="n">
        <f aca="false">IF($G$11=$E$11,$F$11,IF(U133&lt;($F$11-$E$11)/($G$11-$E$11),$E$11+SQRT(U133*($G$11-$E$11)*($F$11-$E$11)),$G$11-SQRT((1-U133)*($G$11-$E$11)*($G$11-$F$11))))</f>
        <v>0.101892904045296</v>
      </c>
      <c r="H133" s="39" t="n">
        <f aca="false">(('Business Case'!B11*$C133*'Business Case'!B12*$B133)-'Business Case'!B11*$C133*'Business Case'!B13*$D133-'Business Case'!B14*$E133)-MAX(0,(('Business Case'!B11*$C133*'Business Case'!B12*$B133)-'Business Case'!B11*$C133*'Business Case'!B13*$D133-'Business Case'!B14*$E133))*'Business Case'!$B$7-'Business Case'!$B$8*('Business Case'!B11*$C133*'Business Case'!B12*$B133)-'Business Case'!B15*$F133</f>
        <v>-1962076719.7173</v>
      </c>
      <c r="I133" s="39" t="n">
        <f aca="false">(('Business Case'!C11*$C133*'Business Case'!C12*$B133)-'Business Case'!C11*$C133*'Business Case'!C13*$D133-'Business Case'!C14*$E133)-MAX(0,(('Business Case'!C11*$C133*'Business Case'!C12*$B133)-'Business Case'!C11*$C133*'Business Case'!C13*$D133-'Business Case'!C14*$E133))*'Business Case'!$B$7-'Business Case'!$B$8*(('Business Case'!C11*$C133*'Business Case'!C12*$B133)-('Business Case'!B11*$C133*'Business Case'!B12*$B133))-'Business Case'!C15*$F133</f>
        <v>-41907770.0958533</v>
      </c>
      <c r="J133" s="39" t="n">
        <f aca="false">(('Business Case'!D11*$C133*'Business Case'!D12*$B133)-'Business Case'!D11*$C133*'Business Case'!D13*$D133-'Business Case'!D14*$E133)-MAX(0,(('Business Case'!D11*$C133*'Business Case'!D12*$B133)-'Business Case'!D11*$C133*'Business Case'!D13*$D133-'Business Case'!D14*$E133))*'Business Case'!$B$7-'Business Case'!$B$8*(('Business Case'!D11*$C133*'Business Case'!D12*$B133)-('Business Case'!C11*$C133*'Business Case'!C12*$B133))-'Business Case'!D15*$F133</f>
        <v>192730781.988174</v>
      </c>
      <c r="K133" s="39" t="n">
        <f aca="false">(('Business Case'!E11*$C133*'Business Case'!E12*$B133)-'Business Case'!E11*$C133*'Business Case'!E13*$D133-'Business Case'!E14*$E133)-MAX(0,(('Business Case'!E11*$C133*'Business Case'!E12*$B133)-'Business Case'!E11*$C133*'Business Case'!E13*$D133-'Business Case'!E14*$E133))*'Business Case'!$B$7-'Business Case'!$B$8*(('Business Case'!E11*$C133*'Business Case'!E12*$B133)-('Business Case'!D11*$C133*'Business Case'!D12*$B133))-'Business Case'!E15*$F133</f>
        <v>476421252.065134</v>
      </c>
      <c r="L133" s="39" t="n">
        <f aca="false">(('Business Case'!F11*$C133*'Business Case'!F12*$B133)-'Business Case'!F11*$C133*'Business Case'!F13*$D133-'Business Case'!F14*$E133)-MAX(0,(('Business Case'!F11*$C133*'Business Case'!F12*$B133)-'Business Case'!F11*$C133*'Business Case'!F13*$D133-'Business Case'!F14*$E133))*'Business Case'!$B$7-'Business Case'!$B$8*(('Business Case'!F11*$C133*'Business Case'!F12*$B133)-('Business Case'!E11*$C133*'Business Case'!E12*$B133))-'Business Case'!F15*$F133</f>
        <v>583047958.653708</v>
      </c>
      <c r="M133" s="39" t="n">
        <f aca="false">(('Business Case'!G11*$C133*'Business Case'!G12*$B133)-'Business Case'!G11*$C133*'Business Case'!G13*$D133-'Business Case'!G14*$E133)-MAX(0,(('Business Case'!G11*$C133*'Business Case'!G12*$B133)-'Business Case'!G11*$C133*'Business Case'!G13*$D133-'Business Case'!G14*$E133))*'Business Case'!$B$7-'Business Case'!$B$8*(('Business Case'!G11*$C133*'Business Case'!G12*$B133)-('Business Case'!F11*$C133*'Business Case'!F12*$B133))-'Business Case'!G15*$F133+'Business Case'!$B$8*('Business Case'!G11*$C133*'Business Case'!G12*$B133)</f>
        <v>739324166.070147</v>
      </c>
      <c r="N133" s="39" t="n">
        <f aca="false">IF(COUNT('Business Case'!B11:G11)=0,"",H133+NPV(G133,I133:M133))</f>
        <v>-634640719.700964</v>
      </c>
      <c r="P133" s="40" t="n">
        <f aca="true">RAND()</f>
        <v>0.270080237783721</v>
      </c>
      <c r="Q133" s="40" t="n">
        <f aca="true">RAND()</f>
        <v>0.173794280742807</v>
      </c>
      <c r="R133" s="40" t="n">
        <f aca="true">RAND()</f>
        <v>0.393372342013277</v>
      </c>
      <c r="S133" s="40" t="n">
        <f aca="true">RAND()</f>
        <v>0.121641426954943</v>
      </c>
      <c r="T133" s="40" t="n">
        <f aca="true">RAND()</f>
        <v>0.0642253188476786</v>
      </c>
      <c r="U133" s="40" t="n">
        <f aca="true">RAND()</f>
        <v>0.473327437995391</v>
      </c>
    </row>
    <row r="134" customFormat="false" ht="15" hidden="false" customHeight="false" outlineLevel="0" collapsed="false">
      <c r="A134" s="36" t="n">
        <v>54</v>
      </c>
      <c r="B134" s="37" t="n">
        <f aca="false">1+IF($G$6=$E$6,$F$6,IF(P134&lt;($F$6-$E$6)/($G$6-$E$6),$E$6+SQRT(P134*($G$6-$E$6)*($F$6-$E$6)),$G$6-SQRT((1-P134)*($G$6-$E$6)*($G$6-$F$6))))</f>
        <v>0.924129744954859</v>
      </c>
      <c r="C134" s="37" t="n">
        <f aca="false">1+IF($G$7=$E$7,$F$7,IF(Q134&lt;($F$7-$E$7)/($G$7-$E$7),$E$7+SQRT(Q134*($G$7-$E$7)*($F$7-$E$7)),$G$7-SQRT((1-Q134)*($G$7-$E$7)*($G$7-$F$7))))</f>
        <v>0.736472220024614</v>
      </c>
      <c r="D134" s="37" t="n">
        <f aca="false">1+IF($G$8=$E$8,$F$8,IF(R134&lt;($F$8-$E$8)/($G$8-$E$8),$E$8+SQRT(R134*($G$8-$E$8)*($F$8-$E$8)),$G$8-SQRT((1-R134)*($G$8-$E$8)*($G$8-$F$8))))</f>
        <v>1.03381454209168</v>
      </c>
      <c r="E134" s="37" t="n">
        <f aca="false">1+IF($G$9=$E$9,$F$9,IF(S134&lt;($F$9-$E$9)/($G$9-$E$9),$E$9+SQRT(S134*($G$9-$E$9)*($F$9-$E$9)),$G$9-SQRT((1-S134)*($G$9-$E$9)*($G$9-$F$9))))</f>
        <v>0.967537523258747</v>
      </c>
      <c r="F134" s="37" t="n">
        <f aca="false">1+IF($G$10=$E$10,$F$10,IF(T134&lt;($F$10-$E$10)/($G$10-$E$10),$E$10+SQRT(T134*($G$10-$E$10)*($F$10-$E$10)),$G$10-SQRT((1-T134)*($G$10-$E$10)*($G$10-$F$10))))</f>
        <v>0.973845147229031</v>
      </c>
      <c r="G134" s="38" t="n">
        <f aca="false">IF($G$11=$E$11,$F$11,IF(U134&lt;($F$11-$E$11)/($G$11-$E$11),$E$11+SQRT(U134*($G$11-$E$11)*($F$11-$E$11)),$G$11-SQRT((1-U134)*($G$11-$E$11)*($G$11-$F$11))))</f>
        <v>0.113378220235076</v>
      </c>
      <c r="H134" s="39" t="n">
        <f aca="false">(('Business Case'!B11*$C134*'Business Case'!B12*$B134)-'Business Case'!B11*$C134*'Business Case'!B13*$D134-'Business Case'!B14*$E134)-MAX(0,(('Business Case'!B11*$C134*'Business Case'!B12*$B134)-'Business Case'!B11*$C134*'Business Case'!B13*$D134-'Business Case'!B14*$E134))*'Business Case'!$B$7-'Business Case'!$B$8*('Business Case'!B11*$C134*'Business Case'!B12*$B134)-'Business Case'!B15*$F134</f>
        <v>-1947690294.45806</v>
      </c>
      <c r="I134" s="39" t="n">
        <f aca="false">(('Business Case'!C11*$C134*'Business Case'!C12*$B134)-'Business Case'!C11*$C134*'Business Case'!C13*$D134-'Business Case'!C14*$E134)-MAX(0,(('Business Case'!C11*$C134*'Business Case'!C12*$B134)-'Business Case'!C11*$C134*'Business Case'!C13*$D134-'Business Case'!C14*$E134))*'Business Case'!$B$7-'Business Case'!$B$8*(('Business Case'!C11*$C134*'Business Case'!C12*$B134)-('Business Case'!B11*$C134*'Business Case'!B12*$B134))-'Business Case'!C15*$F134</f>
        <v>-102556852.288783</v>
      </c>
      <c r="J134" s="39" t="n">
        <f aca="false">(('Business Case'!D11*$C134*'Business Case'!D12*$B134)-'Business Case'!D11*$C134*'Business Case'!D13*$D134-'Business Case'!D14*$E134)-MAX(0,(('Business Case'!D11*$C134*'Business Case'!D12*$B134)-'Business Case'!D11*$C134*'Business Case'!D13*$D134-'Business Case'!D14*$E134))*'Business Case'!$B$7-'Business Case'!$B$8*(('Business Case'!D11*$C134*'Business Case'!D12*$B134)-('Business Case'!C11*$C134*'Business Case'!C12*$B134))-'Business Case'!D15*$F134</f>
        <v>65136736.6237543</v>
      </c>
      <c r="K134" s="39" t="n">
        <f aca="false">(('Business Case'!E11*$C134*'Business Case'!E12*$B134)-'Business Case'!E11*$C134*'Business Case'!E13*$D134-'Business Case'!E14*$E134)-MAX(0,(('Business Case'!E11*$C134*'Business Case'!E12*$B134)-'Business Case'!E11*$C134*'Business Case'!E13*$D134-'Business Case'!E14*$E134))*'Business Case'!$B$7-'Business Case'!$B$8*(('Business Case'!E11*$C134*'Business Case'!E12*$B134)-('Business Case'!D11*$C134*'Business Case'!D12*$B134))-'Business Case'!E15*$F134</f>
        <v>281522582.897742</v>
      </c>
      <c r="L134" s="39" t="n">
        <f aca="false">(('Business Case'!F11*$C134*'Business Case'!F12*$B134)-'Business Case'!F11*$C134*'Business Case'!F13*$D134-'Business Case'!F14*$E134)-MAX(0,(('Business Case'!F11*$C134*'Business Case'!F12*$B134)-'Business Case'!F11*$C134*'Business Case'!F13*$D134-'Business Case'!F14*$E134))*'Business Case'!$B$7-'Business Case'!$B$8*(('Business Case'!F11*$C134*'Business Case'!F12*$B134)-('Business Case'!E11*$C134*'Business Case'!E12*$B134))-'Business Case'!F15*$F134</f>
        <v>360941839.64927</v>
      </c>
      <c r="M134" s="39" t="n">
        <f aca="false">(('Business Case'!G11*$C134*'Business Case'!G12*$B134)-'Business Case'!G11*$C134*'Business Case'!G13*$D134-'Business Case'!G14*$E134)-MAX(0,(('Business Case'!G11*$C134*'Business Case'!G12*$B134)-'Business Case'!G11*$C134*'Business Case'!G13*$D134-'Business Case'!G14*$E134))*'Business Case'!$B$7-'Business Case'!$B$8*(('Business Case'!G11*$C134*'Business Case'!G12*$B134)-('Business Case'!F11*$C134*'Business Case'!F12*$B134))-'Business Case'!G15*$F134+'Business Case'!$B$8*('Business Case'!G11*$C134*'Business Case'!G12*$B134)</f>
        <v>490309505.443019</v>
      </c>
      <c r="N134" s="39" t="n">
        <f aca="false">IF(COUNT('Business Case'!B11:G11)=0,"",H134+NPV(G134,I134:M134))</f>
        <v>-1261800460.64141</v>
      </c>
      <c r="P134" s="40" t="n">
        <f aca="true">RAND()</f>
        <v>0.0388163061057686</v>
      </c>
      <c r="Q134" s="40" t="n">
        <f aca="true">RAND()</f>
        <v>0.00985350247054714</v>
      </c>
      <c r="R134" s="40" t="n">
        <f aca="true">RAND()</f>
        <v>0.707965677431047</v>
      </c>
      <c r="S134" s="40" t="n">
        <f aca="true">RAND()</f>
        <v>0.182452681917034</v>
      </c>
      <c r="T134" s="40" t="n">
        <f aca="true">RAND()</f>
        <v>0.0379060697582765</v>
      </c>
      <c r="U134" s="40" t="n">
        <f aca="true">RAND()</f>
        <v>0.815810958297586</v>
      </c>
    </row>
    <row r="135" customFormat="false" ht="15" hidden="false" customHeight="false" outlineLevel="0" collapsed="false">
      <c r="A135" s="36" t="n">
        <v>55</v>
      </c>
      <c r="B135" s="37" t="n">
        <f aca="false">1+IF($G$6=$E$6,$F$6,IF(P135&lt;($F$6-$E$6)/($G$6-$E$6),$E$6+SQRT(P135*($G$6-$E$6)*($F$6-$E$6)),$G$6-SQRT((1-P135)*($G$6-$E$6)*($G$6-$F$6))))</f>
        <v>0.975391851918599</v>
      </c>
      <c r="C135" s="37" t="n">
        <f aca="false">1+IF($G$7=$E$7,$F$7,IF(Q135&lt;($F$7-$E$7)/($G$7-$E$7),$E$7+SQRT(Q135*($G$7-$E$7)*($F$7-$E$7)),$G$7-SQRT((1-Q135)*($G$7-$E$7)*($G$7-$F$7))))</f>
        <v>0.971094595014512</v>
      </c>
      <c r="D135" s="37" t="n">
        <f aca="false">1+IF($G$8=$E$8,$F$8,IF(R135&lt;($F$8-$E$8)/($G$8-$E$8),$E$8+SQRT(R135*($G$8-$E$8)*($F$8-$E$8)),$G$8-SQRT((1-R135)*($G$8-$E$8)*($G$8-$F$8))))</f>
        <v>1.00253862908373</v>
      </c>
      <c r="E135" s="37" t="n">
        <f aca="false">1+IF($G$9=$E$9,$F$9,IF(S135&lt;($F$9-$E$9)/($G$9-$E$9),$E$9+SQRT(S135*($G$9-$E$9)*($F$9-$E$9)),$G$9-SQRT((1-S135)*($G$9-$E$9)*($G$9-$F$9))))</f>
        <v>1.01955527286896</v>
      </c>
      <c r="F135" s="37" t="n">
        <f aca="false">1+IF($G$10=$E$10,$F$10,IF(T135&lt;($F$10-$E$10)/($G$10-$E$10),$E$10+SQRT(T135*($G$10-$E$10)*($F$10-$E$10)),$G$10-SQRT((1-T135)*($G$10-$E$10)*($G$10-$F$10))))</f>
        <v>1.08541205016277</v>
      </c>
      <c r="G135" s="38" t="n">
        <f aca="false">IF($G$11=$E$11,$F$11,IF(U135&lt;($F$11-$E$11)/($G$11-$E$11),$E$11+SQRT(U135*($G$11-$E$11)*($F$11-$E$11)),$G$11-SQRT((1-U135)*($G$11-$E$11)*($G$11-$F$11))))</f>
        <v>0.108903420462479</v>
      </c>
      <c r="H135" s="39" t="n">
        <f aca="false">(('Business Case'!B11*$C135*'Business Case'!B12*$B135)-'Business Case'!B11*$C135*'Business Case'!B13*$D135-'Business Case'!B14*$E135)-MAX(0,(('Business Case'!B11*$C135*'Business Case'!B12*$B135)-'Business Case'!B11*$C135*'Business Case'!B13*$D135-'Business Case'!B14*$E135))*'Business Case'!$B$7-'Business Case'!$B$8*('Business Case'!B11*$C135*'Business Case'!B12*$B135)-'Business Case'!B15*$F135</f>
        <v>-2170824100.32553</v>
      </c>
      <c r="I135" s="39" t="n">
        <f aca="false">(('Business Case'!C11*$C135*'Business Case'!C12*$B135)-'Business Case'!C11*$C135*'Business Case'!C13*$D135-'Business Case'!C14*$E135)-MAX(0,(('Business Case'!C11*$C135*'Business Case'!C12*$B135)-'Business Case'!C11*$C135*'Business Case'!C13*$D135-'Business Case'!C14*$E135))*'Business Case'!$B$7-'Business Case'!$B$8*(('Business Case'!C11*$C135*'Business Case'!C12*$B135)-('Business Case'!B11*$C135*'Business Case'!B12*$B135))-'Business Case'!C15*$F135</f>
        <v>-25186291.8710169</v>
      </c>
      <c r="J135" s="39" t="n">
        <f aca="false">(('Business Case'!D11*$C135*'Business Case'!D12*$B135)-'Business Case'!D11*$C135*'Business Case'!D13*$D135-'Business Case'!D14*$E135)-MAX(0,(('Business Case'!D11*$C135*'Business Case'!D12*$B135)-'Business Case'!D11*$C135*'Business Case'!D13*$D135-'Business Case'!D14*$E135))*'Business Case'!$B$7-'Business Case'!$B$8*(('Business Case'!D11*$C135*'Business Case'!D12*$B135)-('Business Case'!C11*$C135*'Business Case'!C12*$B135))-'Business Case'!D15*$F135</f>
        <v>252252112.717147</v>
      </c>
      <c r="K135" s="39" t="n">
        <f aca="false">(('Business Case'!E11*$C135*'Business Case'!E12*$B135)-'Business Case'!E11*$C135*'Business Case'!E13*$D135-'Business Case'!E14*$E135)-MAX(0,(('Business Case'!E11*$C135*'Business Case'!E12*$B135)-'Business Case'!E11*$C135*'Business Case'!E13*$D135-'Business Case'!E14*$E135))*'Business Case'!$B$7-'Business Case'!$B$8*(('Business Case'!E11*$C135*'Business Case'!E12*$B135)-('Business Case'!D11*$C135*'Business Case'!D12*$B135))-'Business Case'!E15*$F135</f>
        <v>583961119.81345</v>
      </c>
      <c r="L135" s="39" t="n">
        <f aca="false">(('Business Case'!F11*$C135*'Business Case'!F12*$B135)-'Business Case'!F11*$C135*'Business Case'!F13*$D135-'Business Case'!F14*$E135)-MAX(0,(('Business Case'!F11*$C135*'Business Case'!F12*$B135)-'Business Case'!F11*$C135*'Business Case'!F13*$D135-'Business Case'!F14*$E135))*'Business Case'!$B$7-'Business Case'!$B$8*(('Business Case'!F11*$C135*'Business Case'!F12*$B135)-('Business Case'!E11*$C135*'Business Case'!E12*$B135))-'Business Case'!F15*$F135</f>
        <v>709175742.436797</v>
      </c>
      <c r="M135" s="39" t="n">
        <f aca="false">(('Business Case'!G11*$C135*'Business Case'!G12*$B135)-'Business Case'!G11*$C135*'Business Case'!G13*$D135-'Business Case'!G14*$E135)-MAX(0,(('Business Case'!G11*$C135*'Business Case'!G12*$B135)-'Business Case'!G11*$C135*'Business Case'!G13*$D135-'Business Case'!G14*$E135))*'Business Case'!$B$7-'Business Case'!$B$8*(('Business Case'!G11*$C135*'Business Case'!G12*$B135)-('Business Case'!F11*$C135*'Business Case'!F12*$B135))-'Business Case'!G15*$F135+'Business Case'!$B$8*('Business Case'!G11*$C135*'Business Case'!G12*$B135)</f>
        <v>889219091.786906</v>
      </c>
      <c r="N135" s="39" t="n">
        <f aca="false">IF(COUNT('Business Case'!B11:G11)=0,"",H135+NPV(G135,I135:M135))</f>
        <v>-560813723.105732</v>
      </c>
      <c r="P135" s="40" t="n">
        <f aca="true">RAND()</f>
        <v>0.378928755714397</v>
      </c>
      <c r="Q135" s="40" t="n">
        <f aca="true">RAND()</f>
        <v>0.544387255156166</v>
      </c>
      <c r="R135" s="40" t="n">
        <f aca="true">RAND()</f>
        <v>0.366752078608048</v>
      </c>
      <c r="S135" s="40" t="n">
        <f aca="true">RAND()</f>
        <v>0.546244617698868</v>
      </c>
      <c r="T135" s="40" t="n">
        <f aca="true">RAND()</f>
        <v>0.638810756911685</v>
      </c>
      <c r="U135" s="40" t="n">
        <f aca="true">RAND()</f>
        <v>0.703289554544693</v>
      </c>
    </row>
    <row r="136" customFormat="false" ht="15" hidden="false" customHeight="false" outlineLevel="0" collapsed="false">
      <c r="A136" s="36" t="n">
        <v>56</v>
      </c>
      <c r="B136" s="37" t="n">
        <f aca="false">1+IF($G$6=$E$6,$F$6,IF(P136&lt;($F$6-$E$6)/($G$6-$E$6),$E$6+SQRT(P136*($G$6-$E$6)*($F$6-$E$6)),$G$6-SQRT((1-P136)*($G$6-$E$6)*($G$6-$F$6))))</f>
        <v>0.992688670415842</v>
      </c>
      <c r="C136" s="37" t="n">
        <f aca="false">1+IF($G$7=$E$7,$F$7,IF(Q136&lt;($F$7-$E$7)/($G$7-$E$7),$E$7+SQRT(Q136*($G$7-$E$7)*($F$7-$E$7)),$G$7-SQRT((1-Q136)*($G$7-$E$7)*($G$7-$F$7))))</f>
        <v>0.95319661765051</v>
      </c>
      <c r="D136" s="37" t="n">
        <f aca="false">1+IF($G$8=$E$8,$F$8,IF(R136&lt;($F$8-$E$8)/($G$8-$E$8),$E$8+SQRT(R136*($G$8-$E$8)*($F$8-$E$8)),$G$8-SQRT((1-R136)*($G$8-$E$8)*($G$8-$F$8))))</f>
        <v>0.998535051724892</v>
      </c>
      <c r="E136" s="37" t="n">
        <f aca="false">1+IF($G$9=$E$9,$F$9,IF(S136&lt;($F$9-$E$9)/($G$9-$E$9),$E$9+SQRT(S136*($G$9-$E$9)*($F$9-$E$9)),$G$9-SQRT((1-S136)*($G$9-$E$9)*($G$9-$F$9))))</f>
        <v>0.968515116573291</v>
      </c>
      <c r="F136" s="37" t="n">
        <f aca="false">1+IF($G$10=$E$10,$F$10,IF(T136&lt;($F$10-$E$10)/($G$10-$E$10),$E$10+SQRT(T136*($G$10-$E$10)*($F$10-$E$10)),$G$10-SQRT((1-T136)*($G$10-$E$10)*($G$10-$F$10))))</f>
        <v>1.1417029002378</v>
      </c>
      <c r="G136" s="38" t="n">
        <f aca="false">IF($G$11=$E$11,$F$11,IF(U136&lt;($F$11-$E$11)/($G$11-$E$11),$E$11+SQRT(U136*($G$11-$E$11)*($F$11-$E$11)),$G$11-SQRT((1-U136)*($G$11-$E$11)*($G$11-$F$11))))</f>
        <v>0.105686597784891</v>
      </c>
      <c r="H136" s="39" t="n">
        <f aca="false">(('Business Case'!B11*$C136*'Business Case'!B12*$B136)-'Business Case'!B11*$C136*'Business Case'!B13*$D136-'Business Case'!B14*$E136)-MAX(0,(('Business Case'!B11*$C136*'Business Case'!B12*$B136)-'Business Case'!B11*$C136*'Business Case'!B13*$D136-'Business Case'!B14*$E136))*'Business Case'!$B$7-'Business Case'!$B$8*('Business Case'!B11*$C136*'Business Case'!B12*$B136)-'Business Case'!B15*$F136</f>
        <v>-2283405800.47559</v>
      </c>
      <c r="I136" s="39" t="n">
        <f aca="false">(('Business Case'!C11*$C136*'Business Case'!C12*$B136)-'Business Case'!C11*$C136*'Business Case'!C13*$D136-'Business Case'!C14*$E136)-MAX(0,(('Business Case'!C11*$C136*'Business Case'!C12*$B136)-'Business Case'!C11*$C136*'Business Case'!C13*$D136-'Business Case'!C14*$E136))*'Business Case'!$B$7-'Business Case'!$B$8*(('Business Case'!C11*$C136*'Business Case'!C12*$B136)-('Business Case'!B11*$C136*'Business Case'!B12*$B136))-'Business Case'!C15*$F136</f>
        <v>-13162711.0908483</v>
      </c>
      <c r="J136" s="39" t="n">
        <f aca="false">(('Business Case'!D11*$C136*'Business Case'!D12*$B136)-'Business Case'!D11*$C136*'Business Case'!D13*$D136-'Business Case'!D14*$E136)-MAX(0,(('Business Case'!D11*$C136*'Business Case'!D12*$B136)-'Business Case'!D11*$C136*'Business Case'!D13*$D136-'Business Case'!D14*$E136))*'Business Case'!$B$7-'Business Case'!$B$8*(('Business Case'!D11*$C136*'Business Case'!D12*$B136)-('Business Case'!C11*$C136*'Business Case'!C12*$B136))-'Business Case'!D15*$F136</f>
        <v>274620150.138581</v>
      </c>
      <c r="K136" s="39" t="n">
        <f aca="false">(('Business Case'!E11*$C136*'Business Case'!E12*$B136)-'Business Case'!E11*$C136*'Business Case'!E13*$D136-'Business Case'!E14*$E136)-MAX(0,(('Business Case'!E11*$C136*'Business Case'!E12*$B136)-'Business Case'!E11*$C136*'Business Case'!E13*$D136-'Business Case'!E14*$E136))*'Business Case'!$B$7-'Business Case'!$B$8*(('Business Case'!E11*$C136*'Business Case'!E12*$B136)-('Business Case'!D11*$C136*'Business Case'!D12*$B136))-'Business Case'!E15*$F136</f>
        <v>619488156.379899</v>
      </c>
      <c r="L136" s="39" t="n">
        <f aca="false">(('Business Case'!F11*$C136*'Business Case'!F12*$B136)-'Business Case'!F11*$C136*'Business Case'!F13*$D136-'Business Case'!F14*$E136)-MAX(0,(('Business Case'!F11*$C136*'Business Case'!F12*$B136)-'Business Case'!F11*$C136*'Business Case'!F13*$D136-'Business Case'!F14*$E136))*'Business Case'!$B$7-'Business Case'!$B$8*(('Business Case'!F11*$C136*'Business Case'!F12*$B136)-('Business Case'!E11*$C136*'Business Case'!E12*$B136))-'Business Case'!F15*$F136</f>
        <v>748117398.602893</v>
      </c>
      <c r="M136" s="39" t="n">
        <f aca="false">(('Business Case'!G11*$C136*'Business Case'!G12*$B136)-'Business Case'!G11*$C136*'Business Case'!G13*$D136-'Business Case'!G14*$E136)-MAX(0,(('Business Case'!G11*$C136*'Business Case'!G12*$B136)-'Business Case'!G11*$C136*'Business Case'!G13*$D136-'Business Case'!G14*$E136))*'Business Case'!$B$7-'Business Case'!$B$8*(('Business Case'!G11*$C136*'Business Case'!G12*$B136)-('Business Case'!F11*$C136*'Business Case'!F12*$B136))-'Business Case'!G15*$F136+'Business Case'!$B$8*('Business Case'!G11*$C136*'Business Case'!G12*$B136)</f>
        <v>927976318.575403</v>
      </c>
      <c r="N136" s="39" t="n">
        <f aca="false">IF(COUNT('Business Case'!B11:G11)=0,"",H136+NPV(G136,I136:M136))</f>
        <v>-550315781.334751</v>
      </c>
      <c r="P136" s="40" t="n">
        <f aca="true">RAND()</f>
        <v>0.5727459748971</v>
      </c>
      <c r="Q136" s="40" t="n">
        <f aca="true">RAND()</f>
        <v>0.474877979182658</v>
      </c>
      <c r="R136" s="40" t="n">
        <f aca="true">RAND()</f>
        <v>0.314086832791731</v>
      </c>
      <c r="S136" s="40" t="n">
        <f aca="true">RAND()</f>
        <v>0.187772847962067</v>
      </c>
      <c r="T136" s="40" t="n">
        <f aca="true">RAND()</f>
        <v>0.843623175774603</v>
      </c>
      <c r="U136" s="40" t="n">
        <f aca="true">RAND()</f>
        <v>0.605905648484208</v>
      </c>
    </row>
    <row r="137" customFormat="false" ht="15" hidden="false" customHeight="false" outlineLevel="0" collapsed="false">
      <c r="A137" s="36" t="n">
        <v>57</v>
      </c>
      <c r="B137" s="37" t="n">
        <f aca="false">1+IF($G$6=$E$6,$F$6,IF(P137&lt;($F$6-$E$6)/($G$6-$E$6),$E$6+SQRT(P137*($G$6-$E$6)*($F$6-$E$6)),$G$6-SQRT((1-P137)*($G$6-$E$6)*($G$6-$F$6))))</f>
        <v>0.967067679129023</v>
      </c>
      <c r="C137" s="37" t="n">
        <f aca="false">1+IF($G$7=$E$7,$F$7,IF(Q137&lt;($F$7-$E$7)/($G$7-$E$7),$E$7+SQRT(Q137*($G$7-$E$7)*($F$7-$E$7)),$G$7-SQRT((1-Q137)*($G$7-$E$7)*($G$7-$F$7))))</f>
        <v>0.875745679948587</v>
      </c>
      <c r="D137" s="37" t="n">
        <f aca="false">1+IF($G$8=$E$8,$F$8,IF(R137&lt;($F$8-$E$8)/($G$8-$E$8),$E$8+SQRT(R137*($G$8-$E$8)*($F$8-$E$8)),$G$8-SQRT((1-R137)*($G$8-$E$8)*($G$8-$F$8))))</f>
        <v>1.09213698078927</v>
      </c>
      <c r="E137" s="37" t="n">
        <f aca="false">1+IF($G$9=$E$9,$F$9,IF(S137&lt;($F$9-$E$9)/($G$9-$E$9),$E$9+SQRT(S137*($G$9-$E$9)*($F$9-$E$9)),$G$9-SQRT((1-S137)*($G$9-$E$9)*($G$9-$F$9))))</f>
        <v>1.02569296403108</v>
      </c>
      <c r="F137" s="37" t="n">
        <f aca="false">1+IF($G$10=$E$10,$F$10,IF(T137&lt;($F$10-$E$10)/($G$10-$E$10),$E$10+SQRT(T137*($G$10-$E$10)*($F$10-$E$10)),$G$10-SQRT((1-T137)*($G$10-$E$10)*($G$10-$F$10))))</f>
        <v>1.11502847274605</v>
      </c>
      <c r="G137" s="38" t="n">
        <f aca="false">IF($G$11=$E$11,$F$11,IF(U137&lt;($F$11-$E$11)/($G$11-$E$11),$E$11+SQRT(U137*($G$11-$E$11)*($F$11-$E$11)),$G$11-SQRT((1-U137)*($G$11-$E$11)*($G$11-$F$11))))</f>
        <v>0.112884848225666</v>
      </c>
      <c r="H137" s="39" t="n">
        <f aca="false">(('Business Case'!B11*$C137*'Business Case'!B12*$B137)-'Business Case'!B11*$C137*'Business Case'!B13*$D137-'Business Case'!B14*$E137)-MAX(0,(('Business Case'!B11*$C137*'Business Case'!B12*$B137)-'Business Case'!B11*$C137*'Business Case'!B13*$D137-'Business Case'!B14*$E137))*'Business Case'!$B$7-'Business Case'!$B$8*('Business Case'!B11*$C137*'Business Case'!B12*$B137)-'Business Case'!B15*$F137</f>
        <v>-2230056945.4921</v>
      </c>
      <c r="I137" s="39" t="n">
        <f aca="false">(('Business Case'!C11*$C137*'Business Case'!C12*$B137)-'Business Case'!C11*$C137*'Business Case'!C13*$D137-'Business Case'!C14*$E137)-MAX(0,(('Business Case'!C11*$C137*'Business Case'!C12*$B137)-'Business Case'!C11*$C137*'Business Case'!C13*$D137-'Business Case'!C14*$E137))*'Business Case'!$B$7-'Business Case'!$B$8*(('Business Case'!C11*$C137*'Business Case'!C12*$B137)-('Business Case'!B11*$C137*'Business Case'!B12*$B137))-'Business Case'!C15*$F137</f>
        <v>-97201324.835193</v>
      </c>
      <c r="J137" s="39" t="n">
        <f aca="false">(('Business Case'!D11*$C137*'Business Case'!D12*$B137)-'Business Case'!D11*$C137*'Business Case'!D13*$D137-'Business Case'!D14*$E137)-MAX(0,(('Business Case'!D11*$C137*'Business Case'!D12*$B137)-'Business Case'!D11*$C137*'Business Case'!D13*$D137-'Business Case'!D14*$E137))*'Business Case'!$B$7-'Business Case'!$B$8*(('Business Case'!D11*$C137*'Business Case'!D12*$B137)-('Business Case'!C11*$C137*'Business Case'!C12*$B137))-'Business Case'!D15*$F137</f>
        <v>106857310.029872</v>
      </c>
      <c r="K137" s="39" t="n">
        <f aca="false">(('Business Case'!E11*$C137*'Business Case'!E12*$B137)-'Business Case'!E11*$C137*'Business Case'!E13*$D137-'Business Case'!E14*$E137)-MAX(0,(('Business Case'!E11*$C137*'Business Case'!E12*$B137)-'Business Case'!E11*$C137*'Business Case'!E13*$D137-'Business Case'!E14*$E137))*'Business Case'!$B$7-'Business Case'!$B$8*(('Business Case'!E11*$C137*'Business Case'!E12*$B137)-('Business Case'!D11*$C137*'Business Case'!D12*$B137))-'Business Case'!E15*$F137</f>
        <v>366667368.532239</v>
      </c>
      <c r="L137" s="39" t="n">
        <f aca="false">(('Business Case'!F11*$C137*'Business Case'!F12*$B137)-'Business Case'!F11*$C137*'Business Case'!F13*$D137-'Business Case'!F14*$E137)-MAX(0,(('Business Case'!F11*$C137*'Business Case'!F12*$B137)-'Business Case'!F11*$C137*'Business Case'!F13*$D137-'Business Case'!F14*$E137))*'Business Case'!$B$7-'Business Case'!$B$8*(('Business Case'!F11*$C137*'Business Case'!F12*$B137)-('Business Case'!E11*$C137*'Business Case'!E12*$B137))-'Business Case'!F15*$F137</f>
        <v>463955962.114216</v>
      </c>
      <c r="M137" s="39" t="n">
        <f aca="false">(('Business Case'!G11*$C137*'Business Case'!G12*$B137)-'Business Case'!G11*$C137*'Business Case'!G13*$D137-'Business Case'!G14*$E137)-MAX(0,(('Business Case'!G11*$C137*'Business Case'!G12*$B137)-'Business Case'!G11*$C137*'Business Case'!G13*$D137-'Business Case'!G14*$E137))*'Business Case'!$B$7-'Business Case'!$B$8*(('Business Case'!G11*$C137*'Business Case'!G12*$B137)-('Business Case'!F11*$C137*'Business Case'!F12*$B137))-'Business Case'!G15*$F137+'Business Case'!$B$8*('Business Case'!G11*$C137*'Business Case'!G12*$B137)</f>
        <v>624935729.562472</v>
      </c>
      <c r="N137" s="39" t="n">
        <f aca="false">IF(COUNT('Business Case'!B11:G11)=0,"",H137+NPV(G137,I137:M137))</f>
        <v>-1296543096.55246</v>
      </c>
      <c r="P137" s="40" t="n">
        <f aca="true">RAND()</f>
        <v>0.299871572250243</v>
      </c>
      <c r="Q137" s="40" t="n">
        <f aca="true">RAND()</f>
        <v>0.228789214967343</v>
      </c>
      <c r="R137" s="40" t="n">
        <f aca="true">RAND()</f>
        <v>0.995878195259448</v>
      </c>
      <c r="S137" s="40" t="n">
        <f aca="true">RAND()</f>
        <v>0.587940288229904</v>
      </c>
      <c r="T137" s="40" t="n">
        <f aca="true">RAND()</f>
        <v>0.757102491076481</v>
      </c>
      <c r="U137" s="40" t="n">
        <f aca="true">RAND()</f>
        <v>0.80471438649435</v>
      </c>
    </row>
    <row r="138" customFormat="false" ht="15" hidden="false" customHeight="false" outlineLevel="0" collapsed="false">
      <c r="A138" s="36" t="n">
        <v>58</v>
      </c>
      <c r="B138" s="37" t="n">
        <f aca="false">1+IF($G$6=$E$6,$F$6,IF(P138&lt;($F$6-$E$6)/($G$6-$E$6),$E$6+SQRT(P138*($G$6-$E$6)*($F$6-$E$6)),$G$6-SQRT((1-P138)*($G$6-$E$6)*($G$6-$F$6))))</f>
        <v>1.03781441436285</v>
      </c>
      <c r="C138" s="37" t="n">
        <f aca="false">1+IF($G$7=$E$7,$F$7,IF(Q138&lt;($F$7-$E$7)/($G$7-$E$7),$E$7+SQRT(Q138*($G$7-$E$7)*($F$7-$E$7)),$G$7-SQRT((1-Q138)*($G$7-$E$7)*($G$7-$F$7))))</f>
        <v>1.02375602071891</v>
      </c>
      <c r="D138" s="37" t="n">
        <f aca="false">1+IF($G$8=$E$8,$F$8,IF(R138&lt;($F$8-$E$8)/($G$8-$E$8),$E$8+SQRT(R138*($G$8-$E$8)*($F$8-$E$8)),$G$8-SQRT((1-R138)*($G$8-$E$8)*($G$8-$F$8))))</f>
        <v>1.03095607194859</v>
      </c>
      <c r="E138" s="37" t="n">
        <f aca="false">1+IF($G$9=$E$9,$F$9,IF(S138&lt;($F$9-$E$9)/($G$9-$E$9),$E$9+SQRT(S138*($G$9-$E$9)*($F$9-$E$9)),$G$9-SQRT((1-S138)*($G$9-$E$9)*($G$9-$F$9))))</f>
        <v>1.04617306121789</v>
      </c>
      <c r="F138" s="37" t="n">
        <f aca="false">1+IF($G$10=$E$10,$F$10,IF(T138&lt;($F$10-$E$10)/($G$10-$E$10),$E$10+SQRT(T138*($G$10-$E$10)*($F$10-$E$10)),$G$10-SQRT((1-T138)*($G$10-$E$10)*($G$10-$F$10))))</f>
        <v>0.960082025361425</v>
      </c>
      <c r="G138" s="38" t="n">
        <f aca="false">IF($G$11=$E$11,$F$11,IF(U138&lt;($F$11-$E$11)/($G$11-$E$11),$E$11+SQRT(U138*($G$11-$E$11)*($F$11-$E$11)),$G$11-SQRT((1-U138)*($G$11-$E$11)*($G$11-$F$11))))</f>
        <v>0.083021394368492</v>
      </c>
      <c r="H138" s="39" t="n">
        <f aca="false">(('Business Case'!B11*$C138*'Business Case'!B12*$B138)-'Business Case'!B11*$C138*'Business Case'!B13*$D138-'Business Case'!B14*$E138)-MAX(0,(('Business Case'!B11*$C138*'Business Case'!B12*$B138)-'Business Case'!B11*$C138*'Business Case'!B13*$D138-'Business Case'!B14*$E138))*'Business Case'!$B$7-'Business Case'!$B$8*('Business Case'!B11*$C138*'Business Case'!B12*$B138)-'Business Case'!B15*$F138</f>
        <v>-1920164050.72285</v>
      </c>
      <c r="I138" s="39" t="n">
        <f aca="false">(('Business Case'!C11*$C138*'Business Case'!C12*$B138)-'Business Case'!C11*$C138*'Business Case'!C13*$D138-'Business Case'!C14*$E138)-MAX(0,(('Business Case'!C11*$C138*'Business Case'!C12*$B138)-'Business Case'!C11*$C138*'Business Case'!C13*$D138-'Business Case'!C14*$E138))*'Business Case'!$B$7-'Business Case'!$B$8*(('Business Case'!C11*$C138*'Business Case'!C12*$B138)-('Business Case'!B11*$C138*'Business Case'!B12*$B138))-'Business Case'!C15*$F138</f>
        <v>30081339.1588236</v>
      </c>
      <c r="J138" s="39" t="n">
        <f aca="false">(('Business Case'!D11*$C138*'Business Case'!D12*$B138)-'Business Case'!D11*$C138*'Business Case'!D13*$D138-'Business Case'!D14*$E138)-MAX(0,(('Business Case'!D11*$C138*'Business Case'!D12*$B138)-'Business Case'!D11*$C138*'Business Case'!D13*$D138-'Business Case'!D14*$E138))*'Business Case'!$B$7-'Business Case'!$B$8*(('Business Case'!D11*$C138*'Business Case'!D12*$B138)-('Business Case'!C11*$C138*'Business Case'!C12*$B138))-'Business Case'!D15*$F138</f>
        <v>360015070.422986</v>
      </c>
      <c r="K138" s="39" t="n">
        <f aca="false">(('Business Case'!E11*$C138*'Business Case'!E12*$B138)-'Business Case'!E11*$C138*'Business Case'!E13*$D138-'Business Case'!E14*$E138)-MAX(0,(('Business Case'!E11*$C138*'Business Case'!E12*$B138)-'Business Case'!E11*$C138*'Business Case'!E13*$D138-'Business Case'!E14*$E138))*'Business Case'!$B$7-'Business Case'!$B$8*(('Business Case'!E11*$C138*'Business Case'!E12*$B138)-('Business Case'!D11*$C138*'Business Case'!D12*$B138))-'Business Case'!E15*$F138</f>
        <v>737952902.955219</v>
      </c>
      <c r="L138" s="39" t="n">
        <f aca="false">(('Business Case'!F11*$C138*'Business Case'!F12*$B138)-'Business Case'!F11*$C138*'Business Case'!F13*$D138-'Business Case'!F14*$E138)-MAX(0,(('Business Case'!F11*$C138*'Business Case'!F12*$B138)-'Business Case'!F11*$C138*'Business Case'!F13*$D138-'Business Case'!F14*$E138))*'Business Case'!$B$7-'Business Case'!$B$8*(('Business Case'!F11*$C138*'Business Case'!F12*$B138)-('Business Case'!E11*$C138*'Business Case'!E12*$B138))-'Business Case'!F15*$F138</f>
        <v>884649733.552615</v>
      </c>
      <c r="M138" s="39" t="n">
        <f aca="false">(('Business Case'!G11*$C138*'Business Case'!G12*$B138)-'Business Case'!G11*$C138*'Business Case'!G13*$D138-'Business Case'!G14*$E138)-MAX(0,(('Business Case'!G11*$C138*'Business Case'!G12*$B138)-'Business Case'!G11*$C138*'Business Case'!G13*$D138-'Business Case'!G14*$E138))*'Business Case'!$B$7-'Business Case'!$B$8*(('Business Case'!G11*$C138*'Business Case'!G12*$B138)-('Business Case'!F11*$C138*'Business Case'!F12*$B138))-'Business Case'!G15*$F138+'Business Case'!$B$8*('Business Case'!G11*$C138*'Business Case'!G12*$B138)</f>
        <v>1086603794.52066</v>
      </c>
      <c r="N138" s="39" t="n">
        <f aca="false">IF(COUNT('Business Case'!B11:G11)=0,"",H138+NPV(G138,I138:M138))</f>
        <v>367752326.338228</v>
      </c>
      <c r="P138" s="40" t="n">
        <f aca="true">RAND()</f>
        <v>0.980201533690611</v>
      </c>
      <c r="Q138" s="40" t="n">
        <f aca="true">RAND()</f>
        <v>0.763888262152222</v>
      </c>
      <c r="R138" s="40" t="n">
        <f aca="true">RAND()</f>
        <v>0.682195733282142</v>
      </c>
      <c r="S138" s="40" t="n">
        <f aca="true">RAND()</f>
        <v>0.712532447550291</v>
      </c>
      <c r="T138" s="40" t="n">
        <f aca="true">RAND()</f>
        <v>0.00677648235922741</v>
      </c>
      <c r="U138" s="40" t="n">
        <f aca="true">RAND()</f>
        <v>0.00912882392995503</v>
      </c>
    </row>
    <row r="139" customFormat="false" ht="15" hidden="false" customHeight="false" outlineLevel="0" collapsed="false">
      <c r="A139" s="36" t="n">
        <v>59</v>
      </c>
      <c r="B139" s="37" t="n">
        <f aca="false">1+IF($G$6=$E$6,$F$6,IF(P139&lt;($F$6-$E$6)/($G$6-$E$6),$E$6+SQRT(P139*($G$6-$E$6)*($F$6-$E$6)),$G$6-SQRT((1-P139)*($G$6-$E$6)*($G$6-$F$6))))</f>
        <v>0.982075307540714</v>
      </c>
      <c r="C139" s="37" t="n">
        <f aca="false">1+IF($G$7=$E$7,$F$7,IF(Q139&lt;($F$7-$E$7)/($G$7-$E$7),$E$7+SQRT(Q139*($G$7-$E$7)*($F$7-$E$7)),$G$7-SQRT((1-Q139)*($G$7-$E$7)*($G$7-$F$7))))</f>
        <v>1.07273145263295</v>
      </c>
      <c r="D139" s="37" t="n">
        <f aca="false">1+IF($G$8=$E$8,$F$8,IF(R139&lt;($F$8-$E$8)/($G$8-$E$8),$E$8+SQRT(R139*($G$8-$E$8)*($F$8-$E$8)),$G$8-SQRT((1-R139)*($G$8-$E$8)*($G$8-$F$8))))</f>
        <v>0.992106786227485</v>
      </c>
      <c r="E139" s="37" t="n">
        <f aca="false">1+IF($G$9=$E$9,$F$9,IF(S139&lt;($F$9-$E$9)/($G$9-$E$9),$E$9+SQRT(S139*($G$9-$E$9)*($F$9-$E$9)),$G$9-SQRT((1-S139)*($G$9-$E$9)*($G$9-$F$9))))</f>
        <v>1.01265277614095</v>
      </c>
      <c r="F139" s="37" t="n">
        <f aca="false">1+IF($G$10=$E$10,$F$10,IF(T139&lt;($F$10-$E$10)/($G$10-$E$10),$E$10+SQRT(T139*($G$10-$E$10)*($F$10-$E$10)),$G$10-SQRT((1-T139)*($G$10-$E$10)*($G$10-$F$10))))</f>
        <v>1.05673780056533</v>
      </c>
      <c r="G139" s="38" t="n">
        <f aca="false">IF($G$11=$E$11,$F$11,IF(U139&lt;($F$11-$E$11)/($G$11-$E$11),$E$11+SQRT(U139*($G$11-$E$11)*($F$11-$E$11)),$G$11-SQRT((1-U139)*($G$11-$E$11)*($G$11-$F$11))))</f>
        <v>0.0960231172271814</v>
      </c>
      <c r="H139" s="39" t="n">
        <f aca="false">(('Business Case'!B11*$C139*'Business Case'!B12*$B139)-'Business Case'!B11*$C139*'Business Case'!B13*$D139-'Business Case'!B14*$E139)-MAX(0,(('Business Case'!B11*$C139*'Business Case'!B12*$B139)-'Business Case'!B11*$C139*'Business Case'!B13*$D139-'Business Case'!B14*$E139))*'Business Case'!$B$7-'Business Case'!$B$8*('Business Case'!B11*$C139*'Business Case'!B12*$B139)-'Business Case'!B15*$F139</f>
        <v>-2113475601.13065</v>
      </c>
      <c r="I139" s="39" t="n">
        <f aca="false">(('Business Case'!C11*$C139*'Business Case'!C12*$B139)-'Business Case'!C11*$C139*'Business Case'!C13*$D139-'Business Case'!C14*$E139)-MAX(0,(('Business Case'!C11*$C139*'Business Case'!C12*$B139)-'Business Case'!C11*$C139*'Business Case'!C13*$D139-'Business Case'!C14*$E139))*'Business Case'!$B$7-'Business Case'!$B$8*(('Business Case'!C11*$C139*'Business Case'!C12*$B139)-('Business Case'!B11*$C139*'Business Case'!B12*$B139))-'Business Case'!C15*$F139</f>
        <v>13790157.8463102</v>
      </c>
      <c r="J139" s="39" t="n">
        <f aca="false">(('Business Case'!D11*$C139*'Business Case'!D12*$B139)-'Business Case'!D11*$C139*'Business Case'!D13*$D139-'Business Case'!D14*$E139)-MAX(0,(('Business Case'!D11*$C139*'Business Case'!D12*$B139)-'Business Case'!D11*$C139*'Business Case'!D13*$D139-'Business Case'!D14*$E139))*'Business Case'!$B$7-'Business Case'!$B$8*(('Business Case'!D11*$C139*'Business Case'!D12*$B139)-('Business Case'!C11*$C139*'Business Case'!C12*$B139))-'Business Case'!D15*$F139</f>
        <v>331866919.730157</v>
      </c>
      <c r="K139" s="39" t="n">
        <f aca="false">(('Business Case'!E11*$C139*'Business Case'!E12*$B139)-'Business Case'!E11*$C139*'Business Case'!E13*$D139-'Business Case'!E14*$E139)-MAX(0,(('Business Case'!E11*$C139*'Business Case'!E12*$B139)-'Business Case'!E11*$C139*'Business Case'!E13*$D139-'Business Case'!E14*$E139))*'Business Case'!$B$7-'Business Case'!$B$8*(('Business Case'!E11*$C139*'Business Case'!E12*$B139)-('Business Case'!D11*$C139*'Business Case'!D12*$B139))-'Business Case'!E15*$F139</f>
        <v>702780571.64227</v>
      </c>
      <c r="L139" s="39" t="n">
        <f aca="false">(('Business Case'!F11*$C139*'Business Case'!F12*$B139)-'Business Case'!F11*$C139*'Business Case'!F13*$D139-'Business Case'!F14*$E139)-MAX(0,(('Business Case'!F11*$C139*'Business Case'!F12*$B139)-'Business Case'!F11*$C139*'Business Case'!F13*$D139-'Business Case'!F14*$E139))*'Business Case'!$B$7-'Business Case'!$B$8*(('Business Case'!F11*$C139*'Business Case'!F12*$B139)-('Business Case'!E11*$C139*'Business Case'!E12*$B139))-'Business Case'!F15*$F139</f>
        <v>845215225.079392</v>
      </c>
      <c r="M139" s="39" t="n">
        <f aca="false">(('Business Case'!G11*$C139*'Business Case'!G12*$B139)-'Business Case'!G11*$C139*'Business Case'!G13*$D139-'Business Case'!G14*$E139)-MAX(0,(('Business Case'!G11*$C139*'Business Case'!G12*$B139)-'Business Case'!G11*$C139*'Business Case'!G13*$D139-'Business Case'!G14*$E139))*'Business Case'!$B$7-'Business Case'!$B$8*(('Business Case'!G11*$C139*'Business Case'!G12*$B139)-('Business Case'!F11*$C139*'Business Case'!F12*$B139))-'Business Case'!G15*$F139+'Business Case'!$B$8*('Business Case'!G11*$C139*'Business Case'!G12*$B139)</f>
        <v>1045465088.86318</v>
      </c>
      <c r="N139" s="39" t="n">
        <f aca="false">IF(COUNT('Business Case'!B11:G11)=0,"",H139+NPV(G139,I139:M139))</f>
        <v>-44119226.6491551</v>
      </c>
      <c r="P139" s="40" t="n">
        <f aca="true">RAND()</f>
        <v>0.449090407193519</v>
      </c>
      <c r="Q139" s="40" t="n">
        <f aca="true">RAND()</f>
        <v>0.911549208707944</v>
      </c>
      <c r="R139" s="40" t="n">
        <f aca="true">RAND()</f>
        <v>0.236397526187612</v>
      </c>
      <c r="S139" s="40" t="n">
        <f aca="true">RAND()</f>
        <v>0.496953069285645</v>
      </c>
      <c r="T139" s="40" t="n">
        <f aca="true">RAND()</f>
        <v>0.501996296928967</v>
      </c>
      <c r="U139" s="40" t="n">
        <f aca="true">RAND()</f>
        <v>0.256740285675998</v>
      </c>
    </row>
    <row r="140" customFormat="false" ht="15" hidden="false" customHeight="false" outlineLevel="0" collapsed="false">
      <c r="A140" s="36" t="n">
        <v>60</v>
      </c>
      <c r="B140" s="37" t="n">
        <f aca="false">1+IF($G$6=$E$6,$F$6,IF(P140&lt;($F$6-$E$6)/($G$6-$E$6),$E$6+SQRT(P140*($G$6-$E$6)*($F$6-$E$6)),$G$6-SQRT((1-P140)*($G$6-$E$6)*($G$6-$F$6))))</f>
        <v>1.01043438174143</v>
      </c>
      <c r="C140" s="37" t="n">
        <f aca="false">1+IF($G$7=$E$7,$F$7,IF(Q140&lt;($F$7-$E$7)/($G$7-$E$7),$E$7+SQRT(Q140*($G$7-$E$7)*($F$7-$E$7)),$G$7-SQRT((1-Q140)*($G$7-$E$7)*($G$7-$F$7))))</f>
        <v>0.98666647060966</v>
      </c>
      <c r="D140" s="37" t="n">
        <f aca="false">1+IF($G$8=$E$8,$F$8,IF(R140&lt;($F$8-$E$8)/($G$8-$E$8),$E$8+SQRT(R140*($G$8-$E$8)*($F$8-$E$8)),$G$8-SQRT((1-R140)*($G$8-$E$8)*($G$8-$F$8))))</f>
        <v>1.08265354317623</v>
      </c>
      <c r="E140" s="37" t="n">
        <f aca="false">1+IF($G$9=$E$9,$F$9,IF(S140&lt;($F$9-$E$9)/($G$9-$E$9),$E$9+SQRT(S140*($G$9-$E$9)*($F$9-$E$9)),$G$9-SQRT((1-S140)*($G$9-$E$9)*($G$9-$F$9))))</f>
        <v>0.955062862406812</v>
      </c>
      <c r="F140" s="37" t="n">
        <f aca="false">1+IF($G$10=$E$10,$F$10,IF(T140&lt;($F$10-$E$10)/($G$10-$E$10),$E$10+SQRT(T140*($G$10-$E$10)*($F$10-$E$10)),$G$10-SQRT((1-T140)*($G$10-$E$10)*($G$10-$F$10))))</f>
        <v>1.20628634262683</v>
      </c>
      <c r="G140" s="38" t="n">
        <f aca="false">IF($G$11=$E$11,$F$11,IF(U140&lt;($F$11-$E$11)/($G$11-$E$11),$E$11+SQRT(U140*($G$11-$E$11)*($F$11-$E$11)),$G$11-SQRT((1-U140)*($G$11-$E$11)*($G$11-$F$11))))</f>
        <v>0.115108771239634</v>
      </c>
      <c r="H140" s="39" t="n">
        <f aca="false">(('Business Case'!B11*$C140*'Business Case'!B12*$B140)-'Business Case'!B11*$C140*'Business Case'!B13*$D140-'Business Case'!B14*$E140)-MAX(0,(('Business Case'!B11*$C140*'Business Case'!B12*$B140)-'Business Case'!B11*$C140*'Business Case'!B13*$D140-'Business Case'!B14*$E140))*'Business Case'!$B$7-'Business Case'!$B$8*('Business Case'!B11*$C140*'Business Case'!B12*$B140)-'Business Case'!B15*$F140</f>
        <v>-2412572685.25366</v>
      </c>
      <c r="I140" s="39" t="n">
        <f aca="false">(('Business Case'!C11*$C140*'Business Case'!C12*$B140)-'Business Case'!C11*$C140*'Business Case'!C13*$D140-'Business Case'!C14*$E140)-MAX(0,(('Business Case'!C11*$C140*'Business Case'!C12*$B140)-'Business Case'!C11*$C140*'Business Case'!C13*$D140-'Business Case'!C14*$E140))*'Business Case'!$B$7-'Business Case'!$B$8*(('Business Case'!C11*$C140*'Business Case'!C12*$B140)-('Business Case'!B11*$C140*'Business Case'!B12*$B140))-'Business Case'!C15*$F140</f>
        <v>-38379768.0738209</v>
      </c>
      <c r="J140" s="39" t="n">
        <f aca="false">(('Business Case'!D11*$C140*'Business Case'!D12*$B140)-'Business Case'!D11*$C140*'Business Case'!D13*$D140-'Business Case'!D14*$E140)-MAX(0,(('Business Case'!D11*$C140*'Business Case'!D12*$B140)-'Business Case'!D11*$C140*'Business Case'!D13*$D140-'Business Case'!D14*$E140))*'Business Case'!$B$7-'Business Case'!$B$8*(('Business Case'!D11*$C140*'Business Case'!D12*$B140)-('Business Case'!C11*$C140*'Business Case'!C12*$B140))-'Business Case'!D15*$F140</f>
        <v>231361532.98446</v>
      </c>
      <c r="K140" s="39" t="n">
        <f aca="false">(('Business Case'!E11*$C140*'Business Case'!E12*$B140)-'Business Case'!E11*$C140*'Business Case'!E13*$D140-'Business Case'!E14*$E140)-MAX(0,(('Business Case'!E11*$C140*'Business Case'!E12*$B140)-'Business Case'!E11*$C140*'Business Case'!E13*$D140-'Business Case'!E14*$E140))*'Business Case'!$B$7-'Business Case'!$B$8*(('Business Case'!E11*$C140*'Business Case'!E12*$B140)-('Business Case'!D11*$C140*'Business Case'!D12*$B140))-'Business Case'!E15*$F140</f>
        <v>561417151.174082</v>
      </c>
      <c r="L140" s="39" t="n">
        <f aca="false">(('Business Case'!F11*$C140*'Business Case'!F12*$B140)-'Business Case'!F11*$C140*'Business Case'!F13*$D140-'Business Case'!F14*$E140)-MAX(0,(('Business Case'!F11*$C140*'Business Case'!F12*$B140)-'Business Case'!F11*$C140*'Business Case'!F13*$D140-'Business Case'!F14*$E140))*'Business Case'!$B$7-'Business Case'!$B$8*(('Business Case'!F11*$C140*'Business Case'!F12*$B140)-('Business Case'!E11*$C140*'Business Case'!E12*$B140))-'Business Case'!F15*$F140</f>
        <v>685785915.416956</v>
      </c>
      <c r="M140" s="39" t="n">
        <f aca="false">(('Business Case'!G11*$C140*'Business Case'!G12*$B140)-'Business Case'!G11*$C140*'Business Case'!G13*$D140-'Business Case'!G14*$E140)-MAX(0,(('Business Case'!G11*$C140*'Business Case'!G12*$B140)-'Business Case'!G11*$C140*'Business Case'!G13*$D140-'Business Case'!G14*$E140))*'Business Case'!$B$7-'Business Case'!$B$8*(('Business Case'!G11*$C140*'Business Case'!G12*$B140)-('Business Case'!F11*$C140*'Business Case'!F12*$B140))-'Business Case'!G15*$F140+'Business Case'!$B$8*('Business Case'!G11*$C140*'Business Case'!G12*$B140)</f>
        <v>875288400.145913</v>
      </c>
      <c r="N140" s="39" t="n">
        <f aca="false">IF(COUNT('Business Case'!B11:G11)=0,"",H140+NPV(G140,I140:M140))</f>
        <v>-904864643.440458</v>
      </c>
      <c r="P140" s="40" t="n">
        <f aca="true">RAND()</f>
        <v>0.791274913575614</v>
      </c>
      <c r="Q140" s="40" t="n">
        <f aca="true">RAND()</f>
        <v>0.608723447198512</v>
      </c>
      <c r="R140" s="40" t="n">
        <f aca="true">RAND()</f>
        <v>0.979940029044074</v>
      </c>
      <c r="S140" s="40" t="n">
        <f aca="true">RAND()</f>
        <v>0.121276752657258</v>
      </c>
      <c r="T140" s="40" t="n">
        <f aca="true">RAND()</f>
        <v>0.974521548787482</v>
      </c>
      <c r="U140" s="40" t="n">
        <f aca="true">RAND()</f>
        <v>0.852167537337635</v>
      </c>
    </row>
    <row r="141" customFormat="false" ht="15" hidden="false" customHeight="false" outlineLevel="0" collapsed="false">
      <c r="A141" s="36" t="n">
        <v>61</v>
      </c>
      <c r="B141" s="37" t="n">
        <f aca="false">1+IF($G$6=$E$6,$F$6,IF(P141&lt;($F$6-$E$6)/($G$6-$E$6),$E$6+SQRT(P141*($G$6-$E$6)*($F$6-$E$6)),$G$6-SQRT((1-P141)*($G$6-$E$6)*($G$6-$F$6))))</f>
        <v>1.0127059669771</v>
      </c>
      <c r="C141" s="37" t="n">
        <f aca="false">1+IF($G$7=$E$7,$F$7,IF(Q141&lt;($F$7-$E$7)/($G$7-$E$7),$E$7+SQRT(Q141*($G$7-$E$7)*($F$7-$E$7)),$G$7-SQRT((1-Q141)*($G$7-$E$7)*($G$7-$F$7))))</f>
        <v>1.0153312384424</v>
      </c>
      <c r="D141" s="37" t="n">
        <f aca="false">1+IF($G$8=$E$8,$F$8,IF(R141&lt;($F$8-$E$8)/($G$8-$E$8),$E$8+SQRT(R141*($G$8-$E$8)*($F$8-$E$8)),$G$8-SQRT((1-R141)*($G$8-$E$8)*($G$8-$F$8))))</f>
        <v>1.0268399731509</v>
      </c>
      <c r="E141" s="37" t="n">
        <f aca="false">1+IF($G$9=$E$9,$F$9,IF(S141&lt;($F$9-$E$9)/($G$9-$E$9),$E$9+SQRT(S141*($G$9-$E$9)*($F$9-$E$9)),$G$9-SQRT((1-S141)*($G$9-$E$9)*($G$9-$F$9))))</f>
        <v>1.02875608505999</v>
      </c>
      <c r="F141" s="37" t="n">
        <f aca="false">1+IF($G$10=$E$10,$F$10,IF(T141&lt;($F$10-$E$10)/($G$10-$E$10),$E$10+SQRT(T141*($G$10-$E$10)*($F$10-$E$10)),$G$10-SQRT((1-T141)*($G$10-$E$10)*($G$10-$F$10))))</f>
        <v>1.06370068440807</v>
      </c>
      <c r="G141" s="38" t="n">
        <f aca="false">IF($G$11=$E$11,$F$11,IF(U141&lt;($F$11-$E$11)/($G$11-$E$11),$E$11+SQRT(U141*($G$11-$E$11)*($F$11-$E$11)),$G$11-SQRT((1-U141)*($G$11-$E$11)*($G$11-$F$11))))</f>
        <v>0.110179773270578</v>
      </c>
      <c r="H141" s="39" t="n">
        <f aca="false">(('Business Case'!B11*$C141*'Business Case'!B12*$B141)-'Business Case'!B11*$C141*'Business Case'!B13*$D141-'Business Case'!B14*$E141)-MAX(0,(('Business Case'!B11*$C141*'Business Case'!B12*$B141)-'Business Case'!B11*$C141*'Business Case'!B13*$D141-'Business Case'!B14*$E141))*'Business Case'!$B$7-'Business Case'!$B$8*('Business Case'!B11*$C141*'Business Case'!B12*$B141)-'Business Case'!B15*$F141</f>
        <v>-2127401368.81613</v>
      </c>
      <c r="I141" s="39" t="n">
        <f aca="false">(('Business Case'!C11*$C141*'Business Case'!C12*$B141)-'Business Case'!C11*$C141*'Business Case'!C13*$D141-'Business Case'!C14*$E141)-MAX(0,(('Business Case'!C11*$C141*'Business Case'!C12*$B141)-'Business Case'!C11*$C141*'Business Case'!C13*$D141-'Business Case'!C14*$E141))*'Business Case'!$B$7-'Business Case'!$B$8*(('Business Case'!C11*$C141*'Business Case'!C12*$B141)-('Business Case'!B11*$C141*'Business Case'!B12*$B141))-'Business Case'!C15*$F141</f>
        <v>2514376.2577896</v>
      </c>
      <c r="J141" s="39" t="n">
        <f aca="false">(('Business Case'!D11*$C141*'Business Case'!D12*$B141)-'Business Case'!D11*$C141*'Business Case'!D13*$D141-'Business Case'!D14*$E141)-MAX(0,(('Business Case'!D11*$C141*'Business Case'!D12*$B141)-'Business Case'!D11*$C141*'Business Case'!D13*$D141-'Business Case'!D14*$E141))*'Business Case'!$B$7-'Business Case'!$B$8*(('Business Case'!D11*$C141*'Business Case'!D12*$B141)-('Business Case'!C11*$C141*'Business Case'!C12*$B141))-'Business Case'!D15*$F141</f>
        <v>310991483.320036</v>
      </c>
      <c r="K141" s="39" t="n">
        <f aca="false">(('Business Case'!E11*$C141*'Business Case'!E12*$B141)-'Business Case'!E11*$C141*'Business Case'!E13*$D141-'Business Case'!E14*$E141)-MAX(0,(('Business Case'!E11*$C141*'Business Case'!E12*$B141)-'Business Case'!E11*$C141*'Business Case'!E13*$D141-'Business Case'!E14*$E141))*'Business Case'!$B$7-'Business Case'!$B$8*(('Business Case'!E11*$C141*'Business Case'!E12*$B141)-('Business Case'!D11*$C141*'Business Case'!D12*$B141))-'Business Case'!E15*$F141</f>
        <v>672653624.602687</v>
      </c>
      <c r="L141" s="39" t="n">
        <f aca="false">(('Business Case'!F11*$C141*'Business Case'!F12*$B141)-'Business Case'!F11*$C141*'Business Case'!F13*$D141-'Business Case'!F14*$E141)-MAX(0,(('Business Case'!F11*$C141*'Business Case'!F12*$B141)-'Business Case'!F11*$C141*'Business Case'!F13*$D141-'Business Case'!F14*$E141))*'Business Case'!$B$7-'Business Case'!$B$8*(('Business Case'!F11*$C141*'Business Case'!F12*$B141)-('Business Case'!E11*$C141*'Business Case'!E12*$B141))-'Business Case'!F15*$F141</f>
        <v>811015025.002183</v>
      </c>
      <c r="M141" s="39" t="n">
        <f aca="false">(('Business Case'!G11*$C141*'Business Case'!G12*$B141)-'Business Case'!G11*$C141*'Business Case'!G13*$D141-'Business Case'!G14*$E141)-MAX(0,(('Business Case'!G11*$C141*'Business Case'!G12*$B141)-'Business Case'!G11*$C141*'Business Case'!G13*$D141-'Business Case'!G14*$E141))*'Business Case'!$B$7-'Business Case'!$B$8*(('Business Case'!G11*$C141*'Business Case'!G12*$B141)-('Business Case'!F11*$C141*'Business Case'!F12*$B141))-'Business Case'!G15*$F141+'Business Case'!$B$8*('Business Case'!G11*$C141*'Business Case'!G12*$B141)</f>
        <v>1006461364.25196</v>
      </c>
      <c r="N141" s="39" t="n">
        <f aca="false">IF(COUNT('Business Case'!B11:G11)=0,"",H141+NPV(G141,I141:M141))</f>
        <v>-250513815.56229</v>
      </c>
      <c r="P141" s="40" t="n">
        <f aca="true">RAND()</f>
        <v>0.814554013451611</v>
      </c>
      <c r="Q141" s="40" t="n">
        <f aca="true">RAND()</f>
        <v>0.73132332830431</v>
      </c>
      <c r="R141" s="40" t="n">
        <f aca="true">RAND()</f>
        <v>0.643174031429227</v>
      </c>
      <c r="S141" s="40" t="n">
        <f aca="true">RAND()</f>
        <v>0.607997682400513</v>
      </c>
      <c r="T141" s="40" t="n">
        <f aca="true">RAND()</f>
        <v>0.537234200133022</v>
      </c>
      <c r="U141" s="40" t="n">
        <f aca="true">RAND()</f>
        <v>0.738105741596212</v>
      </c>
    </row>
    <row r="142" customFormat="false" ht="15" hidden="false" customHeight="false" outlineLevel="0" collapsed="false">
      <c r="A142" s="36" t="n">
        <v>62</v>
      </c>
      <c r="B142" s="37" t="n">
        <f aca="false">1+IF($G$6=$E$6,$F$6,IF(P142&lt;($F$6-$E$6)/($G$6-$E$6),$E$6+SQRT(P142*($G$6-$E$6)*($F$6-$E$6)),$G$6-SQRT((1-P142)*($G$6-$E$6)*($G$6-$F$6))))</f>
        <v>0.945169566089058</v>
      </c>
      <c r="C142" s="37" t="n">
        <f aca="false">1+IF($G$7=$E$7,$F$7,IF(Q142&lt;($F$7-$E$7)/($G$7-$E$7),$E$7+SQRT(Q142*($G$7-$E$7)*($F$7-$E$7)),$G$7-SQRT((1-Q142)*($G$7-$E$7)*($G$7-$F$7))))</f>
        <v>0.847276322363201</v>
      </c>
      <c r="D142" s="37" t="n">
        <f aca="false">1+IF($G$8=$E$8,$F$8,IF(R142&lt;($F$8-$E$8)/($G$8-$E$8),$E$8+SQRT(R142*($G$8-$E$8)*($F$8-$E$8)),$G$8-SQRT((1-R142)*($G$8-$E$8)*($G$8-$F$8))))</f>
        <v>0.997378405396317</v>
      </c>
      <c r="E142" s="37" t="n">
        <f aca="false">1+IF($G$9=$E$9,$F$9,IF(S142&lt;($F$9-$E$9)/($G$9-$E$9),$E$9+SQRT(S142*($G$9-$E$9)*($F$9-$E$9)),$G$9-SQRT((1-S142)*($G$9-$E$9)*($G$9-$F$9))))</f>
        <v>0.963685484546349</v>
      </c>
      <c r="F142" s="37" t="n">
        <f aca="false">1+IF($G$10=$E$10,$F$10,IF(T142&lt;($F$10-$E$10)/($G$10-$E$10),$E$10+SQRT(T142*($G$10-$E$10)*($F$10-$E$10)),$G$10-SQRT((1-T142)*($G$10-$E$10)*($G$10-$F$10))))</f>
        <v>1.13534735177811</v>
      </c>
      <c r="G142" s="38" t="n">
        <f aca="false">IF($G$11=$E$11,$F$11,IF(U142&lt;($F$11-$E$11)/($G$11-$E$11),$E$11+SQRT(U142*($G$11-$E$11)*($F$11-$E$11)),$G$11-SQRT((1-U142)*($G$11-$E$11)*($G$11-$F$11))))</f>
        <v>0.110159620342254</v>
      </c>
      <c r="H142" s="39" t="n">
        <f aca="false">(('Business Case'!B11*$C142*'Business Case'!B12*$B142)-'Business Case'!B11*$C142*'Business Case'!B13*$D142-'Business Case'!B14*$E142)-MAX(0,(('Business Case'!B11*$C142*'Business Case'!B12*$B142)-'Business Case'!B11*$C142*'Business Case'!B13*$D142-'Business Case'!B14*$E142))*'Business Case'!$B$7-'Business Case'!$B$8*('Business Case'!B11*$C142*'Business Case'!B12*$B142)-'Business Case'!B15*$F142</f>
        <v>-2270694703.55622</v>
      </c>
      <c r="I142" s="39" t="n">
        <f aca="false">(('Business Case'!C11*$C142*'Business Case'!C12*$B142)-'Business Case'!C11*$C142*'Business Case'!C13*$D142-'Business Case'!C14*$E142)-MAX(0,(('Business Case'!C11*$C142*'Business Case'!C12*$B142)-'Business Case'!C11*$C142*'Business Case'!C13*$D142-'Business Case'!C14*$E142))*'Business Case'!$B$7-'Business Case'!$B$8*(('Business Case'!C11*$C142*'Business Case'!C12*$B142)-('Business Case'!B11*$C142*'Business Case'!B12*$B142))-'Business Case'!C15*$F142</f>
        <v>-68756849.4602082</v>
      </c>
      <c r="J142" s="39" t="n">
        <f aca="false">(('Business Case'!D11*$C142*'Business Case'!D12*$B142)-'Business Case'!D11*$C142*'Business Case'!D13*$D142-'Business Case'!D14*$E142)-MAX(0,(('Business Case'!D11*$C142*'Business Case'!D12*$B142)-'Business Case'!D11*$C142*'Business Case'!D13*$D142-'Business Case'!D14*$E142))*'Business Case'!$B$7-'Business Case'!$B$8*(('Business Case'!D11*$C142*'Business Case'!D12*$B142)-('Business Case'!C11*$C142*'Business Case'!C12*$B142))-'Business Case'!D15*$F142</f>
        <v>154571610.27906</v>
      </c>
      <c r="K142" s="39" t="n">
        <f aca="false">(('Business Case'!E11*$C142*'Business Case'!E12*$B142)-'Business Case'!E11*$C142*'Business Case'!E13*$D142-'Business Case'!E14*$E142)-MAX(0,(('Business Case'!E11*$C142*'Business Case'!E12*$B142)-'Business Case'!E11*$C142*'Business Case'!E13*$D142-'Business Case'!E14*$E142))*'Business Case'!$B$7-'Business Case'!$B$8*(('Business Case'!E11*$C142*'Business Case'!E12*$B142)-('Business Case'!D11*$C142*'Business Case'!D12*$B142))-'Business Case'!E15*$F142</f>
        <v>434667437.607234</v>
      </c>
      <c r="L142" s="39" t="n">
        <f aca="false">(('Business Case'!F11*$C142*'Business Case'!F12*$B142)-'Business Case'!F11*$C142*'Business Case'!F13*$D142-'Business Case'!F14*$E142)-MAX(0,(('Business Case'!F11*$C142*'Business Case'!F12*$B142)-'Business Case'!F11*$C142*'Business Case'!F13*$D142-'Business Case'!F14*$E142))*'Business Case'!$B$7-'Business Case'!$B$8*(('Business Case'!F11*$C142*'Business Case'!F12*$B142)-('Business Case'!E11*$C142*'Business Case'!E12*$B142))-'Business Case'!F15*$F142</f>
        <v>536786589.599773</v>
      </c>
      <c r="M142" s="39" t="n">
        <f aca="false">(('Business Case'!G11*$C142*'Business Case'!G12*$B142)-'Business Case'!G11*$C142*'Business Case'!G13*$D142-'Business Case'!G14*$E142)-MAX(0,(('Business Case'!G11*$C142*'Business Case'!G12*$B142)-'Business Case'!G11*$C142*'Business Case'!G13*$D142-'Business Case'!G14*$E142))*'Business Case'!$B$7-'Business Case'!$B$8*(('Business Case'!G11*$C142*'Business Case'!G12*$B142)-('Business Case'!F11*$C142*'Business Case'!F12*$B142))-'Business Case'!G15*$F142+'Business Case'!$B$8*('Business Case'!G11*$C142*'Business Case'!G12*$B142)</f>
        <v>689006416.036747</v>
      </c>
      <c r="N142" s="39" t="n">
        <f aca="false">IF(COUNT('Business Case'!B11:G11)=0,"",H142+NPV(G142,I142:M142))</f>
        <v>-1127530644.36276</v>
      </c>
      <c r="P142" s="40" t="n">
        <f aca="true">RAND()</f>
        <v>0.136019313378252</v>
      </c>
      <c r="Q142" s="40" t="n">
        <f aca="true">RAND()</f>
        <v>0.160669000954293</v>
      </c>
      <c r="R142" s="40" t="n">
        <f aca="true">RAND()</f>
        <v>0.299295106386372</v>
      </c>
      <c r="S142" s="40" t="n">
        <f aca="true">RAND()</f>
        <v>0.162233637676128</v>
      </c>
      <c r="T142" s="40" t="n">
        <f aca="true">RAND()</f>
        <v>0.824730270076105</v>
      </c>
      <c r="U142" s="40" t="n">
        <f aca="true">RAND()</f>
        <v>0.737572890024324</v>
      </c>
    </row>
    <row r="143" customFormat="false" ht="15" hidden="false" customHeight="false" outlineLevel="0" collapsed="false">
      <c r="A143" s="36" t="n">
        <v>63</v>
      </c>
      <c r="B143" s="37" t="n">
        <f aca="false">1+IF($G$6=$E$6,$F$6,IF(P143&lt;($F$6-$E$6)/($G$6-$E$6),$E$6+SQRT(P143*($G$6-$E$6)*($F$6-$E$6)),$G$6-SQRT((1-P143)*($G$6-$E$6)*($G$6-$F$6))))</f>
        <v>0.926805599578787</v>
      </c>
      <c r="C143" s="37" t="n">
        <f aca="false">1+IF($G$7=$E$7,$F$7,IF(Q143&lt;($F$7-$E$7)/($G$7-$E$7),$E$7+SQRT(Q143*($G$7-$E$7)*($F$7-$E$7)),$G$7-SQRT((1-Q143)*($G$7-$E$7)*($G$7-$F$7))))</f>
        <v>0.838954969353301</v>
      </c>
      <c r="D143" s="37" t="n">
        <f aca="false">1+IF($G$8=$E$8,$F$8,IF(R143&lt;($F$8-$E$8)/($G$8-$E$8),$E$8+SQRT(R143*($G$8-$E$8)*($F$8-$E$8)),$G$8-SQRT((1-R143)*($G$8-$E$8)*($G$8-$F$8))))</f>
        <v>1.01737063209052</v>
      </c>
      <c r="E143" s="37" t="n">
        <f aca="false">1+IF($G$9=$E$9,$F$9,IF(S143&lt;($F$9-$E$9)/($G$9-$E$9),$E$9+SQRT(S143*($G$9-$E$9)*($F$9-$E$9)),$G$9-SQRT((1-S143)*($G$9-$E$9)*($G$9-$F$9))))</f>
        <v>1.10045342509249</v>
      </c>
      <c r="F143" s="37" t="n">
        <f aca="false">1+IF($G$10=$E$10,$F$10,IF(T143&lt;($F$10-$E$10)/($G$10-$E$10),$E$10+SQRT(T143*($G$10-$E$10)*($F$10-$E$10)),$G$10-SQRT((1-T143)*($G$10-$E$10)*($G$10-$F$10))))</f>
        <v>1.04158266081367</v>
      </c>
      <c r="G143" s="38" t="n">
        <f aca="false">IF($G$11=$E$11,$F$11,IF(U143&lt;($F$11-$E$11)/($G$11-$E$11),$E$11+SQRT(U143*($G$11-$E$11)*($F$11-$E$11)),$G$11-SQRT((1-U143)*($G$11-$E$11)*($G$11-$F$11))))</f>
        <v>0.10282894121695</v>
      </c>
      <c r="H143" s="39" t="n">
        <f aca="false">(('Business Case'!B11*$C143*'Business Case'!B12*$B143)-'Business Case'!B11*$C143*'Business Case'!B13*$D143-'Business Case'!B14*$E143)-MAX(0,(('Business Case'!B11*$C143*'Business Case'!B12*$B143)-'Business Case'!B11*$C143*'Business Case'!B13*$D143-'Business Case'!B14*$E143))*'Business Case'!$B$7-'Business Case'!$B$8*('Business Case'!B11*$C143*'Business Case'!B12*$B143)-'Business Case'!B15*$F143</f>
        <v>-2083165321.62734</v>
      </c>
      <c r="I143" s="39" t="n">
        <f aca="false">(('Business Case'!C11*$C143*'Business Case'!C12*$B143)-'Business Case'!C11*$C143*'Business Case'!C13*$D143-'Business Case'!C14*$E143)-MAX(0,(('Business Case'!C11*$C143*'Business Case'!C12*$B143)-'Business Case'!C11*$C143*'Business Case'!C13*$D143-'Business Case'!C14*$E143))*'Business Case'!$B$7-'Business Case'!$B$8*(('Business Case'!C11*$C143*'Business Case'!C12*$B143)-('Business Case'!B11*$C143*'Business Case'!B12*$B143))-'Business Case'!C15*$F143</f>
        <v>-101021039.885674</v>
      </c>
      <c r="J143" s="39" t="n">
        <f aca="false">(('Business Case'!D11*$C143*'Business Case'!D12*$B143)-'Business Case'!D11*$C143*'Business Case'!D13*$D143-'Business Case'!D14*$E143)-MAX(0,(('Business Case'!D11*$C143*'Business Case'!D12*$B143)-'Business Case'!D11*$C143*'Business Case'!D13*$D143-'Business Case'!D14*$E143))*'Business Case'!$B$7-'Business Case'!$B$8*(('Business Case'!D11*$C143*'Business Case'!D12*$B143)-('Business Case'!C11*$C143*'Business Case'!C12*$B143))-'Business Case'!D15*$F143</f>
        <v>98908760.148365</v>
      </c>
      <c r="K143" s="39" t="n">
        <f aca="false">(('Business Case'!E11*$C143*'Business Case'!E12*$B143)-'Business Case'!E11*$C143*'Business Case'!E13*$D143-'Business Case'!E14*$E143)-MAX(0,(('Business Case'!E11*$C143*'Business Case'!E12*$B143)-'Business Case'!E11*$C143*'Business Case'!E13*$D143-'Business Case'!E14*$E143))*'Business Case'!$B$7-'Business Case'!$B$8*(('Business Case'!E11*$C143*'Business Case'!E12*$B143)-('Business Case'!D11*$C143*'Business Case'!D12*$B143))-'Business Case'!E15*$F143</f>
        <v>350917693.223087</v>
      </c>
      <c r="L143" s="39" t="n">
        <f aca="false">(('Business Case'!F11*$C143*'Business Case'!F12*$B143)-'Business Case'!F11*$C143*'Business Case'!F13*$D143-'Business Case'!F14*$E143)-MAX(0,(('Business Case'!F11*$C143*'Business Case'!F12*$B143)-'Business Case'!F11*$C143*'Business Case'!F13*$D143-'Business Case'!F14*$E143))*'Business Case'!$B$7-'Business Case'!$B$8*(('Business Case'!F11*$C143*'Business Case'!F12*$B143)-('Business Case'!E11*$C143*'Business Case'!E12*$B143))-'Business Case'!F15*$F143</f>
        <v>444433024.427896</v>
      </c>
      <c r="M143" s="39" t="n">
        <f aca="false">(('Business Case'!G11*$C143*'Business Case'!G12*$B143)-'Business Case'!G11*$C143*'Business Case'!G13*$D143-'Business Case'!G14*$E143)-MAX(0,(('Business Case'!G11*$C143*'Business Case'!G12*$B143)-'Business Case'!G11*$C143*'Business Case'!G13*$D143-'Business Case'!G14*$E143))*'Business Case'!$B$7-'Business Case'!$B$8*(('Business Case'!G11*$C143*'Business Case'!G12*$B143)-('Business Case'!F11*$C143*'Business Case'!F12*$B143))-'Business Case'!G15*$F143+'Business Case'!$B$8*('Business Case'!G11*$C143*'Business Case'!G12*$B143)</f>
        <v>592229379.325275</v>
      </c>
      <c r="N143" s="39" t="n">
        <f aca="false">IF(COUNT('Business Case'!B11:G11)=0,"",H143+NPV(G143,I143:M143))</f>
        <v>-1168330564.24429</v>
      </c>
      <c r="P143" s="40" t="n">
        <f aca="true">RAND()</f>
        <v>0.0479026779185494</v>
      </c>
      <c r="Q143" s="40" t="n">
        <f aca="true">RAND()</f>
        <v>0.14302580376279</v>
      </c>
      <c r="R143" s="40" t="n">
        <f aca="true">RAND()</f>
        <v>0.544825837258685</v>
      </c>
      <c r="S143" s="40" t="n">
        <f aca="true">RAND()</f>
        <v>0.934536984398248</v>
      </c>
      <c r="T143" s="40" t="n">
        <f aca="true">RAND()</f>
        <v>0.420829503019879</v>
      </c>
      <c r="U143" s="40" t="n">
        <f aca="true">RAND()</f>
        <v>0.507822376405353</v>
      </c>
    </row>
    <row r="144" customFormat="false" ht="15" hidden="false" customHeight="false" outlineLevel="0" collapsed="false">
      <c r="A144" s="36" t="n">
        <v>64</v>
      </c>
      <c r="B144" s="37" t="n">
        <f aca="false">1+IF($G$6=$E$6,$F$6,IF(P144&lt;($F$6-$E$6)/($G$6-$E$6),$E$6+SQRT(P144*($G$6-$E$6)*($F$6-$E$6)),$G$6-SQRT((1-P144)*($G$6-$E$6)*($G$6-$F$6))))</f>
        <v>0.996856116264895</v>
      </c>
      <c r="C144" s="37" t="n">
        <f aca="false">1+IF($G$7=$E$7,$F$7,IF(Q144&lt;($F$7-$E$7)/($G$7-$E$7),$E$7+SQRT(Q144*($G$7-$E$7)*($F$7-$E$7)),$G$7-SQRT((1-Q144)*($G$7-$E$7)*($G$7-$F$7))))</f>
        <v>0.808140526237363</v>
      </c>
      <c r="D144" s="37" t="n">
        <f aca="false">1+IF($G$8=$E$8,$F$8,IF(R144&lt;($F$8-$E$8)/($G$8-$E$8),$E$8+SQRT(R144*($G$8-$E$8)*($F$8-$E$8)),$G$8-SQRT((1-R144)*($G$8-$E$8)*($G$8-$F$8))))</f>
        <v>1.05806032122608</v>
      </c>
      <c r="E144" s="37" t="n">
        <f aca="false">1+IF($G$9=$E$9,$F$9,IF(S144&lt;($F$9-$E$9)/($G$9-$E$9),$E$9+SQRT(S144*($G$9-$E$9)*($F$9-$E$9)),$G$9-SQRT((1-S144)*($G$9-$E$9)*($G$9-$F$9))))</f>
        <v>0.956681381211705</v>
      </c>
      <c r="F144" s="37" t="n">
        <f aca="false">1+IF($G$10=$E$10,$F$10,IF(T144&lt;($F$10-$E$10)/($G$10-$E$10),$E$10+SQRT(T144*($G$10-$E$10)*($F$10-$E$10)),$G$10-SQRT((1-T144)*($G$10-$E$10)*($G$10-$F$10))))</f>
        <v>1.00746197997507</v>
      </c>
      <c r="G144" s="38" t="n">
        <f aca="false">IF($G$11=$E$11,$F$11,IF(U144&lt;($F$11-$E$11)/($G$11-$E$11),$E$11+SQRT(U144*($G$11-$E$11)*($F$11-$E$11)),$G$11-SQRT((1-U144)*($G$11-$E$11)*($G$11-$F$11))))</f>
        <v>0.0824416482183596</v>
      </c>
      <c r="H144" s="39" t="n">
        <f aca="false">(('Business Case'!B11*$C144*'Business Case'!B12*$B144)-'Business Case'!B11*$C144*'Business Case'!B13*$D144-'Business Case'!B14*$E144)-MAX(0,(('Business Case'!B11*$C144*'Business Case'!B12*$B144)-'Business Case'!B11*$C144*'Business Case'!B13*$D144-'Business Case'!B14*$E144))*'Business Case'!$B$7-'Business Case'!$B$8*('Business Case'!B11*$C144*'Business Case'!B12*$B144)-'Business Case'!B15*$F144</f>
        <v>-2014923959.95014</v>
      </c>
      <c r="I144" s="39" t="n">
        <f aca="false">(('Business Case'!C11*$C144*'Business Case'!C12*$B144)-'Business Case'!C11*$C144*'Business Case'!C13*$D144-'Business Case'!C14*$E144)-MAX(0,(('Business Case'!C11*$C144*'Business Case'!C12*$B144)-'Business Case'!C11*$C144*'Business Case'!C13*$D144-'Business Case'!C14*$E144))*'Business Case'!$B$7-'Business Case'!$B$8*(('Business Case'!C11*$C144*'Business Case'!C12*$B144)-('Business Case'!B11*$C144*'Business Case'!B12*$B144))-'Business Case'!C15*$F144</f>
        <v>-56427368.9883896</v>
      </c>
      <c r="J144" s="39" t="n">
        <f aca="false">(('Business Case'!D11*$C144*'Business Case'!D12*$B144)-'Business Case'!D11*$C144*'Business Case'!D13*$D144-'Business Case'!D14*$E144)-MAX(0,(('Business Case'!D11*$C144*'Business Case'!D12*$B144)-'Business Case'!D11*$C144*'Business Case'!D13*$D144-'Business Case'!D14*$E144))*'Business Case'!$B$7-'Business Case'!$B$8*(('Business Case'!D11*$C144*'Business Case'!D12*$B144)-('Business Case'!C11*$C144*'Business Case'!C12*$B144))-'Business Case'!D15*$F144</f>
        <v>165693847.428636</v>
      </c>
      <c r="K144" s="39" t="n">
        <f aca="false">(('Business Case'!E11*$C144*'Business Case'!E12*$B144)-'Business Case'!E11*$C144*'Business Case'!E13*$D144-'Business Case'!E14*$E144)-MAX(0,(('Business Case'!E11*$C144*'Business Case'!E12*$B144)-'Business Case'!E11*$C144*'Business Case'!E13*$D144-'Business Case'!E14*$E144))*'Business Case'!$B$7-'Business Case'!$B$8*(('Business Case'!E11*$C144*'Business Case'!E12*$B144)-('Business Case'!D11*$C144*'Business Case'!D12*$B144))-'Business Case'!E15*$F144</f>
        <v>438188162.844416</v>
      </c>
      <c r="L144" s="39" t="n">
        <f aca="false">(('Business Case'!F11*$C144*'Business Case'!F12*$B144)-'Business Case'!F11*$C144*'Business Case'!F13*$D144-'Business Case'!F14*$E144)-MAX(0,(('Business Case'!F11*$C144*'Business Case'!F12*$B144)-'Business Case'!F11*$C144*'Business Case'!F13*$D144-'Business Case'!F14*$E144))*'Business Case'!$B$7-'Business Case'!$B$8*(('Business Case'!F11*$C144*'Business Case'!F12*$B144)-('Business Case'!E11*$C144*'Business Case'!E12*$B144))-'Business Case'!F15*$F144</f>
        <v>540070098.316494</v>
      </c>
      <c r="M144" s="39" t="n">
        <f aca="false">(('Business Case'!G11*$C144*'Business Case'!G12*$B144)-'Business Case'!G11*$C144*'Business Case'!G13*$D144-'Business Case'!G14*$E144)-MAX(0,(('Business Case'!G11*$C144*'Business Case'!G12*$B144)-'Business Case'!G11*$C144*'Business Case'!G13*$D144-'Business Case'!G14*$E144))*'Business Case'!$B$7-'Business Case'!$B$8*(('Business Case'!G11*$C144*'Business Case'!G12*$B144)-('Business Case'!F11*$C144*'Business Case'!F12*$B144))-'Business Case'!G15*$F144+'Business Case'!$B$8*('Business Case'!G11*$C144*'Business Case'!G12*$B144)</f>
        <v>693198513.315041</v>
      </c>
      <c r="N144" s="39" t="n">
        <f aca="false">IF(COUNT('Business Case'!B11:G11)=0,"",H144+NPV(G144,I144:M144))</f>
        <v>-720258464.579549</v>
      </c>
      <c r="P144" s="40" t="n">
        <f aca="true">RAND()</f>
        <v>0.625407150527919</v>
      </c>
      <c r="Q144" s="40" t="n">
        <f aca="true">RAND()</f>
        <v>0.0866249882584719</v>
      </c>
      <c r="R144" s="40" t="n">
        <f aca="true">RAND()</f>
        <v>0.882737556289358</v>
      </c>
      <c r="S144" s="40" t="n">
        <f aca="true">RAND()</f>
        <v>0.128511159042663</v>
      </c>
      <c r="T144" s="40" t="n">
        <f aca="true">RAND()</f>
        <v>0.215670784565168</v>
      </c>
      <c r="U144" s="40" t="n">
        <f aca="true">RAND()</f>
        <v>0.00596164602221883</v>
      </c>
    </row>
    <row r="145" customFormat="false" ht="15" hidden="false" customHeight="false" outlineLevel="0" collapsed="false">
      <c r="A145" s="36" t="n">
        <v>65</v>
      </c>
      <c r="B145" s="37" t="n">
        <f aca="false">1+IF($G$6=$E$6,$F$6,IF(P145&lt;($F$6-$E$6)/($G$6-$E$6),$E$6+SQRT(P145*($G$6-$E$6)*($F$6-$E$6)),$G$6-SQRT((1-P145)*($G$6-$E$6)*($G$6-$F$6))))</f>
        <v>0.92715115587462</v>
      </c>
      <c r="C145" s="37" t="n">
        <f aca="false">1+IF($G$7=$E$7,$F$7,IF(Q145&lt;($F$7-$E$7)/($G$7-$E$7),$E$7+SQRT(Q145*($G$7-$E$7)*($F$7-$E$7)),$G$7-SQRT((1-Q145)*($G$7-$E$7)*($G$7-$F$7))))</f>
        <v>0.908888216578901</v>
      </c>
      <c r="D145" s="37" t="n">
        <f aca="false">1+IF($G$8=$E$8,$F$8,IF(R145&lt;($F$8-$E$8)/($G$8-$E$8),$E$8+SQRT(R145*($G$8-$E$8)*($F$8-$E$8)),$G$8-SQRT((1-R145)*($G$8-$E$8)*($G$8-$F$8))))</f>
        <v>1.0019952541776</v>
      </c>
      <c r="E145" s="37" t="n">
        <f aca="false">1+IF($G$9=$E$9,$F$9,IF(S145&lt;($F$9-$E$9)/($G$9-$E$9),$E$9+SQRT(S145*($G$9-$E$9)*($F$9-$E$9)),$G$9-SQRT((1-S145)*($G$9-$E$9)*($G$9-$F$9))))</f>
        <v>1.00136298843155</v>
      </c>
      <c r="F145" s="37" t="n">
        <f aca="false">1+IF($G$10=$E$10,$F$10,IF(T145&lt;($F$10-$E$10)/($G$10-$E$10),$E$10+SQRT(T145*($G$10-$E$10)*($F$10-$E$10)),$G$10-SQRT((1-T145)*($G$10-$E$10)*($G$10-$F$10))))</f>
        <v>1.12656690519819</v>
      </c>
      <c r="G145" s="38" t="n">
        <f aca="false">IF($G$11=$E$11,$F$11,IF(U145&lt;($F$11-$E$11)/($G$11-$E$11),$E$11+SQRT(U145*($G$11-$E$11)*($F$11-$E$11)),$G$11-SQRT((1-U145)*($G$11-$E$11)*($G$11-$F$11))))</f>
        <v>0.109011571496827</v>
      </c>
      <c r="H145" s="39" t="n">
        <f aca="false">(('Business Case'!B11*$C145*'Business Case'!B12*$B145)-'Business Case'!B11*$C145*'Business Case'!B13*$D145-'Business Case'!B14*$E145)-MAX(0,(('Business Case'!B11*$C145*'Business Case'!B12*$B145)-'Business Case'!B11*$C145*'Business Case'!B13*$D145-'Business Case'!B14*$E145))*'Business Case'!$B$7-'Business Case'!$B$8*('Business Case'!B11*$C145*'Business Case'!B12*$B145)-'Business Case'!B15*$F145</f>
        <v>-2253133810.39638</v>
      </c>
      <c r="I145" s="39" t="n">
        <f aca="false">(('Business Case'!C11*$C145*'Business Case'!C12*$B145)-'Business Case'!C11*$C145*'Business Case'!C13*$D145-'Business Case'!C14*$E145)-MAX(0,(('Business Case'!C11*$C145*'Business Case'!C12*$B145)-'Business Case'!C11*$C145*'Business Case'!C13*$D145-'Business Case'!C14*$E145))*'Business Case'!$B$7-'Business Case'!$B$8*(('Business Case'!C11*$C145*'Business Case'!C12*$B145)-('Business Case'!B11*$C145*'Business Case'!B12*$B145))-'Business Case'!C15*$F145</f>
        <v>-74728334.9310347</v>
      </c>
      <c r="J145" s="39" t="n">
        <f aca="false">(('Business Case'!D11*$C145*'Business Case'!D12*$B145)-'Business Case'!D11*$C145*'Business Case'!D13*$D145-'Business Case'!D14*$E145)-MAX(0,(('Business Case'!D11*$C145*'Business Case'!D12*$B145)-'Business Case'!D11*$C145*'Business Case'!D13*$D145-'Business Case'!D14*$E145))*'Business Case'!$B$7-'Business Case'!$B$8*(('Business Case'!D11*$C145*'Business Case'!D12*$B145)-('Business Case'!C11*$C145*'Business Case'!C12*$B145))-'Business Case'!D15*$F145</f>
        <v>149278200.880248</v>
      </c>
      <c r="K145" s="39" t="n">
        <f aca="false">(('Business Case'!E11*$C145*'Business Case'!E12*$B145)-'Business Case'!E11*$C145*'Business Case'!E13*$D145-'Business Case'!E14*$E145)-MAX(0,(('Business Case'!E11*$C145*'Business Case'!E12*$B145)-'Business Case'!E11*$C145*'Business Case'!E13*$D145-'Business Case'!E14*$E145))*'Business Case'!$B$7-'Business Case'!$B$8*(('Business Case'!E11*$C145*'Business Case'!E12*$B145)-('Business Case'!D11*$C145*'Business Case'!D12*$B145))-'Business Case'!E15*$F145</f>
        <v>429613081.951441</v>
      </c>
      <c r="L145" s="39" t="n">
        <f aca="false">(('Business Case'!F11*$C145*'Business Case'!F12*$B145)-'Business Case'!F11*$C145*'Business Case'!F13*$D145-'Business Case'!F14*$E145)-MAX(0,(('Business Case'!F11*$C145*'Business Case'!F12*$B145)-'Business Case'!F11*$C145*'Business Case'!F13*$D145-'Business Case'!F14*$E145))*'Business Case'!$B$7-'Business Case'!$B$8*(('Business Case'!F11*$C145*'Business Case'!F12*$B145)-('Business Case'!E11*$C145*'Business Case'!E12*$B145))-'Business Case'!F15*$F145</f>
        <v>533404836.06689</v>
      </c>
      <c r="M145" s="39" t="n">
        <f aca="false">(('Business Case'!G11*$C145*'Business Case'!G12*$B145)-'Business Case'!G11*$C145*'Business Case'!G13*$D145-'Business Case'!G14*$E145)-MAX(0,(('Business Case'!G11*$C145*'Business Case'!G12*$B145)-'Business Case'!G11*$C145*'Business Case'!G13*$D145-'Business Case'!G14*$E145))*'Business Case'!$B$7-'Business Case'!$B$8*(('Business Case'!G11*$C145*'Business Case'!G12*$B145)-('Business Case'!F11*$C145*'Business Case'!F12*$B145))-'Business Case'!G15*$F145+'Business Case'!$B$8*('Business Case'!G11*$C145*'Business Case'!G12*$B145)</f>
        <v>693580834.714505</v>
      </c>
      <c r="N145" s="39" t="n">
        <f aca="false">IF(COUNT('Business Case'!B11:G11)=0,"",H145+NPV(G145,I145:M145))</f>
        <v>-1118104354.85085</v>
      </c>
      <c r="P145" s="40" t="n">
        <f aca="true">RAND()</f>
        <v>0.0491456843551941</v>
      </c>
      <c r="Q145" s="40" t="n">
        <f aca="true">RAND()</f>
        <v>0.323216940929732</v>
      </c>
      <c r="R145" s="40" t="n">
        <f aca="true">RAND()</f>
        <v>0.359671319752474</v>
      </c>
      <c r="S145" s="40" t="n">
        <f aca="true">RAND()</f>
        <v>0.410854367786716</v>
      </c>
      <c r="T145" s="40" t="n">
        <f aca="true">RAND()</f>
        <v>0.796856948101966</v>
      </c>
      <c r="U145" s="40" t="n">
        <f aca="true">RAND()</f>
        <v>0.706323912644792</v>
      </c>
    </row>
    <row r="146" customFormat="false" ht="15" hidden="false" customHeight="false" outlineLevel="0" collapsed="false">
      <c r="A146" s="36" t="n">
        <v>66</v>
      </c>
      <c r="B146" s="37" t="n">
        <f aca="false">1+IF($G$6=$E$6,$F$6,IF(P146&lt;($F$6-$E$6)/($G$6-$E$6),$E$6+SQRT(P146*($G$6-$E$6)*($F$6-$E$6)),$G$6-SQRT((1-P146)*($G$6-$E$6)*($G$6-$F$6))))</f>
        <v>1.03118070661693</v>
      </c>
      <c r="C146" s="37" t="n">
        <f aca="false">1+IF($G$7=$E$7,$F$7,IF(Q146&lt;($F$7-$E$7)/($G$7-$E$7),$E$7+SQRT(Q146*($G$7-$E$7)*($F$7-$E$7)),$G$7-SQRT((1-Q146)*($G$7-$E$7)*($G$7-$F$7))))</f>
        <v>0.906912792834342</v>
      </c>
      <c r="D146" s="37" t="n">
        <f aca="false">1+IF($G$8=$E$8,$F$8,IF(R146&lt;($F$8-$E$8)/($G$8-$E$8),$E$8+SQRT(R146*($G$8-$E$8)*($F$8-$E$8)),$G$8-SQRT((1-R146)*($G$8-$E$8)*($G$8-$F$8))))</f>
        <v>1.02086720924863</v>
      </c>
      <c r="E146" s="37" t="n">
        <f aca="false">1+IF($G$9=$E$9,$F$9,IF(S146&lt;($F$9-$E$9)/($G$9-$E$9),$E$9+SQRT(S146*($G$9-$E$9)*($F$9-$E$9)),$G$9-SQRT((1-S146)*($G$9-$E$9)*($G$9-$F$9))))</f>
        <v>0.981672415909511</v>
      </c>
      <c r="F146" s="37" t="n">
        <f aca="false">1+IF($G$10=$E$10,$F$10,IF(T146&lt;($F$10-$E$10)/($G$10-$E$10),$E$10+SQRT(T146*($G$10-$E$10)*($F$10-$E$10)),$G$10-SQRT((1-T146)*($G$10-$E$10)*($G$10-$F$10))))</f>
        <v>1.12128441282295</v>
      </c>
      <c r="G146" s="38" t="n">
        <f aca="false">IF($G$11=$E$11,$F$11,IF(U146&lt;($F$11-$E$11)/($G$11-$E$11),$E$11+SQRT(U146*($G$11-$E$11)*($F$11-$E$11)),$G$11-SQRT((1-U146)*($G$11-$E$11)*($G$11-$F$11))))</f>
        <v>0.0864310653225736</v>
      </c>
      <c r="H146" s="39" t="n">
        <f aca="false">(('Business Case'!B11*$C146*'Business Case'!B12*$B146)-'Business Case'!B11*$C146*'Business Case'!B13*$D146-'Business Case'!B14*$E146)-MAX(0,(('Business Case'!B11*$C146*'Business Case'!B12*$B146)-'Business Case'!B11*$C146*'Business Case'!B13*$D146-'Business Case'!B14*$E146))*'Business Case'!$B$7-'Business Case'!$B$8*('Business Case'!B11*$C146*'Business Case'!B12*$B146)-'Business Case'!B15*$F146</f>
        <v>-2242568825.6459</v>
      </c>
      <c r="I146" s="39" t="n">
        <f aca="false">(('Business Case'!C11*$C146*'Business Case'!C12*$B146)-'Business Case'!C11*$C146*'Business Case'!C13*$D146-'Business Case'!C14*$E146)-MAX(0,(('Business Case'!C11*$C146*'Business Case'!C12*$B146)-'Business Case'!C11*$C146*'Business Case'!C13*$D146-'Business Case'!C14*$E146))*'Business Case'!$B$7-'Business Case'!$B$8*(('Business Case'!C11*$C146*'Business Case'!C12*$B146)-('Business Case'!B11*$C146*'Business Case'!B12*$B146))-'Business Case'!C15*$F146</f>
        <v>-8168566.34098005</v>
      </c>
      <c r="J146" s="39" t="n">
        <f aca="false">(('Business Case'!D11*$C146*'Business Case'!D12*$B146)-'Business Case'!D11*$C146*'Business Case'!D13*$D146-'Business Case'!D14*$E146)-MAX(0,(('Business Case'!D11*$C146*'Business Case'!D12*$B146)-'Business Case'!D11*$C146*'Business Case'!D13*$D146-'Business Case'!D14*$E146))*'Business Case'!$B$7-'Business Case'!$B$8*(('Business Case'!D11*$C146*'Business Case'!D12*$B146)-('Business Case'!C11*$C146*'Business Case'!C12*$B146))-'Business Case'!D15*$F146</f>
        <v>283865426.263591</v>
      </c>
      <c r="K146" s="39" t="n">
        <f aca="false">(('Business Case'!E11*$C146*'Business Case'!E12*$B146)-'Business Case'!E11*$C146*'Business Case'!E13*$D146-'Business Case'!E14*$E146)-MAX(0,(('Business Case'!E11*$C146*'Business Case'!E12*$B146)-'Business Case'!E11*$C146*'Business Case'!E13*$D146-'Business Case'!E14*$E146))*'Business Case'!$B$7-'Business Case'!$B$8*(('Business Case'!E11*$C146*'Business Case'!E12*$B146)-('Business Case'!D11*$C146*'Business Case'!D12*$B146))-'Business Case'!E15*$F146</f>
        <v>631963639.509309</v>
      </c>
      <c r="L146" s="39" t="n">
        <f aca="false">(('Business Case'!F11*$C146*'Business Case'!F12*$B146)-'Business Case'!F11*$C146*'Business Case'!F13*$D146-'Business Case'!F14*$E146)-MAX(0,(('Business Case'!F11*$C146*'Business Case'!F12*$B146)-'Business Case'!F11*$C146*'Business Case'!F13*$D146-'Business Case'!F14*$E146))*'Business Case'!$B$7-'Business Case'!$B$8*(('Business Case'!F11*$C146*'Business Case'!F12*$B146)-('Business Case'!E11*$C146*'Business Case'!E12*$B146))-'Business Case'!F15*$F146</f>
        <v>761628503.791449</v>
      </c>
      <c r="M146" s="39" t="n">
        <f aca="false">(('Business Case'!G11*$C146*'Business Case'!G12*$B146)-'Business Case'!G11*$C146*'Business Case'!G13*$D146-'Business Case'!G14*$E146)-MAX(0,(('Business Case'!G11*$C146*'Business Case'!G12*$B146)-'Business Case'!G11*$C146*'Business Case'!G13*$D146-'Business Case'!G14*$E146))*'Business Case'!$B$7-'Business Case'!$B$8*(('Business Case'!G11*$C146*'Business Case'!G12*$B146)-('Business Case'!F11*$C146*'Business Case'!F12*$B146))-'Business Case'!G15*$F146+'Business Case'!$B$8*('Business Case'!G11*$C146*'Business Case'!G12*$B146)</f>
        <v>939389604.234835</v>
      </c>
      <c r="N146" s="39" t="n">
        <f aca="false">IF(COUNT('Business Case'!B11:G11)=0,"",H146+NPV(G146,I146:M146))</f>
        <v>-349459857.598972</v>
      </c>
      <c r="P146" s="40" t="n">
        <f aca="true">RAND()</f>
        <v>0.952777892874948</v>
      </c>
      <c r="Q146" s="40" t="n">
        <f aca="true">RAND()</f>
        <v>0.317132621025979</v>
      </c>
      <c r="R146" s="40" t="n">
        <f aca="true">RAND()</f>
        <v>0.582533428526683</v>
      </c>
      <c r="S146" s="40" t="n">
        <f aca="true">RAND()</f>
        <v>0.266815340819843</v>
      </c>
      <c r="T146" s="40" t="n">
        <f aca="true">RAND()</f>
        <v>0.779097301568895</v>
      </c>
      <c r="U146" s="40" t="n">
        <f aca="true">RAND()</f>
        <v>0.0413586011832085</v>
      </c>
    </row>
    <row r="147" customFormat="false" ht="15" hidden="false" customHeight="false" outlineLevel="0" collapsed="false">
      <c r="A147" s="36" t="n">
        <v>67</v>
      </c>
      <c r="B147" s="37" t="n">
        <f aca="false">1+IF($G$6=$E$6,$F$6,IF(P147&lt;($F$6-$E$6)/($G$6-$E$6),$E$6+SQRT(P147*($G$6-$E$6)*($F$6-$E$6)),$G$6-SQRT((1-P147)*($G$6-$E$6)*($G$6-$F$6))))</f>
        <v>0.970996100142829</v>
      </c>
      <c r="C147" s="37" t="n">
        <f aca="false">1+IF($G$7=$E$7,$F$7,IF(Q147&lt;($F$7-$E$7)/($G$7-$E$7),$E$7+SQRT(Q147*($G$7-$E$7)*($F$7-$E$7)),$G$7-SQRT((1-Q147)*($G$7-$E$7)*($G$7-$F$7))))</f>
        <v>0.962798358250828</v>
      </c>
      <c r="D147" s="37" t="n">
        <f aca="false">1+IF($G$8=$E$8,$F$8,IF(R147&lt;($F$8-$E$8)/($G$8-$E$8),$E$8+SQRT(R147*($G$8-$E$8)*($F$8-$E$8)),$G$8-SQRT((1-R147)*($G$8-$E$8)*($G$8-$F$8))))</f>
        <v>1.00735718533642</v>
      </c>
      <c r="E147" s="37" t="n">
        <f aca="false">1+IF($G$9=$E$9,$F$9,IF(S147&lt;($F$9-$E$9)/($G$9-$E$9),$E$9+SQRT(S147*($G$9-$E$9)*($F$9-$E$9)),$G$9-SQRT((1-S147)*($G$9-$E$9)*($G$9-$F$9))))</f>
        <v>1.09916297844814</v>
      </c>
      <c r="F147" s="37" t="n">
        <f aca="false">1+IF($G$10=$E$10,$F$10,IF(T147&lt;($F$10-$E$10)/($G$10-$E$10),$E$10+SQRT(T147*($G$10-$E$10)*($F$10-$E$10)),$G$10-SQRT((1-T147)*($G$10-$E$10)*($G$10-$F$10))))</f>
        <v>1.03734187520773</v>
      </c>
      <c r="G147" s="38" t="n">
        <f aca="false">IF($G$11=$E$11,$F$11,IF(U147&lt;($F$11-$E$11)/($G$11-$E$11),$E$11+SQRT(U147*($G$11-$E$11)*($F$11-$E$11)),$G$11-SQRT((1-U147)*($G$11-$E$11)*($G$11-$F$11))))</f>
        <v>0.0970280399365712</v>
      </c>
      <c r="H147" s="39" t="n">
        <f aca="false">(('Business Case'!B11*$C147*'Business Case'!B12*$B147)-'Business Case'!B11*$C147*'Business Case'!B13*$D147-'Business Case'!B14*$E147)-MAX(0,(('Business Case'!B11*$C147*'Business Case'!B12*$B147)-'Business Case'!B11*$C147*'Business Case'!B13*$D147-'Business Case'!B14*$E147))*'Business Case'!$B$7-'Business Case'!$B$8*('Business Case'!B11*$C147*'Business Case'!B12*$B147)-'Business Case'!B15*$F147</f>
        <v>-2074683750.41546</v>
      </c>
      <c r="I147" s="39" t="n">
        <f aca="false">(('Business Case'!C11*$C147*'Business Case'!C12*$B147)-'Business Case'!C11*$C147*'Business Case'!C13*$D147-'Business Case'!C14*$E147)-MAX(0,(('Business Case'!C11*$C147*'Business Case'!C12*$B147)-'Business Case'!C11*$C147*'Business Case'!C13*$D147-'Business Case'!C14*$E147))*'Business Case'!$B$7-'Business Case'!$B$8*(('Business Case'!C11*$C147*'Business Case'!C12*$B147)-('Business Case'!B11*$C147*'Business Case'!B12*$B147))-'Business Case'!C15*$F147</f>
        <v>-39272249.1229593</v>
      </c>
      <c r="J147" s="39" t="n">
        <f aca="false">(('Business Case'!D11*$C147*'Business Case'!D12*$B147)-'Business Case'!D11*$C147*'Business Case'!D13*$D147-'Business Case'!D14*$E147)-MAX(0,(('Business Case'!D11*$C147*'Business Case'!D12*$B147)-'Business Case'!D11*$C147*'Business Case'!D13*$D147-'Business Case'!D14*$E147))*'Business Case'!$B$7-'Business Case'!$B$8*(('Business Case'!D11*$C147*'Business Case'!D12*$B147)-('Business Case'!C11*$C147*'Business Case'!C12*$B147))-'Business Case'!D15*$F147</f>
        <v>229954504.51445</v>
      </c>
      <c r="K147" s="39" t="n">
        <f aca="false">(('Business Case'!E11*$C147*'Business Case'!E12*$B147)-'Business Case'!E11*$C147*'Business Case'!E13*$D147-'Business Case'!E14*$E147)-MAX(0,(('Business Case'!E11*$C147*'Business Case'!E12*$B147)-'Business Case'!E11*$C147*'Business Case'!E13*$D147-'Business Case'!E14*$E147))*'Business Case'!$B$7-'Business Case'!$B$8*(('Business Case'!E11*$C147*'Business Case'!E12*$B147)-('Business Case'!D11*$C147*'Business Case'!D12*$B147))-'Business Case'!E15*$F147</f>
        <v>551048351.912246</v>
      </c>
      <c r="L147" s="39" t="n">
        <f aca="false">(('Business Case'!F11*$C147*'Business Case'!F12*$B147)-'Business Case'!F11*$C147*'Business Case'!F13*$D147-'Business Case'!F14*$E147)-MAX(0,(('Business Case'!F11*$C147*'Business Case'!F12*$B147)-'Business Case'!F11*$C147*'Business Case'!F13*$D147-'Business Case'!F14*$E147))*'Business Case'!$B$7-'Business Case'!$B$8*(('Business Case'!F11*$C147*'Business Case'!F12*$B147)-('Business Case'!E11*$C147*'Business Case'!E12*$B147))-'Business Case'!F15*$F147</f>
        <v>673099829.59423</v>
      </c>
      <c r="M147" s="39" t="n">
        <f aca="false">(('Business Case'!G11*$C147*'Business Case'!G12*$B147)-'Business Case'!G11*$C147*'Business Case'!G13*$D147-'Business Case'!G14*$E147)-MAX(0,(('Business Case'!G11*$C147*'Business Case'!G12*$B147)-'Business Case'!G11*$C147*'Business Case'!G13*$D147-'Business Case'!G14*$E147))*'Business Case'!$B$7-'Business Case'!$B$8*(('Business Case'!G11*$C147*'Business Case'!G12*$B147)-('Business Case'!F11*$C147*'Business Case'!F12*$B147))-'Business Case'!G15*$F147+'Business Case'!$B$8*('Business Case'!G11*$C147*'Business Case'!G12*$B147)</f>
        <v>850800575.176556</v>
      </c>
      <c r="N147" s="39" t="n">
        <f aca="false">IF(COUNT('Business Case'!B11:G11)=0,"",H147+NPV(G147,I147:M147))</f>
        <v>-501808346.565779</v>
      </c>
      <c r="P147" s="40" t="n">
        <f aca="true">RAND()</f>
        <v>0.336029749032703</v>
      </c>
      <c r="Q147" s="40" t="n">
        <f aca="true">RAND()</f>
        <v>0.511577608143187</v>
      </c>
      <c r="R147" s="40" t="n">
        <f aca="true">RAND()</f>
        <v>0.427820592747255</v>
      </c>
      <c r="S147" s="40" t="n">
        <f aca="true">RAND()</f>
        <v>0.931082593059606</v>
      </c>
      <c r="T147" s="40" t="n">
        <f aca="true">RAND()</f>
        <v>0.397020292797813</v>
      </c>
      <c r="U147" s="40" t="n">
        <f aca="true">RAND()</f>
        <v>0.289954144081462</v>
      </c>
    </row>
    <row r="148" customFormat="false" ht="15" hidden="false" customHeight="false" outlineLevel="0" collapsed="false">
      <c r="A148" s="36" t="n">
        <v>68</v>
      </c>
      <c r="B148" s="37" t="n">
        <f aca="false">1+IF($G$6=$E$6,$F$6,IF(P148&lt;($F$6-$E$6)/($G$6-$E$6),$E$6+SQRT(P148*($G$6-$E$6)*($F$6-$E$6)),$G$6-SQRT((1-P148)*($G$6-$E$6)*($G$6-$F$6))))</f>
        <v>0.97580322913013</v>
      </c>
      <c r="C148" s="37" t="n">
        <f aca="false">1+IF($G$7=$E$7,$F$7,IF(Q148&lt;($F$7-$E$7)/($G$7-$E$7),$E$7+SQRT(Q148*($G$7-$E$7)*($F$7-$E$7)),$G$7-SQRT((1-Q148)*($G$7-$E$7)*($G$7-$F$7))))</f>
        <v>0.93516656067197</v>
      </c>
      <c r="D148" s="37" t="n">
        <f aca="false">1+IF($G$8=$E$8,$F$8,IF(R148&lt;($F$8-$E$8)/($G$8-$E$8),$E$8+SQRT(R148*($G$8-$E$8)*($F$8-$E$8)),$G$8-SQRT((1-R148)*($G$8-$E$8)*($G$8-$F$8))))</f>
        <v>0.997281359378802</v>
      </c>
      <c r="E148" s="37" t="n">
        <f aca="false">1+IF($G$9=$E$9,$F$9,IF(S148&lt;($F$9-$E$9)/($G$9-$E$9),$E$9+SQRT(S148*($G$9-$E$9)*($F$9-$E$9)),$G$9-SQRT((1-S148)*($G$9-$E$9)*($G$9-$F$9))))</f>
        <v>1.03247785342888</v>
      </c>
      <c r="F148" s="37" t="n">
        <f aca="false">1+IF($G$10=$E$10,$F$10,IF(T148&lt;($F$10-$E$10)/($G$10-$E$10),$E$10+SQRT(T148*($G$10-$E$10)*($F$10-$E$10)),$G$10-SQRT((1-T148)*($G$10-$E$10)*($G$10-$F$10))))</f>
        <v>1.18013914697263</v>
      </c>
      <c r="G148" s="38" t="n">
        <f aca="false">IF($G$11=$E$11,$F$11,IF(U148&lt;($F$11-$E$11)/($G$11-$E$11),$E$11+SQRT(U148*($G$11-$E$11)*($F$11-$E$11)),$G$11-SQRT((1-U148)*($G$11-$E$11)*($G$11-$F$11))))</f>
        <v>0.092521575577637</v>
      </c>
      <c r="H148" s="39" t="n">
        <f aca="false">(('Business Case'!B11*$C148*'Business Case'!B12*$B148)-'Business Case'!B11*$C148*'Business Case'!B13*$D148-'Business Case'!B14*$E148)-MAX(0,(('Business Case'!B11*$C148*'Business Case'!B12*$B148)-'Business Case'!B11*$C148*'Business Case'!B13*$D148-'Business Case'!B14*$E148))*'Business Case'!$B$7-'Business Case'!$B$8*('Business Case'!B11*$C148*'Business Case'!B12*$B148)-'Business Case'!B15*$F148</f>
        <v>-2360278293.94526</v>
      </c>
      <c r="I148" s="39" t="n">
        <f aca="false">(('Business Case'!C11*$C148*'Business Case'!C12*$B148)-'Business Case'!C11*$C148*'Business Case'!C13*$D148-'Business Case'!C14*$E148)-MAX(0,(('Business Case'!C11*$C148*'Business Case'!C12*$B148)-'Business Case'!C11*$C148*'Business Case'!C13*$D148-'Business Case'!C14*$E148))*'Business Case'!$B$7-'Business Case'!$B$8*(('Business Case'!C11*$C148*'Business Case'!C12*$B148)-('Business Case'!B11*$C148*'Business Case'!B12*$B148))-'Business Case'!C15*$F148</f>
        <v>-42132458.556556</v>
      </c>
      <c r="J148" s="39" t="n">
        <f aca="false">(('Business Case'!D11*$C148*'Business Case'!D12*$B148)-'Business Case'!D11*$C148*'Business Case'!D13*$D148-'Business Case'!D14*$E148)-MAX(0,(('Business Case'!D11*$C148*'Business Case'!D12*$B148)-'Business Case'!D11*$C148*'Business Case'!D13*$D148-'Business Case'!D14*$E148))*'Business Case'!$B$7-'Business Case'!$B$8*(('Business Case'!D11*$C148*'Business Case'!D12*$B148)-('Business Case'!C11*$C148*'Business Case'!C12*$B148))-'Business Case'!D15*$F148</f>
        <v>227873346.757057</v>
      </c>
      <c r="K148" s="39" t="n">
        <f aca="false">(('Business Case'!E11*$C148*'Business Case'!E12*$B148)-'Business Case'!E11*$C148*'Business Case'!E13*$D148-'Business Case'!E14*$E148)-MAX(0,(('Business Case'!E11*$C148*'Business Case'!E12*$B148)-'Business Case'!E11*$C148*'Business Case'!E13*$D148-'Business Case'!E14*$E148))*'Business Case'!$B$7-'Business Case'!$B$8*(('Business Case'!E11*$C148*'Business Case'!E12*$B148)-('Business Case'!D11*$C148*'Business Case'!D12*$B148))-'Business Case'!E15*$F148</f>
        <v>556886109.419302</v>
      </c>
      <c r="L148" s="39" t="n">
        <f aca="false">(('Business Case'!F11*$C148*'Business Case'!F12*$B148)-'Business Case'!F11*$C148*'Business Case'!F13*$D148-'Business Case'!F14*$E148)-MAX(0,(('Business Case'!F11*$C148*'Business Case'!F12*$B148)-'Business Case'!F11*$C148*'Business Case'!F13*$D148-'Business Case'!F14*$E148))*'Business Case'!$B$7-'Business Case'!$B$8*(('Business Case'!F11*$C148*'Business Case'!F12*$B148)-('Business Case'!E11*$C148*'Business Case'!E12*$B148))-'Business Case'!F15*$F148</f>
        <v>678425376.800719</v>
      </c>
      <c r="M148" s="39" t="n">
        <f aca="false">(('Business Case'!G11*$C148*'Business Case'!G12*$B148)-'Business Case'!G11*$C148*'Business Case'!G13*$D148-'Business Case'!G14*$E148)-MAX(0,(('Business Case'!G11*$C148*'Business Case'!G12*$B148)-'Business Case'!G11*$C148*'Business Case'!G13*$D148-'Business Case'!G14*$E148))*'Business Case'!$B$7-'Business Case'!$B$8*(('Business Case'!G11*$C148*'Business Case'!G12*$B148)-('Business Case'!F11*$C148*'Business Case'!F12*$B148))-'Business Case'!G15*$F148+'Business Case'!$B$8*('Business Case'!G11*$C148*'Business Case'!G12*$B148)</f>
        <v>851880704.323557</v>
      </c>
      <c r="N148" s="39" t="n">
        <f aca="false">IF(COUNT('Business Case'!B11:G11)=0,"",H148+NPV(G148,I148:M148))</f>
        <v>-757387015.829459</v>
      </c>
      <c r="P148" s="40" t="n">
        <f aca="true">RAND()</f>
        <v>0.38307530310367</v>
      </c>
      <c r="Q148" s="40" t="n">
        <f aca="true">RAND()</f>
        <v>0.409654157468767</v>
      </c>
      <c r="R148" s="40" t="n">
        <f aca="true">RAND()</f>
        <v>0.29807025929432</v>
      </c>
      <c r="S148" s="40" t="n">
        <f aca="true">RAND()</f>
        <v>0.631694535075111</v>
      </c>
      <c r="T148" s="40" t="n">
        <f aca="true">RAND()</f>
        <v>0.93492614952384</v>
      </c>
      <c r="U148" s="40" t="n">
        <f aca="true">RAND()</f>
        <v>0.156789854946475</v>
      </c>
    </row>
    <row r="149" customFormat="false" ht="15" hidden="false" customHeight="false" outlineLevel="0" collapsed="false">
      <c r="A149" s="36" t="n">
        <v>69</v>
      </c>
      <c r="B149" s="37" t="n">
        <f aca="false">1+IF($G$6=$E$6,$F$6,IF(P149&lt;($F$6-$E$6)/($G$6-$E$6),$E$6+SQRT(P149*($G$6-$E$6)*($F$6-$E$6)),$G$6-SQRT((1-P149)*($G$6-$E$6)*($G$6-$F$6))))</f>
        <v>1.02890218597386</v>
      </c>
      <c r="C149" s="37" t="n">
        <f aca="false">1+IF($G$7=$E$7,$F$7,IF(Q149&lt;($F$7-$E$7)/($G$7-$E$7),$E$7+SQRT(Q149*($G$7-$E$7)*($F$7-$E$7)),$G$7-SQRT((1-Q149)*($G$7-$E$7)*($G$7-$F$7))))</f>
        <v>1.0314255178724</v>
      </c>
      <c r="D149" s="37" t="n">
        <f aca="false">1+IF($G$8=$E$8,$F$8,IF(R149&lt;($F$8-$E$8)/($G$8-$E$8),$E$8+SQRT(R149*($G$8-$E$8)*($F$8-$E$8)),$G$8-SQRT((1-R149)*($G$8-$E$8)*($G$8-$F$8))))</f>
        <v>1.06361445846023</v>
      </c>
      <c r="E149" s="37" t="n">
        <f aca="false">1+IF($G$9=$E$9,$F$9,IF(S149&lt;($F$9-$E$9)/($G$9-$E$9),$E$9+SQRT(S149*($G$9-$E$9)*($F$9-$E$9)),$G$9-SQRT((1-S149)*($G$9-$E$9)*($G$9-$F$9))))</f>
        <v>1.02383490428964</v>
      </c>
      <c r="F149" s="37" t="n">
        <f aca="false">1+IF($G$10=$E$10,$F$10,IF(T149&lt;($F$10-$E$10)/($G$10-$E$10),$E$10+SQRT(T149*($G$10-$E$10)*($F$10-$E$10)),$G$10-SQRT((1-T149)*($G$10-$E$10)*($G$10-$F$10))))</f>
        <v>1.18029864657241</v>
      </c>
      <c r="G149" s="38" t="n">
        <f aca="false">IF($G$11=$E$11,$F$11,IF(U149&lt;($F$11-$E$11)/($G$11-$E$11),$E$11+SQRT(U149*($G$11-$E$11)*($F$11-$E$11)),$G$11-SQRT((1-U149)*($G$11-$E$11)*($G$11-$F$11))))</f>
        <v>0.0869063943702396</v>
      </c>
      <c r="H149" s="39" t="n">
        <f aca="false">(('Business Case'!B11*$C149*'Business Case'!B12*$B149)-'Business Case'!B11*$C149*'Business Case'!B13*$D149-'Business Case'!B14*$E149)-MAX(0,(('Business Case'!B11*$C149*'Business Case'!B12*$B149)-'Business Case'!B11*$C149*'Business Case'!B13*$D149-'Business Case'!B14*$E149))*'Business Case'!$B$7-'Business Case'!$B$8*('Business Case'!B11*$C149*'Business Case'!B12*$B149)-'Business Case'!B15*$F149</f>
        <v>-2360597293.14482</v>
      </c>
      <c r="I149" s="39" t="n">
        <f aca="false">(('Business Case'!C11*$C149*'Business Case'!C12*$B149)-'Business Case'!C11*$C149*'Business Case'!C13*$D149-'Business Case'!C14*$E149)-MAX(0,(('Business Case'!C11*$C149*'Business Case'!C12*$B149)-'Business Case'!C11*$C149*'Business Case'!C13*$D149-'Business Case'!C14*$E149))*'Business Case'!$B$7-'Business Case'!$B$8*(('Business Case'!C11*$C149*'Business Case'!C12*$B149)-('Business Case'!B11*$C149*'Business Case'!B12*$B149))-'Business Case'!C15*$F149</f>
        <v>-11001245.1190187</v>
      </c>
      <c r="J149" s="39" t="n">
        <f aca="false">(('Business Case'!D11*$C149*'Business Case'!D12*$B149)-'Business Case'!D11*$C149*'Business Case'!D13*$D149-'Business Case'!D14*$E149)-MAX(0,(('Business Case'!D11*$C149*'Business Case'!D12*$B149)-'Business Case'!D11*$C149*'Business Case'!D13*$D149-'Business Case'!D14*$E149))*'Business Case'!$B$7-'Business Case'!$B$8*(('Business Case'!D11*$C149*'Business Case'!D12*$B149)-('Business Case'!C11*$C149*'Business Case'!C12*$B149))-'Business Case'!D15*$F149</f>
        <v>296631170.494413</v>
      </c>
      <c r="K149" s="39" t="n">
        <f aca="false">(('Business Case'!E11*$C149*'Business Case'!E12*$B149)-'Business Case'!E11*$C149*'Business Case'!E13*$D149-'Business Case'!E14*$E149)-MAX(0,(('Business Case'!E11*$C149*'Business Case'!E12*$B149)-'Business Case'!E11*$C149*'Business Case'!E13*$D149-'Business Case'!E14*$E149))*'Business Case'!$B$7-'Business Case'!$B$8*(('Business Case'!E11*$C149*'Business Case'!E12*$B149)-('Business Case'!D11*$C149*'Business Case'!D12*$B149))-'Business Case'!E15*$F149</f>
        <v>663278518.436465</v>
      </c>
      <c r="L149" s="39" t="n">
        <f aca="false">(('Business Case'!F11*$C149*'Business Case'!F12*$B149)-'Business Case'!F11*$C149*'Business Case'!F13*$D149-'Business Case'!F14*$E149)-MAX(0,(('Business Case'!F11*$C149*'Business Case'!F12*$B149)-'Business Case'!F11*$C149*'Business Case'!F13*$D149-'Business Case'!F14*$E149))*'Business Case'!$B$7-'Business Case'!$B$8*(('Business Case'!F11*$C149*'Business Case'!F12*$B149)-('Business Case'!E11*$C149*'Business Case'!E12*$B149))-'Business Case'!F15*$F149</f>
        <v>802498972.097757</v>
      </c>
      <c r="M149" s="39" t="n">
        <f aca="false">(('Business Case'!G11*$C149*'Business Case'!G12*$B149)-'Business Case'!G11*$C149*'Business Case'!G13*$D149-'Business Case'!G14*$E149)-MAX(0,(('Business Case'!G11*$C149*'Business Case'!G12*$B149)-'Business Case'!G11*$C149*'Business Case'!G13*$D149-'Business Case'!G14*$E149))*'Business Case'!$B$7-'Business Case'!$B$8*(('Business Case'!G11*$C149*'Business Case'!G12*$B149)-('Business Case'!F11*$C149*'Business Case'!F12*$B149))-'Business Case'!G15*$F149+'Business Case'!$B$8*('Business Case'!G11*$C149*'Business Case'!G12*$B149)</f>
        <v>1004218705.2769</v>
      </c>
      <c r="N149" s="39" t="n">
        <f aca="false">IF(COUNT('Business Case'!B11:G11)=0,"",H149+NPV(G149,I149:M149))</f>
        <v>-366043328.421705</v>
      </c>
      <c r="P149" s="40" t="n">
        <f aca="true">RAND()</f>
        <v>0.940650965775802</v>
      </c>
      <c r="Q149" s="40" t="n">
        <f aca="true">RAND()</f>
        <v>0.791705069454404</v>
      </c>
      <c r="R149" s="40" t="n">
        <f aca="true">RAND()</f>
        <v>0.911739491123838</v>
      </c>
      <c r="S149" s="40" t="n">
        <f aca="true">RAND()</f>
        <v>0.575529829983908</v>
      </c>
      <c r="T149" s="40" t="n">
        <f aca="true">RAND()</f>
        <v>0.935222951071499</v>
      </c>
      <c r="U149" s="40" t="n">
        <f aca="true">RAND()</f>
        <v>0.0476982831972766</v>
      </c>
    </row>
    <row r="150" customFormat="false" ht="15" hidden="false" customHeight="false" outlineLevel="0" collapsed="false">
      <c r="A150" s="36" t="n">
        <v>70</v>
      </c>
      <c r="B150" s="37" t="n">
        <f aca="false">1+IF($G$6=$E$6,$F$6,IF(P150&lt;($F$6-$E$6)/($G$6-$E$6),$E$6+SQRT(P150*($G$6-$E$6)*($F$6-$E$6)),$G$6-SQRT((1-P150)*($G$6-$E$6)*($G$6-$F$6))))</f>
        <v>0.929153144367598</v>
      </c>
      <c r="C150" s="37" t="n">
        <f aca="false">1+IF($G$7=$E$7,$F$7,IF(Q150&lt;($F$7-$E$7)/($G$7-$E$7),$E$7+SQRT(Q150*($G$7-$E$7)*($F$7-$E$7)),$G$7-SQRT((1-Q150)*($G$7-$E$7)*($G$7-$F$7))))</f>
        <v>0.852265136319727</v>
      </c>
      <c r="D150" s="37" t="n">
        <f aca="false">1+IF($G$8=$E$8,$F$8,IF(R150&lt;($F$8-$E$8)/($G$8-$E$8),$E$8+SQRT(R150*($G$8-$E$8)*($F$8-$E$8)),$G$8-SQRT((1-R150)*($G$8-$E$8)*($G$8-$F$8))))</f>
        <v>0.992946313904773</v>
      </c>
      <c r="E150" s="37" t="n">
        <f aca="false">1+IF($G$9=$E$9,$F$9,IF(S150&lt;($F$9-$E$9)/($G$9-$E$9),$E$9+SQRT(S150*($G$9-$E$9)*($F$9-$E$9)),$G$9-SQRT((1-S150)*($G$9-$E$9)*($G$9-$F$9))))</f>
        <v>1.06272845859572</v>
      </c>
      <c r="F150" s="37" t="n">
        <f aca="false">1+IF($G$10=$E$10,$F$10,IF(T150&lt;($F$10-$E$10)/($G$10-$E$10),$E$10+SQRT(T150*($G$10-$E$10)*($F$10-$E$10)),$G$10-SQRT((1-T150)*($G$10-$E$10)*($G$10-$F$10))))</f>
        <v>1.01709543191697</v>
      </c>
      <c r="G150" s="38" t="n">
        <f aca="false">IF($G$11=$E$11,$F$11,IF(U150&lt;($F$11-$E$11)/($G$11-$E$11),$E$11+SQRT(U150*($G$11-$E$11)*($F$11-$E$11)),$G$11-SQRT((1-U150)*($G$11-$E$11)*($G$11-$F$11))))</f>
        <v>0.0874421899541267</v>
      </c>
      <c r="H150" s="39" t="n">
        <f aca="false">(('Business Case'!B11*$C150*'Business Case'!B12*$B150)-'Business Case'!B11*$C150*'Business Case'!B13*$D150-'Business Case'!B14*$E150)-MAX(0,(('Business Case'!B11*$C150*'Business Case'!B12*$B150)-'Business Case'!B11*$C150*'Business Case'!B13*$D150-'Business Case'!B14*$E150))*'Business Case'!$B$7-'Business Case'!$B$8*('Business Case'!B11*$C150*'Business Case'!B12*$B150)-'Business Case'!B15*$F150</f>
        <v>-2034190863.83394</v>
      </c>
      <c r="I150" s="39" t="n">
        <f aca="false">(('Business Case'!C11*$C150*'Business Case'!C12*$B150)-'Business Case'!C11*$C150*'Business Case'!C13*$D150-'Business Case'!C14*$E150)-MAX(0,(('Business Case'!C11*$C150*'Business Case'!C12*$B150)-'Business Case'!C11*$C150*'Business Case'!C13*$D150-'Business Case'!C14*$E150))*'Business Case'!$B$7-'Business Case'!$B$8*(('Business Case'!C11*$C150*'Business Case'!C12*$B150)-('Business Case'!B11*$C150*'Business Case'!B12*$B150))-'Business Case'!C15*$F150</f>
        <v>-78484251.9712092</v>
      </c>
      <c r="J150" s="39" t="n">
        <f aca="false">(('Business Case'!D11*$C150*'Business Case'!D12*$B150)-'Business Case'!D11*$C150*'Business Case'!D13*$D150-'Business Case'!D14*$E150)-MAX(0,(('Business Case'!D11*$C150*'Business Case'!D12*$B150)-'Business Case'!D11*$C150*'Business Case'!D13*$D150-'Business Case'!D14*$E150))*'Business Case'!$B$7-'Business Case'!$B$8*(('Business Case'!D11*$C150*'Business Case'!D12*$B150)-('Business Case'!C11*$C150*'Business Case'!C12*$B150))-'Business Case'!D15*$F150</f>
        <v>136912335.713401</v>
      </c>
      <c r="K150" s="39" t="n">
        <f aca="false">(('Business Case'!E11*$C150*'Business Case'!E12*$B150)-'Business Case'!E11*$C150*'Business Case'!E13*$D150-'Business Case'!E14*$E150)-MAX(0,(('Business Case'!E11*$C150*'Business Case'!E12*$B150)-'Business Case'!E11*$C150*'Business Case'!E13*$D150-'Business Case'!E14*$E150))*'Business Case'!$B$7-'Business Case'!$B$8*(('Business Case'!E11*$C150*'Business Case'!E12*$B150)-('Business Case'!D11*$C150*'Business Case'!D12*$B150))-'Business Case'!E15*$F150</f>
        <v>403163694.99386</v>
      </c>
      <c r="L150" s="39" t="n">
        <f aca="false">(('Business Case'!F11*$C150*'Business Case'!F12*$B150)-'Business Case'!F11*$C150*'Business Case'!F13*$D150-'Business Case'!F14*$E150)-MAX(0,(('Business Case'!F11*$C150*'Business Case'!F12*$B150)-'Business Case'!F11*$C150*'Business Case'!F13*$D150-'Business Case'!F14*$E150))*'Business Case'!$B$7-'Business Case'!$B$8*(('Business Case'!F11*$C150*'Business Case'!F12*$B150)-('Business Case'!E11*$C150*'Business Case'!E12*$B150))-'Business Case'!F15*$F150</f>
        <v>502330097.323271</v>
      </c>
      <c r="M150" s="39" t="n">
        <f aca="false">(('Business Case'!G11*$C150*'Business Case'!G12*$B150)-'Business Case'!G11*$C150*'Business Case'!G13*$D150-'Business Case'!G14*$E150)-MAX(0,(('Business Case'!G11*$C150*'Business Case'!G12*$B150)-'Business Case'!G11*$C150*'Business Case'!G13*$D150-'Business Case'!G14*$E150))*'Business Case'!$B$7-'Business Case'!$B$8*(('Business Case'!G11*$C150*'Business Case'!G12*$B150)-('Business Case'!F11*$C150*'Business Case'!F12*$B150))-'Business Case'!G15*$F150+'Business Case'!$B$8*('Business Case'!G11*$C150*'Business Case'!G12*$B150)</f>
        <v>652851566.046578</v>
      </c>
      <c r="N150" s="39" t="n">
        <f aca="false">IF(COUNT('Business Case'!B11:G11)=0,"",H150+NPV(G150,I150:M150))</f>
        <v>-888521024.683668</v>
      </c>
      <c r="P150" s="40" t="n">
        <f aca="true">RAND()</f>
        <v>0.0566603884345344</v>
      </c>
      <c r="Q150" s="40" t="n">
        <f aca="true">RAND()</f>
        <v>0.171738309173814</v>
      </c>
      <c r="R150" s="40" t="n">
        <f aca="true">RAND()</f>
        <v>0.245918117067635</v>
      </c>
      <c r="S150" s="40" t="n">
        <f aca="true">RAND()</f>
        <v>0.79689808162457</v>
      </c>
      <c r="T150" s="40" t="n">
        <f aca="true">RAND()</f>
        <v>0.276739495547424</v>
      </c>
      <c r="U150" s="40" t="n">
        <f aca="true">RAND()</f>
        <v>0.0553861913133045</v>
      </c>
    </row>
    <row r="151" customFormat="false" ht="15" hidden="false" customHeight="false" outlineLevel="0" collapsed="false">
      <c r="A151" s="36" t="n">
        <v>71</v>
      </c>
      <c r="B151" s="37" t="n">
        <f aca="false">1+IF($G$6=$E$6,$F$6,IF(P151&lt;($F$6-$E$6)/($G$6-$E$6),$E$6+SQRT(P151*($G$6-$E$6)*($F$6-$E$6)),$G$6-SQRT((1-P151)*($G$6-$E$6)*($G$6-$F$6))))</f>
        <v>0.97291696151365</v>
      </c>
      <c r="C151" s="37" t="n">
        <f aca="false">1+IF($G$7=$E$7,$F$7,IF(Q151&lt;($F$7-$E$7)/($G$7-$E$7),$E$7+SQRT(Q151*($G$7-$E$7)*($F$7-$E$7)),$G$7-SQRT((1-Q151)*($G$7-$E$7)*($G$7-$F$7))))</f>
        <v>1.01022260037224</v>
      </c>
      <c r="D151" s="37" t="n">
        <f aca="false">1+IF($G$8=$E$8,$F$8,IF(R151&lt;($F$8-$E$8)/($G$8-$E$8),$E$8+SQRT(R151*($G$8-$E$8)*($F$8-$E$8)),$G$8-SQRT((1-R151)*($G$8-$E$8)*($G$8-$F$8))))</f>
        <v>0.980636119077117</v>
      </c>
      <c r="E151" s="37" t="n">
        <f aca="false">1+IF($G$9=$E$9,$F$9,IF(S151&lt;($F$9-$E$9)/($G$9-$E$9),$E$9+SQRT(S151*($G$9-$E$9)*($F$9-$E$9)),$G$9-SQRT((1-S151)*($G$9-$E$9)*($G$9-$F$9))))</f>
        <v>1.01108059764446</v>
      </c>
      <c r="F151" s="37" t="n">
        <f aca="false">1+IF($G$10=$E$10,$F$10,IF(T151&lt;($F$10-$E$10)/($G$10-$E$10),$E$10+SQRT(T151*($G$10-$E$10)*($F$10-$E$10)),$G$10-SQRT((1-T151)*($G$10-$E$10)*($G$10-$F$10))))</f>
        <v>1.10550531665302</v>
      </c>
      <c r="G151" s="38" t="n">
        <f aca="false">IF($G$11=$E$11,$F$11,IF(U151&lt;($F$11-$E$11)/($G$11-$E$11),$E$11+SQRT(U151*($G$11-$E$11)*($F$11-$E$11)),$G$11-SQRT((1-U151)*($G$11-$E$11)*($G$11-$F$11))))</f>
        <v>0.109597533982884</v>
      </c>
      <c r="H151" s="39" t="n">
        <f aca="false">(('Business Case'!B11*$C151*'Business Case'!B12*$B151)-'Business Case'!B11*$C151*'Business Case'!B13*$D151-'Business Case'!B14*$E151)-MAX(0,(('Business Case'!B11*$C151*'Business Case'!B12*$B151)-'Business Case'!B11*$C151*'Business Case'!B13*$D151-'Business Case'!B14*$E151))*'Business Case'!$B$7-'Business Case'!$B$8*('Business Case'!B11*$C151*'Business Case'!B12*$B151)-'Business Case'!B15*$F151</f>
        <v>-2211010633.30604</v>
      </c>
      <c r="I151" s="39" t="n">
        <f aca="false">(('Business Case'!C11*$C151*'Business Case'!C12*$B151)-'Business Case'!C11*$C151*'Business Case'!C13*$D151-'Business Case'!C14*$E151)-MAX(0,(('Business Case'!C11*$C151*'Business Case'!C12*$B151)-'Business Case'!C11*$C151*'Business Case'!C13*$D151-'Business Case'!C14*$E151))*'Business Case'!$B$7-'Business Case'!$B$8*(('Business Case'!C11*$C151*'Business Case'!C12*$B151)-('Business Case'!B11*$C151*'Business Case'!B12*$B151))-'Business Case'!C15*$F151</f>
        <v>-7381536.94833948</v>
      </c>
      <c r="J151" s="39" t="n">
        <f aca="false">(('Business Case'!D11*$C151*'Business Case'!D12*$B151)-'Business Case'!D11*$C151*'Business Case'!D13*$D151-'Business Case'!D14*$E151)-MAX(0,(('Business Case'!D11*$C151*'Business Case'!D12*$B151)-'Business Case'!D11*$C151*'Business Case'!D13*$D151-'Business Case'!D14*$E151))*'Business Case'!$B$7-'Business Case'!$B$8*(('Business Case'!D11*$C151*'Business Case'!D12*$B151)-('Business Case'!C11*$C151*'Business Case'!C12*$B151))-'Business Case'!D15*$F151</f>
        <v>290514721.267157</v>
      </c>
      <c r="K151" s="39" t="n">
        <f aca="false">(('Business Case'!E11*$C151*'Business Case'!E12*$B151)-'Business Case'!E11*$C151*'Business Case'!E13*$D151-'Business Case'!E14*$E151)-MAX(0,(('Business Case'!E11*$C151*'Business Case'!E12*$B151)-'Business Case'!E11*$C151*'Business Case'!E13*$D151-'Business Case'!E14*$E151))*'Business Case'!$B$7-'Business Case'!$B$8*(('Business Case'!E11*$C151*'Business Case'!E12*$B151)-('Business Case'!D11*$C151*'Business Case'!D12*$B151))-'Business Case'!E15*$F151</f>
        <v>643686245.315305</v>
      </c>
      <c r="L151" s="39" t="n">
        <f aca="false">(('Business Case'!F11*$C151*'Business Case'!F12*$B151)-'Business Case'!F11*$C151*'Business Case'!F13*$D151-'Business Case'!F14*$E151)-MAX(0,(('Business Case'!F11*$C151*'Business Case'!F12*$B151)-'Business Case'!F11*$C151*'Business Case'!F13*$D151-'Business Case'!F14*$E151))*'Business Case'!$B$7-'Business Case'!$B$8*(('Business Case'!F11*$C151*'Business Case'!F12*$B151)-('Business Case'!E11*$C151*'Business Case'!E12*$B151))-'Business Case'!F15*$F151</f>
        <v>776952733.062799</v>
      </c>
      <c r="M151" s="39" t="n">
        <f aca="false">(('Business Case'!G11*$C151*'Business Case'!G12*$B151)-'Business Case'!G11*$C151*'Business Case'!G13*$D151-'Business Case'!G14*$E151)-MAX(0,(('Business Case'!G11*$C151*'Business Case'!G12*$B151)-'Business Case'!G11*$C151*'Business Case'!G13*$D151-'Business Case'!G14*$E151))*'Business Case'!$B$7-'Business Case'!$B$8*(('Business Case'!G11*$C151*'Business Case'!G12*$B151)-('Business Case'!F11*$C151*'Business Case'!F12*$B151))-'Business Case'!G15*$F151+'Business Case'!$B$8*('Business Case'!G11*$C151*'Business Case'!G12*$B151)</f>
        <v>963775275.612273</v>
      </c>
      <c r="N151" s="39" t="n">
        <f aca="false">IF(COUNT('Business Case'!B11:G11)=0,"",H151+NPV(G151,I151:M151))</f>
        <v>-424996040.268938</v>
      </c>
      <c r="P151" s="40" t="n">
        <f aca="true">RAND()</f>
        <v>0.354458885092203</v>
      </c>
      <c r="Q151" s="40" t="n">
        <f aca="true">RAND()</f>
        <v>0.710552274863711</v>
      </c>
      <c r="R151" s="40" t="n">
        <f aca="true">RAND()</f>
        <v>0.125142905614308</v>
      </c>
      <c r="S151" s="40" t="n">
        <f aca="true">RAND()</f>
        <v>0.485370657311419</v>
      </c>
      <c r="T151" s="40" t="n">
        <f aca="true">RAND()</f>
        <v>0.721617153126076</v>
      </c>
      <c r="U151" s="40" t="n">
        <f aca="true">RAND()</f>
        <v>0.722492920280281</v>
      </c>
    </row>
    <row r="152" customFormat="false" ht="15" hidden="false" customHeight="false" outlineLevel="0" collapsed="false">
      <c r="A152" s="36" t="n">
        <v>72</v>
      </c>
      <c r="B152" s="37" t="n">
        <f aca="false">1+IF($G$6=$E$6,$F$6,IF(P152&lt;($F$6-$E$6)/($G$6-$E$6),$E$6+SQRT(P152*($G$6-$E$6)*($F$6-$E$6)),$G$6-SQRT((1-P152)*($G$6-$E$6)*($G$6-$F$6))))</f>
        <v>1.01981731816356</v>
      </c>
      <c r="C152" s="37" t="n">
        <f aca="false">1+IF($G$7=$E$7,$F$7,IF(Q152&lt;($F$7-$E$7)/($G$7-$E$7),$E$7+SQRT(Q152*($G$7-$E$7)*($F$7-$E$7)),$G$7-SQRT((1-Q152)*($G$7-$E$7)*($G$7-$F$7))))</f>
        <v>0.984456958154435</v>
      </c>
      <c r="D152" s="37" t="n">
        <f aca="false">1+IF($G$8=$E$8,$F$8,IF(R152&lt;($F$8-$E$8)/($G$8-$E$8),$E$8+SQRT(R152*($G$8-$E$8)*($F$8-$E$8)),$G$8-SQRT((1-R152)*($G$8-$E$8)*($G$8-$F$8))))</f>
        <v>1.00940273735032</v>
      </c>
      <c r="E152" s="37" t="n">
        <f aca="false">1+IF($G$9=$E$9,$F$9,IF(S152&lt;($F$9-$E$9)/($G$9-$E$9),$E$9+SQRT(S152*($G$9-$E$9)*($F$9-$E$9)),$G$9-SQRT((1-S152)*($G$9-$E$9)*($G$9-$F$9))))</f>
        <v>0.995819239177586</v>
      </c>
      <c r="F152" s="37" t="n">
        <f aca="false">1+IF($G$10=$E$10,$F$10,IF(T152&lt;($F$10-$E$10)/($G$10-$E$10),$E$10+SQRT(T152*($G$10-$E$10)*($F$10-$E$10)),$G$10-SQRT((1-T152)*($G$10-$E$10)*($G$10-$F$10))))</f>
        <v>1.03173646344038</v>
      </c>
      <c r="G152" s="38" t="n">
        <f aca="false">IF($G$11=$E$11,$F$11,IF(U152&lt;($F$11-$E$11)/($G$11-$E$11),$E$11+SQRT(U152*($G$11-$E$11)*($F$11-$E$11)),$G$11-SQRT((1-U152)*($G$11-$E$11)*($G$11-$F$11))))</f>
        <v>0.102108461622836</v>
      </c>
      <c r="H152" s="39" t="n">
        <f aca="false">(('Business Case'!B11*$C152*'Business Case'!B12*$B152)-'Business Case'!B11*$C152*'Business Case'!B13*$D152-'Business Case'!B14*$E152)-MAX(0,(('Business Case'!B11*$C152*'Business Case'!B12*$B152)-'Business Case'!B11*$C152*'Business Case'!B13*$D152-'Business Case'!B14*$E152))*'Business Case'!$B$7-'Business Case'!$B$8*('Business Case'!B11*$C152*'Business Case'!B12*$B152)-'Business Case'!B15*$F152</f>
        <v>-2063472926.88076</v>
      </c>
      <c r="I152" s="39" t="n">
        <f aca="false">(('Business Case'!C11*$C152*'Business Case'!C12*$B152)-'Business Case'!C11*$C152*'Business Case'!C13*$D152-'Business Case'!C14*$E152)-MAX(0,(('Business Case'!C11*$C152*'Business Case'!C12*$B152)-'Business Case'!C11*$C152*'Business Case'!C13*$D152-'Business Case'!C14*$E152))*'Business Case'!$B$7-'Business Case'!$B$8*(('Business Case'!C11*$C152*'Business Case'!C12*$B152)-('Business Case'!B11*$C152*'Business Case'!B12*$B152))-'Business Case'!C15*$F152</f>
        <v>16794055.8551087</v>
      </c>
      <c r="J152" s="39" t="n">
        <f aca="false">(('Business Case'!D11*$C152*'Business Case'!D12*$B152)-'Business Case'!D11*$C152*'Business Case'!D13*$D152-'Business Case'!D14*$E152)-MAX(0,(('Business Case'!D11*$C152*'Business Case'!D12*$B152)-'Business Case'!D11*$C152*'Business Case'!D13*$D152-'Business Case'!D14*$E152))*'Business Case'!$B$7-'Business Case'!$B$8*(('Business Case'!D11*$C152*'Business Case'!D12*$B152)-('Business Case'!C11*$C152*'Business Case'!C12*$B152))-'Business Case'!D15*$F152</f>
        <v>330412864.519972</v>
      </c>
      <c r="K152" s="39" t="n">
        <f aca="false">(('Business Case'!E11*$C152*'Business Case'!E12*$B152)-'Business Case'!E11*$C152*'Business Case'!E13*$D152-'Business Case'!E14*$E152)-MAX(0,(('Business Case'!E11*$C152*'Business Case'!E12*$B152)-'Business Case'!E11*$C152*'Business Case'!E13*$D152-'Business Case'!E14*$E152))*'Business Case'!$B$7-'Business Case'!$B$8*(('Business Case'!E11*$C152*'Business Case'!E12*$B152)-('Business Case'!D11*$C152*'Business Case'!D12*$B152))-'Business Case'!E15*$F152</f>
        <v>695618496.356855</v>
      </c>
      <c r="L152" s="39" t="n">
        <f aca="false">(('Business Case'!F11*$C152*'Business Case'!F12*$B152)-'Business Case'!F11*$C152*'Business Case'!F13*$D152-'Business Case'!F14*$E152)-MAX(0,(('Business Case'!F11*$C152*'Business Case'!F12*$B152)-'Business Case'!F11*$C152*'Business Case'!F13*$D152-'Business Case'!F14*$E152))*'Business Case'!$B$7-'Business Case'!$B$8*(('Business Case'!F11*$C152*'Business Case'!F12*$B152)-('Business Case'!E11*$C152*'Business Case'!E12*$B152))-'Business Case'!F15*$F152</f>
        <v>834855173.014919</v>
      </c>
      <c r="M152" s="39" t="n">
        <f aca="false">(('Business Case'!G11*$C152*'Business Case'!G12*$B152)-'Business Case'!G11*$C152*'Business Case'!G13*$D152-'Business Case'!G14*$E152)-MAX(0,(('Business Case'!G11*$C152*'Business Case'!G12*$B152)-'Business Case'!G11*$C152*'Business Case'!G13*$D152-'Business Case'!G14*$E152))*'Business Case'!$B$7-'Business Case'!$B$8*(('Business Case'!G11*$C152*'Business Case'!G12*$B152)-('Business Case'!F11*$C152*'Business Case'!F12*$B152))-'Business Case'!G15*$F152+'Business Case'!$B$8*('Business Case'!G11*$C152*'Business Case'!G12*$B152)</f>
        <v>1025689078.74869</v>
      </c>
      <c r="N152" s="39" t="n">
        <f aca="false">IF(COUNT('Business Case'!B11:G11)=0,"",H152+NPV(G152,I152:M152))</f>
        <v>-59905806.4260981</v>
      </c>
      <c r="P152" s="40" t="n">
        <f aca="true">RAND()</f>
        <v>0.878534095621347</v>
      </c>
      <c r="Q152" s="40" t="n">
        <f aca="true">RAND()</f>
        <v>0.599376007722029</v>
      </c>
      <c r="R152" s="40" t="n">
        <f aca="true">RAND()</f>
        <v>0.45280906669234</v>
      </c>
      <c r="S152" s="40" t="n">
        <f aca="true">RAND()</f>
        <v>0.367253063862859</v>
      </c>
      <c r="T152" s="40" t="n">
        <f aca="true">RAND()</f>
        <v>0.364813714779822</v>
      </c>
      <c r="U152" s="40" t="n">
        <f aca="true">RAND()</f>
        <v>0.48137472463679</v>
      </c>
    </row>
    <row r="153" customFormat="false" ht="15" hidden="false" customHeight="false" outlineLevel="0" collapsed="false">
      <c r="A153" s="36" t="n">
        <v>73</v>
      </c>
      <c r="B153" s="37" t="n">
        <f aca="false">1+IF($G$6=$E$6,$F$6,IF(P153&lt;($F$6-$E$6)/($G$6-$E$6),$E$6+SQRT(P153*($G$6-$E$6)*($F$6-$E$6)),$G$6-SQRT((1-P153)*($G$6-$E$6)*($G$6-$F$6))))</f>
        <v>1.03215142842956</v>
      </c>
      <c r="C153" s="37" t="n">
        <f aca="false">1+IF($G$7=$E$7,$F$7,IF(Q153&lt;($F$7-$E$7)/($G$7-$E$7),$E$7+SQRT(Q153*($G$7-$E$7)*($F$7-$E$7)),$G$7-SQRT((1-Q153)*($G$7-$E$7)*($G$7-$F$7))))</f>
        <v>0.996861680961797</v>
      </c>
      <c r="D153" s="37" t="n">
        <f aca="false">1+IF($G$8=$E$8,$F$8,IF(R153&lt;($F$8-$E$8)/($G$8-$E$8),$E$8+SQRT(R153*($G$8-$E$8)*($F$8-$E$8)),$G$8-SQRT((1-R153)*($G$8-$E$8)*($G$8-$F$8))))</f>
        <v>1.00067618030725</v>
      </c>
      <c r="E153" s="37" t="n">
        <f aca="false">1+IF($G$9=$E$9,$F$9,IF(S153&lt;($F$9-$E$9)/($G$9-$E$9),$E$9+SQRT(S153*($G$9-$E$9)*($F$9-$E$9)),$G$9-SQRT((1-S153)*($G$9-$E$9)*($G$9-$F$9))))</f>
        <v>0.995244895425068</v>
      </c>
      <c r="F153" s="37" t="n">
        <f aca="false">1+IF($G$10=$E$10,$F$10,IF(T153&lt;($F$10-$E$10)/($G$10-$E$10),$E$10+SQRT(T153*($G$10-$E$10)*($F$10-$E$10)),$G$10-SQRT((1-T153)*($G$10-$E$10)*($G$10-$F$10))))</f>
        <v>1.00957762910004</v>
      </c>
      <c r="G153" s="38" t="n">
        <f aca="false">IF($G$11=$E$11,$F$11,IF(U153&lt;($F$11-$E$11)/($G$11-$E$11),$E$11+SQRT(U153*($G$11-$E$11)*($F$11-$E$11)),$G$11-SQRT((1-U153)*($G$11-$E$11)*($G$11-$F$11))))</f>
        <v>0.0964970061972301</v>
      </c>
      <c r="H153" s="39" t="n">
        <f aca="false">(('Business Case'!B11*$C153*'Business Case'!B12*$B153)-'Business Case'!B11*$C153*'Business Case'!B13*$D153-'Business Case'!B14*$E153)-MAX(0,(('Business Case'!B11*$C153*'Business Case'!B12*$B153)-'Business Case'!B11*$C153*'Business Case'!B13*$D153-'Business Case'!B14*$E153))*'Business Case'!$B$7-'Business Case'!$B$8*('Business Case'!B11*$C153*'Business Case'!B12*$B153)-'Business Case'!B15*$F153</f>
        <v>-2019155258.20009</v>
      </c>
      <c r="I153" s="39" t="n">
        <f aca="false">(('Business Case'!C11*$C153*'Business Case'!C12*$B153)-'Business Case'!C11*$C153*'Business Case'!C13*$D153-'Business Case'!C14*$E153)-MAX(0,(('Business Case'!C11*$C153*'Business Case'!C12*$B153)-'Business Case'!C11*$C153*'Business Case'!C13*$D153-'Business Case'!C14*$E153))*'Business Case'!$B$7-'Business Case'!$B$8*(('Business Case'!C11*$C153*'Business Case'!C12*$B153)-('Business Case'!B11*$C153*'Business Case'!B12*$B153))-'Business Case'!C15*$F153</f>
        <v>36274288.4805134</v>
      </c>
      <c r="J153" s="39" t="n">
        <f aca="false">(('Business Case'!D11*$C153*'Business Case'!D12*$B153)-'Business Case'!D11*$C153*'Business Case'!D13*$D153-'Business Case'!D14*$E153)-MAX(0,(('Business Case'!D11*$C153*'Business Case'!D12*$B153)-'Business Case'!D11*$C153*'Business Case'!D13*$D153-'Business Case'!D14*$E153))*'Business Case'!$B$7-'Business Case'!$B$8*(('Business Case'!D11*$C153*'Business Case'!D12*$B153)-('Business Case'!C11*$C153*'Business Case'!C12*$B153))-'Business Case'!D15*$F153</f>
        <v>368368972.860677</v>
      </c>
      <c r="K153" s="39" t="n">
        <f aca="false">(('Business Case'!E11*$C153*'Business Case'!E12*$B153)-'Business Case'!E11*$C153*'Business Case'!E13*$D153-'Business Case'!E14*$E153)-MAX(0,(('Business Case'!E11*$C153*'Business Case'!E12*$B153)-'Business Case'!E11*$C153*'Business Case'!E13*$D153-'Business Case'!E14*$E153))*'Business Case'!$B$7-'Business Case'!$B$8*(('Business Case'!E11*$C153*'Business Case'!E12*$B153)-('Business Case'!D11*$C153*'Business Case'!D12*$B153))-'Business Case'!E15*$F153</f>
        <v>750942538.695843</v>
      </c>
      <c r="L153" s="39" t="n">
        <f aca="false">(('Business Case'!F11*$C153*'Business Case'!F12*$B153)-'Business Case'!F11*$C153*'Business Case'!F13*$D153-'Business Case'!F14*$E153)-MAX(0,(('Business Case'!F11*$C153*'Business Case'!F12*$B153)-'Business Case'!F11*$C153*'Business Case'!F13*$D153-'Business Case'!F14*$E153))*'Business Case'!$B$7-'Business Case'!$B$8*(('Business Case'!F11*$C153*'Business Case'!F12*$B153)-('Business Case'!E11*$C153*'Business Case'!E12*$B153))-'Business Case'!F15*$F153</f>
        <v>897199972.729364</v>
      </c>
      <c r="M153" s="39" t="n">
        <f aca="false">(('Business Case'!G11*$C153*'Business Case'!G12*$B153)-'Business Case'!G11*$C153*'Business Case'!G13*$D153-'Business Case'!G14*$E153)-MAX(0,(('Business Case'!G11*$C153*'Business Case'!G12*$B153)-'Business Case'!G11*$C153*'Business Case'!G13*$D153-'Business Case'!G14*$E153))*'Business Case'!$B$7-'Business Case'!$B$8*(('Business Case'!G11*$C153*'Business Case'!G12*$B153)-('Business Case'!F11*$C153*'Business Case'!F12*$B153))-'Business Case'!G15*$F153+'Business Case'!$B$8*('Business Case'!G11*$C153*'Business Case'!G12*$B153)</f>
        <v>1092775605.21677</v>
      </c>
      <c r="N153" s="39" t="n">
        <f aca="false">IF(COUNT('Business Case'!B11:G11)=0,"",H153+NPV(G153,I153:M153))</f>
        <v>200034819.192824</v>
      </c>
      <c r="P153" s="40" t="n">
        <f aca="true">RAND()</f>
        <v>0.957523799052645</v>
      </c>
      <c r="Q153" s="40" t="n">
        <f aca="true">RAND()</f>
        <v>0.652791537951584</v>
      </c>
      <c r="R153" s="40" t="n">
        <f aca="true">RAND()</f>
        <v>0.34231858944275</v>
      </c>
      <c r="S153" s="40" t="n">
        <f aca="true">RAND()</f>
        <v>0.362863604181285</v>
      </c>
      <c r="T153" s="40" t="n">
        <f aca="true">RAND()</f>
        <v>0.229294447611255</v>
      </c>
      <c r="U153" s="40" t="n">
        <f aca="true">RAND()</f>
        <v>0.272151213471448</v>
      </c>
    </row>
    <row r="154" customFormat="false" ht="15" hidden="false" customHeight="false" outlineLevel="0" collapsed="false">
      <c r="A154" s="36" t="n">
        <v>74</v>
      </c>
      <c r="B154" s="37" t="n">
        <f aca="false">1+IF($G$6=$E$6,$F$6,IF(P154&lt;($F$6-$E$6)/($G$6-$E$6),$E$6+SQRT(P154*($G$6-$E$6)*($F$6-$E$6)),$G$6-SQRT((1-P154)*($G$6-$E$6)*($G$6-$F$6))))</f>
        <v>1.01605583148484</v>
      </c>
      <c r="C154" s="37" t="n">
        <f aca="false">1+IF($G$7=$E$7,$F$7,IF(Q154&lt;($F$7-$E$7)/($G$7-$E$7),$E$7+SQRT(Q154*($G$7-$E$7)*($F$7-$E$7)),$G$7-SQRT((1-Q154)*($G$7-$E$7)*($G$7-$F$7))))</f>
        <v>1.10764143182776</v>
      </c>
      <c r="D154" s="37" t="n">
        <f aca="false">1+IF($G$8=$E$8,$F$8,IF(R154&lt;($F$8-$E$8)/($G$8-$E$8),$E$8+SQRT(R154*($G$8-$E$8)*($F$8-$E$8)),$G$8-SQRT((1-R154)*($G$8-$E$8)*($G$8-$F$8))))</f>
        <v>1.00639998026038</v>
      </c>
      <c r="E154" s="37" t="n">
        <f aca="false">1+IF($G$9=$E$9,$F$9,IF(S154&lt;($F$9-$E$9)/($G$9-$E$9),$E$9+SQRT(S154*($G$9-$E$9)*($F$9-$E$9)),$G$9-SQRT((1-S154)*($G$9-$E$9)*($G$9-$F$9))))</f>
        <v>1.07189046233542</v>
      </c>
      <c r="F154" s="37" t="n">
        <f aca="false">1+IF($G$10=$E$10,$F$10,IF(T154&lt;($F$10-$E$10)/($G$10-$E$10),$E$10+SQRT(T154*($G$10-$E$10)*($F$10-$E$10)),$G$10-SQRT((1-T154)*($G$10-$E$10)*($G$10-$F$10))))</f>
        <v>0.974730068008999</v>
      </c>
      <c r="G154" s="38" t="n">
        <f aca="false">IF($G$11=$E$11,$F$11,IF(U154&lt;($F$11-$E$11)/($G$11-$E$11),$E$11+SQRT(U154*($G$11-$E$11)*($F$11-$E$11)),$G$11-SQRT((1-U154)*($G$11-$E$11)*($G$11-$F$11))))</f>
        <v>0.100555473293492</v>
      </c>
      <c r="H154" s="39" t="n">
        <f aca="false">(('Business Case'!B11*$C154*'Business Case'!B12*$B154)-'Business Case'!B11*$C154*'Business Case'!B13*$D154-'Business Case'!B14*$E154)-MAX(0,(('Business Case'!B11*$C154*'Business Case'!B12*$B154)-'Business Case'!B11*$C154*'Business Case'!B13*$D154-'Business Case'!B14*$E154))*'Business Case'!$B$7-'Business Case'!$B$8*('Business Case'!B11*$C154*'Business Case'!B12*$B154)-'Business Case'!B15*$F154</f>
        <v>-1949460136.018</v>
      </c>
      <c r="I154" s="39" t="n">
        <f aca="false">(('Business Case'!C11*$C154*'Business Case'!C12*$B154)-'Business Case'!C11*$C154*'Business Case'!C13*$D154-'Business Case'!C14*$E154)-MAX(0,(('Business Case'!C11*$C154*'Business Case'!C12*$B154)-'Business Case'!C11*$C154*'Business Case'!C13*$D154-'Business Case'!C14*$E154))*'Business Case'!$B$7-'Business Case'!$B$8*(('Business Case'!C11*$C154*'Business Case'!C12*$B154)-('Business Case'!B11*$C154*'Business Case'!B12*$B154))-'Business Case'!C15*$F154</f>
        <v>42913911.3736789</v>
      </c>
      <c r="J154" s="39" t="n">
        <f aca="false">(('Business Case'!D11*$C154*'Business Case'!D12*$B154)-'Business Case'!D11*$C154*'Business Case'!D13*$D154-'Business Case'!D14*$E154)-MAX(0,(('Business Case'!D11*$C154*'Business Case'!D12*$B154)-'Business Case'!D11*$C154*'Business Case'!D13*$D154-'Business Case'!D14*$E154))*'Business Case'!$B$7-'Business Case'!$B$8*(('Business Case'!D11*$C154*'Business Case'!D12*$B154)-('Business Case'!C11*$C154*'Business Case'!C12*$B154))-'Business Case'!D15*$F154</f>
        <v>394065713.078741</v>
      </c>
      <c r="K154" s="39" t="n">
        <f aca="false">(('Business Case'!E11*$C154*'Business Case'!E12*$B154)-'Business Case'!E11*$C154*'Business Case'!E13*$D154-'Business Case'!E14*$E154)-MAX(0,(('Business Case'!E11*$C154*'Business Case'!E12*$B154)-'Business Case'!E11*$C154*'Business Case'!E13*$D154-'Business Case'!E14*$E154))*'Business Case'!$B$7-'Business Case'!$B$8*(('Business Case'!E11*$C154*'Business Case'!E12*$B154)-('Business Case'!D11*$C154*'Business Case'!D12*$B154))-'Business Case'!E15*$F154</f>
        <v>793954018.184252</v>
      </c>
      <c r="L154" s="39" t="n">
        <f aca="false">(('Business Case'!F11*$C154*'Business Case'!F12*$B154)-'Business Case'!F11*$C154*'Business Case'!F13*$D154-'Business Case'!F14*$E154)-MAX(0,(('Business Case'!F11*$C154*'Business Case'!F12*$B154)-'Business Case'!F11*$C154*'Business Case'!F13*$D154-'Business Case'!F14*$E154))*'Business Case'!$B$7-'Business Case'!$B$8*(('Business Case'!F11*$C154*'Business Case'!F12*$B154)-('Business Case'!E11*$C154*'Business Case'!E12*$B154))-'Business Case'!F15*$F154</f>
        <v>949899325.276863</v>
      </c>
      <c r="M154" s="39" t="n">
        <f aca="false">(('Business Case'!G11*$C154*'Business Case'!G12*$B154)-'Business Case'!G11*$C154*'Business Case'!G13*$D154-'Business Case'!G14*$E154)-MAX(0,(('Business Case'!G11*$C154*'Business Case'!G12*$B154)-'Business Case'!G11*$C154*'Business Case'!G13*$D154-'Business Case'!G14*$E154))*'Business Case'!$B$7-'Business Case'!$B$8*(('Business Case'!G11*$C154*'Business Case'!G12*$B154)-('Business Case'!F11*$C154*'Business Case'!F12*$B154))-'Business Case'!G15*$F154+'Business Case'!$B$8*('Business Case'!G11*$C154*'Business Case'!G12*$B154)</f>
        <v>1163820211.16028</v>
      </c>
      <c r="N154" s="39" t="n">
        <f aca="false">IF(COUNT('Business Case'!B11:G11)=0,"",H154+NPV(G154,I154:M154))</f>
        <v>378789083.982515</v>
      </c>
      <c r="P154" s="40" t="n">
        <f aca="true">RAND()</f>
        <v>0.846372456508602</v>
      </c>
      <c r="Q154" s="40" t="n">
        <f aca="true">RAND()</f>
        <v>0.97341854373922</v>
      </c>
      <c r="R154" s="40" t="n">
        <f aca="true">RAND()</f>
        <v>0.415935753649565</v>
      </c>
      <c r="S154" s="40" t="n">
        <f aca="true">RAND()</f>
        <v>0.837304003355363</v>
      </c>
      <c r="T154" s="40" t="n">
        <f aca="true">RAND()</f>
        <v>0.0407717509153133</v>
      </c>
      <c r="U154" s="40" t="n">
        <f aca="true">RAND()</f>
        <v>0.42201323135314</v>
      </c>
    </row>
    <row r="155" customFormat="false" ht="15" hidden="false" customHeight="false" outlineLevel="0" collapsed="false">
      <c r="A155" s="36" t="n">
        <v>75</v>
      </c>
      <c r="B155" s="37" t="n">
        <f aca="false">1+IF($G$6=$E$6,$F$6,IF(P155&lt;($F$6-$E$6)/($G$6-$E$6),$E$6+SQRT(P155*($G$6-$E$6)*($F$6-$E$6)),$G$6-SQRT((1-P155)*($G$6-$E$6)*($G$6-$F$6))))</f>
        <v>0.971179843948452</v>
      </c>
      <c r="C155" s="37" t="n">
        <f aca="false">1+IF($G$7=$E$7,$F$7,IF(Q155&lt;($F$7-$E$7)/($G$7-$E$7),$E$7+SQRT(Q155*($G$7-$E$7)*($F$7-$E$7)),$G$7-SQRT((1-Q155)*($G$7-$E$7)*($G$7-$F$7))))</f>
        <v>0.969091883853656</v>
      </c>
      <c r="D155" s="37" t="n">
        <f aca="false">1+IF($G$8=$E$8,$F$8,IF(R155&lt;($F$8-$E$8)/($G$8-$E$8),$E$8+SQRT(R155*($G$8-$E$8)*($F$8-$E$8)),$G$8-SQRT((1-R155)*($G$8-$E$8)*($G$8-$F$8))))</f>
        <v>1.05607582693867</v>
      </c>
      <c r="E155" s="37" t="n">
        <f aca="false">1+IF($G$9=$E$9,$F$9,IF(S155&lt;($F$9-$E$9)/($G$9-$E$9),$E$9+SQRT(S155*($G$9-$E$9)*($F$9-$E$9)),$G$9-SQRT((1-S155)*($G$9-$E$9)*($G$9-$F$9))))</f>
        <v>0.962694040350161</v>
      </c>
      <c r="F155" s="37" t="n">
        <f aca="false">1+IF($G$10=$E$10,$F$10,IF(T155&lt;($F$10-$E$10)/($G$10-$E$10),$E$10+SQRT(T155*($G$10-$E$10)*($F$10-$E$10)),$G$10-SQRT((1-T155)*($G$10-$E$10)*($G$10-$F$10))))</f>
        <v>1.05110567796492</v>
      </c>
      <c r="G155" s="38" t="n">
        <f aca="false">IF($G$11=$E$11,$F$11,IF(U155&lt;($F$11-$E$11)/($G$11-$E$11),$E$11+SQRT(U155*($G$11-$E$11)*($F$11-$E$11)),$G$11-SQRT((1-U155)*($G$11-$E$11)*($G$11-$F$11))))</f>
        <v>0.0963291891127513</v>
      </c>
      <c r="H155" s="39" t="n">
        <f aca="false">(('Business Case'!B11*$C155*'Business Case'!B12*$B155)-'Business Case'!B11*$C155*'Business Case'!B13*$D155-'Business Case'!B14*$E155)-MAX(0,(('Business Case'!B11*$C155*'Business Case'!B12*$B155)-'Business Case'!B11*$C155*'Business Case'!B13*$D155-'Business Case'!B14*$E155))*'Business Case'!$B$7-'Business Case'!$B$8*('Business Case'!B11*$C155*'Business Case'!B12*$B155)-'Business Case'!B15*$F155</f>
        <v>-2102211355.92983</v>
      </c>
      <c r="I155" s="39" t="n">
        <f aca="false">(('Business Case'!C11*$C155*'Business Case'!C12*$B155)-'Business Case'!C11*$C155*'Business Case'!C13*$D155-'Business Case'!C14*$E155)-MAX(0,(('Business Case'!C11*$C155*'Business Case'!C12*$B155)-'Business Case'!C11*$C155*'Business Case'!C13*$D155-'Business Case'!C14*$E155))*'Business Case'!$B$7-'Business Case'!$B$8*(('Business Case'!C11*$C155*'Business Case'!C12*$B155)-('Business Case'!B11*$C155*'Business Case'!B12*$B155))-'Business Case'!C15*$F155</f>
        <v>-43832265.3572316</v>
      </c>
      <c r="J155" s="39" t="n">
        <f aca="false">(('Business Case'!D11*$C155*'Business Case'!D12*$B155)-'Business Case'!D11*$C155*'Business Case'!D13*$D155-'Business Case'!D14*$E155)-MAX(0,(('Business Case'!D11*$C155*'Business Case'!D12*$B155)-'Business Case'!D11*$C155*'Business Case'!D13*$D155-'Business Case'!D14*$E155))*'Business Case'!$B$7-'Business Case'!$B$8*(('Business Case'!D11*$C155*'Business Case'!D12*$B155)-('Business Case'!C11*$C155*'Business Case'!C12*$B155))-'Business Case'!D15*$F155</f>
        <v>203130993.854797</v>
      </c>
      <c r="K155" s="39" t="n">
        <f aca="false">(('Business Case'!E11*$C155*'Business Case'!E12*$B155)-'Business Case'!E11*$C155*'Business Case'!E13*$D155-'Business Case'!E14*$E155)-MAX(0,(('Business Case'!E11*$C155*'Business Case'!E12*$B155)-'Business Case'!E11*$C155*'Business Case'!E13*$D155-'Business Case'!E14*$E155))*'Business Case'!$B$7-'Business Case'!$B$8*(('Business Case'!E11*$C155*'Business Case'!E12*$B155)-('Business Case'!D11*$C155*'Business Case'!D12*$B155))-'Business Case'!E15*$F155</f>
        <v>502649536.965071</v>
      </c>
      <c r="L155" s="39" t="n">
        <f aca="false">(('Business Case'!F11*$C155*'Business Case'!F12*$B155)-'Business Case'!F11*$C155*'Business Case'!F13*$D155-'Business Case'!F14*$E155)-MAX(0,(('Business Case'!F11*$C155*'Business Case'!F12*$B155)-'Business Case'!F11*$C155*'Business Case'!F13*$D155-'Business Case'!F14*$E155))*'Business Case'!$B$7-'Business Case'!$B$8*(('Business Case'!F11*$C155*'Business Case'!F12*$B155)-('Business Case'!E11*$C155*'Business Case'!E12*$B155))-'Business Case'!F15*$F155</f>
        <v>617497199.525731</v>
      </c>
      <c r="M155" s="39" t="n">
        <f aca="false">(('Business Case'!G11*$C155*'Business Case'!G12*$B155)-'Business Case'!G11*$C155*'Business Case'!G13*$D155-'Business Case'!G14*$E155)-MAX(0,(('Business Case'!G11*$C155*'Business Case'!G12*$B155)-'Business Case'!G11*$C155*'Business Case'!G13*$D155-'Business Case'!G14*$E155))*'Business Case'!$B$7-'Business Case'!$B$8*(('Business Case'!G11*$C155*'Business Case'!G12*$B155)-('Business Case'!F11*$C155*'Business Case'!F12*$B155))-'Business Case'!G15*$F155+'Business Case'!$B$8*('Business Case'!G11*$C155*'Business Case'!G12*$B155)</f>
        <v>796393368.387307</v>
      </c>
      <c r="N155" s="39" t="n">
        <f aca="false">IF(COUNT('Business Case'!B11:G11)=0,"",H155+NPV(G155,I155:M155))</f>
        <v>-661467394.868537</v>
      </c>
      <c r="P155" s="40" t="n">
        <f aca="true">RAND()</f>
        <v>0.337771345635068</v>
      </c>
      <c r="Q155" s="40" t="n">
        <f aca="true">RAND()</f>
        <v>0.536373644117846</v>
      </c>
      <c r="R155" s="40" t="n">
        <f aca="true">RAND()</f>
        <v>0.871377801391865</v>
      </c>
      <c r="S155" s="40" t="n">
        <f aca="true">RAND()</f>
        <v>0.157221707817105</v>
      </c>
      <c r="T155" s="40" t="n">
        <f aca="true">RAND()</f>
        <v>0.472547315496052</v>
      </c>
      <c r="U155" s="40" t="n">
        <f aca="true">RAND()</f>
        <v>0.266642417079996</v>
      </c>
    </row>
    <row r="156" customFormat="false" ht="15" hidden="false" customHeight="false" outlineLevel="0" collapsed="false">
      <c r="A156" s="36" t="n">
        <v>76</v>
      </c>
      <c r="B156" s="37" t="n">
        <f aca="false">1+IF($G$6=$E$6,$F$6,IF(P156&lt;($F$6-$E$6)/($G$6-$E$6),$E$6+SQRT(P156*($G$6-$E$6)*($F$6-$E$6)),$G$6-SQRT((1-P156)*($G$6-$E$6)*($G$6-$F$6))))</f>
        <v>0.918832697240313</v>
      </c>
      <c r="C156" s="37" t="n">
        <f aca="false">1+IF($G$7=$E$7,$F$7,IF(Q156&lt;($F$7-$E$7)/($G$7-$E$7),$E$7+SQRT(Q156*($G$7-$E$7)*($F$7-$E$7)),$G$7-SQRT((1-Q156)*($G$7-$E$7)*($G$7-$F$7))))</f>
        <v>1.06795072039524</v>
      </c>
      <c r="D156" s="37" t="n">
        <f aca="false">1+IF($G$8=$E$8,$F$8,IF(R156&lt;($F$8-$E$8)/($G$8-$E$8),$E$8+SQRT(R156*($G$8-$E$8)*($F$8-$E$8)),$G$8-SQRT((1-R156)*($G$8-$E$8)*($G$8-$F$8))))</f>
        <v>1.03213846038123</v>
      </c>
      <c r="E156" s="37" t="n">
        <f aca="false">1+IF($G$9=$E$9,$F$9,IF(S156&lt;($F$9-$E$9)/($G$9-$E$9),$E$9+SQRT(S156*($G$9-$E$9)*($F$9-$E$9)),$G$9-SQRT((1-S156)*($G$9-$E$9)*($G$9-$F$9))))</f>
        <v>1.02056610628752</v>
      </c>
      <c r="F156" s="37" t="n">
        <f aca="false">1+IF($G$10=$E$10,$F$10,IF(T156&lt;($F$10-$E$10)/($G$10-$E$10),$E$10+SQRT(T156*($G$10-$E$10)*($F$10-$E$10)),$G$10-SQRT((1-T156)*($G$10-$E$10)*($G$10-$F$10))))</f>
        <v>1.06390578487768</v>
      </c>
      <c r="G156" s="38" t="n">
        <f aca="false">IF($G$11=$E$11,$F$11,IF(U156&lt;($F$11-$E$11)/($G$11-$E$11),$E$11+SQRT(U156*($G$11-$E$11)*($F$11-$E$11)),$G$11-SQRT((1-U156)*($G$11-$E$11)*($G$11-$F$11))))</f>
        <v>0.125601753335407</v>
      </c>
      <c r="H156" s="39" t="n">
        <f aca="false">(('Business Case'!B11*$C156*'Business Case'!B12*$B156)-'Business Case'!B11*$C156*'Business Case'!B13*$D156-'Business Case'!B14*$E156)-MAX(0,(('Business Case'!B11*$C156*'Business Case'!B12*$B156)-'Business Case'!B11*$C156*'Business Case'!B13*$D156-'Business Case'!B14*$E156))*'Business Case'!$B$7-'Business Case'!$B$8*('Business Case'!B11*$C156*'Business Case'!B12*$B156)-'Business Case'!B15*$F156</f>
        <v>-2127811569.75536</v>
      </c>
      <c r="I156" s="39" t="n">
        <f aca="false">(('Business Case'!C11*$C156*'Business Case'!C12*$B156)-'Business Case'!C11*$C156*'Business Case'!C13*$D156-'Business Case'!C14*$E156)-MAX(0,(('Business Case'!C11*$C156*'Business Case'!C12*$B156)-'Business Case'!C11*$C156*'Business Case'!C13*$D156-'Business Case'!C14*$E156))*'Business Case'!$B$7-'Business Case'!$B$8*(('Business Case'!C11*$C156*'Business Case'!C12*$B156)-('Business Case'!B11*$C156*'Business Case'!B12*$B156))-'Business Case'!C15*$F156</f>
        <v>-62930437.677639</v>
      </c>
      <c r="J156" s="39" t="n">
        <f aca="false">(('Business Case'!D11*$C156*'Business Case'!D12*$B156)-'Business Case'!D11*$C156*'Business Case'!D13*$D156-'Business Case'!D14*$E156)-MAX(0,(('Business Case'!D11*$C156*'Business Case'!D12*$B156)-'Business Case'!D11*$C156*'Business Case'!D13*$D156-'Business Case'!D14*$E156))*'Business Case'!$B$7-'Business Case'!$B$8*(('Business Case'!D11*$C156*'Business Case'!D12*$B156)-('Business Case'!C11*$C156*'Business Case'!C12*$B156))-'Business Case'!D15*$F156</f>
        <v>176523138.688931</v>
      </c>
      <c r="K156" s="39" t="n">
        <f aca="false">(('Business Case'!E11*$C156*'Business Case'!E12*$B156)-'Business Case'!E11*$C156*'Business Case'!E13*$D156-'Business Case'!E14*$E156)-MAX(0,(('Business Case'!E11*$C156*'Business Case'!E12*$B156)-'Business Case'!E11*$C156*'Business Case'!E13*$D156-'Business Case'!E14*$E156))*'Business Case'!$B$7-'Business Case'!$B$8*(('Business Case'!E11*$C156*'Business Case'!E12*$B156)-('Business Case'!D11*$C156*'Business Case'!D12*$B156))-'Business Case'!E15*$F156</f>
        <v>469172004.299385</v>
      </c>
      <c r="L156" s="39" t="n">
        <f aca="false">(('Business Case'!F11*$C156*'Business Case'!F12*$B156)-'Business Case'!F11*$C156*'Business Case'!F13*$D156-'Business Case'!F14*$E156)-MAX(0,(('Business Case'!F11*$C156*'Business Case'!F12*$B156)-'Business Case'!F11*$C156*'Business Case'!F13*$D156-'Business Case'!F14*$E156))*'Business Case'!$B$7-'Business Case'!$B$8*(('Business Case'!F11*$C156*'Business Case'!F12*$B156)-('Business Case'!E11*$C156*'Business Case'!E12*$B156))-'Business Case'!F15*$F156</f>
        <v>582902486.583145</v>
      </c>
      <c r="M156" s="39" t="n">
        <f aca="false">(('Business Case'!G11*$C156*'Business Case'!G12*$B156)-'Business Case'!G11*$C156*'Business Case'!G13*$D156-'Business Case'!G14*$E156)-MAX(0,(('Business Case'!G11*$C156*'Business Case'!G12*$B156)-'Business Case'!G11*$C156*'Business Case'!G13*$D156-'Business Case'!G14*$E156))*'Business Case'!$B$7-'Business Case'!$B$8*(('Business Case'!G11*$C156*'Business Case'!G12*$B156)-('Business Case'!F11*$C156*'Business Case'!F12*$B156))-'Business Case'!G15*$F156+'Business Case'!$B$8*('Business Case'!G11*$C156*'Business Case'!G12*$B156)</f>
        <v>769421915.805114</v>
      </c>
      <c r="N156" s="39" t="n">
        <f aca="false">IF(COUNT('Business Case'!B11:G11)=0,"",H156+NPV(G156,I156:M156))</f>
        <v>-926447549.14777</v>
      </c>
      <c r="P156" s="40" t="n">
        <f aca="true">RAND()</f>
        <v>0.0236446990230184</v>
      </c>
      <c r="Q156" s="40" t="n">
        <f aca="true">RAND()</f>
        <v>0.900265418019851</v>
      </c>
      <c r="R156" s="40" t="n">
        <f aca="true">RAND()</f>
        <v>0.692987429371363</v>
      </c>
      <c r="S156" s="40" t="n">
        <f aca="true">RAND()</f>
        <v>0.553249790891385</v>
      </c>
      <c r="T156" s="40" t="n">
        <f aca="true">RAND()</f>
        <v>0.5382525746401</v>
      </c>
      <c r="U156" s="40" t="n">
        <f aca="true">RAND()</f>
        <v>0.987103617518262</v>
      </c>
    </row>
    <row r="157" customFormat="false" ht="15" hidden="false" customHeight="false" outlineLevel="0" collapsed="false">
      <c r="A157" s="36" t="n">
        <v>77</v>
      </c>
      <c r="B157" s="37" t="n">
        <f aca="false">1+IF($G$6=$E$6,$F$6,IF(P157&lt;($F$6-$E$6)/($G$6-$E$6),$E$6+SQRT(P157*($G$6-$E$6)*($F$6-$E$6)),$G$6-SQRT((1-P157)*($G$6-$E$6)*($G$6-$F$6))))</f>
        <v>1.04653339089413</v>
      </c>
      <c r="C157" s="37" t="n">
        <f aca="false">1+IF($G$7=$E$7,$F$7,IF(Q157&lt;($F$7-$E$7)/($G$7-$E$7),$E$7+SQRT(Q157*($G$7-$E$7)*($F$7-$E$7)),$G$7-SQRT((1-Q157)*($G$7-$E$7)*($G$7-$F$7))))</f>
        <v>0.913932024679409</v>
      </c>
      <c r="D157" s="37" t="n">
        <f aca="false">1+IF($G$8=$E$8,$F$8,IF(R157&lt;($F$8-$E$8)/($G$8-$E$8),$E$8+SQRT(R157*($G$8-$E$8)*($F$8-$E$8)),$G$8-SQRT((1-R157)*($G$8-$E$8)*($G$8-$F$8))))</f>
        <v>0.991852167732895</v>
      </c>
      <c r="E157" s="37" t="n">
        <f aca="false">1+IF($G$9=$E$9,$F$9,IF(S157&lt;($F$9-$E$9)/($G$9-$E$9),$E$9+SQRT(S157*($G$9-$E$9)*($F$9-$E$9)),$G$9-SQRT((1-S157)*($G$9-$E$9)*($G$9-$F$9))))</f>
        <v>0.999031394949383</v>
      </c>
      <c r="F157" s="37" t="n">
        <f aca="false">1+IF($G$10=$E$10,$F$10,IF(T157&lt;($F$10-$E$10)/($G$10-$E$10),$E$10+SQRT(T157*($G$10-$E$10)*($F$10-$E$10)),$G$10-SQRT((1-T157)*($G$10-$E$10)*($G$10-$F$10))))</f>
        <v>1.00183790415</v>
      </c>
      <c r="G157" s="38" t="n">
        <f aca="false">IF($G$11=$E$11,$F$11,IF(U157&lt;($F$11-$E$11)/($G$11-$E$11),$E$11+SQRT(U157*($G$11-$E$11)*($F$11-$E$11)),$G$11-SQRT((1-U157)*($G$11-$E$11)*($G$11-$F$11))))</f>
        <v>0.120675478079318</v>
      </c>
      <c r="H157" s="39" t="n">
        <f aca="false">(('Business Case'!B11*$C157*'Business Case'!B12*$B157)-'Business Case'!B11*$C157*'Business Case'!B13*$D157-'Business Case'!B14*$E157)-MAX(0,(('Business Case'!B11*$C157*'Business Case'!B12*$B157)-'Business Case'!B11*$C157*'Business Case'!B13*$D157-'Business Case'!B14*$E157))*'Business Case'!$B$7-'Business Case'!$B$8*('Business Case'!B11*$C157*'Business Case'!B12*$B157)-'Business Case'!B15*$F157</f>
        <v>-2003675808.29999</v>
      </c>
      <c r="I157" s="39" t="n">
        <f aca="false">(('Business Case'!C11*$C157*'Business Case'!C12*$B157)-'Business Case'!C11*$C157*'Business Case'!C13*$D157-'Business Case'!C14*$E157)-MAX(0,(('Business Case'!C11*$C157*'Business Case'!C12*$B157)-'Business Case'!C11*$C157*'Business Case'!C13*$D157-'Business Case'!C14*$E157))*'Business Case'!$B$7-'Business Case'!$B$8*(('Business Case'!C11*$C157*'Business Case'!C12*$B157)-('Business Case'!B11*$C157*'Business Case'!B12*$B157))-'Business Case'!C15*$F157</f>
        <v>27532919.5309287</v>
      </c>
      <c r="J157" s="39" t="n">
        <f aca="false">(('Business Case'!D11*$C157*'Business Case'!D12*$B157)-'Business Case'!D11*$C157*'Business Case'!D13*$D157-'Business Case'!D14*$E157)-MAX(0,(('Business Case'!D11*$C157*'Business Case'!D12*$B157)-'Business Case'!D11*$C157*'Business Case'!D13*$D157-'Business Case'!D14*$E157))*'Business Case'!$B$7-'Business Case'!$B$8*(('Business Case'!D11*$C157*'Business Case'!D12*$B157)-('Business Case'!C11*$C157*'Business Case'!C12*$B157))-'Business Case'!D15*$F157</f>
        <v>346894799.981119</v>
      </c>
      <c r="K157" s="39" t="n">
        <f aca="false">(('Business Case'!E11*$C157*'Business Case'!E12*$B157)-'Business Case'!E11*$C157*'Business Case'!E13*$D157-'Business Case'!E14*$E157)-MAX(0,(('Business Case'!E11*$C157*'Business Case'!E12*$B157)-'Business Case'!E11*$C157*'Business Case'!E13*$D157-'Business Case'!E14*$E157))*'Business Case'!$B$7-'Business Case'!$B$8*(('Business Case'!E11*$C157*'Business Case'!E12*$B157)-('Business Case'!D11*$C157*'Business Case'!D12*$B157))-'Business Case'!E15*$F157</f>
        <v>716348575.638809</v>
      </c>
      <c r="L157" s="39" t="n">
        <f aca="false">(('Business Case'!F11*$C157*'Business Case'!F12*$B157)-'Business Case'!F11*$C157*'Business Case'!F13*$D157-'Business Case'!F14*$E157)-MAX(0,(('Business Case'!F11*$C157*'Business Case'!F12*$B157)-'Business Case'!F11*$C157*'Business Case'!F13*$D157-'Business Case'!F14*$E157))*'Business Case'!$B$7-'Business Case'!$B$8*(('Business Case'!F11*$C157*'Business Case'!F12*$B157)-('Business Case'!E11*$C157*'Business Case'!E12*$B157))-'Business Case'!F15*$F157</f>
        <v>855857806.550512</v>
      </c>
      <c r="M157" s="39" t="n">
        <f aca="false">(('Business Case'!G11*$C157*'Business Case'!G12*$B157)-'Business Case'!G11*$C157*'Business Case'!G13*$D157-'Business Case'!G14*$E157)-MAX(0,(('Business Case'!G11*$C157*'Business Case'!G12*$B157)-'Business Case'!G11*$C157*'Business Case'!G13*$D157-'Business Case'!G14*$E157))*'Business Case'!$B$7-'Business Case'!$B$8*(('Business Case'!G11*$C157*'Business Case'!G12*$B157)-('Business Case'!F11*$C157*'Business Case'!F12*$B157))-'Business Case'!G15*$F157+'Business Case'!$B$8*('Business Case'!G11*$C157*'Business Case'!G12*$B157)</f>
        <v>1037661795.73953</v>
      </c>
      <c r="N157" s="39" t="n">
        <f aca="false">IF(COUNT('Business Case'!B11:G11)=0,"",H157+NPV(G157,I157:M157))</f>
        <v>-64309397.6602602</v>
      </c>
      <c r="P157" s="40" t="n">
        <f aca="true">RAND()</f>
        <v>0.99839768284095</v>
      </c>
      <c r="Q157" s="40" t="n">
        <f aca="true">RAND()</f>
        <v>0.339014156914304</v>
      </c>
      <c r="R157" s="40" t="n">
        <f aca="true">RAND()</f>
        <v>0.233547192525652</v>
      </c>
      <c r="S157" s="40" t="n">
        <f aca="true">RAND()</f>
        <v>0.392288687424829</v>
      </c>
      <c r="T157" s="40" t="n">
        <f aca="true">RAND()</f>
        <v>0.178874322444442</v>
      </c>
      <c r="U157" s="40" t="n">
        <f aca="true">RAND()</f>
        <v>0.942035527300478</v>
      </c>
    </row>
    <row r="158" customFormat="false" ht="15" hidden="false" customHeight="false" outlineLevel="0" collapsed="false">
      <c r="A158" s="36" t="n">
        <v>78</v>
      </c>
      <c r="B158" s="37" t="n">
        <f aca="false">1+IF($G$6=$E$6,$F$6,IF(P158&lt;($F$6-$E$6)/($G$6-$E$6),$E$6+SQRT(P158*($G$6-$E$6)*($F$6-$E$6)),$G$6-SQRT((1-P158)*($G$6-$E$6)*($G$6-$F$6))))</f>
        <v>0.952316693647173</v>
      </c>
      <c r="C158" s="37" t="n">
        <f aca="false">1+IF($G$7=$E$7,$F$7,IF(Q158&lt;($F$7-$E$7)/($G$7-$E$7),$E$7+SQRT(Q158*($G$7-$E$7)*($F$7-$E$7)),$G$7-SQRT((1-Q158)*($G$7-$E$7)*($G$7-$F$7))))</f>
        <v>1.08233765142346</v>
      </c>
      <c r="D158" s="37" t="n">
        <f aca="false">1+IF($G$8=$E$8,$F$8,IF(R158&lt;($F$8-$E$8)/($G$8-$E$8),$E$8+SQRT(R158*($G$8-$E$8)*($F$8-$E$8)),$G$8-SQRT((1-R158)*($G$8-$E$8)*($G$8-$F$8))))</f>
        <v>1.02585921958687</v>
      </c>
      <c r="E158" s="37" t="n">
        <f aca="false">1+IF($G$9=$E$9,$F$9,IF(S158&lt;($F$9-$E$9)/($G$9-$E$9),$E$9+SQRT(S158*($G$9-$E$9)*($F$9-$E$9)),$G$9-SQRT((1-S158)*($G$9-$E$9)*($G$9-$F$9))))</f>
        <v>0.95472930743169</v>
      </c>
      <c r="F158" s="37" t="n">
        <f aca="false">1+IF($G$10=$E$10,$F$10,IF(T158&lt;($F$10-$E$10)/($G$10-$E$10),$E$10+SQRT(T158*($G$10-$E$10)*($F$10-$E$10)),$G$10-SQRT((1-T158)*($G$10-$E$10)*($G$10-$F$10))))</f>
        <v>0.995660619124903</v>
      </c>
      <c r="G158" s="38" t="n">
        <f aca="false">IF($G$11=$E$11,$F$11,IF(U158&lt;($F$11-$E$11)/($G$11-$E$11),$E$11+SQRT(U158*($G$11-$E$11)*($F$11-$E$11)),$G$11-SQRT((1-U158)*($G$11-$E$11)*($G$11-$F$11))))</f>
        <v>0.0977729786261476</v>
      </c>
      <c r="H158" s="39" t="n">
        <f aca="false">(('Business Case'!B11*$C158*'Business Case'!B12*$B158)-'Business Case'!B11*$C158*'Business Case'!B13*$D158-'Business Case'!B14*$E158)-MAX(0,(('Business Case'!B11*$C158*'Business Case'!B12*$B158)-'Business Case'!B11*$C158*'Business Case'!B13*$D158-'Business Case'!B14*$E158))*'Business Case'!$B$7-'Business Case'!$B$8*('Business Case'!B11*$C158*'Business Case'!B12*$B158)-'Business Case'!B15*$F158</f>
        <v>-1991321238.24981</v>
      </c>
      <c r="I158" s="39" t="n">
        <f aca="false">(('Business Case'!C11*$C158*'Business Case'!C12*$B158)-'Business Case'!C11*$C158*'Business Case'!C13*$D158-'Business Case'!C14*$E158)-MAX(0,(('Business Case'!C11*$C158*'Business Case'!C12*$B158)-'Business Case'!C11*$C158*'Business Case'!C13*$D158-'Business Case'!C14*$E158))*'Business Case'!$B$7-'Business Case'!$B$8*(('Business Case'!C11*$C158*'Business Case'!C12*$B158)-('Business Case'!B11*$C158*'Business Case'!B12*$B158))-'Business Case'!C15*$F158</f>
        <v>-12919016.4679419</v>
      </c>
      <c r="J158" s="39" t="n">
        <f aca="false">(('Business Case'!D11*$C158*'Business Case'!D12*$B158)-'Business Case'!D11*$C158*'Business Case'!D13*$D158-'Business Case'!D14*$E158)-MAX(0,(('Business Case'!D11*$C158*'Business Case'!D12*$B158)-'Business Case'!D11*$C158*'Business Case'!D13*$D158-'Business Case'!D14*$E158))*'Business Case'!$B$7-'Business Case'!$B$8*(('Business Case'!D11*$C158*'Business Case'!D12*$B158)-('Business Case'!C11*$C158*'Business Case'!C12*$B158))-'Business Case'!D15*$F158</f>
        <v>262923487.087113</v>
      </c>
      <c r="K158" s="39" t="n">
        <f aca="false">(('Business Case'!E11*$C158*'Business Case'!E12*$B158)-'Business Case'!E11*$C158*'Business Case'!E13*$D158-'Business Case'!E14*$E158)-MAX(0,(('Business Case'!E11*$C158*'Business Case'!E12*$B158)-'Business Case'!E11*$C158*'Business Case'!E13*$D158-'Business Case'!E14*$E158))*'Business Case'!$B$7-'Business Case'!$B$8*(('Business Case'!E11*$C158*'Business Case'!E12*$B158)-('Business Case'!D11*$C158*'Business Case'!D12*$B158))-'Business Case'!E15*$F158</f>
        <v>588549021.598414</v>
      </c>
      <c r="L158" s="39" t="n">
        <f aca="false">(('Business Case'!F11*$C158*'Business Case'!F12*$B158)-'Business Case'!F11*$C158*'Business Case'!F13*$D158-'Business Case'!F14*$E158)-MAX(0,(('Business Case'!F11*$C158*'Business Case'!F12*$B158)-'Business Case'!F11*$C158*'Business Case'!F13*$D158-'Business Case'!F14*$E158))*'Business Case'!$B$7-'Business Case'!$B$8*(('Business Case'!F11*$C158*'Business Case'!F12*$B158)-('Business Case'!E11*$C158*'Business Case'!E12*$B158))-'Business Case'!F15*$F158</f>
        <v>716118489.845912</v>
      </c>
      <c r="M158" s="39" t="n">
        <f aca="false">(('Business Case'!G11*$C158*'Business Case'!G12*$B158)-'Business Case'!G11*$C158*'Business Case'!G13*$D158-'Business Case'!G14*$E158)-MAX(0,(('Business Case'!G11*$C158*'Business Case'!G12*$B158)-'Business Case'!G11*$C158*'Business Case'!G13*$D158-'Business Case'!G14*$E158))*'Business Case'!$B$7-'Business Case'!$B$8*(('Business Case'!G11*$C158*'Business Case'!G12*$B158)-('Business Case'!F11*$C158*'Business Case'!F12*$B158))-'Business Case'!G15*$F158+'Business Case'!$B$8*('Business Case'!G11*$C158*'Business Case'!G12*$B158)</f>
        <v>912039308.689553</v>
      </c>
      <c r="N158" s="39" t="n">
        <f aca="false">IF(COUNT('Business Case'!B11:G11)=0,"",H158+NPV(G158,I158:M158))</f>
        <v>-274860817.30827</v>
      </c>
      <c r="P158" s="40" t="n">
        <f aca="true">RAND()</f>
        <v>0.182469095611478</v>
      </c>
      <c r="Q158" s="40" t="n">
        <f aca="true">RAND()</f>
        <v>0.932174912371948</v>
      </c>
      <c r="R158" s="40" t="n">
        <f aca="true">RAND()</f>
        <v>0.633542978648781</v>
      </c>
      <c r="S158" s="40" t="n">
        <f aca="true">RAND()</f>
        <v>0.119811883678096</v>
      </c>
      <c r="T158" s="40" t="n">
        <f aca="true">RAND()</f>
        <v>0.138992809257966</v>
      </c>
      <c r="U158" s="40" t="n">
        <f aca="true">RAND()</f>
        <v>0.3158787692455</v>
      </c>
    </row>
    <row r="159" customFormat="false" ht="15" hidden="false" customHeight="false" outlineLevel="0" collapsed="false">
      <c r="A159" s="36" t="n">
        <v>79</v>
      </c>
      <c r="B159" s="37" t="n">
        <f aca="false">1+IF($G$6=$E$6,$F$6,IF(P159&lt;($F$6-$E$6)/($G$6-$E$6),$E$6+SQRT(P159*($G$6-$E$6)*($F$6-$E$6)),$G$6-SQRT((1-P159)*($G$6-$E$6)*($G$6-$F$6))))</f>
        <v>0.985089250188783</v>
      </c>
      <c r="C159" s="37" t="n">
        <f aca="false">1+IF($G$7=$E$7,$F$7,IF(Q159&lt;($F$7-$E$7)/($G$7-$E$7),$E$7+SQRT(Q159*($G$7-$E$7)*($F$7-$E$7)),$G$7-SQRT((1-Q159)*($G$7-$E$7)*($G$7-$F$7))))</f>
        <v>1.04054635248532</v>
      </c>
      <c r="D159" s="37" t="n">
        <f aca="false">1+IF($G$8=$E$8,$F$8,IF(R159&lt;($F$8-$E$8)/($G$8-$E$8),$E$8+SQRT(R159*($G$8-$E$8)*($F$8-$E$8)),$G$8-SQRT((1-R159)*($G$8-$E$8)*($G$8-$F$8))))</f>
        <v>0.957735145720938</v>
      </c>
      <c r="E159" s="37" t="n">
        <f aca="false">1+IF($G$9=$E$9,$F$9,IF(S159&lt;($F$9-$E$9)/($G$9-$E$9),$E$9+SQRT(S159*($G$9-$E$9)*($F$9-$E$9)),$G$9-SQRT((1-S159)*($G$9-$E$9)*($G$9-$F$9))))</f>
        <v>0.983518846431333</v>
      </c>
      <c r="F159" s="37" t="n">
        <f aca="false">1+IF($G$10=$E$10,$F$10,IF(T159&lt;($F$10-$E$10)/($G$10-$E$10),$E$10+SQRT(T159*($G$10-$E$10)*($F$10-$E$10)),$G$10-SQRT((1-T159)*($G$10-$E$10)*($G$10-$F$10))))</f>
        <v>1.0422273697723</v>
      </c>
      <c r="G159" s="38" t="n">
        <f aca="false">IF($G$11=$E$11,$F$11,IF(U159&lt;($F$11-$E$11)/($G$11-$E$11),$E$11+SQRT(U159*($G$11-$E$11)*($F$11-$E$11)),$G$11-SQRT((1-U159)*($G$11-$E$11)*($G$11-$F$11))))</f>
        <v>0.102716797573596</v>
      </c>
      <c r="H159" s="39" t="n">
        <f aca="false">(('Business Case'!B11*$C159*'Business Case'!B12*$B159)-'Business Case'!B11*$C159*'Business Case'!B13*$D159-'Business Case'!B14*$E159)-MAX(0,(('Business Case'!B11*$C159*'Business Case'!B12*$B159)-'Business Case'!B11*$C159*'Business Case'!B13*$D159-'Business Case'!B14*$E159))*'Business Case'!$B$7-'Business Case'!$B$8*('Business Case'!B11*$C159*'Business Case'!B12*$B159)-'Business Case'!B15*$F159</f>
        <v>-2084454739.5446</v>
      </c>
      <c r="I159" s="39" t="n">
        <f aca="false">(('Business Case'!C11*$C159*'Business Case'!C12*$B159)-'Business Case'!C11*$C159*'Business Case'!C13*$D159-'Business Case'!C14*$E159)-MAX(0,(('Business Case'!C11*$C159*'Business Case'!C12*$B159)-'Business Case'!C11*$C159*'Business Case'!C13*$D159-'Business Case'!C14*$E159))*'Business Case'!$B$7-'Business Case'!$B$8*(('Business Case'!C11*$C159*'Business Case'!C12*$B159)-('Business Case'!B11*$C159*'Business Case'!B12*$B159))-'Business Case'!C15*$F159</f>
        <v>32194492.73151</v>
      </c>
      <c r="J159" s="39" t="n">
        <f aca="false">(('Business Case'!D11*$C159*'Business Case'!D12*$B159)-'Business Case'!D11*$C159*'Business Case'!D13*$D159-'Business Case'!D14*$E159)-MAX(0,(('Business Case'!D11*$C159*'Business Case'!D12*$B159)-'Business Case'!D11*$C159*'Business Case'!D13*$D159-'Business Case'!D14*$E159))*'Business Case'!$B$7-'Business Case'!$B$8*(('Business Case'!D11*$C159*'Business Case'!D12*$B159)-('Business Case'!C11*$C159*'Business Case'!C12*$B159))-'Business Case'!D15*$F159</f>
        <v>361605710.798735</v>
      </c>
      <c r="K159" s="39" t="n">
        <f aca="false">(('Business Case'!E11*$C159*'Business Case'!E12*$B159)-'Business Case'!E11*$C159*'Business Case'!E13*$D159-'Business Case'!E14*$E159)-MAX(0,(('Business Case'!E11*$C159*'Business Case'!E12*$B159)-'Business Case'!E11*$C159*'Business Case'!E13*$D159-'Business Case'!E14*$E159))*'Business Case'!$B$7-'Business Case'!$B$8*(('Business Case'!E11*$C159*'Business Case'!E12*$B159)-('Business Case'!D11*$C159*'Business Case'!D12*$B159))-'Business Case'!E15*$F159</f>
        <v>743128297.354575</v>
      </c>
      <c r="L159" s="39" t="n">
        <f aca="false">(('Business Case'!F11*$C159*'Business Case'!F12*$B159)-'Business Case'!F11*$C159*'Business Case'!F13*$D159-'Business Case'!F14*$E159)-MAX(0,(('Business Case'!F11*$C159*'Business Case'!F12*$B159)-'Business Case'!F11*$C159*'Business Case'!F13*$D159-'Business Case'!F14*$E159))*'Business Case'!$B$7-'Business Case'!$B$8*(('Business Case'!F11*$C159*'Business Case'!F12*$B159)-('Business Case'!E11*$C159*'Business Case'!E12*$B159))-'Business Case'!F15*$F159</f>
        <v>888357108.974284</v>
      </c>
      <c r="M159" s="39" t="n">
        <f aca="false">(('Business Case'!G11*$C159*'Business Case'!G12*$B159)-'Business Case'!G11*$C159*'Business Case'!G13*$D159-'Business Case'!G14*$E159)-MAX(0,(('Business Case'!G11*$C159*'Business Case'!G12*$B159)-'Business Case'!G11*$C159*'Business Case'!G13*$D159-'Business Case'!G14*$E159))*'Business Case'!$B$7-'Business Case'!$B$8*(('Business Case'!G11*$C159*'Business Case'!G12*$B159)-('Business Case'!F11*$C159*'Business Case'!F12*$B159))-'Business Case'!G15*$F159+'Business Case'!$B$8*('Business Case'!G11*$C159*'Business Case'!G12*$B159)</f>
        <v>1083195006.4261</v>
      </c>
      <c r="N159" s="39" t="n">
        <f aca="false">IF(COUNT('Business Case'!B11:G11)=0,"",H159+NPV(G159,I159:M159))</f>
        <v>61461276.066056</v>
      </c>
      <c r="P159" s="40" t="n">
        <f aca="true">RAND()</f>
        <v>0.482678699845952</v>
      </c>
      <c r="Q159" s="40" t="n">
        <f aca="true">RAND()</f>
        <v>0.822517022899738</v>
      </c>
      <c r="R159" s="40" t="n">
        <f aca="true">RAND()</f>
        <v>0.00797766390988528</v>
      </c>
      <c r="S159" s="40" t="n">
        <f aca="true">RAND()</f>
        <v>0.279015908368823</v>
      </c>
      <c r="T159" s="40" t="n">
        <f aca="true">RAND()</f>
        <v>0.42440712171017</v>
      </c>
      <c r="U159" s="40" t="n">
        <f aca="true">RAND()</f>
        <v>0.503751243573259</v>
      </c>
    </row>
    <row r="160" customFormat="false" ht="15" hidden="false" customHeight="false" outlineLevel="0" collapsed="false">
      <c r="A160" s="36" t="n">
        <v>80</v>
      </c>
      <c r="B160" s="37" t="n">
        <f aca="false">1+IF($G$6=$E$6,$F$6,IF(P160&lt;($F$6-$E$6)/($G$6-$E$6),$E$6+SQRT(P160*($G$6-$E$6)*($F$6-$E$6)),$G$6-SQRT((1-P160)*($G$6-$E$6)*($G$6-$F$6))))</f>
        <v>0.993576202017996</v>
      </c>
      <c r="C160" s="37" t="n">
        <f aca="false">1+IF($G$7=$E$7,$F$7,IF(Q160&lt;($F$7-$E$7)/($G$7-$E$7),$E$7+SQRT(Q160*($G$7-$E$7)*($F$7-$E$7)),$G$7-SQRT((1-Q160)*($G$7-$E$7)*($G$7-$F$7))))</f>
        <v>0.922746777800408</v>
      </c>
      <c r="D160" s="37" t="n">
        <f aca="false">1+IF($G$8=$E$8,$F$8,IF(R160&lt;($F$8-$E$8)/($G$8-$E$8),$E$8+SQRT(R160*($G$8-$E$8)*($F$8-$E$8)),$G$8-SQRT((1-R160)*($G$8-$E$8)*($G$8-$F$8))))</f>
        <v>1.00135711547563</v>
      </c>
      <c r="E160" s="37" t="n">
        <f aca="false">1+IF($G$9=$E$9,$F$9,IF(S160&lt;($F$9-$E$9)/($G$9-$E$9),$E$9+SQRT(S160*($G$9-$E$9)*($F$9-$E$9)),$G$9-SQRT((1-S160)*($G$9-$E$9)*($G$9-$F$9))))</f>
        <v>1.02759946649983</v>
      </c>
      <c r="F160" s="37" t="n">
        <f aca="false">1+IF($G$10=$E$10,$F$10,IF(T160&lt;($F$10-$E$10)/($G$10-$E$10),$E$10+SQRT(T160*($G$10-$E$10)*($F$10-$E$10)),$G$10-SQRT((1-T160)*($G$10-$E$10)*($G$10-$F$10))))</f>
        <v>1.10736273071827</v>
      </c>
      <c r="G160" s="38" t="n">
        <f aca="false">IF($G$11=$E$11,$F$11,IF(U160&lt;($F$11-$E$11)/($G$11-$E$11),$E$11+SQRT(U160*($G$11-$E$11)*($F$11-$E$11)),$G$11-SQRT((1-U160)*($G$11-$E$11)*($G$11-$F$11))))</f>
        <v>0.120627790907848</v>
      </c>
      <c r="H160" s="39" t="n">
        <f aca="false">(('Business Case'!B11*$C160*'Business Case'!B12*$B160)-'Business Case'!B11*$C160*'Business Case'!B13*$D160-'Business Case'!B14*$E160)-MAX(0,(('Business Case'!B11*$C160*'Business Case'!B12*$B160)-'Business Case'!B11*$C160*'Business Case'!B13*$D160-'Business Case'!B14*$E160))*'Business Case'!$B$7-'Business Case'!$B$8*('Business Case'!B11*$C160*'Business Case'!B12*$B160)-'Business Case'!B15*$F160</f>
        <v>-2214725461.43655</v>
      </c>
      <c r="I160" s="39" t="n">
        <f aca="false">(('Business Case'!C11*$C160*'Business Case'!C12*$B160)-'Business Case'!C11*$C160*'Business Case'!C13*$D160-'Business Case'!C14*$E160)-MAX(0,(('Business Case'!C11*$C160*'Business Case'!C12*$B160)-'Business Case'!C11*$C160*'Business Case'!C13*$D160-'Business Case'!C14*$E160))*'Business Case'!$B$7-'Business Case'!$B$8*(('Business Case'!C11*$C160*'Business Case'!C12*$B160)-('Business Case'!B11*$C160*'Business Case'!B12*$B160))-'Business Case'!C15*$F160</f>
        <v>-26461453.4627085</v>
      </c>
      <c r="J160" s="39" t="n">
        <f aca="false">(('Business Case'!D11*$C160*'Business Case'!D12*$B160)-'Business Case'!D11*$C160*'Business Case'!D13*$D160-'Business Case'!D14*$E160)-MAX(0,(('Business Case'!D11*$C160*'Business Case'!D12*$B160)-'Business Case'!D11*$C160*'Business Case'!D13*$D160-'Business Case'!D14*$E160))*'Business Case'!$B$7-'Business Case'!$B$8*(('Business Case'!D11*$C160*'Business Case'!D12*$B160)-('Business Case'!C11*$C160*'Business Case'!C12*$B160))-'Business Case'!D15*$F160</f>
        <v>251465919.627847</v>
      </c>
      <c r="K160" s="39" t="n">
        <f aca="false">(('Business Case'!E11*$C160*'Business Case'!E12*$B160)-'Business Case'!E11*$C160*'Business Case'!E13*$D160-'Business Case'!E14*$E160)-MAX(0,(('Business Case'!E11*$C160*'Business Case'!E12*$B160)-'Business Case'!E11*$C160*'Business Case'!E13*$D160-'Business Case'!E14*$E160))*'Business Case'!$B$7-'Business Case'!$B$8*(('Business Case'!E11*$C160*'Business Case'!E12*$B160)-('Business Case'!D11*$C160*'Business Case'!D12*$B160))-'Business Case'!E15*$F160</f>
        <v>584761429.254317</v>
      </c>
      <c r="L160" s="39" t="n">
        <f aca="false">(('Business Case'!F11*$C160*'Business Case'!F12*$B160)-'Business Case'!F11*$C160*'Business Case'!F13*$D160-'Business Case'!F14*$E160)-MAX(0,(('Business Case'!F11*$C160*'Business Case'!F12*$B160)-'Business Case'!F11*$C160*'Business Case'!F13*$D160-'Business Case'!F14*$E160))*'Business Case'!$B$7-'Business Case'!$B$8*(('Business Case'!F11*$C160*'Business Case'!F12*$B160)-('Business Case'!E11*$C160*'Business Case'!E12*$B160))-'Business Case'!F15*$F160</f>
        <v>709089159.847943</v>
      </c>
      <c r="M160" s="39" t="n">
        <f aca="false">(('Business Case'!G11*$C160*'Business Case'!G12*$B160)-'Business Case'!G11*$C160*'Business Case'!G13*$D160-'Business Case'!G14*$E160)-MAX(0,(('Business Case'!G11*$C160*'Business Case'!G12*$B160)-'Business Case'!G11*$C160*'Business Case'!G13*$D160-'Business Case'!G14*$E160))*'Business Case'!$B$7-'Business Case'!$B$8*(('Business Case'!G11*$C160*'Business Case'!G12*$B160)-('Business Case'!F11*$C160*'Business Case'!F12*$B160))-'Business Case'!G15*$F160+'Business Case'!$B$8*('Business Case'!G11*$C160*'Business Case'!G12*$B160)</f>
        <v>883358160.780197</v>
      </c>
      <c r="N160" s="39" t="n">
        <f aca="false">IF(COUNT('Business Case'!B11:G11)=0,"",H160+NPV(G160,I160:M160))</f>
        <v>-673104752.319342</v>
      </c>
      <c r="P160" s="40" t="n">
        <f aca="true">RAND()</f>
        <v>0.583767038940855</v>
      </c>
      <c r="Q160" s="40" t="n">
        <f aca="true">RAND()</f>
        <v>0.367526866818254</v>
      </c>
      <c r="R160" s="40" t="n">
        <f aca="true">RAND()</f>
        <v>0.351305422180817</v>
      </c>
      <c r="S160" s="40" t="n">
        <f aca="true">RAND()</f>
        <v>0.600482917303326</v>
      </c>
      <c r="T160" s="40" t="n">
        <f aca="true">RAND()</f>
        <v>0.728728125491368</v>
      </c>
      <c r="U160" s="40" t="n">
        <f aca="true">RAND()</f>
        <v>0.941441131155318</v>
      </c>
    </row>
    <row r="161" customFormat="false" ht="15" hidden="false" customHeight="false" outlineLevel="0" collapsed="false">
      <c r="A161" s="36" t="n">
        <v>81</v>
      </c>
      <c r="B161" s="37" t="n">
        <f aca="false">1+IF($G$6=$E$6,$F$6,IF(P161&lt;($F$6-$E$6)/($G$6-$E$6),$E$6+SQRT(P161*($G$6-$E$6)*($F$6-$E$6)),$G$6-SQRT((1-P161)*($G$6-$E$6)*($G$6-$F$6))))</f>
        <v>0.967130163660156</v>
      </c>
      <c r="C161" s="37" t="n">
        <f aca="false">1+IF($G$7=$E$7,$F$7,IF(Q161&lt;($F$7-$E$7)/($G$7-$E$7),$E$7+SQRT(Q161*($G$7-$E$7)*($F$7-$E$7)),$G$7-SQRT((1-Q161)*($G$7-$E$7)*($G$7-$F$7))))</f>
        <v>0.862921038512266</v>
      </c>
      <c r="D161" s="37" t="n">
        <f aca="false">1+IF($G$8=$E$8,$F$8,IF(R161&lt;($F$8-$E$8)/($G$8-$E$8),$E$8+SQRT(R161*($G$8-$E$8)*($F$8-$E$8)),$G$8-SQRT((1-R161)*($G$8-$E$8)*($G$8-$F$8))))</f>
        <v>1.04086892542791</v>
      </c>
      <c r="E161" s="37" t="n">
        <f aca="false">1+IF($G$9=$E$9,$F$9,IF(S161&lt;($F$9-$E$9)/($G$9-$E$9),$E$9+SQRT(S161*($G$9-$E$9)*($F$9-$E$9)),$G$9-SQRT((1-S161)*($G$9-$E$9)*($G$9-$F$9))))</f>
        <v>1.03804714362308</v>
      </c>
      <c r="F161" s="37" t="n">
        <f aca="false">1+IF($G$10=$E$10,$F$10,IF(T161&lt;($F$10-$E$10)/($G$10-$E$10),$E$10+SQRT(T161*($G$10-$E$10)*($F$10-$E$10)),$G$10-SQRT((1-T161)*($G$10-$E$10)*($G$10-$F$10))))</f>
        <v>1.19672857841526</v>
      </c>
      <c r="G161" s="38" t="n">
        <f aca="false">IF($G$11=$E$11,$F$11,IF(U161&lt;($F$11-$E$11)/($G$11-$E$11),$E$11+SQRT(U161*($G$11-$E$11)*($F$11-$E$11)),$G$11-SQRT((1-U161)*($G$11-$E$11)*($G$11-$F$11))))</f>
        <v>0.0915180712695458</v>
      </c>
      <c r="H161" s="39" t="n">
        <f aca="false">(('Business Case'!B11*$C161*'Business Case'!B12*$B161)-'Business Case'!B11*$C161*'Business Case'!B13*$D161-'Business Case'!B14*$E161)-MAX(0,(('Business Case'!B11*$C161*'Business Case'!B12*$B161)-'Business Case'!B11*$C161*'Business Case'!B13*$D161-'Business Case'!B14*$E161))*'Business Case'!$B$7-'Business Case'!$B$8*('Business Case'!B11*$C161*'Business Case'!B12*$B161)-'Business Case'!B15*$F161</f>
        <v>-2393457156.83051</v>
      </c>
      <c r="I161" s="39" t="n">
        <f aca="false">(('Business Case'!C11*$C161*'Business Case'!C12*$B161)-'Business Case'!C11*$C161*'Business Case'!C13*$D161-'Business Case'!C14*$E161)-MAX(0,(('Business Case'!C11*$C161*'Business Case'!C12*$B161)-'Business Case'!C11*$C161*'Business Case'!C13*$D161-'Business Case'!C14*$E161))*'Business Case'!$B$7-'Business Case'!$B$8*(('Business Case'!C11*$C161*'Business Case'!C12*$B161)-('Business Case'!B11*$C161*'Business Case'!B12*$B161))-'Business Case'!C15*$F161</f>
        <v>-86784596.4949399</v>
      </c>
      <c r="J161" s="39" t="n">
        <f aca="false">(('Business Case'!D11*$C161*'Business Case'!D12*$B161)-'Business Case'!D11*$C161*'Business Case'!D13*$D161-'Business Case'!D14*$E161)-MAX(0,(('Business Case'!D11*$C161*'Business Case'!D12*$B161)-'Business Case'!D11*$C161*'Business Case'!D13*$D161-'Business Case'!D14*$E161))*'Business Case'!$B$7-'Business Case'!$B$8*(('Business Case'!D11*$C161*'Business Case'!D12*$B161)-('Business Case'!C11*$C161*'Business Case'!C12*$B161))-'Business Case'!D15*$F161</f>
        <v>136977401.750928</v>
      </c>
      <c r="K161" s="39" t="n">
        <f aca="false">(('Business Case'!E11*$C161*'Business Case'!E12*$B161)-'Business Case'!E11*$C161*'Business Case'!E13*$D161-'Business Case'!E14*$E161)-MAX(0,(('Business Case'!E11*$C161*'Business Case'!E12*$B161)-'Business Case'!E11*$C161*'Business Case'!E13*$D161-'Business Case'!E14*$E161))*'Business Case'!$B$7-'Business Case'!$B$8*(('Business Case'!E11*$C161*'Business Case'!E12*$B161)-('Business Case'!D11*$C161*'Business Case'!D12*$B161))-'Business Case'!E15*$F161</f>
        <v>420575828.917558</v>
      </c>
      <c r="L161" s="39" t="n">
        <f aca="false">(('Business Case'!F11*$C161*'Business Case'!F12*$B161)-'Business Case'!F11*$C161*'Business Case'!F13*$D161-'Business Case'!F14*$E161)-MAX(0,(('Business Case'!F11*$C161*'Business Case'!F12*$B161)-'Business Case'!F11*$C161*'Business Case'!F13*$D161-'Business Case'!F14*$E161))*'Business Case'!$B$7-'Business Case'!$B$8*(('Business Case'!F11*$C161*'Business Case'!F12*$B161)-('Business Case'!E11*$C161*'Business Case'!E12*$B161))-'Business Case'!F15*$F161</f>
        <v>524005450.383567</v>
      </c>
      <c r="M161" s="39" t="n">
        <f aca="false">(('Business Case'!G11*$C161*'Business Case'!G12*$B161)-'Business Case'!G11*$C161*'Business Case'!G13*$D161-'Business Case'!G14*$E161)-MAX(0,(('Business Case'!G11*$C161*'Business Case'!G12*$B161)-'Business Case'!G11*$C161*'Business Case'!G13*$D161-'Business Case'!G14*$E161))*'Business Case'!$B$7-'Business Case'!$B$8*(('Business Case'!G11*$C161*'Business Case'!G12*$B161)-('Business Case'!F11*$C161*'Business Case'!F12*$B161))-'Business Case'!G15*$F161+'Business Case'!$B$8*('Business Case'!G11*$C161*'Business Case'!G12*$B161)</f>
        <v>682638038.329194</v>
      </c>
      <c r="N161" s="39" t="n">
        <f aca="false">IF(COUNT('Business Case'!B11:G11)=0,"",H161+NPV(G161,I161:M161))</f>
        <v>-1224837040.09846</v>
      </c>
      <c r="P161" s="40" t="n">
        <f aca="true">RAND()</f>
        <v>0.300430591535954</v>
      </c>
      <c r="Q161" s="40" t="n">
        <f aca="true">RAND()</f>
        <v>0.196616776221594</v>
      </c>
      <c r="R161" s="40" t="n">
        <f aca="true">RAND()</f>
        <v>0.766901067996634</v>
      </c>
      <c r="S161" s="40" t="n">
        <f aca="true">RAND()</f>
        <v>0.665774878641295</v>
      </c>
      <c r="T161" s="40" t="n">
        <f aca="true">RAND()</f>
        <v>0.962162075231207</v>
      </c>
      <c r="U161" s="40" t="n">
        <f aca="true">RAND()</f>
        <v>0.132665965770336</v>
      </c>
    </row>
    <row r="162" customFormat="false" ht="15" hidden="false" customHeight="false" outlineLevel="0" collapsed="false">
      <c r="A162" s="36" t="n">
        <v>82</v>
      </c>
      <c r="B162" s="37" t="n">
        <f aca="false">1+IF($G$6=$E$6,$F$6,IF(P162&lt;($F$6-$E$6)/($G$6-$E$6),$E$6+SQRT(P162*($G$6-$E$6)*($F$6-$E$6)),$G$6-SQRT((1-P162)*($G$6-$E$6)*($G$6-$F$6))))</f>
        <v>1.00098328553781</v>
      </c>
      <c r="C162" s="37" t="n">
        <f aca="false">1+IF($G$7=$E$7,$F$7,IF(Q162&lt;($F$7-$E$7)/($G$7-$E$7),$E$7+SQRT(Q162*($G$7-$E$7)*($F$7-$E$7)),$G$7-SQRT((1-Q162)*($G$7-$E$7)*($G$7-$F$7))))</f>
        <v>0.929166185354979</v>
      </c>
      <c r="D162" s="37" t="n">
        <f aca="false">1+IF($G$8=$E$8,$F$8,IF(R162&lt;($F$8-$E$8)/($G$8-$E$8),$E$8+SQRT(R162*($G$8-$E$8)*($F$8-$E$8)),$G$8-SQRT((1-R162)*($G$8-$E$8)*($G$8-$F$8))))</f>
        <v>0.995120350975064</v>
      </c>
      <c r="E162" s="37" t="n">
        <f aca="false">1+IF($G$9=$E$9,$F$9,IF(S162&lt;($F$9-$E$9)/($G$9-$E$9),$E$9+SQRT(S162*($G$9-$E$9)*($F$9-$E$9)),$G$9-SQRT((1-S162)*($G$9-$E$9)*($G$9-$F$9))))</f>
        <v>1.00193091095944</v>
      </c>
      <c r="F162" s="37" t="n">
        <f aca="false">1+IF($G$10=$E$10,$F$10,IF(T162&lt;($F$10-$E$10)/($G$10-$E$10),$E$10+SQRT(T162*($G$10-$E$10)*($F$10-$E$10)),$G$10-SQRT((1-T162)*($G$10-$E$10)*($G$10-$F$10))))</f>
        <v>1.01789506957763</v>
      </c>
      <c r="G162" s="38" t="n">
        <f aca="false">IF($G$11=$E$11,$F$11,IF(U162&lt;($F$11-$E$11)/($G$11-$E$11),$E$11+SQRT(U162*($G$11-$E$11)*($F$11-$E$11)),$G$11-SQRT((1-U162)*($G$11-$E$11)*($G$11-$F$11))))</f>
        <v>0.0848517167827994</v>
      </c>
      <c r="H162" s="39" t="n">
        <f aca="false">(('Business Case'!B11*$C162*'Business Case'!B12*$B162)-'Business Case'!B11*$C162*'Business Case'!B13*$D162-'Business Case'!B14*$E162)-MAX(0,(('Business Case'!B11*$C162*'Business Case'!B12*$B162)-'Business Case'!B11*$C162*'Business Case'!B13*$D162-'Business Case'!B14*$E162))*'Business Case'!$B$7-'Business Case'!$B$8*('Business Case'!B11*$C162*'Business Case'!B12*$B162)-'Business Case'!B15*$F162</f>
        <v>-2035790139.15525</v>
      </c>
      <c r="I162" s="39" t="n">
        <f aca="false">(('Business Case'!C11*$C162*'Business Case'!C12*$B162)-'Business Case'!C11*$C162*'Business Case'!C13*$D162-'Business Case'!C14*$E162)-MAX(0,(('Business Case'!C11*$C162*'Business Case'!C12*$B162)-'Business Case'!C11*$C162*'Business Case'!C13*$D162-'Business Case'!C14*$E162))*'Business Case'!$B$7-'Business Case'!$B$8*(('Business Case'!C11*$C162*'Business Case'!C12*$B162)-('Business Case'!B11*$C162*'Business Case'!B12*$B162))-'Business Case'!C15*$F162</f>
        <v>-4014787.08348747</v>
      </c>
      <c r="J162" s="39" t="n">
        <f aca="false">(('Business Case'!D11*$C162*'Business Case'!D12*$B162)-'Business Case'!D11*$C162*'Business Case'!D13*$D162-'Business Case'!D14*$E162)-MAX(0,(('Business Case'!D11*$C162*'Business Case'!D12*$B162)-'Business Case'!D11*$C162*'Business Case'!D13*$D162-'Business Case'!D14*$E162))*'Business Case'!$B$7-'Business Case'!$B$8*(('Business Case'!D11*$C162*'Business Case'!D12*$B162)-('Business Case'!C11*$C162*'Business Case'!C12*$B162))-'Business Case'!D15*$F162</f>
        <v>284449846.251273</v>
      </c>
      <c r="K162" s="39" t="n">
        <f aca="false">(('Business Case'!E11*$C162*'Business Case'!E12*$B162)-'Business Case'!E11*$C162*'Business Case'!E13*$D162-'Business Case'!E14*$E162)-MAX(0,(('Business Case'!E11*$C162*'Business Case'!E12*$B162)-'Business Case'!E11*$C162*'Business Case'!E13*$D162-'Business Case'!E14*$E162))*'Business Case'!$B$7-'Business Case'!$B$8*(('Business Case'!E11*$C162*'Business Case'!E12*$B162)-('Business Case'!D11*$C162*'Business Case'!D12*$B162))-'Business Case'!E15*$F162</f>
        <v>623809233.064915</v>
      </c>
      <c r="L162" s="39" t="n">
        <f aca="false">(('Business Case'!F11*$C162*'Business Case'!F12*$B162)-'Business Case'!F11*$C162*'Business Case'!F13*$D162-'Business Case'!F14*$E162)-MAX(0,(('Business Case'!F11*$C162*'Business Case'!F12*$B162)-'Business Case'!F11*$C162*'Business Case'!F13*$D162-'Business Case'!F14*$E162))*'Business Case'!$B$7-'Business Case'!$B$8*(('Business Case'!F11*$C162*'Business Case'!F12*$B162)-('Business Case'!E11*$C162*'Business Case'!E12*$B162))-'Business Case'!F15*$F162</f>
        <v>752107669.45787</v>
      </c>
      <c r="M162" s="39" t="n">
        <f aca="false">(('Business Case'!G11*$C162*'Business Case'!G12*$B162)-'Business Case'!G11*$C162*'Business Case'!G13*$D162-'Business Case'!G14*$E162)-MAX(0,(('Business Case'!G11*$C162*'Business Case'!G12*$B162)-'Business Case'!G11*$C162*'Business Case'!G13*$D162-'Business Case'!G14*$E162))*'Business Case'!$B$7-'Business Case'!$B$8*(('Business Case'!G11*$C162*'Business Case'!G12*$B162)-('Business Case'!F11*$C162*'Business Case'!F12*$B162))-'Business Case'!G15*$F162+'Business Case'!$B$8*('Business Case'!G11*$C162*'Business Case'!G12*$B162)</f>
        <v>928897241.838732</v>
      </c>
      <c r="N162" s="39" t="n">
        <f aca="false">IF(COUNT('Business Case'!B11:G11)=0,"",H162+NPV(G162,I162:M162))</f>
        <v>-148032333.769725</v>
      </c>
      <c r="P162" s="40" t="n">
        <f aca="true">RAND()</f>
        <v>0.679648227110961</v>
      </c>
      <c r="Q162" s="40" t="n">
        <f aca="true">RAND()</f>
        <v>0.389015855630761</v>
      </c>
      <c r="R162" s="40" t="n">
        <f aca="true">RAND()</f>
        <v>0.271446142948397</v>
      </c>
      <c r="S162" s="40" t="n">
        <f aca="true">RAND()</f>
        <v>0.415347863218617</v>
      </c>
      <c r="T162" s="40" t="n">
        <f aca="true">RAND()</f>
        <v>0.281697350314995</v>
      </c>
      <c r="U162" s="40" t="n">
        <f aca="true">RAND()</f>
        <v>0.023539155740497</v>
      </c>
    </row>
    <row r="163" customFormat="false" ht="15" hidden="false" customHeight="false" outlineLevel="0" collapsed="false">
      <c r="A163" s="36" t="n">
        <v>83</v>
      </c>
      <c r="B163" s="37" t="n">
        <f aca="false">1+IF($G$6=$E$6,$F$6,IF(P163&lt;($F$6-$E$6)/($G$6-$E$6),$E$6+SQRT(P163*($G$6-$E$6)*($F$6-$E$6)),$G$6-SQRT((1-P163)*($G$6-$E$6)*($G$6-$F$6))))</f>
        <v>0.991911126685064</v>
      </c>
      <c r="C163" s="37" t="n">
        <f aca="false">1+IF($G$7=$E$7,$F$7,IF(Q163&lt;($F$7-$E$7)/($G$7-$E$7),$E$7+SQRT(Q163*($G$7-$E$7)*($F$7-$E$7)),$G$7-SQRT((1-Q163)*($G$7-$E$7)*($G$7-$F$7))))</f>
        <v>0.849731965213251</v>
      </c>
      <c r="D163" s="37" t="n">
        <f aca="false">1+IF($G$8=$E$8,$F$8,IF(R163&lt;($F$8-$E$8)/($G$8-$E$8),$E$8+SQRT(R163*($G$8-$E$8)*($F$8-$E$8)),$G$8-SQRT((1-R163)*($G$8-$E$8)*($G$8-$F$8))))</f>
        <v>1.02258075264745</v>
      </c>
      <c r="E163" s="37" t="n">
        <f aca="false">1+IF($G$9=$E$9,$F$9,IF(S163&lt;($F$9-$E$9)/($G$9-$E$9),$E$9+SQRT(S163*($G$9-$E$9)*($F$9-$E$9)),$G$9-SQRT((1-S163)*($G$9-$E$9)*($G$9-$F$9))))</f>
        <v>1.01185016515173</v>
      </c>
      <c r="F163" s="37" t="n">
        <f aca="false">1+IF($G$10=$E$10,$F$10,IF(T163&lt;($F$10-$E$10)/($G$10-$E$10),$E$10+SQRT(T163*($G$10-$E$10)*($F$10-$E$10)),$G$10-SQRT((1-T163)*($G$10-$E$10)*($G$10-$F$10))))</f>
        <v>1.01444252625904</v>
      </c>
      <c r="G163" s="38" t="n">
        <f aca="false">IF($G$11=$E$11,$F$11,IF(U163&lt;($F$11-$E$11)/($G$11-$E$11),$E$11+SQRT(U163*($G$11-$E$11)*($F$11-$E$11)),$G$11-SQRT((1-U163)*($G$11-$E$11)*($G$11-$F$11))))</f>
        <v>0.0992012789266253</v>
      </c>
      <c r="H163" s="39" t="n">
        <f aca="false">(('Business Case'!B11*$C163*'Business Case'!B12*$B163)-'Business Case'!B11*$C163*'Business Case'!B13*$D163-'Business Case'!B14*$E163)-MAX(0,(('Business Case'!B11*$C163*'Business Case'!B12*$B163)-'Business Case'!B11*$C163*'Business Case'!B13*$D163-'Business Case'!B14*$E163))*'Business Case'!$B$7-'Business Case'!$B$8*('Business Case'!B11*$C163*'Business Case'!B12*$B163)-'Business Case'!B15*$F163</f>
        <v>-2028885052.51809</v>
      </c>
      <c r="I163" s="39" t="n">
        <f aca="false">(('Business Case'!C11*$C163*'Business Case'!C12*$B163)-'Business Case'!C11*$C163*'Business Case'!C13*$D163-'Business Case'!C14*$E163)-MAX(0,(('Business Case'!C11*$C163*'Business Case'!C12*$B163)-'Business Case'!C11*$C163*'Business Case'!C13*$D163-'Business Case'!C14*$E163))*'Business Case'!$B$7-'Business Case'!$B$8*(('Business Case'!C11*$C163*'Business Case'!C12*$B163)-('Business Case'!B11*$C163*'Business Case'!B12*$B163))-'Business Case'!C15*$F163</f>
        <v>-43478560.9586272</v>
      </c>
      <c r="J163" s="39" t="n">
        <f aca="false">(('Business Case'!D11*$C163*'Business Case'!D12*$B163)-'Business Case'!D11*$C163*'Business Case'!D13*$D163-'Business Case'!D14*$E163)-MAX(0,(('Business Case'!D11*$C163*'Business Case'!D12*$B163)-'Business Case'!D11*$C163*'Business Case'!D13*$D163-'Business Case'!D14*$E163))*'Business Case'!$B$7-'Business Case'!$B$8*(('Business Case'!D11*$C163*'Business Case'!D12*$B163)-('Business Case'!C11*$C163*'Business Case'!C12*$B163))-'Business Case'!D15*$F163</f>
        <v>202066013.550406</v>
      </c>
      <c r="K163" s="39" t="n">
        <f aca="false">(('Business Case'!E11*$C163*'Business Case'!E12*$B163)-'Business Case'!E11*$C163*'Business Case'!E13*$D163-'Business Case'!E14*$E163)-MAX(0,(('Business Case'!E11*$C163*'Business Case'!E12*$B163)-'Business Case'!E11*$C163*'Business Case'!E13*$D163-'Business Case'!E14*$E163))*'Business Case'!$B$7-'Business Case'!$B$8*(('Business Case'!E11*$C163*'Business Case'!E12*$B163)-('Business Case'!D11*$C163*'Business Case'!D12*$B163))-'Business Case'!E15*$F163</f>
        <v>498332714.372392</v>
      </c>
      <c r="L163" s="39" t="n">
        <f aca="false">(('Business Case'!F11*$C163*'Business Case'!F12*$B163)-'Business Case'!F11*$C163*'Business Case'!F13*$D163-'Business Case'!F14*$E163)-MAX(0,(('Business Case'!F11*$C163*'Business Case'!F12*$B163)-'Business Case'!F11*$C163*'Business Case'!F13*$D163-'Business Case'!F14*$E163))*'Business Case'!$B$7-'Business Case'!$B$8*(('Business Case'!F11*$C163*'Business Case'!F12*$B163)-('Business Case'!E11*$C163*'Business Case'!E12*$B163))-'Business Case'!F15*$F163</f>
        <v>609310098.780191</v>
      </c>
      <c r="M163" s="39" t="n">
        <f aca="false">(('Business Case'!G11*$C163*'Business Case'!G12*$B163)-'Business Case'!G11*$C163*'Business Case'!G13*$D163-'Business Case'!G14*$E163)-MAX(0,(('Business Case'!G11*$C163*'Business Case'!G12*$B163)-'Business Case'!G11*$C163*'Business Case'!G13*$D163-'Business Case'!G14*$E163))*'Business Case'!$B$7-'Business Case'!$B$8*(('Business Case'!G11*$C163*'Business Case'!G12*$B163)-('Business Case'!F11*$C163*'Business Case'!F12*$B163))-'Business Case'!G15*$F163+'Business Case'!$B$8*('Business Case'!G11*$C163*'Business Case'!G12*$B163)</f>
        <v>769520659.756518</v>
      </c>
      <c r="N163" s="39" t="n">
        <f aca="false">IF(COUNT('Business Case'!B11:G11)=0,"",H163+NPV(G163,I163:M163))</f>
        <v>-629050528.588566</v>
      </c>
      <c r="P163" s="40" t="n">
        <f aca="true">RAND()</f>
        <v>0.563177013901191</v>
      </c>
      <c r="Q163" s="40" t="n">
        <f aca="true">RAND()</f>
        <v>0.16607156597498</v>
      </c>
      <c r="R163" s="40" t="n">
        <f aca="true">RAND()</f>
        <v>0.600417342624297</v>
      </c>
      <c r="S163" s="40" t="n">
        <f aca="true">RAND()</f>
        <v>0.491056616837225</v>
      </c>
      <c r="T163" s="40" t="n">
        <f aca="true">RAND()</f>
        <v>0.260169020863719</v>
      </c>
      <c r="U163" s="40" t="n">
        <f aca="true">RAND()</f>
        <v>0.368689112418064</v>
      </c>
    </row>
    <row r="164" customFormat="false" ht="15" hidden="false" customHeight="false" outlineLevel="0" collapsed="false">
      <c r="A164" s="36" t="n">
        <v>84</v>
      </c>
      <c r="B164" s="37" t="n">
        <f aca="false">1+IF($G$6=$E$6,$F$6,IF(P164&lt;($F$6-$E$6)/($G$6-$E$6),$E$6+SQRT(P164*($G$6-$E$6)*($F$6-$E$6)),$G$6-SQRT((1-P164)*($G$6-$E$6)*($G$6-$F$6))))</f>
        <v>1.03023005259734</v>
      </c>
      <c r="C164" s="37" t="n">
        <f aca="false">1+IF($G$7=$E$7,$F$7,IF(Q164&lt;($F$7-$E$7)/($G$7-$E$7),$E$7+SQRT(Q164*($G$7-$E$7)*($F$7-$E$7)),$G$7-SQRT((1-Q164)*($G$7-$E$7)*($G$7-$F$7))))</f>
        <v>0.858067038484663</v>
      </c>
      <c r="D164" s="37" t="n">
        <f aca="false">1+IF($G$8=$E$8,$F$8,IF(R164&lt;($F$8-$E$8)/($G$8-$E$8),$E$8+SQRT(R164*($G$8-$E$8)*($F$8-$E$8)),$G$8-SQRT((1-R164)*($G$8-$E$8)*($G$8-$F$8))))</f>
        <v>0.990267816023685</v>
      </c>
      <c r="E164" s="37" t="n">
        <f aca="false">1+IF($G$9=$E$9,$F$9,IF(S164&lt;($F$9-$E$9)/($G$9-$E$9),$E$9+SQRT(S164*($G$9-$E$9)*($F$9-$E$9)),$G$9-SQRT((1-S164)*($G$9-$E$9)*($G$9-$F$9))))</f>
        <v>0.951442977044559</v>
      </c>
      <c r="F164" s="37" t="n">
        <f aca="false">1+IF($G$10=$E$10,$F$10,IF(T164&lt;($F$10-$E$10)/($G$10-$E$10),$E$10+SQRT(T164*($G$10-$E$10)*($F$10-$E$10)),$G$10-SQRT((1-T164)*($G$10-$E$10)*($G$10-$F$10))))</f>
        <v>1.12855516271496</v>
      </c>
      <c r="G164" s="38" t="n">
        <f aca="false">IF($G$11=$E$11,$F$11,IF(U164&lt;($F$11-$E$11)/($G$11-$E$11),$E$11+SQRT(U164*($G$11-$E$11)*($F$11-$E$11)),$G$11-SQRT((1-U164)*($G$11-$E$11)*($G$11-$F$11))))</f>
        <v>0.0943883233286761</v>
      </c>
      <c r="H164" s="39" t="n">
        <f aca="false">(('Business Case'!B11*$C164*'Business Case'!B12*$B164)-'Business Case'!B11*$C164*'Business Case'!B13*$D164-'Business Case'!B14*$E164)-MAX(0,(('Business Case'!B11*$C164*'Business Case'!B12*$B164)-'Business Case'!B11*$C164*'Business Case'!B13*$D164-'Business Case'!B14*$E164))*'Business Case'!$B$7-'Business Case'!$B$8*('Business Case'!B11*$C164*'Business Case'!B12*$B164)-'Business Case'!B15*$F164</f>
        <v>-2257110325.42992</v>
      </c>
      <c r="I164" s="39" t="n">
        <f aca="false">(('Business Case'!C11*$C164*'Business Case'!C12*$B164)-'Business Case'!C11*$C164*'Business Case'!C13*$D164-'Business Case'!C14*$E164)-MAX(0,(('Business Case'!C11*$C164*'Business Case'!C12*$B164)-'Business Case'!C11*$C164*'Business Case'!C13*$D164-'Business Case'!C14*$E164))*'Business Case'!$B$7-'Business Case'!$B$8*(('Business Case'!C11*$C164*'Business Case'!C12*$B164)-('Business Case'!B11*$C164*'Business Case'!B12*$B164))-'Business Case'!C15*$F164</f>
        <v>-4899373.68869071</v>
      </c>
      <c r="J164" s="39" t="n">
        <f aca="false">(('Business Case'!D11*$C164*'Business Case'!D12*$B164)-'Business Case'!D11*$C164*'Business Case'!D13*$D164-'Business Case'!D14*$E164)-MAX(0,(('Business Case'!D11*$C164*'Business Case'!D12*$B164)-'Business Case'!D11*$C164*'Business Case'!D13*$D164-'Business Case'!D14*$E164))*'Business Case'!$B$7-'Business Case'!$B$8*(('Business Case'!D11*$C164*'Business Case'!D12*$B164)-('Business Case'!C11*$C164*'Business Case'!C12*$B164))-'Business Case'!D15*$F164</f>
        <v>284178854.607706</v>
      </c>
      <c r="K164" s="39" t="n">
        <f aca="false">(('Business Case'!E11*$C164*'Business Case'!E12*$B164)-'Business Case'!E11*$C164*'Business Case'!E13*$D164-'Business Case'!E14*$E164)-MAX(0,(('Business Case'!E11*$C164*'Business Case'!E12*$B164)-'Business Case'!E11*$C164*'Business Case'!E13*$D164-'Business Case'!E14*$E164))*'Business Case'!$B$7-'Business Case'!$B$8*(('Business Case'!E11*$C164*'Business Case'!E12*$B164)-('Business Case'!D11*$C164*'Business Case'!D12*$B164))-'Business Case'!E15*$F164</f>
        <v>629684841.039851</v>
      </c>
      <c r="L164" s="39" t="n">
        <f aca="false">(('Business Case'!F11*$C164*'Business Case'!F12*$B164)-'Business Case'!F11*$C164*'Business Case'!F13*$D164-'Business Case'!F14*$E164)-MAX(0,(('Business Case'!F11*$C164*'Business Case'!F12*$B164)-'Business Case'!F11*$C164*'Business Case'!F13*$D164-'Business Case'!F14*$E164))*'Business Case'!$B$7-'Business Case'!$B$8*(('Business Case'!F11*$C164*'Business Case'!F12*$B164)-('Business Case'!E11*$C164*'Business Case'!E12*$B164))-'Business Case'!F15*$F164</f>
        <v>756595513.390552</v>
      </c>
      <c r="M164" s="39" t="n">
        <f aca="false">(('Business Case'!G11*$C164*'Business Case'!G12*$B164)-'Business Case'!G11*$C164*'Business Case'!G13*$D164-'Business Case'!G14*$E164)-MAX(0,(('Business Case'!G11*$C164*'Business Case'!G12*$B164)-'Business Case'!G11*$C164*'Business Case'!G13*$D164-'Business Case'!G14*$E164))*'Business Case'!$B$7-'Business Case'!$B$8*(('Business Case'!G11*$C164*'Business Case'!G12*$B164)-('Business Case'!F11*$C164*'Business Case'!F12*$B164))-'Business Case'!G15*$F164+'Business Case'!$B$8*('Business Case'!G11*$C164*'Business Case'!G12*$B164)</f>
        <v>924627459.442686</v>
      </c>
      <c r="N164" s="39" t="n">
        <f aca="false">IF(COUNT('Business Case'!B11:G11)=0,"",H164+NPV(G164,I164:M164))</f>
        <v>-427469201.161093</v>
      </c>
      <c r="P164" s="40" t="n">
        <f aca="true">RAND()</f>
        <v>0.947886557292816</v>
      </c>
      <c r="Q164" s="40" t="n">
        <f aca="true">RAND()</f>
        <v>0.185075471520829</v>
      </c>
      <c r="R164" s="40" t="n">
        <f aca="true">RAND()</f>
        <v>0.216199600975649</v>
      </c>
      <c r="S164" s="40" t="n">
        <f aca="true">RAND()</f>
        <v>0.105855195488281</v>
      </c>
      <c r="T164" s="40" t="n">
        <f aca="true">RAND()</f>
        <v>0.803348686624139</v>
      </c>
      <c r="U164" s="40" t="n">
        <f aca="true">RAND()</f>
        <v>0.207023848210525</v>
      </c>
    </row>
    <row r="165" customFormat="false" ht="15" hidden="false" customHeight="false" outlineLevel="0" collapsed="false">
      <c r="A165" s="36" t="n">
        <v>85</v>
      </c>
      <c r="B165" s="37" t="n">
        <f aca="false">1+IF($G$6=$E$6,$F$6,IF(P165&lt;($F$6-$E$6)/($G$6-$E$6),$E$6+SQRT(P165*($G$6-$E$6)*($F$6-$E$6)),$G$6-SQRT((1-P165)*($G$6-$E$6)*($G$6-$F$6))))</f>
        <v>0.978003127739835</v>
      </c>
      <c r="C165" s="37" t="n">
        <f aca="false">1+IF($G$7=$E$7,$F$7,IF(Q165&lt;($F$7-$E$7)/($G$7-$E$7),$E$7+SQRT(Q165*($G$7-$E$7)*($F$7-$E$7)),$G$7-SQRT((1-Q165)*($G$7-$E$7)*($G$7-$F$7))))</f>
        <v>0.98416023591485</v>
      </c>
      <c r="D165" s="37" t="n">
        <f aca="false">1+IF($G$8=$E$8,$F$8,IF(R165&lt;($F$8-$E$8)/($G$8-$E$8),$E$8+SQRT(R165*($G$8-$E$8)*($F$8-$E$8)),$G$8-SQRT((1-R165)*($G$8-$E$8)*($G$8-$F$8))))</f>
        <v>1.02425991760119</v>
      </c>
      <c r="E165" s="37" t="n">
        <f aca="false">1+IF($G$9=$E$9,$F$9,IF(S165&lt;($F$9-$E$9)/($G$9-$E$9),$E$9+SQRT(S165*($G$9-$E$9)*($F$9-$E$9)),$G$9-SQRT((1-S165)*($G$9-$E$9)*($G$9-$F$9))))</f>
        <v>1.08970901124956</v>
      </c>
      <c r="F165" s="37" t="n">
        <f aca="false">1+IF($G$10=$E$10,$F$10,IF(T165&lt;($F$10-$E$10)/($G$10-$E$10),$E$10+SQRT(T165*($G$10-$E$10)*($F$10-$E$10)),$G$10-SQRT((1-T165)*($G$10-$E$10)*($G$10-$F$10))))</f>
        <v>1.14117298165565</v>
      </c>
      <c r="G165" s="38" t="n">
        <f aca="false">IF($G$11=$E$11,$F$11,IF(U165&lt;($F$11-$E$11)/($G$11-$E$11),$E$11+SQRT(U165*($G$11-$E$11)*($F$11-$E$11)),$G$11-SQRT((1-U165)*($G$11-$E$11)*($G$11-$F$11))))</f>
        <v>0.101993805992111</v>
      </c>
      <c r="H165" s="39" t="n">
        <f aca="false">(('Business Case'!B11*$C165*'Business Case'!B12*$B165)-'Business Case'!B11*$C165*'Business Case'!B13*$D165-'Business Case'!B14*$E165)-MAX(0,(('Business Case'!B11*$C165*'Business Case'!B12*$B165)-'Business Case'!B11*$C165*'Business Case'!B13*$D165-'Business Case'!B14*$E165))*'Business Case'!$B$7-'Business Case'!$B$8*('Business Case'!B11*$C165*'Business Case'!B12*$B165)-'Business Case'!B15*$F165</f>
        <v>-2282345963.3113</v>
      </c>
      <c r="I165" s="39" t="n">
        <f aca="false">(('Business Case'!C11*$C165*'Business Case'!C12*$B165)-'Business Case'!C11*$C165*'Business Case'!C13*$D165-'Business Case'!C14*$E165)-MAX(0,(('Business Case'!C11*$C165*'Business Case'!C12*$B165)-'Business Case'!C11*$C165*'Business Case'!C13*$D165-'Business Case'!C14*$E165))*'Business Case'!$B$7-'Business Case'!$B$8*(('Business Case'!C11*$C165*'Business Case'!C12*$B165)-('Business Case'!B11*$C165*'Business Case'!B12*$B165))-'Business Case'!C15*$F165</f>
        <v>-46637803.514546</v>
      </c>
      <c r="J165" s="39" t="n">
        <f aca="false">(('Business Case'!D11*$C165*'Business Case'!D12*$B165)-'Business Case'!D11*$C165*'Business Case'!D13*$D165-'Business Case'!D14*$E165)-MAX(0,(('Business Case'!D11*$C165*'Business Case'!D12*$B165)-'Business Case'!D11*$C165*'Business Case'!D13*$D165-'Business Case'!D14*$E165))*'Business Case'!$B$7-'Business Case'!$B$8*(('Business Case'!D11*$C165*'Business Case'!D12*$B165)-('Business Case'!C11*$C165*'Business Case'!C12*$B165))-'Business Case'!D15*$F165</f>
        <v>225694923.673872</v>
      </c>
      <c r="K165" s="39" t="n">
        <f aca="false">(('Business Case'!E11*$C165*'Business Case'!E12*$B165)-'Business Case'!E11*$C165*'Business Case'!E13*$D165-'Business Case'!E14*$E165)-MAX(0,(('Business Case'!E11*$C165*'Business Case'!E12*$B165)-'Business Case'!E11*$C165*'Business Case'!E13*$D165-'Business Case'!E14*$E165))*'Business Case'!$B$7-'Business Case'!$B$8*(('Business Case'!E11*$C165*'Business Case'!E12*$B165)-('Business Case'!D11*$C165*'Business Case'!D12*$B165))-'Business Case'!E15*$F165</f>
        <v>555086299.945074</v>
      </c>
      <c r="L165" s="39" t="n">
        <f aca="false">(('Business Case'!F11*$C165*'Business Case'!F12*$B165)-'Business Case'!F11*$C165*'Business Case'!F13*$D165-'Business Case'!F14*$E165)-MAX(0,(('Business Case'!F11*$C165*'Business Case'!F12*$B165)-'Business Case'!F11*$C165*'Business Case'!F13*$D165-'Business Case'!F14*$E165))*'Business Case'!$B$7-'Business Case'!$B$8*(('Business Case'!F11*$C165*'Business Case'!F12*$B165)-('Business Case'!E11*$C165*'Business Case'!E12*$B165))-'Business Case'!F15*$F165</f>
        <v>679128283.099687</v>
      </c>
      <c r="M165" s="39" t="n">
        <f aca="false">(('Business Case'!G11*$C165*'Business Case'!G12*$B165)-'Business Case'!G11*$C165*'Business Case'!G13*$D165-'Business Case'!G14*$E165)-MAX(0,(('Business Case'!G11*$C165*'Business Case'!G12*$B165)-'Business Case'!G11*$C165*'Business Case'!G13*$D165-'Business Case'!G14*$E165))*'Business Case'!$B$7-'Business Case'!$B$8*(('Business Case'!G11*$C165*'Business Case'!G12*$B165)-('Business Case'!F11*$C165*'Business Case'!F12*$B165))-'Business Case'!G15*$F165+'Business Case'!$B$8*('Business Case'!G11*$C165*'Business Case'!G12*$B165)</f>
        <v>862082523.937961</v>
      </c>
      <c r="N165" s="39" t="n">
        <f aca="false">IF(COUNT('Business Case'!B11:G11)=0,"",H165+NPV(G165,I165:M165))</f>
        <v>-733065424.395246</v>
      </c>
      <c r="P165" s="40" t="n">
        <f aca="true">RAND()</f>
        <v>0.405632529146464</v>
      </c>
      <c r="Q165" s="40" t="n">
        <f aca="true">RAND()</f>
        <v>0.598126219816172</v>
      </c>
      <c r="R165" s="40" t="n">
        <f aca="true">RAND()</f>
        <v>0.617562661214742</v>
      </c>
      <c r="S165" s="40" t="n">
        <f aca="true">RAND()</f>
        <v>0.903066578013197</v>
      </c>
      <c r="T165" s="40" t="n">
        <f aca="true">RAND()</f>
        <v>0.842089067710387</v>
      </c>
      <c r="U165" s="40" t="n">
        <f aca="true">RAND()</f>
        <v>0.477102064795006</v>
      </c>
    </row>
    <row r="166" customFormat="false" ht="15" hidden="false" customHeight="false" outlineLevel="0" collapsed="false">
      <c r="A166" s="36" t="n">
        <v>86</v>
      </c>
      <c r="B166" s="37" t="n">
        <f aca="false">1+IF($G$6=$E$6,$F$6,IF(P166&lt;($F$6-$E$6)/($G$6-$E$6),$E$6+SQRT(P166*($G$6-$E$6)*($F$6-$E$6)),$G$6-SQRT((1-P166)*($G$6-$E$6)*($G$6-$F$6))))</f>
        <v>0.945262281103984</v>
      </c>
      <c r="C166" s="37" t="n">
        <f aca="false">1+IF($G$7=$E$7,$F$7,IF(Q166&lt;($F$7-$E$7)/($G$7-$E$7),$E$7+SQRT(Q166*($G$7-$E$7)*($F$7-$E$7)),$G$7-SQRT((1-Q166)*($G$7-$E$7)*($G$7-$F$7))))</f>
        <v>0.786448757831975</v>
      </c>
      <c r="D166" s="37" t="n">
        <f aca="false">1+IF($G$8=$E$8,$F$8,IF(R166&lt;($F$8-$E$8)/($G$8-$E$8),$E$8+SQRT(R166*($G$8-$E$8)*($F$8-$E$8)),$G$8-SQRT((1-R166)*($G$8-$E$8)*($G$8-$F$8))))</f>
        <v>1.03247528378852</v>
      </c>
      <c r="E166" s="37" t="n">
        <f aca="false">1+IF($G$9=$E$9,$F$9,IF(S166&lt;($F$9-$E$9)/($G$9-$E$9),$E$9+SQRT(S166*($G$9-$E$9)*($F$9-$E$9)),$G$9-SQRT((1-S166)*($G$9-$E$9)*($G$9-$F$9))))</f>
        <v>0.985073569302158</v>
      </c>
      <c r="F166" s="37" t="n">
        <f aca="false">1+IF($G$10=$E$10,$F$10,IF(T166&lt;($F$10-$E$10)/($G$10-$E$10),$E$10+SQRT(T166*($G$10-$E$10)*($F$10-$E$10)),$G$10-SQRT((1-T166)*($G$10-$E$10)*($G$10-$F$10))))</f>
        <v>1.07443653067566</v>
      </c>
      <c r="G166" s="38" t="n">
        <f aca="false">IF($G$11=$E$11,$F$11,IF(U166&lt;($F$11-$E$11)/($G$11-$E$11),$E$11+SQRT(U166*($G$11-$E$11)*($F$11-$E$11)),$G$11-SQRT((1-U166)*($G$11-$E$11)*($G$11-$F$11))))</f>
        <v>0.0924868715683585</v>
      </c>
      <c r="H166" s="39" t="n">
        <f aca="false">(('Business Case'!B11*$C166*'Business Case'!B12*$B166)-'Business Case'!B11*$C166*'Business Case'!B13*$D166-'Business Case'!B14*$E166)-MAX(0,(('Business Case'!B11*$C166*'Business Case'!B12*$B166)-'Business Case'!B11*$C166*'Business Case'!B13*$D166-'Business Case'!B14*$E166))*'Business Case'!$B$7-'Business Case'!$B$8*('Business Case'!B11*$C166*'Business Case'!B12*$B166)-'Business Case'!B15*$F166</f>
        <v>-2148873061.35131</v>
      </c>
      <c r="I166" s="39" t="n">
        <f aca="false">(('Business Case'!C11*$C166*'Business Case'!C12*$B166)-'Business Case'!C11*$C166*'Business Case'!C13*$D166-'Business Case'!C14*$E166)-MAX(0,(('Business Case'!C11*$C166*'Business Case'!C12*$B166)-'Business Case'!C11*$C166*'Business Case'!C13*$D166-'Business Case'!C14*$E166))*'Business Case'!$B$7-'Business Case'!$B$8*(('Business Case'!C11*$C166*'Business Case'!C12*$B166)-('Business Case'!B11*$C166*'Business Case'!B12*$B166))-'Business Case'!C15*$F166</f>
        <v>-92833939.7011728</v>
      </c>
      <c r="J166" s="39" t="n">
        <f aca="false">(('Business Case'!D11*$C166*'Business Case'!D12*$B166)-'Business Case'!D11*$C166*'Business Case'!D13*$D166-'Business Case'!D14*$E166)-MAX(0,(('Business Case'!D11*$C166*'Business Case'!D12*$B166)-'Business Case'!D11*$C166*'Business Case'!D13*$D166-'Business Case'!D14*$E166))*'Business Case'!$B$7-'Business Case'!$B$8*(('Business Case'!D11*$C166*'Business Case'!D12*$B166)-('Business Case'!C11*$C166*'Business Case'!C12*$B166))-'Business Case'!D15*$F166</f>
        <v>100391109.198081</v>
      </c>
      <c r="K166" s="39" t="n">
        <f aca="false">(('Business Case'!E11*$C166*'Business Case'!E12*$B166)-'Business Case'!E11*$C166*'Business Case'!E13*$D166-'Business Case'!E14*$E166)-MAX(0,(('Business Case'!E11*$C166*'Business Case'!E12*$B166)-'Business Case'!E11*$C166*'Business Case'!E13*$D166-'Business Case'!E14*$E166))*'Business Case'!$B$7-'Business Case'!$B$8*(('Business Case'!E11*$C166*'Business Case'!E12*$B166)-('Business Case'!D11*$C166*'Business Case'!D12*$B166))-'Business Case'!E15*$F166</f>
        <v>347337984.631117</v>
      </c>
      <c r="L166" s="39" t="n">
        <f aca="false">(('Business Case'!F11*$C166*'Business Case'!F12*$B166)-'Business Case'!F11*$C166*'Business Case'!F13*$D166-'Business Case'!F14*$E166)-MAX(0,(('Business Case'!F11*$C166*'Business Case'!F12*$B166)-'Business Case'!F11*$C166*'Business Case'!F13*$D166-'Business Case'!F14*$E166))*'Business Case'!$B$7-'Business Case'!$B$8*(('Business Case'!F11*$C166*'Business Case'!F12*$B166)-('Business Case'!E11*$C166*'Business Case'!E12*$B166))-'Business Case'!F15*$F166</f>
        <v>437438250.249597</v>
      </c>
      <c r="M166" s="39" t="n">
        <f aca="false">(('Business Case'!G11*$C166*'Business Case'!G12*$B166)-'Business Case'!G11*$C166*'Business Case'!G13*$D166-'Business Case'!G14*$E166)-MAX(0,(('Business Case'!G11*$C166*'Business Case'!G12*$B166)-'Business Case'!G11*$C166*'Business Case'!G13*$D166-'Business Case'!G14*$E166))*'Business Case'!$B$7-'Business Case'!$B$8*(('Business Case'!G11*$C166*'Business Case'!G12*$B166)-('Business Case'!F11*$C166*'Business Case'!F12*$B166))-'Business Case'!G15*$F166+'Business Case'!$B$8*('Business Case'!G11*$C166*'Business Case'!G12*$B166)</f>
        <v>578743788.169275</v>
      </c>
      <c r="N166" s="39" t="n">
        <f aca="false">IF(COUNT('Business Case'!B11:G11)=0,"",H166+NPV(G166,I166:M166))</f>
        <v>-1204391517.78056</v>
      </c>
      <c r="P166" s="40" t="n">
        <f aca="true">RAND()</f>
        <v>0.136578272715737</v>
      </c>
      <c r="Q166" s="40" t="n">
        <f aca="true">RAND()</f>
        <v>0.0553584276347518</v>
      </c>
      <c r="R166" s="40" t="n">
        <f aca="true">RAND()</f>
        <v>0.696027513370616</v>
      </c>
      <c r="S166" s="40" t="n">
        <f aca="true">RAND()</f>
        <v>0.289500487752365</v>
      </c>
      <c r="T166" s="40" t="n">
        <f aca="true">RAND()</f>
        <v>0.589032909850673</v>
      </c>
      <c r="U166" s="40" t="n">
        <f aca="true">RAND()</f>
        <v>0.15592196156468</v>
      </c>
    </row>
    <row r="167" customFormat="false" ht="15" hidden="false" customHeight="false" outlineLevel="0" collapsed="false">
      <c r="A167" s="36" t="n">
        <v>87</v>
      </c>
      <c r="B167" s="37" t="n">
        <f aca="false">1+IF($G$6=$E$6,$F$6,IF(P167&lt;($F$6-$E$6)/($G$6-$E$6),$E$6+SQRT(P167*($G$6-$E$6)*($F$6-$E$6)),$G$6-SQRT((1-P167)*($G$6-$E$6)*($G$6-$F$6))))</f>
        <v>1.00821607363934</v>
      </c>
      <c r="C167" s="37" t="n">
        <f aca="false">1+IF($G$7=$E$7,$F$7,IF(Q167&lt;($F$7-$E$7)/($G$7-$E$7),$E$7+SQRT(Q167*($G$7-$E$7)*($F$7-$E$7)),$G$7-SQRT((1-Q167)*($G$7-$E$7)*($G$7-$F$7))))</f>
        <v>0.887423713007038</v>
      </c>
      <c r="D167" s="37" t="n">
        <f aca="false">1+IF($G$8=$E$8,$F$8,IF(R167&lt;($F$8-$E$8)/($G$8-$E$8),$E$8+SQRT(R167*($G$8-$E$8)*($F$8-$E$8)),$G$8-SQRT((1-R167)*($G$8-$E$8)*($G$8-$F$8))))</f>
        <v>1.00552220427529</v>
      </c>
      <c r="E167" s="37" t="n">
        <f aca="false">1+IF($G$9=$E$9,$F$9,IF(S167&lt;($F$9-$E$9)/($G$9-$E$9),$E$9+SQRT(S167*($G$9-$E$9)*($F$9-$E$9)),$G$9-SQRT((1-S167)*($G$9-$E$9)*($G$9-$F$9))))</f>
        <v>0.97840561227596</v>
      </c>
      <c r="F167" s="37" t="n">
        <f aca="false">1+IF($G$10=$E$10,$F$10,IF(T167&lt;($F$10-$E$10)/($G$10-$E$10),$E$10+SQRT(T167*($G$10-$E$10)*($F$10-$E$10)),$G$10-SQRT((1-T167)*($G$10-$E$10)*($G$10-$F$10))))</f>
        <v>1.15045708958433</v>
      </c>
      <c r="G167" s="38" t="n">
        <f aca="false">IF($G$11=$E$11,$F$11,IF(U167&lt;($F$11-$E$11)/($G$11-$E$11),$E$11+SQRT(U167*($G$11-$E$11)*($F$11-$E$11)),$G$11-SQRT((1-U167)*($G$11-$E$11)*($G$11-$F$11))))</f>
        <v>0.0989240694575426</v>
      </c>
      <c r="H167" s="39" t="n">
        <f aca="false">(('Business Case'!B11*$C167*'Business Case'!B12*$B167)-'Business Case'!B11*$C167*'Business Case'!B13*$D167-'Business Case'!B14*$E167)-MAX(0,(('Business Case'!B11*$C167*'Business Case'!B12*$B167)-'Business Case'!B11*$C167*'Business Case'!B13*$D167-'Business Case'!B14*$E167))*'Business Case'!$B$7-'Business Case'!$B$8*('Business Case'!B11*$C167*'Business Case'!B12*$B167)-'Business Case'!B15*$F167</f>
        <v>-2300914179.16865</v>
      </c>
      <c r="I167" s="39" t="n">
        <f aca="false">(('Business Case'!C11*$C167*'Business Case'!C12*$B167)-'Business Case'!C11*$C167*'Business Case'!C13*$D167-'Business Case'!C14*$E167)-MAX(0,(('Business Case'!C11*$C167*'Business Case'!C12*$B167)-'Business Case'!C11*$C167*'Business Case'!C13*$D167-'Business Case'!C14*$E167))*'Business Case'!$B$7-'Business Case'!$B$8*(('Business Case'!C11*$C167*'Business Case'!C12*$B167)-('Business Case'!B11*$C167*'Business Case'!B12*$B167))-'Business Case'!C15*$F167</f>
        <v>-24519751.0658091</v>
      </c>
      <c r="J167" s="39" t="n">
        <f aca="false">(('Business Case'!D11*$C167*'Business Case'!D12*$B167)-'Business Case'!D11*$C167*'Business Case'!D13*$D167-'Business Case'!D14*$E167)-MAX(0,(('Business Case'!D11*$C167*'Business Case'!D12*$B167)-'Business Case'!D11*$C167*'Business Case'!D13*$D167-'Business Case'!D14*$E167))*'Business Case'!$B$7-'Business Case'!$B$8*(('Business Case'!D11*$C167*'Business Case'!D12*$B167)-('Business Case'!C11*$C167*'Business Case'!C12*$B167))-'Business Case'!D15*$F167</f>
        <v>251517502.798488</v>
      </c>
      <c r="K167" s="39" t="n">
        <f aca="false">(('Business Case'!E11*$C167*'Business Case'!E12*$B167)-'Business Case'!E11*$C167*'Business Case'!E13*$D167-'Business Case'!E14*$E167)-MAX(0,(('Business Case'!E11*$C167*'Business Case'!E12*$B167)-'Business Case'!E11*$C167*'Business Case'!E13*$D167-'Business Case'!E14*$E167))*'Business Case'!$B$7-'Business Case'!$B$8*(('Business Case'!E11*$C167*'Business Case'!E12*$B167)-('Business Case'!D11*$C167*'Business Case'!D12*$B167))-'Business Case'!E15*$F167</f>
        <v>585077611.142001</v>
      </c>
      <c r="L167" s="39" t="n">
        <f aca="false">(('Business Case'!F11*$C167*'Business Case'!F12*$B167)-'Business Case'!F11*$C167*'Business Case'!F13*$D167-'Business Case'!F14*$E167)-MAX(0,(('Business Case'!F11*$C167*'Business Case'!F12*$B167)-'Business Case'!F11*$C167*'Business Case'!F13*$D167-'Business Case'!F14*$E167))*'Business Case'!$B$7-'Business Case'!$B$8*(('Business Case'!F11*$C167*'Business Case'!F12*$B167)-('Business Case'!E11*$C167*'Business Case'!E12*$B167))-'Business Case'!F15*$F167</f>
        <v>708011374.367454</v>
      </c>
      <c r="M167" s="39" t="n">
        <f aca="false">(('Business Case'!G11*$C167*'Business Case'!G12*$B167)-'Business Case'!G11*$C167*'Business Case'!G13*$D167-'Business Case'!G14*$E167)-MAX(0,(('Business Case'!G11*$C167*'Business Case'!G12*$B167)-'Business Case'!G11*$C167*'Business Case'!G13*$D167-'Business Case'!G14*$E167))*'Business Case'!$B$7-'Business Case'!$B$8*(('Business Case'!G11*$C167*'Business Case'!G12*$B167)-('Business Case'!F11*$C167*'Business Case'!F12*$B167))-'Business Case'!G15*$F167+'Business Case'!$B$8*('Business Case'!G11*$C167*'Business Case'!G12*$B167)</f>
        <v>878078773.356237</v>
      </c>
      <c r="N167" s="39" t="n">
        <f aca="false">IF(COUNT('Business Case'!B11:G11)=0,"",H167+NPV(G167,I167:M167))</f>
        <v>-640713831.263001</v>
      </c>
      <c r="P167" s="40" t="n">
        <f aca="true">RAND()</f>
        <v>0.767213799718282</v>
      </c>
      <c r="Q167" s="40" t="n">
        <f aca="true">RAND()</f>
        <v>0.260204801461811</v>
      </c>
      <c r="R167" s="40" t="n">
        <f aca="true">RAND()</f>
        <v>0.404929740999974</v>
      </c>
      <c r="S167" s="40" t="n">
        <f aca="true">RAND()</f>
        <v>0.245897601454729</v>
      </c>
      <c r="T167" s="40" t="n">
        <f aca="true">RAND()</f>
        <v>0.867882786479694</v>
      </c>
      <c r="U167" s="40" t="n">
        <f aca="true">RAND()</f>
        <v>0.358120404833898</v>
      </c>
    </row>
    <row r="168" customFormat="false" ht="15" hidden="false" customHeight="false" outlineLevel="0" collapsed="false">
      <c r="A168" s="36" t="n">
        <v>88</v>
      </c>
      <c r="B168" s="37" t="n">
        <f aca="false">1+IF($G$6=$E$6,$F$6,IF(P168&lt;($F$6-$E$6)/($G$6-$E$6),$E$6+SQRT(P168*($G$6-$E$6)*($F$6-$E$6)),$G$6-SQRT((1-P168)*($G$6-$E$6)*($G$6-$F$6))))</f>
        <v>0.992207077635148</v>
      </c>
      <c r="C168" s="37" t="n">
        <f aca="false">1+IF($G$7=$E$7,$F$7,IF(Q168&lt;($F$7-$E$7)/($G$7-$E$7),$E$7+SQRT(Q168*($G$7-$E$7)*($F$7-$E$7)),$G$7-SQRT((1-Q168)*($G$7-$E$7)*($G$7-$F$7))))</f>
        <v>1.02496183747215</v>
      </c>
      <c r="D168" s="37" t="n">
        <f aca="false">1+IF($G$8=$E$8,$F$8,IF(R168&lt;($F$8-$E$8)/($G$8-$E$8),$E$8+SQRT(R168*($G$8-$E$8)*($F$8-$E$8)),$G$8-SQRT((1-R168)*($G$8-$E$8)*($G$8-$F$8))))</f>
        <v>0.958415755914639</v>
      </c>
      <c r="E168" s="37" t="n">
        <f aca="false">1+IF($G$9=$E$9,$F$9,IF(S168&lt;($F$9-$E$9)/($G$9-$E$9),$E$9+SQRT(S168*($G$9-$E$9)*($F$9-$E$9)),$G$9-SQRT((1-S168)*($G$9-$E$9)*($G$9-$F$9))))</f>
        <v>1.06060946607493</v>
      </c>
      <c r="F168" s="37" t="n">
        <f aca="false">1+IF($G$10=$E$10,$F$10,IF(T168&lt;($F$10-$E$10)/($G$10-$E$10),$E$10+SQRT(T168*($G$10-$E$10)*($F$10-$E$10)),$G$10-SQRT((1-T168)*($G$10-$E$10)*($G$10-$F$10))))</f>
        <v>1.17856596183308</v>
      </c>
      <c r="G168" s="38" t="n">
        <f aca="false">IF($G$11=$E$11,$F$11,IF(U168&lt;($F$11-$E$11)/($G$11-$E$11),$E$11+SQRT(U168*($G$11-$E$11)*($F$11-$E$11)),$G$11-SQRT((1-U168)*($G$11-$E$11)*($G$11-$F$11))))</f>
        <v>0.120102038734151</v>
      </c>
      <c r="H168" s="39" t="n">
        <f aca="false">(('Business Case'!B11*$C168*'Business Case'!B12*$B168)-'Business Case'!B11*$C168*'Business Case'!B13*$D168-'Business Case'!B14*$E168)-MAX(0,(('Business Case'!B11*$C168*'Business Case'!B12*$B168)-'Business Case'!B11*$C168*'Business Case'!B13*$D168-'Business Case'!B14*$E168))*'Business Case'!$B$7-'Business Case'!$B$8*('Business Case'!B11*$C168*'Business Case'!B12*$B168)-'Business Case'!B15*$F168</f>
        <v>-2357131923.66615</v>
      </c>
      <c r="I168" s="39" t="n">
        <f aca="false">(('Business Case'!C11*$C168*'Business Case'!C12*$B168)-'Business Case'!C11*$C168*'Business Case'!C13*$D168-'Business Case'!C14*$E168)-MAX(0,(('Business Case'!C11*$C168*'Business Case'!C12*$B168)-'Business Case'!C11*$C168*'Business Case'!C13*$D168-'Business Case'!C14*$E168))*'Business Case'!$B$7-'Business Case'!$B$8*(('Business Case'!C11*$C168*'Business Case'!C12*$B168)-('Business Case'!B11*$C168*'Business Case'!B12*$B168))-'Business Case'!C15*$F168</f>
        <v>8700757.65685399</v>
      </c>
      <c r="J168" s="39" t="n">
        <f aca="false">(('Business Case'!D11*$C168*'Business Case'!D12*$B168)-'Business Case'!D11*$C168*'Business Case'!D13*$D168-'Business Case'!D14*$E168)-MAX(0,(('Business Case'!D11*$C168*'Business Case'!D12*$B168)-'Business Case'!D11*$C168*'Business Case'!D13*$D168-'Business Case'!D14*$E168))*'Business Case'!$B$7-'Business Case'!$B$8*(('Business Case'!D11*$C168*'Business Case'!D12*$B168)-('Business Case'!C11*$C168*'Business Case'!C12*$B168))-'Business Case'!D15*$F168</f>
        <v>338796729.921741</v>
      </c>
      <c r="K168" s="39" t="n">
        <f aca="false">(('Business Case'!E11*$C168*'Business Case'!E12*$B168)-'Business Case'!E11*$C168*'Business Case'!E13*$D168-'Business Case'!E14*$E168)-MAX(0,(('Business Case'!E11*$C168*'Business Case'!E12*$B168)-'Business Case'!E11*$C168*'Business Case'!E13*$D168-'Business Case'!E14*$E168))*'Business Case'!$B$7-'Business Case'!$B$8*(('Business Case'!E11*$C168*'Business Case'!E12*$B168)-('Business Case'!D11*$C168*'Business Case'!D12*$B168))-'Business Case'!E15*$F168</f>
        <v>727821000.278282</v>
      </c>
      <c r="L168" s="39" t="n">
        <f aca="false">(('Business Case'!F11*$C168*'Business Case'!F12*$B168)-'Business Case'!F11*$C168*'Business Case'!F13*$D168-'Business Case'!F14*$E168)-MAX(0,(('Business Case'!F11*$C168*'Business Case'!F12*$B168)-'Business Case'!F11*$C168*'Business Case'!F13*$D168-'Business Case'!F14*$E168))*'Business Case'!$B$7-'Business Case'!$B$8*(('Business Case'!F11*$C168*'Business Case'!F12*$B168)-('Business Case'!E11*$C168*'Business Case'!E12*$B168))-'Business Case'!F15*$F168</f>
        <v>872999625.932491</v>
      </c>
      <c r="M168" s="39" t="n">
        <f aca="false">(('Business Case'!G11*$C168*'Business Case'!G12*$B168)-'Business Case'!G11*$C168*'Business Case'!G13*$D168-'Business Case'!G14*$E168)-MAX(0,(('Business Case'!G11*$C168*'Business Case'!G12*$B168)-'Business Case'!G11*$C168*'Business Case'!G13*$D168-'Business Case'!G14*$E168))*'Business Case'!$B$7-'Business Case'!$B$8*(('Business Case'!G11*$C168*'Business Case'!G12*$B168)-('Business Case'!F11*$C168*'Business Case'!F12*$B168))-'Business Case'!G15*$F168+'Business Case'!$B$8*('Business Case'!G11*$C168*'Business Case'!G12*$B168)</f>
        <v>1066306117.87835</v>
      </c>
      <c r="N168" s="39" t="n">
        <f aca="false">IF(COUNT('Business Case'!B11:G11)=0,"",H168+NPV(G168,I168:M168))</f>
        <v>-402039489.567148</v>
      </c>
      <c r="P168" s="40" t="n">
        <f aca="true">RAND()</f>
        <v>0.566809677734278</v>
      </c>
      <c r="Q168" s="40" t="n">
        <f aca="true">RAND()</f>
        <v>0.768377154246807</v>
      </c>
      <c r="R168" s="40" t="n">
        <f aca="true">RAND()</f>
        <v>0.00944332634863633</v>
      </c>
      <c r="S168" s="40" t="n">
        <f aca="true">RAND()</f>
        <v>0.786915531855761</v>
      </c>
      <c r="T168" s="40" t="n">
        <f aca="true">RAND()</f>
        <v>0.93196237588222</v>
      </c>
      <c r="U168" s="40" t="n">
        <f aca="true">RAND()</f>
        <v>0.934686908519829</v>
      </c>
    </row>
    <row r="169" customFormat="false" ht="15" hidden="false" customHeight="false" outlineLevel="0" collapsed="false">
      <c r="A169" s="36" t="n">
        <v>89</v>
      </c>
      <c r="B169" s="37" t="n">
        <f aca="false">1+IF($G$6=$E$6,$F$6,IF(P169&lt;($F$6-$E$6)/($G$6-$E$6),$E$6+SQRT(P169*($G$6-$E$6)*($F$6-$E$6)),$G$6-SQRT((1-P169)*($G$6-$E$6)*($G$6-$F$6))))</f>
        <v>1.03295485437381</v>
      </c>
      <c r="C169" s="37" t="n">
        <f aca="false">1+IF($G$7=$E$7,$F$7,IF(Q169&lt;($F$7-$E$7)/($G$7-$E$7),$E$7+SQRT(Q169*($G$7-$E$7)*($F$7-$E$7)),$G$7-SQRT((1-Q169)*($G$7-$E$7)*($G$7-$F$7))))</f>
        <v>0.976037876969125</v>
      </c>
      <c r="D169" s="37" t="n">
        <f aca="false">1+IF($G$8=$E$8,$F$8,IF(R169&lt;($F$8-$E$8)/($G$8-$E$8),$E$8+SQRT(R169*($G$8-$E$8)*($F$8-$E$8)),$G$8-SQRT((1-R169)*($G$8-$E$8)*($G$8-$F$8))))</f>
        <v>0.999836858463714</v>
      </c>
      <c r="E169" s="37" t="n">
        <f aca="false">1+IF($G$9=$E$9,$F$9,IF(S169&lt;($F$9-$E$9)/($G$9-$E$9),$E$9+SQRT(S169*($G$9-$E$9)*($F$9-$E$9)),$G$9-SQRT((1-S169)*($G$9-$E$9)*($G$9-$F$9))))</f>
        <v>1.04922739728496</v>
      </c>
      <c r="F169" s="37" t="n">
        <f aca="false">1+IF($G$10=$E$10,$F$10,IF(T169&lt;($F$10-$E$10)/($G$10-$E$10),$E$10+SQRT(T169*($G$10-$E$10)*($F$10-$E$10)),$G$10-SQRT((1-T169)*($G$10-$E$10)*($G$10-$F$10))))</f>
        <v>1.14342899405114</v>
      </c>
      <c r="G169" s="38" t="n">
        <f aca="false">IF($G$11=$E$11,$F$11,IF(U169&lt;($F$11-$E$11)/($G$11-$E$11),$E$11+SQRT(U169*($G$11-$E$11)*($F$11-$E$11)),$G$11-SQRT((1-U169)*($G$11-$E$11)*($G$11-$F$11))))</f>
        <v>0.105681820960558</v>
      </c>
      <c r="H169" s="39" t="n">
        <f aca="false">(('Business Case'!B11*$C169*'Business Case'!B12*$B169)-'Business Case'!B11*$C169*'Business Case'!B13*$D169-'Business Case'!B14*$E169)-MAX(0,(('Business Case'!B11*$C169*'Business Case'!B12*$B169)-'Business Case'!B11*$C169*'Business Case'!B13*$D169-'Business Case'!B14*$E169))*'Business Case'!$B$7-'Business Case'!$B$8*('Business Case'!B11*$C169*'Business Case'!B12*$B169)-'Business Case'!B15*$F169</f>
        <v>-2286857988.10228</v>
      </c>
      <c r="I169" s="39" t="n">
        <f aca="false">(('Business Case'!C11*$C169*'Business Case'!C12*$B169)-'Business Case'!C11*$C169*'Business Case'!C13*$D169-'Business Case'!C14*$E169)-MAX(0,(('Business Case'!C11*$C169*'Business Case'!C12*$B169)-'Business Case'!C11*$C169*'Business Case'!C13*$D169-'Business Case'!C14*$E169))*'Business Case'!$B$7-'Business Case'!$B$8*(('Business Case'!C11*$C169*'Business Case'!C12*$B169)-('Business Case'!B11*$C169*'Business Case'!B12*$B169))-'Business Case'!C15*$F169</f>
        <v>10410821.4152899</v>
      </c>
      <c r="J169" s="39" t="n">
        <f aca="false">(('Business Case'!D11*$C169*'Business Case'!D12*$B169)-'Business Case'!D11*$C169*'Business Case'!D13*$D169-'Business Case'!D14*$E169)-MAX(0,(('Business Case'!D11*$C169*'Business Case'!D12*$B169)-'Business Case'!D11*$C169*'Business Case'!D13*$D169-'Business Case'!D14*$E169))*'Business Case'!$B$7-'Business Case'!$B$8*(('Business Case'!D11*$C169*'Business Case'!D12*$B169)-('Business Case'!C11*$C169*'Business Case'!C12*$B169))-'Business Case'!D15*$F169</f>
        <v>336629924.919058</v>
      </c>
      <c r="K169" s="39" t="n">
        <f aca="false">(('Business Case'!E11*$C169*'Business Case'!E12*$B169)-'Business Case'!E11*$C169*'Business Case'!E13*$D169-'Business Case'!E14*$E169)-MAX(0,(('Business Case'!E11*$C169*'Business Case'!E12*$B169)-'Business Case'!E11*$C169*'Business Case'!E13*$D169-'Business Case'!E14*$E169))*'Business Case'!$B$7-'Business Case'!$B$8*(('Business Case'!E11*$C169*'Business Case'!E12*$B169)-('Business Case'!D11*$C169*'Business Case'!D12*$B169))-'Business Case'!E15*$F169</f>
        <v>720020478.125383</v>
      </c>
      <c r="L169" s="39" t="n">
        <f aca="false">(('Business Case'!F11*$C169*'Business Case'!F12*$B169)-'Business Case'!F11*$C169*'Business Case'!F13*$D169-'Business Case'!F14*$E169)-MAX(0,(('Business Case'!F11*$C169*'Business Case'!F12*$B169)-'Business Case'!F11*$C169*'Business Case'!F13*$D169-'Business Case'!F14*$E169))*'Business Case'!$B$7-'Business Case'!$B$8*(('Business Case'!F11*$C169*'Business Case'!F12*$B169)-('Business Case'!E11*$C169*'Business Case'!E12*$B169))-'Business Case'!F15*$F169</f>
        <v>863603677.152935</v>
      </c>
      <c r="M169" s="39" t="n">
        <f aca="false">(('Business Case'!G11*$C169*'Business Case'!G12*$B169)-'Business Case'!G11*$C169*'Business Case'!G13*$D169-'Business Case'!G14*$E169)-MAX(0,(('Business Case'!G11*$C169*'Business Case'!G12*$B169)-'Business Case'!G11*$C169*'Business Case'!G13*$D169-'Business Case'!G14*$E169))*'Business Case'!$B$7-'Business Case'!$B$8*(('Business Case'!G11*$C169*'Business Case'!G12*$B169)-('Business Case'!F11*$C169*'Business Case'!F12*$B169))-'Business Case'!G15*$F169+'Business Case'!$B$8*('Business Case'!G11*$C169*'Business Case'!G12*$B169)</f>
        <v>1055242915.38089</v>
      </c>
      <c r="N169" s="39" t="n">
        <f aca="false">IF(COUNT('Business Case'!B11:G11)=0,"",H169+NPV(G169,I169:M169))</f>
        <v>-253040910.293789</v>
      </c>
      <c r="P169" s="40" t="n">
        <f aca="true">RAND()</f>
        <v>0.961261734744253</v>
      </c>
      <c r="Q169" s="40" t="n">
        <f aca="true">RAND()</f>
        <v>0.564421552012015</v>
      </c>
      <c r="R169" s="40" t="n">
        <f aca="true">RAND()</f>
        <v>0.33116166153764</v>
      </c>
      <c r="S169" s="40" t="n">
        <f aca="true">RAND()</f>
        <v>0.729196867787628</v>
      </c>
      <c r="T169" s="40" t="n">
        <f aca="true">RAND()</f>
        <v>0.848568275880643</v>
      </c>
      <c r="U169" s="40" t="n">
        <f aca="true">RAND()</f>
        <v>0.605750778803757</v>
      </c>
    </row>
    <row r="170" customFormat="false" ht="15" hidden="false" customHeight="false" outlineLevel="0" collapsed="false">
      <c r="A170" s="36" t="n">
        <v>90</v>
      </c>
      <c r="B170" s="37" t="n">
        <f aca="false">1+IF($G$6=$E$6,$F$6,IF(P170&lt;($F$6-$E$6)/($G$6-$E$6),$E$6+SQRT(P170*($G$6-$E$6)*($F$6-$E$6)),$G$6-SQRT((1-P170)*($G$6-$E$6)*($G$6-$F$6))))</f>
        <v>0.944347926294012</v>
      </c>
      <c r="C170" s="37" t="n">
        <f aca="false">1+IF($G$7=$E$7,$F$7,IF(Q170&lt;($F$7-$E$7)/($G$7-$E$7),$E$7+SQRT(Q170*($G$7-$E$7)*($F$7-$E$7)),$G$7-SQRT((1-Q170)*($G$7-$E$7)*($G$7-$F$7))))</f>
        <v>0.978083745198128</v>
      </c>
      <c r="D170" s="37" t="n">
        <f aca="false">1+IF($G$8=$E$8,$F$8,IF(R170&lt;($F$8-$E$8)/($G$8-$E$8),$E$8+SQRT(R170*($G$8-$E$8)*($F$8-$E$8)),$G$8-SQRT((1-R170)*($G$8-$E$8)*($G$8-$F$8))))</f>
        <v>1.0087707451407</v>
      </c>
      <c r="E170" s="37" t="n">
        <f aca="false">1+IF($G$9=$E$9,$F$9,IF(S170&lt;($F$9-$E$9)/($G$9-$E$9),$E$9+SQRT(S170*($G$9-$E$9)*($F$9-$E$9)),$G$9-SQRT((1-S170)*($G$9-$E$9)*($G$9-$F$9))))</f>
        <v>0.941074624072327</v>
      </c>
      <c r="F170" s="37" t="n">
        <f aca="false">1+IF($G$10=$E$10,$F$10,IF(T170&lt;($F$10-$E$10)/($G$10-$E$10),$E$10+SQRT(T170*($G$10-$E$10)*($F$10-$E$10)),$G$10-SQRT((1-T170)*($G$10-$E$10)*($G$10-$F$10))))</f>
        <v>1.05718333855553</v>
      </c>
      <c r="G170" s="38" t="n">
        <f aca="false">IF($G$11=$E$11,$F$11,IF(U170&lt;($F$11-$E$11)/($G$11-$E$11),$E$11+SQRT(U170*($G$11-$E$11)*($F$11-$E$11)),$G$11-SQRT((1-U170)*($G$11-$E$11)*($G$11-$F$11))))</f>
        <v>0.102580437810834</v>
      </c>
      <c r="H170" s="39" t="n">
        <f aca="false">(('Business Case'!B11*$C170*'Business Case'!B12*$B170)-'Business Case'!B11*$C170*'Business Case'!B13*$D170-'Business Case'!B14*$E170)-MAX(0,(('Business Case'!B11*$C170*'Business Case'!B12*$B170)-'Business Case'!B11*$C170*'Business Case'!B13*$D170-'Business Case'!B14*$E170))*'Business Case'!$B$7-'Business Case'!$B$8*('Business Case'!B11*$C170*'Business Case'!B12*$B170)-'Business Case'!B15*$F170</f>
        <v>-2114366677.11106</v>
      </c>
      <c r="I170" s="39" t="n">
        <f aca="false">(('Business Case'!C11*$C170*'Business Case'!C12*$B170)-'Business Case'!C11*$C170*'Business Case'!C13*$D170-'Business Case'!C14*$E170)-MAX(0,(('Business Case'!C11*$C170*'Business Case'!C12*$B170)-'Business Case'!C11*$C170*'Business Case'!C13*$D170-'Business Case'!C14*$E170))*'Business Case'!$B$7-'Business Case'!$B$8*(('Business Case'!C11*$C170*'Business Case'!C12*$B170)-('Business Case'!B11*$C170*'Business Case'!B12*$B170))-'Business Case'!C15*$F170</f>
        <v>-35976416.3000178</v>
      </c>
      <c r="J170" s="39" t="n">
        <f aca="false">(('Business Case'!D11*$C170*'Business Case'!D12*$B170)-'Business Case'!D11*$C170*'Business Case'!D13*$D170-'Business Case'!D14*$E170)-MAX(0,(('Business Case'!D11*$C170*'Business Case'!D12*$B170)-'Business Case'!D11*$C170*'Business Case'!D13*$D170-'Business Case'!D14*$E170))*'Business Case'!$B$7-'Business Case'!$B$8*(('Business Case'!D11*$C170*'Business Case'!D12*$B170)-('Business Case'!C11*$C170*'Business Case'!C12*$B170))-'Business Case'!D15*$F170</f>
        <v>215468399.120585</v>
      </c>
      <c r="K170" s="39" t="n">
        <f aca="false">(('Business Case'!E11*$C170*'Business Case'!E12*$B170)-'Business Case'!E11*$C170*'Business Case'!E13*$D170-'Business Case'!E14*$E170)-MAX(0,(('Business Case'!E11*$C170*'Business Case'!E12*$B170)-'Business Case'!E11*$C170*'Business Case'!E13*$D170-'Business Case'!E14*$E170))*'Business Case'!$B$7-'Business Case'!$B$8*(('Business Case'!E11*$C170*'Business Case'!E12*$B170)-('Business Case'!D11*$C170*'Business Case'!D12*$B170))-'Business Case'!E15*$F170</f>
        <v>519772381.468965</v>
      </c>
      <c r="L170" s="39" t="n">
        <f aca="false">(('Business Case'!F11*$C170*'Business Case'!F12*$B170)-'Business Case'!F11*$C170*'Business Case'!F13*$D170-'Business Case'!F14*$E170)-MAX(0,(('Business Case'!F11*$C170*'Business Case'!F12*$B170)-'Business Case'!F11*$C170*'Business Case'!F13*$D170-'Business Case'!F14*$E170))*'Business Case'!$B$7-'Business Case'!$B$8*(('Business Case'!F11*$C170*'Business Case'!F12*$B170)-('Business Case'!E11*$C170*'Business Case'!E12*$B170))-'Business Case'!F15*$F170</f>
        <v>635508710.823821</v>
      </c>
      <c r="M170" s="39" t="n">
        <f aca="false">(('Business Case'!G11*$C170*'Business Case'!G12*$B170)-'Business Case'!G11*$C170*'Business Case'!G13*$D170-'Business Case'!G14*$E170)-MAX(0,(('Business Case'!G11*$C170*'Business Case'!G12*$B170)-'Business Case'!G11*$C170*'Business Case'!G13*$D170-'Business Case'!G14*$E170))*'Business Case'!$B$7-'Business Case'!$B$8*(('Business Case'!G11*$C170*'Business Case'!G12*$B170)-('Business Case'!F11*$C170*'Business Case'!F12*$B170))-'Business Case'!G15*$F170+'Business Case'!$B$8*('Business Case'!G11*$C170*'Business Case'!G12*$B170)</f>
        <v>811076360.671092</v>
      </c>
      <c r="N170" s="39" t="n">
        <f aca="false">IF(COUNT('Business Case'!B11:G11)=0,"",H170+NPV(G170,I170:M170))</f>
        <v>-654217447.153044</v>
      </c>
      <c r="P170" s="40" t="n">
        <f aca="true">RAND()</f>
        <v>0.13111590443861</v>
      </c>
      <c r="Q170" s="40" t="n">
        <f aca="true">RAND()</f>
        <v>0.572819032173462</v>
      </c>
      <c r="R170" s="40" t="n">
        <f aca="true">RAND()</f>
        <v>0.445148203854484</v>
      </c>
      <c r="S170" s="40" t="n">
        <f aca="true">RAND()</f>
        <v>0.067484989707321</v>
      </c>
      <c r="T170" s="40" t="n">
        <f aca="true">RAND()</f>
        <v>0.504289800925441</v>
      </c>
      <c r="U170" s="40" t="n">
        <f aca="true">RAND()</f>
        <v>0.498778406236289</v>
      </c>
    </row>
    <row r="171" customFormat="false" ht="15" hidden="false" customHeight="false" outlineLevel="0" collapsed="false">
      <c r="A171" s="36" t="n">
        <v>91</v>
      </c>
      <c r="B171" s="37" t="n">
        <f aca="false">1+IF($G$6=$E$6,$F$6,IF(P171&lt;($F$6-$E$6)/($G$6-$E$6),$E$6+SQRT(P171*($G$6-$E$6)*($F$6-$E$6)),$G$6-SQRT((1-P171)*($G$6-$E$6)*($G$6-$F$6))))</f>
        <v>0.985719240169072</v>
      </c>
      <c r="C171" s="37" t="n">
        <f aca="false">1+IF($G$7=$E$7,$F$7,IF(Q171&lt;($F$7-$E$7)/($G$7-$E$7),$E$7+SQRT(Q171*($G$7-$E$7)*($F$7-$E$7)),$G$7-SQRT((1-Q171)*($G$7-$E$7)*($G$7-$F$7))))</f>
        <v>0.863855451096116</v>
      </c>
      <c r="D171" s="37" t="n">
        <f aca="false">1+IF($G$8=$E$8,$F$8,IF(R171&lt;($F$8-$E$8)/($G$8-$E$8),$E$8+SQRT(R171*($G$8-$E$8)*($F$8-$E$8)),$G$8-SQRT((1-R171)*($G$8-$E$8)*($G$8-$F$8))))</f>
        <v>1.02991419710456</v>
      </c>
      <c r="E171" s="37" t="n">
        <f aca="false">1+IF($G$9=$E$9,$F$9,IF(S171&lt;($F$9-$E$9)/($G$9-$E$9),$E$9+SQRT(S171*($G$9-$E$9)*($F$9-$E$9)),$G$9-SQRT((1-S171)*($G$9-$E$9)*($G$9-$F$9))))</f>
        <v>0.994154989572574</v>
      </c>
      <c r="F171" s="37" t="n">
        <f aca="false">1+IF($G$10=$E$10,$F$10,IF(T171&lt;($F$10-$E$10)/($G$10-$E$10),$E$10+SQRT(T171*($G$10-$E$10)*($F$10-$E$10)),$G$10-SQRT((1-T171)*($G$10-$E$10)*($G$10-$F$10))))</f>
        <v>1.03958572415147</v>
      </c>
      <c r="G171" s="38" t="n">
        <f aca="false">IF($G$11=$E$11,$F$11,IF(U171&lt;($F$11-$E$11)/($G$11-$E$11),$E$11+SQRT(U171*($G$11-$E$11)*($F$11-$E$11)),$G$11-SQRT((1-U171)*($G$11-$E$11)*($G$11-$F$11))))</f>
        <v>0.0879369116331203</v>
      </c>
      <c r="H171" s="39" t="n">
        <f aca="false">(('Business Case'!B11*$C171*'Business Case'!B12*$B171)-'Business Case'!B11*$C171*'Business Case'!B13*$D171-'Business Case'!B14*$E171)-MAX(0,(('Business Case'!B11*$C171*'Business Case'!B12*$B171)-'Business Case'!B11*$C171*'Business Case'!B13*$D171-'Business Case'!B14*$E171))*'Business Case'!$B$7-'Business Case'!$B$8*('Business Case'!B11*$C171*'Business Case'!B12*$B171)-'Business Case'!B15*$F171</f>
        <v>-2079171448.30294</v>
      </c>
      <c r="I171" s="39" t="n">
        <f aca="false">(('Business Case'!C11*$C171*'Business Case'!C12*$B171)-'Business Case'!C11*$C171*'Business Case'!C13*$D171-'Business Case'!C14*$E171)-MAX(0,(('Business Case'!C11*$C171*'Business Case'!C12*$B171)-'Business Case'!C11*$C171*'Business Case'!C13*$D171-'Business Case'!C14*$E171))*'Business Case'!$B$7-'Business Case'!$B$8*(('Business Case'!C11*$C171*'Business Case'!C12*$B171)-('Business Case'!B11*$C171*'Business Case'!B12*$B171))-'Business Case'!C15*$F171</f>
        <v>-47468518.2504911</v>
      </c>
      <c r="J171" s="39" t="n">
        <f aca="false">(('Business Case'!D11*$C171*'Business Case'!D12*$B171)-'Business Case'!D11*$C171*'Business Case'!D13*$D171-'Business Case'!D14*$E171)-MAX(0,(('Business Case'!D11*$C171*'Business Case'!D12*$B171)-'Business Case'!D11*$C171*'Business Case'!D13*$D171-'Business Case'!D14*$E171))*'Business Case'!$B$7-'Business Case'!$B$8*(('Business Case'!D11*$C171*'Business Case'!D12*$B171)-('Business Case'!C11*$C171*'Business Case'!C12*$B171))-'Business Case'!D15*$F171</f>
        <v>194533117.222425</v>
      </c>
      <c r="K171" s="39" t="n">
        <f aca="false">(('Business Case'!E11*$C171*'Business Case'!E12*$B171)-'Business Case'!E11*$C171*'Business Case'!E13*$D171-'Business Case'!E14*$E171)-MAX(0,(('Business Case'!E11*$C171*'Business Case'!E12*$B171)-'Business Case'!E11*$C171*'Business Case'!E13*$D171-'Business Case'!E14*$E171))*'Business Case'!$B$7-'Business Case'!$B$8*(('Business Case'!E11*$C171*'Business Case'!E12*$B171)-('Business Case'!D11*$C171*'Business Case'!D12*$B171))-'Business Case'!E15*$F171</f>
        <v>488514038.902915</v>
      </c>
      <c r="L171" s="39" t="n">
        <f aca="false">(('Business Case'!F11*$C171*'Business Case'!F12*$B171)-'Business Case'!F11*$C171*'Business Case'!F13*$D171-'Business Case'!F14*$E171)-MAX(0,(('Business Case'!F11*$C171*'Business Case'!F12*$B171)-'Business Case'!F11*$C171*'Business Case'!F13*$D171-'Business Case'!F14*$E171))*'Business Case'!$B$7-'Business Case'!$B$8*(('Business Case'!F11*$C171*'Business Case'!F12*$B171)-('Business Case'!E11*$C171*'Business Case'!E12*$B171))-'Business Case'!F15*$F171</f>
        <v>598609745.25458</v>
      </c>
      <c r="M171" s="39" t="n">
        <f aca="false">(('Business Case'!G11*$C171*'Business Case'!G12*$B171)-'Business Case'!G11*$C171*'Business Case'!G13*$D171-'Business Case'!G14*$E171)-MAX(0,(('Business Case'!G11*$C171*'Business Case'!G12*$B171)-'Business Case'!G11*$C171*'Business Case'!G13*$D171-'Business Case'!G14*$E171))*'Business Case'!$B$7-'Business Case'!$B$8*(('Business Case'!G11*$C171*'Business Case'!G12*$B171)-('Business Case'!F11*$C171*'Business Case'!F12*$B171))-'Business Case'!G15*$F171+'Business Case'!$B$8*('Business Case'!G11*$C171*'Business Case'!G12*$B171)</f>
        <v>760466465.155061</v>
      </c>
      <c r="N171" s="39" t="n">
        <f aca="false">IF(COUNT('Business Case'!B11:G11)=0,"",H171+NPV(G171,I171:M171))</f>
        <v>-652823105.575134</v>
      </c>
      <c r="P171" s="40" t="n">
        <f aca="true">RAND()</f>
        <v>0.489852542344204</v>
      </c>
      <c r="Q171" s="40" t="n">
        <f aca="true">RAND()</f>
        <v>0.198878584103049</v>
      </c>
      <c r="R171" s="40" t="n">
        <f aca="true">RAND()</f>
        <v>0.672532015500063</v>
      </c>
      <c r="S171" s="40" t="n">
        <f aca="true">RAND()</f>
        <v>0.354606482456463</v>
      </c>
      <c r="T171" s="40" t="n">
        <f aca="true">RAND()</f>
        <v>0.409677766921843</v>
      </c>
      <c r="U171" s="40" t="n">
        <f aca="true">RAND()</f>
        <v>0.0629945662719603</v>
      </c>
    </row>
    <row r="172" customFormat="false" ht="15" hidden="false" customHeight="false" outlineLevel="0" collapsed="false">
      <c r="A172" s="36" t="n">
        <v>92</v>
      </c>
      <c r="B172" s="37" t="n">
        <f aca="false">1+IF($G$6=$E$6,$F$6,IF(P172&lt;($F$6-$E$6)/($G$6-$E$6),$E$6+SQRT(P172*($G$6-$E$6)*($F$6-$E$6)),$G$6-SQRT((1-P172)*($G$6-$E$6)*($G$6-$F$6))))</f>
        <v>0.912581442476148</v>
      </c>
      <c r="C172" s="37" t="n">
        <f aca="false">1+IF($G$7=$E$7,$F$7,IF(Q172&lt;($F$7-$E$7)/($G$7-$E$7),$E$7+SQRT(Q172*($G$7-$E$7)*($F$7-$E$7)),$G$7-SQRT((1-Q172)*($G$7-$E$7)*($G$7-$F$7))))</f>
        <v>0.925094660766789</v>
      </c>
      <c r="D172" s="37" t="n">
        <f aca="false">1+IF($G$8=$E$8,$F$8,IF(R172&lt;($F$8-$E$8)/($G$8-$E$8),$E$8+SQRT(R172*($G$8-$E$8)*($F$8-$E$8)),$G$8-SQRT((1-R172)*($G$8-$E$8)*($G$8-$F$8))))</f>
        <v>1.00261990130221</v>
      </c>
      <c r="E172" s="37" t="n">
        <f aca="false">1+IF($G$9=$E$9,$F$9,IF(S172&lt;($F$9-$E$9)/($G$9-$E$9),$E$9+SQRT(S172*($G$9-$E$9)*($F$9-$E$9)),$G$9-SQRT((1-S172)*($G$9-$E$9)*($G$9-$F$9))))</f>
        <v>1.06371637849131</v>
      </c>
      <c r="F172" s="37" t="n">
        <f aca="false">1+IF($G$10=$E$10,$F$10,IF(T172&lt;($F$10-$E$10)/($G$10-$E$10),$E$10+SQRT(T172*($G$10-$E$10)*($F$10-$E$10)),$G$10-SQRT((1-T172)*($G$10-$E$10)*($G$10-$F$10))))</f>
        <v>1.08171449105735</v>
      </c>
      <c r="G172" s="38" t="n">
        <f aca="false">IF($G$11=$E$11,$F$11,IF(U172&lt;($F$11-$E$11)/($G$11-$E$11),$E$11+SQRT(U172*($G$11-$E$11)*($F$11-$E$11)),$G$11-SQRT((1-U172)*($G$11-$E$11)*($G$11-$F$11))))</f>
        <v>0.120106981854378</v>
      </c>
      <c r="H172" s="39" t="n">
        <f aca="false">(('Business Case'!B11*$C172*'Business Case'!B12*$B172)-'Business Case'!B11*$C172*'Business Case'!B13*$D172-'Business Case'!B14*$E172)-MAX(0,(('Business Case'!B11*$C172*'Business Case'!B12*$B172)-'Business Case'!B11*$C172*'Business Case'!B13*$D172-'Business Case'!B14*$E172))*'Business Case'!$B$7-'Business Case'!$B$8*('Business Case'!B11*$C172*'Business Case'!B12*$B172)-'Business Case'!B15*$F172</f>
        <v>-2163428982.11471</v>
      </c>
      <c r="I172" s="39" t="n">
        <f aca="false">(('Business Case'!C11*$C172*'Business Case'!C12*$B172)-'Business Case'!C11*$C172*'Business Case'!C13*$D172-'Business Case'!C14*$E172)-MAX(0,(('Business Case'!C11*$C172*'Business Case'!C12*$B172)-'Business Case'!C11*$C172*'Business Case'!C13*$D172-'Business Case'!C14*$E172))*'Business Case'!$B$7-'Business Case'!$B$8*(('Business Case'!C11*$C172*'Business Case'!C12*$B172)-('Business Case'!B11*$C172*'Business Case'!B12*$B172))-'Business Case'!C15*$F172</f>
        <v>-86531258.487753</v>
      </c>
      <c r="J172" s="39" t="n">
        <f aca="false">(('Business Case'!D11*$C172*'Business Case'!D12*$B172)-'Business Case'!D11*$C172*'Business Case'!D13*$D172-'Business Case'!D14*$E172)-MAX(0,(('Business Case'!D11*$C172*'Business Case'!D12*$B172)-'Business Case'!D11*$C172*'Business Case'!D13*$D172-'Business Case'!D14*$E172))*'Business Case'!$B$7-'Business Case'!$B$8*(('Business Case'!D11*$C172*'Business Case'!D12*$B172)-('Business Case'!C11*$C172*'Business Case'!C12*$B172))-'Business Case'!D15*$F172</f>
        <v>130133984.713878</v>
      </c>
      <c r="K172" s="39" t="n">
        <f aca="false">(('Business Case'!E11*$C172*'Business Case'!E12*$B172)-'Business Case'!E11*$C172*'Business Case'!E13*$D172-'Business Case'!E14*$E172)-MAX(0,(('Business Case'!E11*$C172*'Business Case'!E12*$B172)-'Business Case'!E11*$C172*'Business Case'!E13*$D172-'Business Case'!E14*$E172))*'Business Case'!$B$7-'Business Case'!$B$8*(('Business Case'!E11*$C172*'Business Case'!E12*$B172)-('Business Case'!D11*$C172*'Business Case'!D12*$B172))-'Business Case'!E15*$F172</f>
        <v>400884952.468377</v>
      </c>
      <c r="L172" s="39" t="n">
        <f aca="false">(('Business Case'!F11*$C172*'Business Case'!F12*$B172)-'Business Case'!F11*$C172*'Business Case'!F13*$D172-'Business Case'!F14*$E172)-MAX(0,(('Business Case'!F11*$C172*'Business Case'!F12*$B172)-'Business Case'!F11*$C172*'Business Case'!F13*$D172-'Business Case'!F14*$E172))*'Business Case'!$B$7-'Business Case'!$B$8*(('Business Case'!F11*$C172*'Business Case'!F12*$B172)-('Business Case'!E11*$C172*'Business Case'!E12*$B172))-'Business Case'!F15*$F172</f>
        <v>502283089.243709</v>
      </c>
      <c r="M172" s="39" t="n">
        <f aca="false">(('Business Case'!G11*$C172*'Business Case'!G12*$B172)-'Business Case'!G11*$C172*'Business Case'!G13*$D172-'Business Case'!G14*$E172)-MAX(0,(('Business Case'!G11*$C172*'Business Case'!G12*$B172)-'Business Case'!G11*$C172*'Business Case'!G13*$D172-'Business Case'!G14*$E172))*'Business Case'!$B$7-'Business Case'!$B$8*(('Business Case'!G11*$C172*'Business Case'!G12*$B172)-('Business Case'!F11*$C172*'Business Case'!F12*$B172))-'Business Case'!G15*$F172+'Business Case'!$B$8*('Business Case'!G11*$C172*'Business Case'!G12*$B172)</f>
        <v>662753228.971718</v>
      </c>
      <c r="N172" s="39" t="n">
        <f aca="false">IF(COUNT('Business Case'!B11:G11)=0,"",H172+NPV(G172,I172:M172))</f>
        <v>-1156726741.28038</v>
      </c>
      <c r="P172" s="40" t="n">
        <f aca="true">RAND()</f>
        <v>0.0105528463187081</v>
      </c>
      <c r="Q172" s="40" t="n">
        <f aca="true">RAND()</f>
        <v>0.375315602264561</v>
      </c>
      <c r="R172" s="40" t="n">
        <f aca="true">RAND()</f>
        <v>0.367807758507183</v>
      </c>
      <c r="S172" s="40" t="n">
        <f aca="true">RAND()</f>
        <v>0.801470310915877</v>
      </c>
      <c r="T172" s="40" t="n">
        <f aca="true">RAND()</f>
        <v>0.622399833065525</v>
      </c>
      <c r="U172" s="40" t="n">
        <f aca="true">RAND()</f>
        <v>0.934752127980266</v>
      </c>
    </row>
    <row r="173" customFormat="false" ht="15" hidden="false" customHeight="false" outlineLevel="0" collapsed="false">
      <c r="A173" s="36" t="n">
        <v>93</v>
      </c>
      <c r="B173" s="37" t="n">
        <f aca="false">1+IF($G$6=$E$6,$F$6,IF(P173&lt;($F$6-$E$6)/($G$6-$E$6),$E$6+SQRT(P173*($G$6-$E$6)*($F$6-$E$6)),$G$6-SQRT((1-P173)*($G$6-$E$6)*($G$6-$F$6))))</f>
        <v>0.982491518743982</v>
      </c>
      <c r="C173" s="37" t="n">
        <f aca="false">1+IF($G$7=$E$7,$F$7,IF(Q173&lt;($F$7-$E$7)/($G$7-$E$7),$E$7+SQRT(Q173*($G$7-$E$7)*($F$7-$E$7)),$G$7-SQRT((1-Q173)*($G$7-$E$7)*($G$7-$F$7))))</f>
        <v>0.838425379665628</v>
      </c>
      <c r="D173" s="37" t="n">
        <f aca="false">1+IF($G$8=$E$8,$F$8,IF(R173&lt;($F$8-$E$8)/($G$8-$E$8),$E$8+SQRT(R173*($G$8-$E$8)*($F$8-$E$8)),$G$8-SQRT((1-R173)*($G$8-$E$8)*($G$8-$F$8))))</f>
        <v>0.98869938389659</v>
      </c>
      <c r="E173" s="37" t="n">
        <f aca="false">1+IF($G$9=$E$9,$F$9,IF(S173&lt;($F$9-$E$9)/($G$9-$E$9),$E$9+SQRT(S173*($G$9-$E$9)*($F$9-$E$9)),$G$9-SQRT((1-S173)*($G$9-$E$9)*($G$9-$F$9))))</f>
        <v>1.07594519734176</v>
      </c>
      <c r="F173" s="37" t="n">
        <f aca="false">1+IF($G$10=$E$10,$F$10,IF(T173&lt;($F$10-$E$10)/($G$10-$E$10),$E$10+SQRT(T173*($G$10-$E$10)*($F$10-$E$10)),$G$10-SQRT((1-T173)*($G$10-$E$10)*($G$10-$F$10))))</f>
        <v>1.07425628887495</v>
      </c>
      <c r="G173" s="38" t="n">
        <f aca="false">IF($G$11=$E$11,$F$11,IF(U173&lt;($F$11-$E$11)/($G$11-$E$11),$E$11+SQRT(U173*($G$11-$E$11)*($F$11-$E$11)),$G$11-SQRT((1-U173)*($G$11-$E$11)*($G$11-$F$11))))</f>
        <v>0.103855598541331</v>
      </c>
      <c r="H173" s="39" t="n">
        <f aca="false">(('Business Case'!B11*$C173*'Business Case'!B12*$B173)-'Business Case'!B11*$C173*'Business Case'!B13*$D173-'Business Case'!B14*$E173)-MAX(0,(('Business Case'!B11*$C173*'Business Case'!B12*$B173)-'Business Case'!B11*$C173*'Business Case'!B13*$D173-'Business Case'!B14*$E173))*'Business Case'!$B$7-'Business Case'!$B$8*('Business Case'!B11*$C173*'Business Case'!B12*$B173)-'Business Case'!B15*$F173</f>
        <v>-2148512577.74989</v>
      </c>
      <c r="I173" s="39" t="n">
        <f aca="false">(('Business Case'!C11*$C173*'Business Case'!C12*$B173)-'Business Case'!C11*$C173*'Business Case'!C13*$D173-'Business Case'!C14*$E173)-MAX(0,(('Business Case'!C11*$C173*'Business Case'!C12*$B173)-'Business Case'!C11*$C173*'Business Case'!C13*$D173-'Business Case'!C14*$E173))*'Business Case'!$B$7-'Business Case'!$B$8*(('Business Case'!C11*$C173*'Business Case'!C12*$B173)-('Business Case'!B11*$C173*'Business Case'!B12*$B173))-'Business Case'!C15*$F173</f>
        <v>-52777299.4163885</v>
      </c>
      <c r="J173" s="39" t="n">
        <f aca="false">(('Business Case'!D11*$C173*'Business Case'!D12*$B173)-'Business Case'!D11*$C173*'Business Case'!D13*$D173-'Business Case'!D14*$E173)-MAX(0,(('Business Case'!D11*$C173*'Business Case'!D12*$B173)-'Business Case'!D11*$C173*'Business Case'!D13*$D173-'Business Case'!D14*$E173))*'Business Case'!$B$7-'Business Case'!$B$8*(('Business Case'!D11*$C173*'Business Case'!D12*$B173)-('Business Case'!C11*$C173*'Business Case'!C12*$B173))-'Business Case'!D15*$F173</f>
        <v>197573420.665079</v>
      </c>
      <c r="K173" s="39" t="n">
        <f aca="false">(('Business Case'!E11*$C173*'Business Case'!E12*$B173)-'Business Case'!E11*$C173*'Business Case'!E13*$D173-'Business Case'!E14*$E173)-MAX(0,(('Business Case'!E11*$C173*'Business Case'!E12*$B173)-'Business Case'!E11*$C173*'Business Case'!E13*$D173-'Business Case'!E14*$E173))*'Business Case'!$B$7-'Business Case'!$B$8*(('Business Case'!E11*$C173*'Business Case'!E12*$B173)-('Business Case'!D11*$C173*'Business Case'!D12*$B173))-'Business Case'!E15*$F173</f>
        <v>501636955.190293</v>
      </c>
      <c r="L173" s="39" t="n">
        <f aca="false">(('Business Case'!F11*$C173*'Business Case'!F12*$B173)-'Business Case'!F11*$C173*'Business Case'!F13*$D173-'Business Case'!F14*$E173)-MAX(0,(('Business Case'!F11*$C173*'Business Case'!F12*$B173)-'Business Case'!F11*$C173*'Business Case'!F13*$D173-'Business Case'!F14*$E173))*'Business Case'!$B$7-'Business Case'!$B$8*(('Business Case'!F11*$C173*'Business Case'!F12*$B173)-('Business Case'!E11*$C173*'Business Case'!E12*$B173))-'Business Case'!F15*$F173</f>
        <v>613555850.916356</v>
      </c>
      <c r="M173" s="39" t="n">
        <f aca="false">(('Business Case'!G11*$C173*'Business Case'!G12*$B173)-'Business Case'!G11*$C173*'Business Case'!G13*$D173-'Business Case'!G14*$E173)-MAX(0,(('Business Case'!G11*$C173*'Business Case'!G12*$B173)-'Business Case'!G11*$C173*'Business Case'!G13*$D173-'Business Case'!G14*$E173))*'Business Case'!$B$7-'Business Case'!$B$8*(('Business Case'!G11*$C173*'Business Case'!G12*$B173)-('Business Case'!F11*$C173*'Business Case'!F12*$B173))-'Business Case'!G15*$F173+'Business Case'!$B$8*('Business Case'!G11*$C173*'Business Case'!G12*$B173)</f>
        <v>770133457.260351</v>
      </c>
      <c r="N173" s="39" t="n">
        <f aca="false">IF(COUNT('Business Case'!B11:G11)=0,"",H173+NPV(G173,I173:M173))</f>
        <v>-778085658.514193</v>
      </c>
      <c r="P173" s="40" t="n">
        <f aca="true">RAND()</f>
        <v>0.453656710979244</v>
      </c>
      <c r="Q173" s="40" t="n">
        <f aca="true">RAND()</f>
        <v>0.141937672115358</v>
      </c>
      <c r="R173" s="40" t="n">
        <f aca="true">RAND()</f>
        <v>0.199685641863419</v>
      </c>
      <c r="S173" s="40" t="n">
        <f aca="true">RAND()</f>
        <v>0.85375696541999</v>
      </c>
      <c r="T173" s="40" t="n">
        <f aca="true">RAND()</f>
        <v>0.588188639999917</v>
      </c>
      <c r="U173" s="40" t="n">
        <f aca="true">RAND()</f>
        <v>0.544313514911965</v>
      </c>
    </row>
    <row r="174" customFormat="false" ht="15" hidden="false" customHeight="false" outlineLevel="0" collapsed="false">
      <c r="A174" s="36" t="n">
        <v>94</v>
      </c>
      <c r="B174" s="37" t="n">
        <f aca="false">1+IF($G$6=$E$6,$F$6,IF(P174&lt;($F$6-$E$6)/($G$6-$E$6),$E$6+SQRT(P174*($G$6-$E$6)*($F$6-$E$6)),$G$6-SQRT((1-P174)*($G$6-$E$6)*($G$6-$F$6))))</f>
        <v>0.972114758463666</v>
      </c>
      <c r="C174" s="37" t="n">
        <f aca="false">1+IF($G$7=$E$7,$F$7,IF(Q174&lt;($F$7-$E$7)/($G$7-$E$7),$E$7+SQRT(Q174*($G$7-$E$7)*($F$7-$E$7)),$G$7-SQRT((1-Q174)*($G$7-$E$7)*($G$7-$F$7))))</f>
        <v>0.814443867581781</v>
      </c>
      <c r="D174" s="37" t="n">
        <f aca="false">1+IF($G$8=$E$8,$F$8,IF(R174&lt;($F$8-$E$8)/($G$8-$E$8),$E$8+SQRT(R174*($G$8-$E$8)*($F$8-$E$8)),$G$8-SQRT((1-R174)*($G$8-$E$8)*($G$8-$F$8))))</f>
        <v>1.05510277572889</v>
      </c>
      <c r="E174" s="37" t="n">
        <f aca="false">1+IF($G$9=$E$9,$F$9,IF(S174&lt;($F$9-$E$9)/($G$9-$E$9),$E$9+SQRT(S174*($G$9-$E$9)*($F$9-$E$9)),$G$9-SQRT((1-S174)*($G$9-$E$9)*($G$9-$F$9))))</f>
        <v>1.01826611800174</v>
      </c>
      <c r="F174" s="37" t="n">
        <f aca="false">1+IF($G$10=$E$10,$F$10,IF(T174&lt;($F$10-$E$10)/($G$10-$E$10),$E$10+SQRT(T174*($G$10-$E$10)*($F$10-$E$10)),$G$10-SQRT((1-T174)*($G$10-$E$10)*($G$10-$F$10))))</f>
        <v>1.16185818262214</v>
      </c>
      <c r="G174" s="38" t="n">
        <f aca="false">IF($G$11=$E$11,$F$11,IF(U174&lt;($F$11-$E$11)/($G$11-$E$11),$E$11+SQRT(U174*($G$11-$E$11)*($F$11-$E$11)),$G$11-SQRT((1-U174)*($G$11-$E$11)*($G$11-$F$11))))</f>
        <v>0.0950136140709968</v>
      </c>
      <c r="H174" s="39" t="n">
        <f aca="false">(('Business Case'!B11*$C174*'Business Case'!B12*$B174)-'Business Case'!B11*$C174*'Business Case'!B13*$D174-'Business Case'!B14*$E174)-MAX(0,(('Business Case'!B11*$C174*'Business Case'!B12*$B174)-'Business Case'!B11*$C174*'Business Case'!B13*$D174-'Business Case'!B14*$E174))*'Business Case'!$B$7-'Business Case'!$B$8*('Business Case'!B11*$C174*'Business Case'!B12*$B174)-'Business Case'!B15*$F174</f>
        <v>-2323716365.24427</v>
      </c>
      <c r="I174" s="39" t="n">
        <f aca="false">(('Business Case'!C11*$C174*'Business Case'!C12*$B174)-'Business Case'!C11*$C174*'Business Case'!C13*$D174-'Business Case'!C14*$E174)-MAX(0,(('Business Case'!C11*$C174*'Business Case'!C12*$B174)-'Business Case'!C11*$C174*'Business Case'!C13*$D174-'Business Case'!C14*$E174))*'Business Case'!$B$7-'Business Case'!$B$8*(('Business Case'!C11*$C174*'Business Case'!C12*$B174)-('Business Case'!B11*$C174*'Business Case'!B12*$B174))-'Business Case'!C15*$F174</f>
        <v>-93444551.8805413</v>
      </c>
      <c r="J174" s="39" t="n">
        <f aca="false">(('Business Case'!D11*$C174*'Business Case'!D12*$B174)-'Business Case'!D11*$C174*'Business Case'!D13*$D174-'Business Case'!D14*$E174)-MAX(0,(('Business Case'!D11*$C174*'Business Case'!D12*$B174)-'Business Case'!D11*$C174*'Business Case'!D13*$D174-'Business Case'!D14*$E174))*'Business Case'!$B$7-'Business Case'!$B$8*(('Business Case'!D11*$C174*'Business Case'!D12*$B174)-('Business Case'!C11*$C174*'Business Case'!C12*$B174))-'Business Case'!D15*$F174</f>
        <v>115137590.204456</v>
      </c>
      <c r="K174" s="39" t="n">
        <f aca="false">(('Business Case'!E11*$C174*'Business Case'!E12*$B174)-'Business Case'!E11*$C174*'Business Case'!E13*$D174-'Business Case'!E14*$E174)-MAX(0,(('Business Case'!E11*$C174*'Business Case'!E12*$B174)-'Business Case'!E11*$C174*'Business Case'!E13*$D174-'Business Case'!E14*$E174))*'Business Case'!$B$7-'Business Case'!$B$8*(('Business Case'!E11*$C174*'Business Case'!E12*$B174)-('Business Case'!D11*$C174*'Business Case'!D12*$B174))-'Business Case'!E15*$F174</f>
        <v>381812641.42056</v>
      </c>
      <c r="L174" s="39" t="n">
        <f aca="false">(('Business Case'!F11*$C174*'Business Case'!F12*$B174)-'Business Case'!F11*$C174*'Business Case'!F13*$D174-'Business Case'!F14*$E174)-MAX(0,(('Business Case'!F11*$C174*'Business Case'!F12*$B174)-'Business Case'!F11*$C174*'Business Case'!F13*$D174-'Business Case'!F14*$E174))*'Business Case'!$B$7-'Business Case'!$B$8*(('Business Case'!F11*$C174*'Business Case'!F12*$B174)-('Business Case'!E11*$C174*'Business Case'!E12*$B174))-'Business Case'!F15*$F174</f>
        <v>478702311.264544</v>
      </c>
      <c r="M174" s="39" t="n">
        <f aca="false">(('Business Case'!G11*$C174*'Business Case'!G12*$B174)-'Business Case'!G11*$C174*'Business Case'!G13*$D174-'Business Case'!G14*$E174)-MAX(0,(('Business Case'!G11*$C174*'Business Case'!G12*$B174)-'Business Case'!G11*$C174*'Business Case'!G13*$D174-'Business Case'!G14*$E174))*'Business Case'!$B$7-'Business Case'!$B$8*(('Business Case'!G11*$C174*'Business Case'!G12*$B174)-('Business Case'!F11*$C174*'Business Case'!F12*$B174))-'Business Case'!G15*$F174+'Business Case'!$B$8*('Business Case'!G11*$C174*'Business Case'!G12*$B174)</f>
        <v>629194901.583964</v>
      </c>
      <c r="N174" s="39" t="n">
        <f aca="false">IF(COUNT('Business Case'!B11:G11)=0,"",H174+NPV(G174,I174:M174))</f>
        <v>-1289617320.76997</v>
      </c>
      <c r="P174" s="40" t="n">
        <f aca="true">RAND()</f>
        <v>0.346702559218189</v>
      </c>
      <c r="Q174" s="40" t="n">
        <f aca="true">RAND()</f>
        <v>0.097017769089453</v>
      </c>
      <c r="R174" s="40" t="n">
        <f aca="true">RAND()</f>
        <v>0.865615950183318</v>
      </c>
      <c r="S174" s="40" t="n">
        <f aca="true">RAND()</f>
        <v>0.537231582231126</v>
      </c>
      <c r="T174" s="40" t="n">
        <f aca="true">RAND()</f>
        <v>0.896413600391031</v>
      </c>
      <c r="U174" s="40" t="n">
        <f aca="true">RAND()</f>
        <v>0.225408607472833</v>
      </c>
    </row>
    <row r="175" customFormat="false" ht="15" hidden="false" customHeight="false" outlineLevel="0" collapsed="false">
      <c r="A175" s="36" t="n">
        <v>95</v>
      </c>
      <c r="B175" s="37" t="n">
        <f aca="false">1+IF($G$6=$E$6,$F$6,IF(P175&lt;($F$6-$E$6)/($G$6-$E$6),$E$6+SQRT(P175*($G$6-$E$6)*($F$6-$E$6)),$G$6-SQRT((1-P175)*($G$6-$E$6)*($G$6-$F$6))))</f>
        <v>0.976904012240294</v>
      </c>
      <c r="C175" s="37" t="n">
        <f aca="false">1+IF($G$7=$E$7,$F$7,IF(Q175&lt;($F$7-$E$7)/($G$7-$E$7),$E$7+SQRT(Q175*($G$7-$E$7)*($F$7-$E$7)),$G$7-SQRT((1-Q175)*($G$7-$E$7)*($G$7-$F$7))))</f>
        <v>1.03708745754848</v>
      </c>
      <c r="D175" s="37" t="n">
        <f aca="false">1+IF($G$8=$E$8,$F$8,IF(R175&lt;($F$8-$E$8)/($G$8-$E$8),$E$8+SQRT(R175*($G$8-$E$8)*($F$8-$E$8)),$G$8-SQRT((1-R175)*($G$8-$E$8)*($G$8-$F$8))))</f>
        <v>1.05453316540784</v>
      </c>
      <c r="E175" s="37" t="n">
        <f aca="false">1+IF($G$9=$E$9,$F$9,IF(S175&lt;($F$9-$E$9)/($G$9-$E$9),$E$9+SQRT(S175*($G$9-$E$9)*($F$9-$E$9)),$G$9-SQRT((1-S175)*($G$9-$E$9)*($G$9-$F$9))))</f>
        <v>1.0362316919151</v>
      </c>
      <c r="F175" s="37" t="n">
        <f aca="false">1+IF($G$10=$E$10,$F$10,IF(T175&lt;($F$10-$E$10)/($G$10-$E$10),$E$10+SQRT(T175*($G$10-$E$10)*($F$10-$E$10)),$G$10-SQRT((1-T175)*($G$10-$E$10)*($G$10-$F$10))))</f>
        <v>1.10042219992108</v>
      </c>
      <c r="G175" s="38" t="n">
        <f aca="false">IF($G$11=$E$11,$F$11,IF(U175&lt;($F$11-$E$11)/($G$11-$E$11),$E$11+SQRT(U175*($G$11-$E$11)*($F$11-$E$11)),$G$11-SQRT((1-U175)*($G$11-$E$11)*($G$11-$F$11))))</f>
        <v>0.109796556478192</v>
      </c>
      <c r="H175" s="39" t="n">
        <f aca="false">(('Business Case'!B11*$C175*'Business Case'!B12*$B175)-'Business Case'!B11*$C175*'Business Case'!B13*$D175-'Business Case'!B14*$E175)-MAX(0,(('Business Case'!B11*$C175*'Business Case'!B12*$B175)-'Business Case'!B11*$C175*'Business Case'!B13*$D175-'Business Case'!B14*$E175))*'Business Case'!$B$7-'Business Case'!$B$8*('Business Case'!B11*$C175*'Business Case'!B12*$B175)-'Business Case'!B15*$F175</f>
        <v>-2200844399.84217</v>
      </c>
      <c r="I175" s="39" t="n">
        <f aca="false">(('Business Case'!C11*$C175*'Business Case'!C12*$B175)-'Business Case'!C11*$C175*'Business Case'!C13*$D175-'Business Case'!C14*$E175)-MAX(0,(('Business Case'!C11*$C175*'Business Case'!C12*$B175)-'Business Case'!C11*$C175*'Business Case'!C13*$D175-'Business Case'!C14*$E175))*'Business Case'!$B$7-'Business Case'!$B$8*(('Business Case'!C11*$C175*'Business Case'!C12*$B175)-('Business Case'!B11*$C175*'Business Case'!B12*$B175))-'Business Case'!C15*$F175</f>
        <v>-39942637.9622261</v>
      </c>
      <c r="J175" s="39" t="n">
        <f aca="false">(('Business Case'!D11*$C175*'Business Case'!D12*$B175)-'Business Case'!D11*$C175*'Business Case'!D13*$D175-'Business Case'!D14*$E175)-MAX(0,(('Business Case'!D11*$C175*'Business Case'!D12*$B175)-'Business Case'!D11*$C175*'Business Case'!D13*$D175-'Business Case'!D14*$E175))*'Business Case'!$B$7-'Business Case'!$B$8*(('Business Case'!D11*$C175*'Business Case'!D12*$B175)-('Business Case'!C11*$C175*'Business Case'!C12*$B175))-'Business Case'!D15*$F175</f>
        <v>230030003.787058</v>
      </c>
      <c r="K175" s="39" t="n">
        <f aca="false">(('Business Case'!E11*$C175*'Business Case'!E12*$B175)-'Business Case'!E11*$C175*'Business Case'!E13*$D175-'Business Case'!E14*$E175)-MAX(0,(('Business Case'!E11*$C175*'Business Case'!E12*$B175)-'Business Case'!E11*$C175*'Business Case'!E13*$D175-'Business Case'!E14*$E175))*'Business Case'!$B$7-'Business Case'!$B$8*(('Business Case'!E11*$C175*'Business Case'!E12*$B175)-('Business Case'!D11*$C175*'Business Case'!D12*$B175))-'Business Case'!E15*$F175</f>
        <v>555023755.532396</v>
      </c>
      <c r="L175" s="39" t="n">
        <f aca="false">(('Business Case'!F11*$C175*'Business Case'!F12*$B175)-'Business Case'!F11*$C175*'Business Case'!F13*$D175-'Business Case'!F14*$E175)-MAX(0,(('Business Case'!F11*$C175*'Business Case'!F12*$B175)-'Business Case'!F11*$C175*'Business Case'!F13*$D175-'Business Case'!F14*$E175))*'Business Case'!$B$7-'Business Case'!$B$8*(('Business Case'!F11*$C175*'Business Case'!F12*$B175)-('Business Case'!E11*$C175*'Business Case'!E12*$B175))-'Business Case'!F15*$F175</f>
        <v>680028578.201541</v>
      </c>
      <c r="M175" s="39" t="n">
        <f aca="false">(('Business Case'!G11*$C175*'Business Case'!G12*$B175)-'Business Case'!G11*$C175*'Business Case'!G13*$D175-'Business Case'!G14*$E175)-MAX(0,(('Business Case'!G11*$C175*'Business Case'!G12*$B175)-'Business Case'!G11*$C175*'Business Case'!G13*$D175-'Business Case'!G14*$E175))*'Business Case'!$B$7-'Business Case'!$B$8*(('Business Case'!G11*$C175*'Business Case'!G12*$B175)-('Business Case'!F11*$C175*'Business Case'!F12*$B175))-'Business Case'!G15*$F175+'Business Case'!$B$8*('Business Case'!G11*$C175*'Business Case'!G12*$B175)</f>
        <v>872605259.674814</v>
      </c>
      <c r="N175" s="39" t="n">
        <f aca="false">IF(COUNT('Business Case'!B11:G11)=0,"",H175+NPV(G175,I175:M175))</f>
        <v>-677409553.518652</v>
      </c>
      <c r="P175" s="40" t="n">
        <f aca="true">RAND()</f>
        <v>0.394281806577023</v>
      </c>
      <c r="Q175" s="40" t="n">
        <f aca="true">RAND()</f>
        <v>0.811122337142725</v>
      </c>
      <c r="R175" s="40" t="n">
        <f aca="true">RAND()</f>
        <v>0.862184463477966</v>
      </c>
      <c r="S175" s="40" t="n">
        <f aca="true">RAND()</f>
        <v>0.654847255346657</v>
      </c>
      <c r="T175" s="40" t="n">
        <f aca="true">RAND()</f>
        <v>0.701686422980689</v>
      </c>
      <c r="U175" s="40" t="n">
        <f aca="true">RAND()</f>
        <v>0.727880579907401</v>
      </c>
    </row>
    <row r="176" customFormat="false" ht="15" hidden="false" customHeight="false" outlineLevel="0" collapsed="false">
      <c r="A176" s="36" t="n">
        <v>96</v>
      </c>
      <c r="B176" s="37" t="n">
        <f aca="false">1+IF($G$6=$E$6,$F$6,IF(P176&lt;($F$6-$E$6)/($G$6-$E$6),$E$6+SQRT(P176*($G$6-$E$6)*($F$6-$E$6)),$G$6-SQRT((1-P176)*($G$6-$E$6)*($G$6-$F$6))))</f>
        <v>0.986358465498264</v>
      </c>
      <c r="C176" s="37" t="n">
        <f aca="false">1+IF($G$7=$E$7,$F$7,IF(Q176&lt;($F$7-$E$7)/($G$7-$E$7),$E$7+SQRT(Q176*($G$7-$E$7)*($F$7-$E$7)),$G$7-SQRT((1-Q176)*($G$7-$E$7)*($G$7-$F$7))))</f>
        <v>1.03153636441502</v>
      </c>
      <c r="D176" s="37" t="n">
        <f aca="false">1+IF($G$8=$E$8,$F$8,IF(R176&lt;($F$8-$E$8)/($G$8-$E$8),$E$8+SQRT(R176*($G$8-$E$8)*($F$8-$E$8)),$G$8-SQRT((1-R176)*($G$8-$E$8)*($G$8-$F$8))))</f>
        <v>1.03384831148036</v>
      </c>
      <c r="E176" s="37" t="n">
        <f aca="false">1+IF($G$9=$E$9,$F$9,IF(S176&lt;($F$9-$E$9)/($G$9-$E$9),$E$9+SQRT(S176*($G$9-$E$9)*($F$9-$E$9)),$G$9-SQRT((1-S176)*($G$9-$E$9)*($G$9-$F$9))))</f>
        <v>0.957548973448499</v>
      </c>
      <c r="F176" s="37" t="n">
        <f aca="false">1+IF($G$10=$E$10,$F$10,IF(T176&lt;($F$10-$E$10)/($G$10-$E$10),$E$10+SQRT(T176*($G$10-$E$10)*($F$10-$E$10)),$G$10-SQRT((1-T176)*($G$10-$E$10)*($G$10-$F$10))))</f>
        <v>1.00801909772679</v>
      </c>
      <c r="G176" s="38" t="n">
        <f aca="false">IF($G$11=$E$11,$F$11,IF(U176&lt;($F$11-$E$11)/($G$11-$E$11),$E$11+SQRT(U176*($G$11-$E$11)*($F$11-$E$11)),$G$11-SQRT((1-U176)*($G$11-$E$11)*($G$11-$F$11))))</f>
        <v>0.0917566806532606</v>
      </c>
      <c r="H176" s="39" t="n">
        <f aca="false">(('Business Case'!B11*$C176*'Business Case'!B12*$B176)-'Business Case'!B11*$C176*'Business Case'!B13*$D176-'Business Case'!B14*$E176)-MAX(0,(('Business Case'!B11*$C176*'Business Case'!B12*$B176)-'Business Case'!B11*$C176*'Business Case'!B13*$D176-'Business Case'!B14*$E176))*'Business Case'!$B$7-'Business Case'!$B$8*('Business Case'!B11*$C176*'Business Case'!B12*$B176)-'Business Case'!B15*$F176</f>
        <v>-2016038195.45357</v>
      </c>
      <c r="I176" s="39" t="n">
        <f aca="false">(('Business Case'!C11*$C176*'Business Case'!C12*$B176)-'Business Case'!C11*$C176*'Business Case'!C13*$D176-'Business Case'!C14*$E176)-MAX(0,(('Business Case'!C11*$C176*'Business Case'!C12*$B176)-'Business Case'!C11*$C176*'Business Case'!C13*$D176-'Business Case'!C14*$E176))*'Business Case'!$B$7-'Business Case'!$B$8*(('Business Case'!C11*$C176*'Business Case'!C12*$B176)-('Business Case'!B11*$C176*'Business Case'!B12*$B176))-'Business Case'!C15*$F176</f>
        <v>-2272127.90093869</v>
      </c>
      <c r="J176" s="39" t="n">
        <f aca="false">(('Business Case'!D11*$C176*'Business Case'!D12*$B176)-'Business Case'!D11*$C176*'Business Case'!D13*$D176-'Business Case'!D14*$E176)-MAX(0,(('Business Case'!D11*$C176*'Business Case'!D12*$B176)-'Business Case'!D11*$C176*'Business Case'!D13*$D176-'Business Case'!D14*$E176))*'Business Case'!$B$7-'Business Case'!$B$8*(('Business Case'!D11*$C176*'Business Case'!D12*$B176)-('Business Case'!C11*$C176*'Business Case'!C12*$B176))-'Business Case'!D15*$F176</f>
        <v>285166484.181619</v>
      </c>
      <c r="K176" s="39" t="n">
        <f aca="false">(('Business Case'!E11*$C176*'Business Case'!E12*$B176)-'Business Case'!E11*$C176*'Business Case'!E13*$D176-'Business Case'!E14*$E176)-MAX(0,(('Business Case'!E11*$C176*'Business Case'!E12*$B176)-'Business Case'!E11*$C176*'Business Case'!E13*$D176-'Business Case'!E14*$E176))*'Business Case'!$B$7-'Business Case'!$B$8*(('Business Case'!E11*$C176*'Business Case'!E12*$B176)-('Business Case'!D11*$C176*'Business Case'!D12*$B176))-'Business Case'!E15*$F176</f>
        <v>623006051.150516</v>
      </c>
      <c r="L176" s="39" t="n">
        <f aca="false">(('Business Case'!F11*$C176*'Business Case'!F12*$B176)-'Business Case'!F11*$C176*'Business Case'!F13*$D176-'Business Case'!F14*$E176)-MAX(0,(('Business Case'!F11*$C176*'Business Case'!F12*$B176)-'Business Case'!F11*$C176*'Business Case'!F13*$D176-'Business Case'!F14*$E176))*'Business Case'!$B$7-'Business Case'!$B$8*(('Business Case'!F11*$C176*'Business Case'!F12*$B176)-('Business Case'!E11*$C176*'Business Case'!E12*$B176))-'Business Case'!F15*$F176</f>
        <v>753982499.30233</v>
      </c>
      <c r="M176" s="39" t="n">
        <f aca="false">(('Business Case'!G11*$C176*'Business Case'!G12*$B176)-'Business Case'!G11*$C176*'Business Case'!G13*$D176-'Business Case'!G14*$E176)-MAX(0,(('Business Case'!G11*$C176*'Business Case'!G12*$B176)-'Business Case'!G11*$C176*'Business Case'!G13*$D176-'Business Case'!G14*$E176))*'Business Case'!$B$7-'Business Case'!$B$8*(('Business Case'!G11*$C176*'Business Case'!G12*$B176)-('Business Case'!F11*$C176*'Business Case'!F12*$B176))-'Business Case'!G15*$F176+'Business Case'!$B$8*('Business Case'!G11*$C176*'Business Case'!G12*$B176)</f>
        <v>947382175.319282</v>
      </c>
      <c r="N176" s="39" t="n">
        <f aca="false">IF(COUNT('Business Case'!B11:G11)=0,"",H176+NPV(G176,I176:M176))</f>
        <v>-158609395.493683</v>
      </c>
      <c r="P176" s="40" t="n">
        <f aca="true">RAND()</f>
        <v>0.497185637547661</v>
      </c>
      <c r="Q176" s="40" t="n">
        <f aca="true">RAND()</f>
        <v>0.792094326577621</v>
      </c>
      <c r="R176" s="40" t="n">
        <f aca="true">RAND()</f>
        <v>0.708263607066725</v>
      </c>
      <c r="S176" s="40" t="n">
        <f aca="true">RAND()</f>
        <v>0.13247537379904</v>
      </c>
      <c r="T176" s="40" t="n">
        <f aca="true">RAND()</f>
        <v>0.219269905800544</v>
      </c>
      <c r="U176" s="40" t="n">
        <f aca="true">RAND()</f>
        <v>0.138219539982753</v>
      </c>
    </row>
    <row r="177" customFormat="false" ht="15" hidden="false" customHeight="false" outlineLevel="0" collapsed="false">
      <c r="A177" s="36" t="n">
        <v>97</v>
      </c>
      <c r="B177" s="37" t="n">
        <f aca="false">1+IF($G$6=$E$6,$F$6,IF(P177&lt;($F$6-$E$6)/($G$6-$E$6),$E$6+SQRT(P177*($G$6-$E$6)*($F$6-$E$6)),$G$6-SQRT((1-P177)*($G$6-$E$6)*($G$6-$F$6))))</f>
        <v>1.00083777488126</v>
      </c>
      <c r="C177" s="37" t="n">
        <f aca="false">1+IF($G$7=$E$7,$F$7,IF(Q177&lt;($F$7-$E$7)/($G$7-$E$7),$E$7+SQRT(Q177*($G$7-$E$7)*($F$7-$E$7)),$G$7-SQRT((1-Q177)*($G$7-$E$7)*($G$7-$F$7))))</f>
        <v>1.03451932435524</v>
      </c>
      <c r="D177" s="37" t="n">
        <f aca="false">1+IF($G$8=$E$8,$F$8,IF(R177&lt;($F$8-$E$8)/($G$8-$E$8),$E$8+SQRT(R177*($G$8-$E$8)*($F$8-$E$8)),$G$8-SQRT((1-R177)*($G$8-$E$8)*($G$8-$F$8))))</f>
        <v>0.983974579671402</v>
      </c>
      <c r="E177" s="37" t="n">
        <f aca="false">1+IF($G$9=$E$9,$F$9,IF(S177&lt;($F$9-$E$9)/($G$9-$E$9),$E$9+SQRT(S177*($G$9-$E$9)*($F$9-$E$9)),$G$9-SQRT((1-S177)*($G$9-$E$9)*($G$9-$F$9))))</f>
        <v>0.978867429951744</v>
      </c>
      <c r="F177" s="37" t="n">
        <f aca="false">1+IF($G$10=$E$10,$F$10,IF(T177&lt;($F$10-$E$10)/($G$10-$E$10),$E$10+SQRT(T177*($G$10-$E$10)*($F$10-$E$10)),$G$10-SQRT((1-T177)*($G$10-$E$10)*($G$10-$F$10))))</f>
        <v>0.977618335568176</v>
      </c>
      <c r="G177" s="38" t="n">
        <f aca="false">IF($G$11=$E$11,$F$11,IF(U177&lt;($F$11-$E$11)/($G$11-$E$11),$E$11+SQRT(U177*($G$11-$E$11)*($F$11-$E$11)),$G$11-SQRT((1-U177)*($G$11-$E$11)*($G$11-$F$11))))</f>
        <v>0.109176915186305</v>
      </c>
      <c r="H177" s="39" t="n">
        <f aca="false">(('Business Case'!B11*$C177*'Business Case'!B12*$B177)-'Business Case'!B11*$C177*'Business Case'!B13*$D177-'Business Case'!B14*$E177)-MAX(0,(('Business Case'!B11*$C177*'Business Case'!B12*$B177)-'Business Case'!B11*$C177*'Business Case'!B13*$D177-'Business Case'!B14*$E177))*'Business Case'!$B$7-'Business Case'!$B$8*('Business Case'!B11*$C177*'Business Case'!B12*$B177)-'Business Case'!B15*$F177</f>
        <v>-1955236671.13635</v>
      </c>
      <c r="I177" s="39" t="n">
        <f aca="false">(('Business Case'!C11*$C177*'Business Case'!C12*$B177)-'Business Case'!C11*$C177*'Business Case'!C13*$D177-'Business Case'!C14*$E177)-MAX(0,(('Business Case'!C11*$C177*'Business Case'!C12*$B177)-'Business Case'!C11*$C177*'Business Case'!C13*$D177-'Business Case'!C14*$E177))*'Business Case'!$B$7-'Business Case'!$B$8*(('Business Case'!C11*$C177*'Business Case'!C12*$B177)-('Business Case'!B11*$C177*'Business Case'!B12*$B177))-'Business Case'!C15*$F177</f>
        <v>36320291.7491668</v>
      </c>
      <c r="J177" s="39" t="n">
        <f aca="false">(('Business Case'!D11*$C177*'Business Case'!D12*$B177)-'Business Case'!D11*$C177*'Business Case'!D13*$D177-'Business Case'!D14*$E177)-MAX(0,(('Business Case'!D11*$C177*'Business Case'!D12*$B177)-'Business Case'!D11*$C177*'Business Case'!D13*$D177-'Business Case'!D14*$E177))*'Business Case'!$B$7-'Business Case'!$B$8*(('Business Case'!D11*$C177*'Business Case'!D12*$B177)-('Business Case'!C11*$C177*'Business Case'!C12*$B177))-'Business Case'!D15*$F177</f>
        <v>363271776.801591</v>
      </c>
      <c r="K177" s="39" t="n">
        <f aca="false">(('Business Case'!E11*$C177*'Business Case'!E12*$B177)-'Business Case'!E11*$C177*'Business Case'!E13*$D177-'Business Case'!E14*$E177)-MAX(0,(('Business Case'!E11*$C177*'Business Case'!E12*$B177)-'Business Case'!E11*$C177*'Business Case'!E13*$D177-'Business Case'!E14*$E177))*'Business Case'!$B$7-'Business Case'!$B$8*(('Business Case'!E11*$C177*'Business Case'!E12*$B177)-('Business Case'!D11*$C177*'Business Case'!D12*$B177))-'Business Case'!E15*$F177</f>
        <v>739104178.632423</v>
      </c>
      <c r="L177" s="39" t="n">
        <f aca="false">(('Business Case'!F11*$C177*'Business Case'!F12*$B177)-'Business Case'!F11*$C177*'Business Case'!F13*$D177-'Business Case'!F14*$E177)-MAX(0,(('Business Case'!F11*$C177*'Business Case'!F12*$B177)-'Business Case'!F11*$C177*'Business Case'!F13*$D177-'Business Case'!F14*$E177))*'Business Case'!$B$7-'Business Case'!$B$8*(('Business Case'!F11*$C177*'Business Case'!F12*$B177)-('Business Case'!E11*$C177*'Business Case'!E12*$B177))-'Business Case'!F15*$F177</f>
        <v>883870947.788099</v>
      </c>
      <c r="M177" s="39" t="n">
        <f aca="false">(('Business Case'!G11*$C177*'Business Case'!G12*$B177)-'Business Case'!G11*$C177*'Business Case'!G13*$D177-'Business Case'!G14*$E177)-MAX(0,(('Business Case'!G11*$C177*'Business Case'!G12*$B177)-'Business Case'!G11*$C177*'Business Case'!G13*$D177-'Business Case'!G14*$E177))*'Business Case'!$B$7-'Business Case'!$B$8*(('Business Case'!G11*$C177*'Business Case'!G12*$B177)-('Business Case'!F11*$C177*'Business Case'!F12*$B177))-'Business Case'!G15*$F177+'Business Case'!$B$8*('Business Case'!G11*$C177*'Business Case'!G12*$B177)</f>
        <v>1080677122.21487</v>
      </c>
      <c r="N177" s="39" t="n">
        <f aca="false">IF(COUNT('Business Case'!B11:G11)=0,"",H177+NPV(G177,I177:M177))</f>
        <v>142092139.098417</v>
      </c>
      <c r="P177" s="40" t="n">
        <f aca="true">RAND()</f>
        <v>0.677743416183255</v>
      </c>
      <c r="Q177" s="40" t="n">
        <f aca="true">RAND()</f>
        <v>0.802432793372307</v>
      </c>
      <c r="R177" s="40" t="n">
        <f aca="true">RAND()</f>
        <v>0.153902941846455</v>
      </c>
      <c r="S177" s="40" t="n">
        <f aca="true">RAND()</f>
        <v>0.248802860287728</v>
      </c>
      <c r="T177" s="40" t="n">
        <f aca="true">RAND()</f>
        <v>0.0508514973037574</v>
      </c>
      <c r="U177" s="40" t="n">
        <f aca="true">RAND()</f>
        <v>0.710932759227768</v>
      </c>
    </row>
    <row r="178" customFormat="false" ht="15" hidden="false" customHeight="false" outlineLevel="0" collapsed="false">
      <c r="A178" s="36" t="n">
        <v>98</v>
      </c>
      <c r="B178" s="37" t="n">
        <f aca="false">1+IF($G$6=$E$6,$F$6,IF(P178&lt;($F$6-$E$6)/($G$6-$E$6),$E$6+SQRT(P178*($G$6-$E$6)*($F$6-$E$6)),$G$6-SQRT((1-P178)*($G$6-$E$6)*($G$6-$F$6))))</f>
        <v>0.992262075134975</v>
      </c>
      <c r="C178" s="37" t="n">
        <f aca="false">1+IF($G$7=$E$7,$F$7,IF(Q178&lt;($F$7-$E$7)/($G$7-$E$7),$E$7+SQRT(Q178*($G$7-$E$7)*($F$7-$E$7)),$G$7-SQRT((1-Q178)*($G$7-$E$7)*($G$7-$F$7))))</f>
        <v>0.853669572432549</v>
      </c>
      <c r="D178" s="37" t="n">
        <f aca="false">1+IF($G$8=$E$8,$F$8,IF(R178&lt;($F$8-$E$8)/($G$8-$E$8),$E$8+SQRT(R178*($G$8-$E$8)*($F$8-$E$8)),$G$8-SQRT((1-R178)*($G$8-$E$8)*($G$8-$F$8))))</f>
        <v>1.04422105540006</v>
      </c>
      <c r="E178" s="37" t="n">
        <f aca="false">1+IF($G$9=$E$9,$F$9,IF(S178&lt;($F$9-$E$9)/($G$9-$E$9),$E$9+SQRT(S178*($G$9-$E$9)*($F$9-$E$9)),$G$9-SQRT((1-S178)*($G$9-$E$9)*($G$9-$F$9))))</f>
        <v>1.10988663445</v>
      </c>
      <c r="F178" s="37" t="n">
        <f aca="false">1+IF($G$10=$E$10,$F$10,IF(T178&lt;($F$10-$E$10)/($G$10-$E$10),$E$10+SQRT(T178*($G$10-$E$10)*($F$10-$E$10)),$G$10-SQRT((1-T178)*($G$10-$E$10)*($G$10-$F$10))))</f>
        <v>1.00665760518442</v>
      </c>
      <c r="G178" s="38" t="n">
        <f aca="false">IF($G$11=$E$11,$F$11,IF(U178&lt;($F$11-$E$11)/($G$11-$E$11),$E$11+SQRT(U178*($G$11-$E$11)*($F$11-$E$11)),$G$11-SQRT((1-U178)*($G$11-$E$11)*($G$11-$F$11))))</f>
        <v>0.0997866367373636</v>
      </c>
      <c r="H178" s="39" t="n">
        <f aca="false">(('Business Case'!B11*$C178*'Business Case'!B12*$B178)-'Business Case'!B11*$C178*'Business Case'!B13*$D178-'Business Case'!B14*$E178)-MAX(0,(('Business Case'!B11*$C178*'Business Case'!B12*$B178)-'Business Case'!B11*$C178*'Business Case'!B13*$D178-'Business Case'!B14*$E178))*'Business Case'!$B$7-'Business Case'!$B$8*('Business Case'!B11*$C178*'Business Case'!B12*$B178)-'Business Case'!B15*$F178</f>
        <v>-2013315210.36885</v>
      </c>
      <c r="I178" s="39" t="n">
        <f aca="false">(('Business Case'!C11*$C178*'Business Case'!C12*$B178)-'Business Case'!C11*$C178*'Business Case'!C13*$D178-'Business Case'!C14*$E178)-MAX(0,(('Business Case'!C11*$C178*'Business Case'!C12*$B178)-'Business Case'!C11*$C178*'Business Case'!C13*$D178-'Business Case'!C14*$E178))*'Business Case'!$B$7-'Business Case'!$B$8*(('Business Case'!C11*$C178*'Business Case'!C12*$B178)-('Business Case'!B11*$C178*'Business Case'!B12*$B178))-'Business Case'!C15*$F178</f>
        <v>-64932672.3000519</v>
      </c>
      <c r="J178" s="39" t="n">
        <f aca="false">(('Business Case'!D11*$C178*'Business Case'!D12*$B178)-'Business Case'!D11*$C178*'Business Case'!D13*$D178-'Business Case'!D14*$E178)-MAX(0,(('Business Case'!D11*$C178*'Business Case'!D12*$B178)-'Business Case'!D11*$C178*'Business Case'!D13*$D178-'Business Case'!D14*$E178))*'Business Case'!$B$7-'Business Case'!$B$8*(('Business Case'!D11*$C178*'Business Case'!D12*$B178)-('Business Case'!C11*$C178*'Business Case'!C12*$B178))-'Business Case'!D15*$F178</f>
        <v>172538090.060419</v>
      </c>
      <c r="K178" s="39" t="n">
        <f aca="false">(('Business Case'!E11*$C178*'Business Case'!E12*$B178)-'Business Case'!E11*$C178*'Business Case'!E13*$D178-'Business Case'!E14*$E178)-MAX(0,(('Business Case'!E11*$C178*'Business Case'!E12*$B178)-'Business Case'!E11*$C178*'Business Case'!E13*$D178-'Business Case'!E14*$E178))*'Business Case'!$B$7-'Business Case'!$B$8*(('Business Case'!E11*$C178*'Business Case'!E12*$B178)-('Business Case'!D11*$C178*'Business Case'!D12*$B178))-'Business Case'!E15*$F178</f>
        <v>460341732.680112</v>
      </c>
      <c r="L178" s="39" t="n">
        <f aca="false">(('Business Case'!F11*$C178*'Business Case'!F12*$B178)-'Business Case'!F11*$C178*'Business Case'!F13*$D178-'Business Case'!F14*$E178)-MAX(0,(('Business Case'!F11*$C178*'Business Case'!F12*$B178)-'Business Case'!F11*$C178*'Business Case'!F13*$D178-'Business Case'!F14*$E178))*'Business Case'!$B$7-'Business Case'!$B$8*(('Business Case'!F11*$C178*'Business Case'!F12*$B178)-('Business Case'!E11*$C178*'Business Case'!E12*$B178))-'Business Case'!F15*$F178</f>
        <v>568773183.282462</v>
      </c>
      <c r="M178" s="39" t="n">
        <f aca="false">(('Business Case'!G11*$C178*'Business Case'!G12*$B178)-'Business Case'!G11*$C178*'Business Case'!G13*$D178-'Business Case'!G14*$E178)-MAX(0,(('Business Case'!G11*$C178*'Business Case'!G12*$B178)-'Business Case'!G11*$C178*'Business Case'!G13*$D178-'Business Case'!G14*$E178))*'Business Case'!$B$7-'Business Case'!$B$8*(('Business Case'!G11*$C178*'Business Case'!G12*$B178)-('Business Case'!F11*$C178*'Business Case'!F12*$B178))-'Business Case'!G15*$F178+'Business Case'!$B$8*('Business Case'!G11*$C178*'Business Case'!G12*$B178)</f>
        <v>729783097.267863</v>
      </c>
      <c r="N178" s="39" t="n">
        <f aca="false">IF(COUNT('Business Case'!B11:G11)=0,"",H178+NPV(G178,I178:M178))</f>
        <v>-741285774.614928</v>
      </c>
      <c r="P178" s="40" t="n">
        <f aca="true">RAND()</f>
        <v>0.567486033880789</v>
      </c>
      <c r="Q178" s="40" t="n">
        <f aca="true">RAND()</f>
        <v>0.174921018456314</v>
      </c>
      <c r="R178" s="40" t="n">
        <f aca="true">RAND()</f>
        <v>0.792580622621106</v>
      </c>
      <c r="S178" s="40" t="n">
        <f aca="true">RAND()</f>
        <v>0.957091144113385</v>
      </c>
      <c r="T178" s="40" t="n">
        <f aca="true">RAND()</f>
        <v>0.210459718472264</v>
      </c>
      <c r="U178" s="40" t="n">
        <f aca="true">RAND()</f>
        <v>0.391510993376387</v>
      </c>
    </row>
    <row r="179" customFormat="false" ht="15" hidden="false" customHeight="false" outlineLevel="0" collapsed="false">
      <c r="A179" s="36" t="n">
        <v>99</v>
      </c>
      <c r="B179" s="37" t="n">
        <f aca="false">1+IF($G$6=$E$6,$F$6,IF(P179&lt;($F$6-$E$6)/($G$6-$E$6),$E$6+SQRT(P179*($G$6-$E$6)*($F$6-$E$6)),$G$6-SQRT((1-P179)*($G$6-$E$6)*($G$6-$F$6))))</f>
        <v>1.0194486175728</v>
      </c>
      <c r="C179" s="37" t="n">
        <f aca="false">1+IF($G$7=$E$7,$F$7,IF(Q179&lt;($F$7-$E$7)/($G$7-$E$7),$E$7+SQRT(Q179*($G$7-$E$7)*($F$7-$E$7)),$G$7-SQRT((1-Q179)*($G$7-$E$7)*($G$7-$F$7))))</f>
        <v>0.826138295806729</v>
      </c>
      <c r="D179" s="37" t="n">
        <f aca="false">1+IF($G$8=$E$8,$F$8,IF(R179&lt;($F$8-$E$8)/($G$8-$E$8),$E$8+SQRT(R179*($G$8-$E$8)*($F$8-$E$8)),$G$8-SQRT((1-R179)*($G$8-$E$8)*($G$8-$F$8))))</f>
        <v>1.07279769022569</v>
      </c>
      <c r="E179" s="37" t="n">
        <f aca="false">1+IF($G$9=$E$9,$F$9,IF(S179&lt;($F$9-$E$9)/($G$9-$E$9),$E$9+SQRT(S179*($G$9-$E$9)*($F$9-$E$9)),$G$9-SQRT((1-S179)*($G$9-$E$9)*($G$9-$F$9))))</f>
        <v>1.00692007098559</v>
      </c>
      <c r="F179" s="37" t="n">
        <f aca="false">1+IF($G$10=$E$10,$F$10,IF(T179&lt;($F$10-$E$10)/($G$10-$E$10),$E$10+SQRT(T179*($G$10-$E$10)*($F$10-$E$10)),$G$10-SQRT((1-T179)*($G$10-$E$10)*($G$10-$F$10))))</f>
        <v>1.04818807581804</v>
      </c>
      <c r="G179" s="38" t="n">
        <f aca="false">IF($G$11=$E$11,$F$11,IF(U179&lt;($F$11-$E$11)/($G$11-$E$11),$E$11+SQRT(U179*($G$11-$E$11)*($F$11-$E$11)),$G$11-SQRT((1-U179)*($G$11-$E$11)*($G$11-$F$11))))</f>
        <v>0.0940999732660883</v>
      </c>
      <c r="H179" s="39" t="n">
        <f aca="false">(('Business Case'!B11*$C179*'Business Case'!B12*$B179)-'Business Case'!B11*$C179*'Business Case'!B13*$D179-'Business Case'!B14*$E179)-MAX(0,(('Business Case'!B11*$C179*'Business Case'!B12*$B179)-'Business Case'!B11*$C179*'Business Case'!B13*$D179-'Business Case'!B14*$E179))*'Business Case'!$B$7-'Business Case'!$B$8*('Business Case'!B11*$C179*'Business Case'!B12*$B179)-'Business Case'!B15*$F179</f>
        <v>-2096376151.63607</v>
      </c>
      <c r="I179" s="39" t="n">
        <f aca="false">(('Business Case'!C11*$C179*'Business Case'!C12*$B179)-'Business Case'!C11*$C179*'Business Case'!C13*$D179-'Business Case'!C14*$E179)-MAX(0,(('Business Case'!C11*$C179*'Business Case'!C12*$B179)-'Business Case'!C11*$C179*'Business Case'!C13*$D179-'Business Case'!C14*$E179))*'Business Case'!$B$7-'Business Case'!$B$8*(('Business Case'!C11*$C179*'Business Case'!C12*$B179)-('Business Case'!B11*$C179*'Business Case'!B12*$B179))-'Business Case'!C15*$F179</f>
        <v>-55539874.5611864</v>
      </c>
      <c r="J179" s="39" t="n">
        <f aca="false">(('Business Case'!D11*$C179*'Business Case'!D12*$B179)-'Business Case'!D11*$C179*'Business Case'!D13*$D179-'Business Case'!D14*$E179)-MAX(0,(('Business Case'!D11*$C179*'Business Case'!D12*$B179)-'Business Case'!D11*$C179*'Business Case'!D13*$D179-'Business Case'!D14*$E179))*'Business Case'!$B$7-'Business Case'!$B$8*(('Business Case'!D11*$C179*'Business Case'!D12*$B179)-('Business Case'!C11*$C179*'Business Case'!C12*$B179))-'Business Case'!D15*$F179</f>
        <v>180583027.932982</v>
      </c>
      <c r="K179" s="39" t="n">
        <f aca="false">(('Business Case'!E11*$C179*'Business Case'!E12*$B179)-'Business Case'!E11*$C179*'Business Case'!E13*$D179-'Business Case'!E14*$E179)-MAX(0,(('Business Case'!E11*$C179*'Business Case'!E12*$B179)-'Business Case'!E11*$C179*'Business Case'!E13*$D179-'Business Case'!E14*$E179))*'Business Case'!$B$7-'Business Case'!$B$8*(('Business Case'!E11*$C179*'Business Case'!E12*$B179)-('Business Case'!D11*$C179*'Business Case'!D12*$B179))-'Business Case'!E15*$F179</f>
        <v>469115334.218051</v>
      </c>
      <c r="L179" s="39" t="n">
        <f aca="false">(('Business Case'!F11*$C179*'Business Case'!F12*$B179)-'Business Case'!F11*$C179*'Business Case'!F13*$D179-'Business Case'!F14*$E179)-MAX(0,(('Business Case'!F11*$C179*'Business Case'!F12*$B179)-'Business Case'!F11*$C179*'Business Case'!F13*$D179-'Business Case'!F14*$E179))*'Business Case'!$B$7-'Business Case'!$B$8*(('Business Case'!F11*$C179*'Business Case'!F12*$B179)-('Business Case'!E11*$C179*'Business Case'!E12*$B179))-'Business Case'!F15*$F179</f>
        <v>576929591.969041</v>
      </c>
      <c r="M179" s="39" t="n">
        <f aca="false">(('Business Case'!G11*$C179*'Business Case'!G12*$B179)-'Business Case'!G11*$C179*'Business Case'!G13*$D179-'Business Case'!G14*$E179)-MAX(0,(('Business Case'!G11*$C179*'Business Case'!G12*$B179)-'Business Case'!G11*$C179*'Business Case'!G13*$D179-'Business Case'!G14*$E179))*'Business Case'!$B$7-'Business Case'!$B$8*(('Business Case'!G11*$C179*'Business Case'!G12*$B179)-('Business Case'!F11*$C179*'Business Case'!F12*$B179))-'Business Case'!G15*$F179+'Business Case'!$B$8*('Business Case'!G11*$C179*'Business Case'!G12*$B179)</f>
        <v>737016021.69351</v>
      </c>
      <c r="N179" s="39" t="n">
        <f aca="false">IF(COUNT('Business Case'!B11:G11)=0,"",H179+NPV(G179,I179:M179))</f>
        <v>-765375850.934791</v>
      </c>
      <c r="P179" s="40" t="n">
        <f aca="true">RAND()</f>
        <v>0.87554840423823</v>
      </c>
      <c r="Q179" s="40" t="n">
        <f aca="true">RAND()</f>
        <v>0.117858293844636</v>
      </c>
      <c r="R179" s="40" t="n">
        <f aca="true">RAND()</f>
        <v>0.950668956196164</v>
      </c>
      <c r="S179" s="40" t="n">
        <f aca="true">RAND()</f>
        <v>0.454083571019465</v>
      </c>
      <c r="T179" s="40" t="n">
        <f aca="true">RAND()</f>
        <v>0.456959296772979</v>
      </c>
      <c r="U179" s="40" t="n">
        <f aca="true">RAND()</f>
        <v>0.198809246104405</v>
      </c>
    </row>
    <row r="180" customFormat="false" ht="15" hidden="false" customHeight="false" outlineLevel="0" collapsed="false">
      <c r="A180" s="36" t="n">
        <v>100</v>
      </c>
      <c r="B180" s="37" t="n">
        <f aca="false">1+IF($G$6=$E$6,$F$6,IF(P180&lt;($F$6-$E$6)/($G$6-$E$6),$E$6+SQRT(P180*($G$6-$E$6)*($F$6-$E$6)),$G$6-SQRT((1-P180)*($G$6-$E$6)*($G$6-$F$6))))</f>
        <v>0.926235005923557</v>
      </c>
      <c r="C180" s="37" t="n">
        <f aca="false">1+IF($G$7=$E$7,$F$7,IF(Q180&lt;($F$7-$E$7)/($G$7-$E$7),$E$7+SQRT(Q180*($G$7-$E$7)*($F$7-$E$7)),$G$7-SQRT((1-Q180)*($G$7-$E$7)*($G$7-$F$7))))</f>
        <v>1.06533114276886</v>
      </c>
      <c r="D180" s="37" t="n">
        <f aca="false">1+IF($G$8=$E$8,$F$8,IF(R180&lt;($F$8-$E$8)/($G$8-$E$8),$E$8+SQRT(R180*($G$8-$E$8)*($F$8-$E$8)),$G$8-SQRT((1-R180)*($G$8-$E$8)*($G$8-$F$8))))</f>
        <v>1.05203497140525</v>
      </c>
      <c r="E180" s="37" t="n">
        <f aca="false">1+IF($G$9=$E$9,$F$9,IF(S180&lt;($F$9-$E$9)/($G$9-$E$9),$E$9+SQRT(S180*($G$9-$E$9)*($F$9-$E$9)),$G$9-SQRT((1-S180)*($G$9-$E$9)*($G$9-$F$9))))</f>
        <v>0.923388829251437</v>
      </c>
      <c r="F180" s="37" t="n">
        <f aca="false">1+IF($G$10=$E$10,$F$10,IF(T180&lt;($F$10-$E$10)/($G$10-$E$10),$E$10+SQRT(T180*($G$10-$E$10)*($F$10-$E$10)),$G$10-SQRT((1-T180)*($G$10-$E$10)*($G$10-$F$10))))</f>
        <v>1.07454075524486</v>
      </c>
      <c r="G180" s="38" t="n">
        <f aca="false">IF($G$11=$E$11,$F$11,IF(U180&lt;($F$11-$E$11)/($G$11-$E$11),$E$11+SQRT(U180*($G$11-$E$11)*($F$11-$E$11)),$G$11-SQRT((1-U180)*($G$11-$E$11)*($G$11-$F$11))))</f>
        <v>0.116751840932454</v>
      </c>
      <c r="H180" s="39" t="n">
        <f aca="false">(('Business Case'!B11*$C180*'Business Case'!B12*$B180)-'Business Case'!B11*$C180*'Business Case'!B13*$D180-'Business Case'!B14*$E180)-MAX(0,(('Business Case'!B11*$C180*'Business Case'!B12*$B180)-'Business Case'!B11*$C180*'Business Case'!B13*$D180-'Business Case'!B14*$E180))*'Business Case'!$B$7-'Business Case'!$B$8*('Business Case'!B11*$C180*'Business Case'!B12*$B180)-'Business Case'!B15*$F180</f>
        <v>-2149081510.48972</v>
      </c>
      <c r="I180" s="39" t="n">
        <f aca="false">(('Business Case'!C11*$C180*'Business Case'!C12*$B180)-'Business Case'!C11*$C180*'Business Case'!C13*$D180-'Business Case'!C14*$E180)-MAX(0,(('Business Case'!C11*$C180*'Business Case'!C12*$B180)-'Business Case'!C11*$C180*'Business Case'!C13*$D180-'Business Case'!C14*$E180))*'Business Case'!$B$7-'Business Case'!$B$8*(('Business Case'!C11*$C180*'Business Case'!C12*$B180)-('Business Case'!B11*$C180*'Business Case'!B12*$B180))-'Business Case'!C15*$F180</f>
        <v>-55438430.1165545</v>
      </c>
      <c r="J180" s="39" t="n">
        <f aca="false">(('Business Case'!D11*$C180*'Business Case'!D12*$B180)-'Business Case'!D11*$C180*'Business Case'!D13*$D180-'Business Case'!D14*$E180)-MAX(0,(('Business Case'!D11*$C180*'Business Case'!D12*$B180)-'Business Case'!D11*$C180*'Business Case'!D13*$D180-'Business Case'!D14*$E180))*'Business Case'!$B$7-'Business Case'!$B$8*(('Business Case'!D11*$C180*'Business Case'!D12*$B180)-('Business Case'!C11*$C180*'Business Case'!C12*$B180))-'Business Case'!D15*$F180</f>
        <v>179036071.152677</v>
      </c>
      <c r="K180" s="39" t="n">
        <f aca="false">(('Business Case'!E11*$C180*'Business Case'!E12*$B180)-'Business Case'!E11*$C180*'Business Case'!E13*$D180-'Business Case'!E14*$E180)-MAX(0,(('Business Case'!E11*$C180*'Business Case'!E12*$B180)-'Business Case'!E11*$C180*'Business Case'!E13*$D180-'Business Case'!E14*$E180))*'Business Case'!$B$7-'Business Case'!$B$8*(('Business Case'!E11*$C180*'Business Case'!E12*$B180)-('Business Case'!D11*$C180*'Business Case'!D12*$B180))-'Business Case'!E15*$F180</f>
        <v>467237610.184152</v>
      </c>
      <c r="L180" s="39" t="n">
        <f aca="false">(('Business Case'!F11*$C180*'Business Case'!F12*$B180)-'Business Case'!F11*$C180*'Business Case'!F13*$D180-'Business Case'!F14*$E180)-MAX(0,(('Business Case'!F11*$C180*'Business Case'!F12*$B180)-'Business Case'!F11*$C180*'Business Case'!F13*$D180-'Business Case'!F14*$E180))*'Business Case'!$B$7-'Business Case'!$B$8*(('Business Case'!F11*$C180*'Business Case'!F12*$B180)-('Business Case'!E11*$C180*'Business Case'!E12*$B180))-'Business Case'!F15*$F180</f>
        <v>579497753.501727</v>
      </c>
      <c r="M180" s="39" t="n">
        <f aca="false">(('Business Case'!G11*$C180*'Business Case'!G12*$B180)-'Business Case'!G11*$C180*'Business Case'!G13*$D180-'Business Case'!G14*$E180)-MAX(0,(('Business Case'!G11*$C180*'Business Case'!G12*$B180)-'Business Case'!G11*$C180*'Business Case'!G13*$D180-'Business Case'!G14*$E180))*'Business Case'!$B$7-'Business Case'!$B$8*(('Business Case'!G11*$C180*'Business Case'!G12*$B180)-('Business Case'!F11*$C180*'Business Case'!F12*$B180))-'Business Case'!G15*$F180+'Business Case'!$B$8*('Business Case'!G11*$C180*'Business Case'!G12*$B180)</f>
        <v>767058622.754796</v>
      </c>
      <c r="N180" s="39" t="n">
        <f aca="false">IF(COUNT('Business Case'!B11:G11)=0,"",H180+NPV(G180,I180:M180))</f>
        <v>-905484173.906537</v>
      </c>
      <c r="P180" s="40" t="n">
        <f aca="true">RAND()</f>
        <v>0.0458850357206056</v>
      </c>
      <c r="Q180" s="40" t="n">
        <f aca="true">RAND()</f>
        <v>0.893795327632189</v>
      </c>
      <c r="R180" s="40" t="n">
        <f aca="true">RAND()</f>
        <v>0.846623735460348</v>
      </c>
      <c r="S180" s="40" t="n">
        <f aca="true">RAND()</f>
        <v>0.0218814933501143</v>
      </c>
      <c r="T180" s="40" t="n">
        <f aca="true">RAND()</f>
        <v>0.589520712399417</v>
      </c>
      <c r="U180" s="40" t="n">
        <f aca="true">RAND()</f>
        <v>0.882990854213994</v>
      </c>
    </row>
    <row r="181" customFormat="false" ht="15" hidden="false" customHeight="false" outlineLevel="0" collapsed="false">
      <c r="A181" s="36" t="n">
        <v>101</v>
      </c>
      <c r="B181" s="37" t="n">
        <f aca="false">1+IF($G$6=$E$6,$F$6,IF(P181&lt;($F$6-$E$6)/($G$6-$E$6),$E$6+SQRT(P181*($G$6-$E$6)*($F$6-$E$6)),$G$6-SQRT((1-P181)*($G$6-$E$6)*($G$6-$F$6))))</f>
        <v>1.03234264005135</v>
      </c>
      <c r="C181" s="37" t="n">
        <f aca="false">1+IF($G$7=$E$7,$F$7,IF(Q181&lt;($F$7-$E$7)/($G$7-$E$7),$E$7+SQRT(Q181*($G$7-$E$7)*($F$7-$E$7)),$G$7-SQRT((1-Q181)*($G$7-$E$7)*($G$7-$F$7))))</f>
        <v>0.931381684292359</v>
      </c>
      <c r="D181" s="37" t="n">
        <f aca="false">1+IF($G$8=$E$8,$F$8,IF(R181&lt;($F$8-$E$8)/($G$8-$E$8),$E$8+SQRT(R181*($G$8-$E$8)*($F$8-$E$8)),$G$8-SQRT((1-R181)*($G$8-$E$8)*($G$8-$F$8))))</f>
        <v>1.03609036020181</v>
      </c>
      <c r="E181" s="37" t="n">
        <f aca="false">1+IF($G$9=$E$9,$F$9,IF(S181&lt;($F$9-$E$9)/($G$9-$E$9),$E$9+SQRT(S181*($G$9-$E$9)*($F$9-$E$9)),$G$9-SQRT((1-S181)*($G$9-$E$9)*($G$9-$F$9))))</f>
        <v>1.10227634673113</v>
      </c>
      <c r="F181" s="37" t="n">
        <f aca="false">1+IF($G$10=$E$10,$F$10,IF(T181&lt;($F$10-$E$10)/($G$10-$E$10),$E$10+SQRT(T181*($G$10-$E$10)*($F$10-$E$10)),$G$10-SQRT((1-T181)*($G$10-$E$10)*($G$10-$F$10))))</f>
        <v>0.971120473167803</v>
      </c>
      <c r="G181" s="38" t="n">
        <f aca="false">IF($G$11=$E$11,$F$11,IF(U181&lt;($F$11-$E$11)/($G$11-$E$11),$E$11+SQRT(U181*($G$11-$E$11)*($F$11-$E$11)),$G$11-SQRT((1-U181)*($G$11-$E$11)*($G$11-$F$11))))</f>
        <v>0.106110743812827</v>
      </c>
      <c r="H181" s="39" t="n">
        <f aca="false">(('Business Case'!B11*$C181*'Business Case'!B12*$B181)-'Business Case'!B11*$C181*'Business Case'!B13*$D181-'Business Case'!B14*$E181)-MAX(0,(('Business Case'!B11*$C181*'Business Case'!B12*$B181)-'Business Case'!B11*$C181*'Business Case'!B13*$D181-'Business Case'!B14*$E181))*'Business Case'!$B$7-'Business Case'!$B$8*('Business Case'!B11*$C181*'Business Case'!B12*$B181)-'Business Case'!B15*$F181</f>
        <v>-1942240946.33561</v>
      </c>
      <c r="I181" s="39" t="n">
        <f aca="false">(('Business Case'!C11*$C181*'Business Case'!C12*$B181)-'Business Case'!C11*$C181*'Business Case'!C13*$D181-'Business Case'!C14*$E181)-MAX(0,(('Business Case'!C11*$C181*'Business Case'!C12*$B181)-'Business Case'!C11*$C181*'Business Case'!C13*$D181-'Business Case'!C14*$E181))*'Business Case'!$B$7-'Business Case'!$B$8*(('Business Case'!C11*$C181*'Business Case'!C12*$B181)-('Business Case'!B11*$C181*'Business Case'!B12*$B181))-'Business Case'!C15*$F181</f>
        <v>-10158858.8080531</v>
      </c>
      <c r="J181" s="39" t="n">
        <f aca="false">(('Business Case'!D11*$C181*'Business Case'!D12*$B181)-'Business Case'!D11*$C181*'Business Case'!D13*$D181-'Business Case'!D14*$E181)-MAX(0,(('Business Case'!D11*$C181*'Business Case'!D12*$B181)-'Business Case'!D11*$C181*'Business Case'!D13*$D181-'Business Case'!D14*$E181))*'Business Case'!$B$7-'Business Case'!$B$8*(('Business Case'!D11*$C181*'Business Case'!D12*$B181)-('Business Case'!C11*$C181*'Business Case'!C12*$B181))-'Business Case'!D15*$F181</f>
        <v>283382446.798151</v>
      </c>
      <c r="K181" s="39" t="n">
        <f aca="false">(('Business Case'!E11*$C181*'Business Case'!E12*$B181)-'Business Case'!E11*$C181*'Business Case'!E13*$D181-'Business Case'!E14*$E181)-MAX(0,(('Business Case'!E11*$C181*'Business Case'!E12*$B181)-'Business Case'!E11*$C181*'Business Case'!E13*$D181-'Business Case'!E14*$E181))*'Business Case'!$B$7-'Business Case'!$B$8*(('Business Case'!E11*$C181*'Business Case'!E12*$B181)-('Business Case'!D11*$C181*'Business Case'!D12*$B181))-'Business Case'!E15*$F181</f>
        <v>625479776.062745</v>
      </c>
      <c r="L181" s="39" t="n">
        <f aca="false">(('Business Case'!F11*$C181*'Business Case'!F12*$B181)-'Business Case'!F11*$C181*'Business Case'!F13*$D181-'Business Case'!F14*$E181)-MAX(0,(('Business Case'!F11*$C181*'Business Case'!F12*$B181)-'Business Case'!F11*$C181*'Business Case'!F13*$D181-'Business Case'!F14*$E181))*'Business Case'!$B$7-'Business Case'!$B$8*(('Business Case'!F11*$C181*'Business Case'!F12*$B181)-('Business Case'!E11*$C181*'Business Case'!E12*$B181))-'Business Case'!F15*$F181</f>
        <v>756556491.659687</v>
      </c>
      <c r="M181" s="39" t="n">
        <f aca="false">(('Business Case'!G11*$C181*'Business Case'!G12*$B181)-'Business Case'!G11*$C181*'Business Case'!G13*$D181-'Business Case'!G14*$E181)-MAX(0,(('Business Case'!G11*$C181*'Business Case'!G12*$B181)-'Business Case'!G11*$C181*'Business Case'!G13*$D181-'Business Case'!G14*$E181))*'Business Case'!$B$7-'Business Case'!$B$8*(('Business Case'!G11*$C181*'Business Case'!G12*$B181)-('Business Case'!F11*$C181*'Business Case'!F12*$B181))-'Business Case'!G15*$F181+'Business Case'!$B$8*('Business Case'!G11*$C181*'Business Case'!G12*$B181)</f>
        <v>939319367.164827</v>
      </c>
      <c r="N181" s="39" t="n">
        <f aca="false">IF(COUNT('Business Case'!B11:G11)=0,"",H181+NPV(G181,I181:M181))</f>
        <v>-184895420.846207</v>
      </c>
      <c r="P181" s="40" t="n">
        <f aca="true">RAND()</f>
        <v>0.958429018619171</v>
      </c>
      <c r="Q181" s="40" t="n">
        <f aca="true">RAND()</f>
        <v>0.396573954266437</v>
      </c>
      <c r="R181" s="40" t="n">
        <f aca="true">RAND()</f>
        <v>0.727703862724395</v>
      </c>
      <c r="S181" s="40" t="n">
        <f aca="true">RAND()</f>
        <v>0.939265411164599</v>
      </c>
      <c r="T181" s="40" t="n">
        <f aca="true">RAND()</f>
        <v>0.0297382924554585</v>
      </c>
      <c r="U181" s="40" t="n">
        <f aca="true">RAND()</f>
        <v>0.619535625882421</v>
      </c>
    </row>
    <row r="182" customFormat="false" ht="15" hidden="false" customHeight="false" outlineLevel="0" collapsed="false">
      <c r="A182" s="36" t="n">
        <v>102</v>
      </c>
      <c r="B182" s="37" t="n">
        <f aca="false">1+IF($G$6=$E$6,$F$6,IF(P182&lt;($F$6-$E$6)/($G$6-$E$6),$E$6+SQRT(P182*($G$6-$E$6)*($F$6-$E$6)),$G$6-SQRT((1-P182)*($G$6-$E$6)*($G$6-$F$6))))</f>
        <v>0.997121266776332</v>
      </c>
      <c r="C182" s="37" t="n">
        <f aca="false">1+IF($G$7=$E$7,$F$7,IF(Q182&lt;($F$7-$E$7)/($G$7-$E$7),$E$7+SQRT(Q182*($G$7-$E$7)*($F$7-$E$7)),$G$7-SQRT((1-Q182)*($G$7-$E$7)*($G$7-$F$7))))</f>
        <v>0.858772679753574</v>
      </c>
      <c r="D182" s="37" t="n">
        <f aca="false">1+IF($G$8=$E$8,$F$8,IF(R182&lt;($F$8-$E$8)/($G$8-$E$8),$E$8+SQRT(R182*($G$8-$E$8)*($F$8-$E$8)),$G$8-SQRT((1-R182)*($G$8-$E$8)*($G$8-$F$8))))</f>
        <v>1.02809656572199</v>
      </c>
      <c r="E182" s="37" t="n">
        <f aca="false">1+IF($G$9=$E$9,$F$9,IF(S182&lt;($F$9-$E$9)/($G$9-$E$9),$E$9+SQRT(S182*($G$9-$E$9)*($F$9-$E$9)),$G$9-SQRT((1-S182)*($G$9-$E$9)*($G$9-$F$9))))</f>
        <v>1.04433667285824</v>
      </c>
      <c r="F182" s="37" t="n">
        <f aca="false">1+IF($G$10=$E$10,$F$10,IF(T182&lt;($F$10-$E$10)/($G$10-$E$10),$E$10+SQRT(T182*($G$10-$E$10)*($F$10-$E$10)),$G$10-SQRT((1-T182)*($G$10-$E$10)*($G$10-$F$10))))</f>
        <v>1.02533538346114</v>
      </c>
      <c r="G182" s="38" t="n">
        <f aca="false">IF($G$11=$E$11,$F$11,IF(U182&lt;($F$11-$E$11)/($G$11-$E$11),$E$11+SQRT(U182*($G$11-$E$11)*($F$11-$E$11)),$G$11-SQRT((1-U182)*($G$11-$E$11)*($G$11-$F$11))))</f>
        <v>0.112281990026037</v>
      </c>
      <c r="H182" s="39" t="n">
        <f aca="false">(('Business Case'!B11*$C182*'Business Case'!B12*$B182)-'Business Case'!B11*$C182*'Business Case'!B13*$D182-'Business Case'!B14*$E182)-MAX(0,(('Business Case'!B11*$C182*'Business Case'!B12*$B182)-'Business Case'!B11*$C182*'Business Case'!B13*$D182-'Business Case'!B14*$E182))*'Business Case'!$B$7-'Business Case'!$B$8*('Business Case'!B11*$C182*'Business Case'!B12*$B182)-'Business Case'!B15*$F182</f>
        <v>-2050670766.92227</v>
      </c>
      <c r="I182" s="39" t="n">
        <f aca="false">(('Business Case'!C11*$C182*'Business Case'!C12*$B182)-'Business Case'!C11*$C182*'Business Case'!C13*$D182-'Business Case'!C14*$E182)-MAX(0,(('Business Case'!C11*$C182*'Business Case'!C12*$B182)-'Business Case'!C11*$C182*'Business Case'!C13*$D182-'Business Case'!C14*$E182))*'Business Case'!$B$7-'Business Case'!$B$8*(('Business Case'!C11*$C182*'Business Case'!C12*$B182)-('Business Case'!B11*$C182*'Business Case'!B12*$B182))-'Business Case'!C15*$F182</f>
        <v>-46031870.4485032</v>
      </c>
      <c r="J182" s="39" t="n">
        <f aca="false">(('Business Case'!D11*$C182*'Business Case'!D12*$B182)-'Business Case'!D11*$C182*'Business Case'!D13*$D182-'Business Case'!D14*$E182)-MAX(0,(('Business Case'!D11*$C182*'Business Case'!D12*$B182)-'Business Case'!D11*$C182*'Business Case'!D13*$D182-'Business Case'!D14*$E182))*'Business Case'!$B$7-'Business Case'!$B$8*(('Business Case'!D11*$C182*'Business Case'!D12*$B182)-('Business Case'!C11*$C182*'Business Case'!C12*$B182))-'Business Case'!D15*$F182</f>
        <v>203365090.369237</v>
      </c>
      <c r="K182" s="39" t="n">
        <f aca="false">(('Business Case'!E11*$C182*'Business Case'!E12*$B182)-'Business Case'!E11*$C182*'Business Case'!E13*$D182-'Business Case'!E14*$E182)-MAX(0,(('Business Case'!E11*$C182*'Business Case'!E12*$B182)-'Business Case'!E11*$C182*'Business Case'!E13*$D182-'Business Case'!E14*$E182))*'Business Case'!$B$7-'Business Case'!$B$8*(('Business Case'!E11*$C182*'Business Case'!E12*$B182)-('Business Case'!D11*$C182*'Business Case'!D12*$B182))-'Business Case'!E15*$F182</f>
        <v>504028820.360033</v>
      </c>
      <c r="L182" s="39" t="n">
        <f aca="false">(('Business Case'!F11*$C182*'Business Case'!F12*$B182)-'Business Case'!F11*$C182*'Business Case'!F13*$D182-'Business Case'!F14*$E182)-MAX(0,(('Business Case'!F11*$C182*'Business Case'!F12*$B182)-'Business Case'!F11*$C182*'Business Case'!F13*$D182-'Business Case'!F14*$E182))*'Business Case'!$B$7-'Business Case'!$B$8*(('Business Case'!F11*$C182*'Business Case'!F12*$B182)-('Business Case'!E11*$C182*'Business Case'!E12*$B182))-'Business Case'!F15*$F182</f>
        <v>616754885.992405</v>
      </c>
      <c r="M182" s="39" t="n">
        <f aca="false">(('Business Case'!G11*$C182*'Business Case'!G12*$B182)-'Business Case'!G11*$C182*'Business Case'!G13*$D182-'Business Case'!G14*$E182)-MAX(0,(('Business Case'!G11*$C182*'Business Case'!G12*$B182)-'Business Case'!G11*$C182*'Business Case'!G13*$D182-'Business Case'!G14*$E182))*'Business Case'!$B$7-'Business Case'!$B$8*(('Business Case'!G11*$C182*'Business Case'!G12*$B182)-('Business Case'!F11*$C182*'Business Case'!F12*$B182))-'Business Case'!G15*$F182+'Business Case'!$B$8*('Business Case'!G11*$C182*'Business Case'!G12*$B182)</f>
        <v>779520485.47126</v>
      </c>
      <c r="N182" s="39" t="n">
        <f aca="false">IF(COUNT('Business Case'!B11:G11)=0,"",H182+NPV(G182,I182:M182))</f>
        <v>-700565801.027537</v>
      </c>
      <c r="P182" s="40" t="n">
        <f aca="true">RAND()</f>
        <v>0.628836030682631</v>
      </c>
      <c r="Q182" s="40" t="n">
        <f aca="true">RAND()</f>
        <v>0.18673158397134</v>
      </c>
      <c r="R182" s="40" t="n">
        <f aca="true">RAND()</f>
        <v>0.655326409268563</v>
      </c>
      <c r="S182" s="40" t="n">
        <f aca="true">RAND()</f>
        <v>0.702273634595564</v>
      </c>
      <c r="T182" s="40" t="n">
        <f aca="true">RAND()</f>
        <v>0.327010801005929</v>
      </c>
      <c r="U182" s="40" t="n">
        <f aca="true">RAND()</f>
        <v>0.790714748375032</v>
      </c>
    </row>
    <row r="183" customFormat="false" ht="15" hidden="false" customHeight="false" outlineLevel="0" collapsed="false">
      <c r="A183" s="36" t="n">
        <v>103</v>
      </c>
      <c r="B183" s="37" t="n">
        <f aca="false">1+IF($G$6=$E$6,$F$6,IF(P183&lt;($F$6-$E$6)/($G$6-$E$6),$E$6+SQRT(P183*($G$6-$E$6)*($F$6-$E$6)),$G$6-SQRT((1-P183)*($G$6-$E$6)*($G$6-$F$6))))</f>
        <v>0.987777584864891</v>
      </c>
      <c r="C183" s="37" t="n">
        <f aca="false">1+IF($G$7=$E$7,$F$7,IF(Q183&lt;($F$7-$E$7)/($G$7-$E$7),$E$7+SQRT(Q183*($G$7-$E$7)*($F$7-$E$7)),$G$7-SQRT((1-Q183)*($G$7-$E$7)*($G$7-$F$7))))</f>
        <v>0.824478345999808</v>
      </c>
      <c r="D183" s="37" t="n">
        <f aca="false">1+IF($G$8=$E$8,$F$8,IF(R183&lt;($F$8-$E$8)/($G$8-$E$8),$E$8+SQRT(R183*($G$8-$E$8)*($F$8-$E$8)),$G$8-SQRT((1-R183)*($G$8-$E$8)*($G$8-$F$8))))</f>
        <v>1.00787033705161</v>
      </c>
      <c r="E183" s="37" t="n">
        <f aca="false">1+IF($G$9=$E$9,$F$9,IF(S183&lt;($F$9-$E$9)/($G$9-$E$9),$E$9+SQRT(S183*($G$9-$E$9)*($F$9-$E$9)),$G$9-SQRT((1-S183)*($G$9-$E$9)*($G$9-$F$9))))</f>
        <v>1.00887576384379</v>
      </c>
      <c r="F183" s="37" t="n">
        <f aca="false">1+IF($G$10=$E$10,$F$10,IF(T183&lt;($F$10-$E$10)/($G$10-$E$10),$E$10+SQRT(T183*($G$10-$E$10)*($F$10-$E$10)),$G$10-SQRT((1-T183)*($G$10-$E$10)*($G$10-$F$10))))</f>
        <v>1.01315619047095</v>
      </c>
      <c r="G183" s="38" t="n">
        <f aca="false">IF($G$11=$E$11,$F$11,IF(U183&lt;($F$11-$E$11)/($G$11-$E$11),$E$11+SQRT(U183*($G$11-$E$11)*($F$11-$E$11)),$G$11-SQRT((1-U183)*($G$11-$E$11)*($G$11-$F$11))))</f>
        <v>0.111275950429948</v>
      </c>
      <c r="H183" s="39" t="n">
        <f aca="false">(('Business Case'!B11*$C183*'Business Case'!B12*$B183)-'Business Case'!B11*$C183*'Business Case'!B13*$D183-'Business Case'!B14*$E183)-MAX(0,(('Business Case'!B11*$C183*'Business Case'!B12*$B183)-'Business Case'!B11*$C183*'Business Case'!B13*$D183-'Business Case'!B14*$E183))*'Business Case'!$B$7-'Business Case'!$B$8*('Business Case'!B11*$C183*'Business Case'!B12*$B183)-'Business Case'!B15*$F183</f>
        <v>-2026312380.9419</v>
      </c>
      <c r="I183" s="39" t="n">
        <f aca="false">(('Business Case'!C11*$C183*'Business Case'!C12*$B183)-'Business Case'!C11*$C183*'Business Case'!C13*$D183-'Business Case'!C14*$E183)-MAX(0,(('Business Case'!C11*$C183*'Business Case'!C12*$B183)-'Business Case'!C11*$C183*'Business Case'!C13*$D183-'Business Case'!C14*$E183))*'Business Case'!$B$7-'Business Case'!$B$8*(('Business Case'!C11*$C183*'Business Case'!C12*$B183)-('Business Case'!B11*$C183*'Business Case'!B12*$B183))-'Business Case'!C15*$F183</f>
        <v>-45331832.7196093</v>
      </c>
      <c r="J183" s="39" t="n">
        <f aca="false">(('Business Case'!D11*$C183*'Business Case'!D12*$B183)-'Business Case'!D11*$C183*'Business Case'!D13*$D183-'Business Case'!D14*$E183)-MAX(0,(('Business Case'!D11*$C183*'Business Case'!D12*$B183)-'Business Case'!D11*$C183*'Business Case'!D13*$D183-'Business Case'!D14*$E183))*'Business Case'!$B$7-'Business Case'!$B$8*(('Business Case'!D11*$C183*'Business Case'!D12*$B183)-('Business Case'!C11*$C183*'Business Case'!C12*$B183))-'Business Case'!D15*$F183</f>
        <v>196332646.957787</v>
      </c>
      <c r="K183" s="39" t="n">
        <f aca="false">(('Business Case'!E11*$C183*'Business Case'!E12*$B183)-'Business Case'!E11*$C183*'Business Case'!E13*$D183-'Business Case'!E14*$E183)-MAX(0,(('Business Case'!E11*$C183*'Business Case'!E12*$B183)-'Business Case'!E11*$C183*'Business Case'!E13*$D183-'Business Case'!E14*$E183))*'Business Case'!$B$7-'Business Case'!$B$8*(('Business Case'!E11*$C183*'Business Case'!E12*$B183)-('Business Case'!D11*$C183*'Business Case'!D12*$B183))-'Business Case'!E15*$F183</f>
        <v>488654936.158731</v>
      </c>
      <c r="L183" s="39" t="n">
        <f aca="false">(('Business Case'!F11*$C183*'Business Case'!F12*$B183)-'Business Case'!F11*$C183*'Business Case'!F13*$D183-'Business Case'!F14*$E183)-MAX(0,(('Business Case'!F11*$C183*'Business Case'!F12*$B183)-'Business Case'!F11*$C183*'Business Case'!F13*$D183-'Business Case'!F14*$E183))*'Business Case'!$B$7-'Business Case'!$B$8*(('Business Case'!F11*$C183*'Business Case'!F12*$B183)-('Business Case'!E11*$C183*'Business Case'!E12*$B183))-'Business Case'!F15*$F183</f>
        <v>597355469.205412</v>
      </c>
      <c r="M183" s="39" t="n">
        <f aca="false">(('Business Case'!G11*$C183*'Business Case'!G12*$B183)-'Business Case'!G11*$C183*'Business Case'!G13*$D183-'Business Case'!G14*$E183)-MAX(0,(('Business Case'!G11*$C183*'Business Case'!G12*$B183)-'Business Case'!G11*$C183*'Business Case'!G13*$D183-'Business Case'!G14*$E183))*'Business Case'!$B$7-'Business Case'!$B$8*(('Business Case'!G11*$C183*'Business Case'!G12*$B183)-('Business Case'!F11*$C183*'Business Case'!F12*$B183))-'Business Case'!G15*$F183+'Business Case'!$B$8*('Business Case'!G11*$C183*'Business Case'!G12*$B183)</f>
        <v>752156854.88693</v>
      </c>
      <c r="N183" s="39" t="n">
        <f aca="false">IF(COUNT('Business Case'!B11:G11)=0,"",H183+NPV(G183,I183:M183))</f>
        <v>-716547532.905079</v>
      </c>
      <c r="P183" s="40" t="n">
        <f aca="true">RAND()</f>
        <v>0.513660293647546</v>
      </c>
      <c r="Q183" s="40" t="n">
        <f aca="true">RAND()</f>
        <v>0.114776730539614</v>
      </c>
      <c r="R183" s="40" t="n">
        <f aca="true">RAND()</f>
        <v>0.434141680334441</v>
      </c>
      <c r="S183" s="40" t="n">
        <f aca="true">RAND()</f>
        <v>0.468905332515389</v>
      </c>
      <c r="T183" s="40" t="n">
        <f aca="true">RAND()</f>
        <v>0.252066798503576</v>
      </c>
      <c r="U183" s="40" t="n">
        <f aca="true">RAND()</f>
        <v>0.766273311798836</v>
      </c>
    </row>
    <row r="184" customFormat="false" ht="15" hidden="false" customHeight="false" outlineLevel="0" collapsed="false">
      <c r="A184" s="36" t="n">
        <v>104</v>
      </c>
      <c r="B184" s="37" t="n">
        <f aca="false">1+IF($G$6=$E$6,$F$6,IF(P184&lt;($F$6-$E$6)/($G$6-$E$6),$E$6+SQRT(P184*($G$6-$E$6)*($F$6-$E$6)),$G$6-SQRT((1-P184)*($G$6-$E$6)*($G$6-$F$6))))</f>
        <v>0.979457442607283</v>
      </c>
      <c r="C184" s="37" t="n">
        <f aca="false">1+IF($G$7=$E$7,$F$7,IF(Q184&lt;($F$7-$E$7)/($G$7-$E$7),$E$7+SQRT(Q184*($G$7-$E$7)*($F$7-$E$7)),$G$7-SQRT((1-Q184)*($G$7-$E$7)*($G$7-$F$7))))</f>
        <v>0.874794036794104</v>
      </c>
      <c r="D184" s="37" t="n">
        <f aca="false">1+IF($G$8=$E$8,$F$8,IF(R184&lt;($F$8-$E$8)/($G$8-$E$8),$E$8+SQRT(R184*($G$8-$E$8)*($F$8-$E$8)),$G$8-SQRT((1-R184)*($G$8-$E$8)*($G$8-$F$8))))</f>
        <v>1.04533414624522</v>
      </c>
      <c r="E184" s="37" t="n">
        <f aca="false">1+IF($G$9=$E$9,$F$9,IF(S184&lt;($F$9-$E$9)/($G$9-$E$9),$E$9+SQRT(S184*($G$9-$E$9)*($F$9-$E$9)),$G$9-SQRT((1-S184)*($G$9-$E$9)*($G$9-$F$9))))</f>
        <v>1.07343213648334</v>
      </c>
      <c r="F184" s="37" t="n">
        <f aca="false">1+IF($G$10=$E$10,$F$10,IF(T184&lt;($F$10-$E$10)/($G$10-$E$10),$E$10+SQRT(T184*($G$10-$E$10)*($F$10-$E$10)),$G$10-SQRT((1-T184)*($G$10-$E$10)*($G$10-$F$10))))</f>
        <v>0.961640790362664</v>
      </c>
      <c r="G184" s="38" t="n">
        <f aca="false">IF($G$11=$E$11,$F$11,IF(U184&lt;($F$11-$E$11)/($G$11-$E$11),$E$11+SQRT(U184*($G$11-$E$11)*($F$11-$E$11)),$G$11-SQRT((1-U184)*($G$11-$E$11)*($G$11-$F$11))))</f>
        <v>0.11394569290177</v>
      </c>
      <c r="H184" s="39" t="n">
        <f aca="false">(('Business Case'!B11*$C184*'Business Case'!B12*$B184)-'Business Case'!B11*$C184*'Business Case'!B13*$D184-'Business Case'!B14*$E184)-MAX(0,(('Business Case'!B11*$C184*'Business Case'!B12*$B184)-'Business Case'!B11*$C184*'Business Case'!B13*$D184-'Business Case'!B14*$E184))*'Business Case'!$B$7-'Business Case'!$B$8*('Business Case'!B11*$C184*'Business Case'!B12*$B184)-'Business Case'!B15*$F184</f>
        <v>-1923281580.72533</v>
      </c>
      <c r="I184" s="39" t="n">
        <f aca="false">(('Business Case'!C11*$C184*'Business Case'!C12*$B184)-'Business Case'!C11*$C184*'Business Case'!C13*$D184-'Business Case'!C14*$E184)-MAX(0,(('Business Case'!C11*$C184*'Business Case'!C12*$B184)-'Business Case'!C11*$C184*'Business Case'!C13*$D184-'Business Case'!C14*$E184))*'Business Case'!$B$7-'Business Case'!$B$8*(('Business Case'!C11*$C184*'Business Case'!C12*$B184)-('Business Case'!B11*$C184*'Business Case'!B12*$B184))-'Business Case'!C15*$F184</f>
        <v>-59550005.770099</v>
      </c>
      <c r="J184" s="39" t="n">
        <f aca="false">(('Business Case'!D11*$C184*'Business Case'!D12*$B184)-'Business Case'!D11*$C184*'Business Case'!D13*$D184-'Business Case'!D14*$E184)-MAX(0,(('Business Case'!D11*$C184*'Business Case'!D12*$B184)-'Business Case'!D11*$C184*'Business Case'!D13*$D184-'Business Case'!D14*$E184))*'Business Case'!$B$7-'Business Case'!$B$8*(('Business Case'!D11*$C184*'Business Case'!D12*$B184)-('Business Case'!C11*$C184*'Business Case'!C12*$B184))-'Business Case'!D15*$F184</f>
        <v>174123849.103682</v>
      </c>
      <c r="K184" s="39" t="n">
        <f aca="false">(('Business Case'!E11*$C184*'Business Case'!E12*$B184)-'Business Case'!E11*$C184*'Business Case'!E13*$D184-'Business Case'!E14*$E184)-MAX(0,(('Business Case'!E11*$C184*'Business Case'!E12*$B184)-'Business Case'!E11*$C184*'Business Case'!E13*$D184-'Business Case'!E14*$E184))*'Business Case'!$B$7-'Business Case'!$B$8*(('Business Case'!E11*$C184*'Business Case'!E12*$B184)-('Business Case'!D11*$C184*'Business Case'!D12*$B184))-'Business Case'!E15*$F184</f>
        <v>455879743.495596</v>
      </c>
      <c r="L184" s="39" t="n">
        <f aca="false">(('Business Case'!F11*$C184*'Business Case'!F12*$B184)-'Business Case'!F11*$C184*'Business Case'!F13*$D184-'Business Case'!F14*$E184)-MAX(0,(('Business Case'!F11*$C184*'Business Case'!F12*$B184)-'Business Case'!F11*$C184*'Business Case'!F13*$D184-'Business Case'!F14*$E184))*'Business Case'!$B$7-'Business Case'!$B$8*(('Business Case'!F11*$C184*'Business Case'!F12*$B184)-('Business Case'!E11*$C184*'Business Case'!E12*$B184))-'Business Case'!F15*$F184</f>
        <v>563382849.653311</v>
      </c>
      <c r="M184" s="39" t="n">
        <f aca="false">(('Business Case'!G11*$C184*'Business Case'!G12*$B184)-'Business Case'!G11*$C184*'Business Case'!G13*$D184-'Business Case'!G14*$E184)-MAX(0,(('Business Case'!G11*$C184*'Business Case'!G12*$B184)-'Business Case'!G11*$C184*'Business Case'!G13*$D184-'Business Case'!G14*$E184))*'Business Case'!$B$7-'Business Case'!$B$8*(('Business Case'!G11*$C184*'Business Case'!G12*$B184)-('Business Case'!F11*$C184*'Business Case'!F12*$B184))-'Business Case'!G15*$F184+'Business Case'!$B$8*('Business Case'!G11*$C184*'Business Case'!G12*$B184)</f>
        <v>726247866.252144</v>
      </c>
      <c r="N184" s="39" t="n">
        <f aca="false">IF(COUNT('Business Case'!B11:G11)=0,"",H184+NPV(G184,I184:M184))</f>
        <v>-717309951.843365</v>
      </c>
      <c r="P184" s="40" t="n">
        <f aca="true">RAND()</f>
        <v>0.420899012379309</v>
      </c>
      <c r="Q184" s="40" t="n">
        <f aca="true">RAND()</f>
        <v>0.22631818739836</v>
      </c>
      <c r="R184" s="40" t="n">
        <f aca="true">RAND()</f>
        <v>0.800776295550751</v>
      </c>
      <c r="S184" s="40" t="n">
        <f aca="true">RAND()</f>
        <v>0.843662994039857</v>
      </c>
      <c r="T184" s="40" t="n">
        <f aca="true">RAND()</f>
        <v>0.00903386668449936</v>
      </c>
      <c r="U184" s="40" t="n">
        <f aca="true">RAND()</f>
        <v>0.828172815730473</v>
      </c>
    </row>
    <row r="185" customFormat="false" ht="15" hidden="false" customHeight="false" outlineLevel="0" collapsed="false">
      <c r="A185" s="36" t="n">
        <v>105</v>
      </c>
      <c r="B185" s="37" t="n">
        <f aca="false">1+IF($G$6=$E$6,$F$6,IF(P185&lt;($F$6-$E$6)/($G$6-$E$6),$E$6+SQRT(P185*($G$6-$E$6)*($F$6-$E$6)),$G$6-SQRT((1-P185)*($G$6-$E$6)*($G$6-$F$6))))</f>
        <v>0.991513534391508</v>
      </c>
      <c r="C185" s="37" t="n">
        <f aca="false">1+IF($G$7=$E$7,$F$7,IF(Q185&lt;($F$7-$E$7)/($G$7-$E$7),$E$7+SQRT(Q185*($G$7-$E$7)*($F$7-$E$7)),$G$7-SQRT((1-Q185)*($G$7-$E$7)*($G$7-$F$7))))</f>
        <v>0.957723627574935</v>
      </c>
      <c r="D185" s="37" t="n">
        <f aca="false">1+IF($G$8=$E$8,$F$8,IF(R185&lt;($F$8-$E$8)/($G$8-$E$8),$E$8+SQRT(R185*($G$8-$E$8)*($F$8-$E$8)),$G$8-SQRT((1-R185)*($G$8-$E$8)*($G$8-$F$8))))</f>
        <v>1.06210431102942</v>
      </c>
      <c r="E185" s="37" t="n">
        <f aca="false">1+IF($G$9=$E$9,$F$9,IF(S185&lt;($F$9-$E$9)/($G$9-$E$9),$E$9+SQRT(S185*($G$9-$E$9)*($F$9-$E$9)),$G$9-SQRT((1-S185)*($G$9-$E$9)*($G$9-$F$9))))</f>
        <v>1.05553264109545</v>
      </c>
      <c r="F185" s="37" t="n">
        <f aca="false">1+IF($G$10=$E$10,$F$10,IF(T185&lt;($F$10-$E$10)/($G$10-$E$10),$E$10+SQRT(T185*($G$10-$E$10)*($F$10-$E$10)),$G$10-SQRT((1-T185)*($G$10-$E$10)*($G$10-$F$10))))</f>
        <v>1.04744554813586</v>
      </c>
      <c r="G185" s="38" t="n">
        <f aca="false">IF($G$11=$E$11,$F$11,IF(U185&lt;($F$11-$E$11)/($G$11-$E$11),$E$11+SQRT(U185*($G$11-$E$11)*($F$11-$E$11)),$G$11-SQRT((1-U185)*($G$11-$E$11)*($G$11-$F$11))))</f>
        <v>0.122438600537316</v>
      </c>
      <c r="H185" s="39" t="n">
        <f aca="false">(('Business Case'!B11*$C185*'Business Case'!B12*$B185)-'Business Case'!B11*$C185*'Business Case'!B13*$D185-'Business Case'!B14*$E185)-MAX(0,(('Business Case'!B11*$C185*'Business Case'!B12*$B185)-'Business Case'!B11*$C185*'Business Case'!B13*$D185-'Business Case'!B14*$E185))*'Business Case'!$B$7-'Business Case'!$B$8*('Business Case'!B11*$C185*'Business Case'!B12*$B185)-'Business Case'!B15*$F185</f>
        <v>-2094891096.27171</v>
      </c>
      <c r="I185" s="39" t="n">
        <f aca="false">(('Business Case'!C11*$C185*'Business Case'!C12*$B185)-'Business Case'!C11*$C185*'Business Case'!C13*$D185-'Business Case'!C14*$E185)-MAX(0,(('Business Case'!C11*$C185*'Business Case'!C12*$B185)-'Business Case'!C11*$C185*'Business Case'!C13*$D185-'Business Case'!C14*$E185))*'Business Case'!$B$7-'Business Case'!$B$8*(('Business Case'!C11*$C185*'Business Case'!C12*$B185)-('Business Case'!B11*$C185*'Business Case'!B12*$B185))-'Business Case'!C15*$F185</f>
        <v>-47007154.2901225</v>
      </c>
      <c r="J185" s="39" t="n">
        <f aca="false">(('Business Case'!D11*$C185*'Business Case'!D12*$B185)-'Business Case'!D11*$C185*'Business Case'!D13*$D185-'Business Case'!D14*$E185)-MAX(0,(('Business Case'!D11*$C185*'Business Case'!D12*$B185)-'Business Case'!D11*$C185*'Business Case'!D13*$D185-'Business Case'!D14*$E185))*'Business Case'!$B$7-'Business Case'!$B$8*(('Business Case'!D11*$C185*'Business Case'!D12*$B185)-('Business Case'!C11*$C185*'Business Case'!C12*$B185))-'Business Case'!D15*$F185</f>
        <v>210054041.27213</v>
      </c>
      <c r="K185" s="39" t="n">
        <f aca="false">(('Business Case'!E11*$C185*'Business Case'!E12*$B185)-'Business Case'!E11*$C185*'Business Case'!E13*$D185-'Business Case'!E14*$E185)-MAX(0,(('Business Case'!E11*$C185*'Business Case'!E12*$B185)-'Business Case'!E11*$C185*'Business Case'!E13*$D185-'Business Case'!E14*$E185))*'Business Case'!$B$7-'Business Case'!$B$8*(('Business Case'!E11*$C185*'Business Case'!E12*$B185)-('Business Case'!D11*$C185*'Business Case'!D12*$B185))-'Business Case'!E15*$F185</f>
        <v>519487514.241175</v>
      </c>
      <c r="L185" s="39" t="n">
        <f aca="false">(('Business Case'!F11*$C185*'Business Case'!F12*$B185)-'Business Case'!F11*$C185*'Business Case'!F13*$D185-'Business Case'!F14*$E185)-MAX(0,(('Business Case'!F11*$C185*'Business Case'!F12*$B185)-'Business Case'!F11*$C185*'Business Case'!F13*$D185-'Business Case'!F14*$E185))*'Business Case'!$B$7-'Business Case'!$B$8*(('Business Case'!F11*$C185*'Business Case'!F12*$B185)-('Business Case'!E11*$C185*'Business Case'!E12*$B185))-'Business Case'!F15*$F185</f>
        <v>637992615.078603</v>
      </c>
      <c r="M185" s="39" t="n">
        <f aca="false">(('Business Case'!G11*$C185*'Business Case'!G12*$B185)-'Business Case'!G11*$C185*'Business Case'!G13*$D185-'Business Case'!G14*$E185)-MAX(0,(('Business Case'!G11*$C185*'Business Case'!G12*$B185)-'Business Case'!G11*$C185*'Business Case'!G13*$D185-'Business Case'!G14*$E185))*'Business Case'!$B$7-'Business Case'!$B$8*(('Business Case'!G11*$C185*'Business Case'!G12*$B185)-('Business Case'!F11*$C185*'Business Case'!F12*$B185))-'Business Case'!G15*$F185+'Business Case'!$B$8*('Business Case'!G11*$C185*'Business Case'!G12*$B185)</f>
        <v>818491811.153664</v>
      </c>
      <c r="N185" s="39" t="n">
        <f aca="false">IF(COUNT('Business Case'!B11:G11)=0,"",H185+NPV(G185,I185:M185))</f>
        <v>-741332723.209509</v>
      </c>
      <c r="P185" s="40" t="n">
        <f aca="true">RAND()</f>
        <v>0.558315131788378</v>
      </c>
      <c r="Q185" s="40" t="n">
        <f aca="true">RAND()</f>
        <v>0.492010875632472</v>
      </c>
      <c r="R185" s="40" t="n">
        <f aca="true">RAND()</f>
        <v>0.904261117162988</v>
      </c>
      <c r="S185" s="40" t="n">
        <f aca="true">RAND()</f>
        <v>0.762024482709285</v>
      </c>
      <c r="T185" s="40" t="n">
        <f aca="true">RAND()</f>
        <v>0.452955920400222</v>
      </c>
      <c r="U185" s="40" t="n">
        <f aca="true">RAND()</f>
        <v>0.961883492110486</v>
      </c>
    </row>
    <row r="186" customFormat="false" ht="15" hidden="false" customHeight="false" outlineLevel="0" collapsed="false">
      <c r="A186" s="36" t="n">
        <v>106</v>
      </c>
      <c r="B186" s="37" t="n">
        <f aca="false">1+IF($G$6=$E$6,$F$6,IF(P186&lt;($F$6-$E$6)/($G$6-$E$6),$E$6+SQRT(P186*($G$6-$E$6)*($F$6-$E$6)),$G$6-SQRT((1-P186)*($G$6-$E$6)*($G$6-$F$6))))</f>
        <v>0.989380623591127</v>
      </c>
      <c r="C186" s="37" t="n">
        <f aca="false">1+IF($G$7=$E$7,$F$7,IF(Q186&lt;($F$7-$E$7)/($G$7-$E$7),$E$7+SQRT(Q186*($G$7-$E$7)*($F$7-$E$7)),$G$7-SQRT((1-Q186)*($G$7-$E$7)*($G$7-$F$7))))</f>
        <v>0.988327890425443</v>
      </c>
      <c r="D186" s="37" t="n">
        <f aca="false">1+IF($G$8=$E$8,$F$8,IF(R186&lt;($F$8-$E$8)/($G$8-$E$8),$E$8+SQRT(R186*($G$8-$E$8)*($F$8-$E$8)),$G$8-SQRT((1-R186)*($G$8-$E$8)*($G$8-$F$8))))</f>
        <v>0.995473546260103</v>
      </c>
      <c r="E186" s="37" t="n">
        <f aca="false">1+IF($G$9=$E$9,$F$9,IF(S186&lt;($F$9-$E$9)/($G$9-$E$9),$E$9+SQRT(S186*($G$9-$E$9)*($F$9-$E$9)),$G$9-SQRT((1-S186)*($G$9-$E$9)*($G$9-$F$9))))</f>
        <v>0.941564773380022</v>
      </c>
      <c r="F186" s="37" t="n">
        <f aca="false">1+IF($G$10=$E$10,$F$10,IF(T186&lt;($F$10-$E$10)/($G$10-$E$10),$E$10+SQRT(T186*($G$10-$E$10)*($F$10-$E$10)),$G$10-SQRT((1-T186)*($G$10-$E$10)*($G$10-$F$10))))</f>
        <v>1.12916672011398</v>
      </c>
      <c r="G186" s="38" t="n">
        <f aca="false">IF($G$11=$E$11,$F$11,IF(U186&lt;($F$11-$E$11)/($G$11-$E$11),$E$11+SQRT(U186*($G$11-$E$11)*($F$11-$E$11)),$G$11-SQRT((1-U186)*($G$11-$E$11)*($G$11-$F$11))))</f>
        <v>0.0955056531769051</v>
      </c>
      <c r="H186" s="39" t="n">
        <f aca="false">(('Business Case'!B11*$C186*'Business Case'!B12*$B186)-'Business Case'!B11*$C186*'Business Case'!B13*$D186-'Business Case'!B14*$E186)-MAX(0,(('Business Case'!B11*$C186*'Business Case'!B12*$B186)-'Business Case'!B11*$C186*'Business Case'!B13*$D186-'Business Case'!B14*$E186))*'Business Case'!$B$7-'Business Case'!$B$8*('Business Case'!B11*$C186*'Business Case'!B12*$B186)-'Business Case'!B15*$F186</f>
        <v>-2258333440.22797</v>
      </c>
      <c r="I186" s="39" t="n">
        <f aca="false">(('Business Case'!C11*$C186*'Business Case'!C12*$B186)-'Business Case'!C11*$C186*'Business Case'!C13*$D186-'Business Case'!C14*$E186)-MAX(0,(('Business Case'!C11*$C186*'Business Case'!C12*$B186)-'Business Case'!C11*$C186*'Business Case'!C13*$D186-'Business Case'!C14*$E186))*'Business Case'!$B$7-'Business Case'!$B$8*(('Business Case'!C11*$C186*'Business Case'!C12*$B186)-('Business Case'!B11*$C186*'Business Case'!B12*$B186))-'Business Case'!C15*$F186</f>
        <v>-237503.223425239</v>
      </c>
      <c r="J186" s="39" t="n">
        <f aca="false">(('Business Case'!D11*$C186*'Business Case'!D12*$B186)-'Business Case'!D11*$C186*'Business Case'!D13*$D186-'Business Case'!D14*$E186)-MAX(0,(('Business Case'!D11*$C186*'Business Case'!D12*$B186)-'Business Case'!D11*$C186*'Business Case'!D13*$D186-'Business Case'!D14*$E186))*'Business Case'!$B$7-'Business Case'!$B$8*(('Business Case'!D11*$C186*'Business Case'!D12*$B186)-('Business Case'!C11*$C186*'Business Case'!C12*$B186))-'Business Case'!D15*$F186</f>
        <v>297023011.301025</v>
      </c>
      <c r="K186" s="39" t="n">
        <f aca="false">(('Business Case'!E11*$C186*'Business Case'!E12*$B186)-'Business Case'!E11*$C186*'Business Case'!E13*$D186-'Business Case'!E14*$E186)-MAX(0,(('Business Case'!E11*$C186*'Business Case'!E12*$B186)-'Business Case'!E11*$C186*'Business Case'!E13*$D186-'Business Case'!E14*$E186))*'Business Case'!$B$7-'Business Case'!$B$8*(('Business Case'!E11*$C186*'Business Case'!E12*$B186)-('Business Case'!D11*$C186*'Business Case'!D12*$B186))-'Business Case'!E15*$F186</f>
        <v>650741861.831174</v>
      </c>
      <c r="L186" s="39" t="n">
        <f aca="false">(('Business Case'!F11*$C186*'Business Case'!F12*$B186)-'Business Case'!F11*$C186*'Business Case'!F13*$D186-'Business Case'!F14*$E186)-MAX(0,(('Business Case'!F11*$C186*'Business Case'!F12*$B186)-'Business Case'!F11*$C186*'Business Case'!F13*$D186-'Business Case'!F14*$E186))*'Business Case'!$B$7-'Business Case'!$B$8*(('Business Case'!F11*$C186*'Business Case'!F12*$B186)-('Business Case'!E11*$C186*'Business Case'!E12*$B186))-'Business Case'!F15*$F186</f>
        <v>783622589.98055</v>
      </c>
      <c r="M186" s="39" t="n">
        <f aca="false">(('Business Case'!G11*$C186*'Business Case'!G12*$B186)-'Business Case'!G11*$C186*'Business Case'!G13*$D186-'Business Case'!G14*$E186)-MAX(0,(('Business Case'!G11*$C186*'Business Case'!G12*$B186)-'Business Case'!G11*$C186*'Business Case'!G13*$D186-'Business Case'!G14*$E186))*'Business Case'!$B$7-'Business Case'!$B$8*(('Business Case'!G11*$C186*'Business Case'!G12*$B186)-('Business Case'!F11*$C186*'Business Case'!F12*$B186))-'Business Case'!G15*$F186+'Business Case'!$B$8*('Business Case'!G11*$C186*'Business Case'!G12*$B186)</f>
        <v>969488984.840622</v>
      </c>
      <c r="N186" s="39" t="n">
        <f aca="false">IF(COUNT('Business Case'!B11:G11)=0,"",H186+NPV(G186,I186:M186))</f>
        <v>-357616043.470304</v>
      </c>
      <c r="P186" s="40" t="n">
        <f aca="true">RAND()</f>
        <v>0.532593058235916</v>
      </c>
      <c r="Q186" s="40" t="n">
        <f aca="true">RAND()</f>
        <v>0.615799795534712</v>
      </c>
      <c r="R186" s="40" t="n">
        <f aca="true">RAND()</f>
        <v>0.27571245459596</v>
      </c>
      <c r="S186" s="40" t="n">
        <f aca="true">RAND()</f>
        <v>0.0691052154453025</v>
      </c>
      <c r="T186" s="40" t="n">
        <f aca="true">RAND()</f>
        <v>0.805324246293165</v>
      </c>
      <c r="U186" s="40" t="n">
        <f aca="true">RAND()</f>
        <v>0.240425280442466</v>
      </c>
    </row>
    <row r="187" customFormat="false" ht="15" hidden="false" customHeight="false" outlineLevel="0" collapsed="false">
      <c r="A187" s="36" t="n">
        <v>107</v>
      </c>
      <c r="B187" s="37" t="n">
        <f aca="false">1+IF($G$6=$E$6,$F$6,IF(P187&lt;($F$6-$E$6)/($G$6-$E$6),$E$6+SQRT(P187*($G$6-$E$6)*($F$6-$E$6)),$G$6-SQRT((1-P187)*($G$6-$E$6)*($G$6-$F$6))))</f>
        <v>0.99263863842457</v>
      </c>
      <c r="C187" s="37" t="n">
        <f aca="false">1+IF($G$7=$E$7,$F$7,IF(Q187&lt;($F$7-$E$7)/($G$7-$E$7),$E$7+SQRT(Q187*($G$7-$E$7)*($F$7-$E$7)),$G$7-SQRT((1-Q187)*($G$7-$E$7)*($G$7-$F$7))))</f>
        <v>1.01064165009236</v>
      </c>
      <c r="D187" s="37" t="n">
        <f aca="false">1+IF($G$8=$E$8,$F$8,IF(R187&lt;($F$8-$E$8)/($G$8-$E$8),$E$8+SQRT(R187*($G$8-$E$8)*($F$8-$E$8)),$G$8-SQRT((1-R187)*($G$8-$E$8)*($G$8-$F$8))))</f>
        <v>1.0682526599454</v>
      </c>
      <c r="E187" s="37" t="n">
        <f aca="false">1+IF($G$9=$E$9,$F$9,IF(S187&lt;($F$9-$E$9)/($G$9-$E$9),$E$9+SQRT(S187*($G$9-$E$9)*($F$9-$E$9)),$G$9-SQRT((1-S187)*($G$9-$E$9)*($G$9-$F$9))))</f>
        <v>0.985522315887574</v>
      </c>
      <c r="F187" s="37" t="n">
        <f aca="false">1+IF($G$10=$E$10,$F$10,IF(T187&lt;($F$10-$E$10)/($G$10-$E$10),$E$10+SQRT(T187*($G$10-$E$10)*($F$10-$E$10)),$G$10-SQRT((1-T187)*($G$10-$E$10)*($G$10-$F$10))))</f>
        <v>0.973255638060412</v>
      </c>
      <c r="G187" s="38" t="n">
        <f aca="false">IF($G$11=$E$11,$F$11,IF(U187&lt;($F$11-$E$11)/($G$11-$E$11),$E$11+SQRT(U187*($G$11-$E$11)*($F$11-$E$11)),$G$11-SQRT((1-U187)*($G$11-$E$11)*($G$11-$F$11))))</f>
        <v>0.0987184653755462</v>
      </c>
      <c r="H187" s="39" t="n">
        <f aca="false">(('Business Case'!B11*$C187*'Business Case'!B12*$B187)-'Business Case'!B11*$C187*'Business Case'!B13*$D187-'Business Case'!B14*$E187)-MAX(0,(('Business Case'!B11*$C187*'Business Case'!B12*$B187)-'Business Case'!B11*$C187*'Business Case'!B13*$D187-'Business Case'!B14*$E187))*'Business Case'!$B$7-'Business Case'!$B$8*('Business Case'!B11*$C187*'Business Case'!B12*$B187)-'Business Case'!B15*$F187</f>
        <v>-1946511276.12082</v>
      </c>
      <c r="I187" s="39" t="n">
        <f aca="false">(('Business Case'!C11*$C187*'Business Case'!C12*$B187)-'Business Case'!C11*$C187*'Business Case'!C13*$D187-'Business Case'!C14*$E187)-MAX(0,(('Business Case'!C11*$C187*'Business Case'!C12*$B187)-'Business Case'!C11*$C187*'Business Case'!C13*$D187-'Business Case'!C14*$E187))*'Business Case'!$B$7-'Business Case'!$B$8*(('Business Case'!C11*$C187*'Business Case'!C12*$B187)-('Business Case'!B11*$C187*'Business Case'!B12*$B187))-'Business Case'!C15*$F187</f>
        <v>-20457590.887636</v>
      </c>
      <c r="J187" s="39" t="n">
        <f aca="false">(('Business Case'!D11*$C187*'Business Case'!D12*$B187)-'Business Case'!D11*$C187*'Business Case'!D13*$D187-'Business Case'!D14*$E187)-MAX(0,(('Business Case'!D11*$C187*'Business Case'!D12*$B187)-'Business Case'!D11*$C187*'Business Case'!D13*$D187-'Business Case'!D14*$E187))*'Business Case'!$B$7-'Business Case'!$B$8*(('Business Case'!D11*$C187*'Business Case'!D12*$B187)-('Business Case'!C11*$C187*'Business Case'!C12*$B187))-'Business Case'!D15*$F187</f>
        <v>248557644.514853</v>
      </c>
      <c r="K187" s="39" t="n">
        <f aca="false">(('Business Case'!E11*$C187*'Business Case'!E12*$B187)-'Business Case'!E11*$C187*'Business Case'!E13*$D187-'Business Case'!E14*$E187)-MAX(0,(('Business Case'!E11*$C187*'Business Case'!E12*$B187)-'Business Case'!E11*$C187*'Business Case'!E13*$D187-'Business Case'!E14*$E187))*'Business Case'!$B$7-'Business Case'!$B$8*(('Business Case'!E11*$C187*'Business Case'!E12*$B187)-('Business Case'!D11*$C187*'Business Case'!D12*$B187))-'Business Case'!E15*$F187</f>
        <v>566235661.820362</v>
      </c>
      <c r="L187" s="39" t="n">
        <f aca="false">(('Business Case'!F11*$C187*'Business Case'!F12*$B187)-'Business Case'!F11*$C187*'Business Case'!F13*$D187-'Business Case'!F14*$E187)-MAX(0,(('Business Case'!F11*$C187*'Business Case'!F12*$B187)-'Business Case'!F11*$C187*'Business Case'!F13*$D187-'Business Case'!F14*$E187))*'Business Case'!$B$7-'Business Case'!$B$8*(('Business Case'!F11*$C187*'Business Case'!F12*$B187)-('Business Case'!E11*$C187*'Business Case'!E12*$B187))-'Business Case'!F15*$F187</f>
        <v>690578066.397772</v>
      </c>
      <c r="M187" s="39" t="n">
        <f aca="false">(('Business Case'!G11*$C187*'Business Case'!G12*$B187)-'Business Case'!G11*$C187*'Business Case'!G13*$D187-'Business Case'!G14*$E187)-MAX(0,(('Business Case'!G11*$C187*'Business Case'!G12*$B187)-'Business Case'!G11*$C187*'Business Case'!G13*$D187-'Business Case'!G14*$E187))*'Business Case'!$B$7-'Business Case'!$B$8*(('Business Case'!G11*$C187*'Business Case'!G12*$B187)-('Business Case'!F11*$C187*'Business Case'!F12*$B187))-'Business Case'!G15*$F187+'Business Case'!$B$8*('Business Case'!G11*$C187*'Business Case'!G12*$B187)</f>
        <v>881266693.33563</v>
      </c>
      <c r="N187" s="39" t="n">
        <f aca="false">IF(COUNT('Business Case'!B11:G11)=0,"",H187+NPV(G187,I187:M187))</f>
        <v>-308045615.475331</v>
      </c>
      <c r="P187" s="40" t="n">
        <f aca="true">RAND()</f>
        <v>0.572127821943883</v>
      </c>
      <c r="Q187" s="40" t="n">
        <f aca="true">RAND()</f>
        <v>0.712285189792878</v>
      </c>
      <c r="R187" s="40" t="n">
        <f aca="true">RAND()</f>
        <v>0.932807093297191</v>
      </c>
      <c r="S187" s="40" t="n">
        <f aca="true">RAND()</f>
        <v>0.29256266059096</v>
      </c>
      <c r="T187" s="40" t="n">
        <f aca="true">RAND()</f>
        <v>0.03605498010646</v>
      </c>
      <c r="U187" s="40" t="n">
        <f aca="true">RAND()</f>
        <v>0.35038094601552</v>
      </c>
    </row>
    <row r="188" customFormat="false" ht="15" hidden="false" customHeight="false" outlineLevel="0" collapsed="false">
      <c r="A188" s="36" t="n">
        <v>108</v>
      </c>
      <c r="B188" s="37" t="n">
        <f aca="false">1+IF($G$6=$E$6,$F$6,IF(P188&lt;($F$6-$E$6)/($G$6-$E$6),$E$6+SQRT(P188*($G$6-$E$6)*($F$6-$E$6)),$G$6-SQRT((1-P188)*($G$6-$E$6)*($G$6-$F$6))))</f>
        <v>1.00568370679707</v>
      </c>
      <c r="C188" s="37" t="n">
        <f aca="false">1+IF($G$7=$E$7,$F$7,IF(Q188&lt;($F$7-$E$7)/($G$7-$E$7),$E$7+SQRT(Q188*($G$7-$E$7)*($F$7-$E$7)),$G$7-SQRT((1-Q188)*($G$7-$E$7)*($G$7-$F$7))))</f>
        <v>0.891158904242734</v>
      </c>
      <c r="D188" s="37" t="n">
        <f aca="false">1+IF($G$8=$E$8,$F$8,IF(R188&lt;($F$8-$E$8)/($G$8-$E$8),$E$8+SQRT(R188*($G$8-$E$8)*($F$8-$E$8)),$G$8-SQRT((1-R188)*($G$8-$E$8)*($G$8-$F$8))))</f>
        <v>1.04250708152333</v>
      </c>
      <c r="E188" s="37" t="n">
        <f aca="false">1+IF($G$9=$E$9,$F$9,IF(S188&lt;($F$9-$E$9)/($G$9-$E$9),$E$9+SQRT(S188*($G$9-$E$9)*($F$9-$E$9)),$G$9-SQRT((1-S188)*($G$9-$E$9)*($G$9-$F$9))))</f>
        <v>1.06305828455124</v>
      </c>
      <c r="F188" s="37" t="n">
        <f aca="false">1+IF($G$10=$E$10,$F$10,IF(T188&lt;($F$10-$E$10)/($G$10-$E$10),$E$10+SQRT(T188*($G$10-$E$10)*($F$10-$E$10)),$G$10-SQRT((1-T188)*($G$10-$E$10)*($G$10-$F$10))))</f>
        <v>0.99733285656045</v>
      </c>
      <c r="G188" s="38" t="n">
        <f aca="false">IF($G$11=$E$11,$F$11,IF(U188&lt;($F$11-$E$11)/($G$11-$E$11),$E$11+SQRT(U188*($G$11-$E$11)*($F$11-$E$11)),$G$11-SQRT((1-U188)*($G$11-$E$11)*($G$11-$F$11))))</f>
        <v>0.110988477990272</v>
      </c>
      <c r="H188" s="39" t="n">
        <f aca="false">(('Business Case'!B11*$C188*'Business Case'!B12*$B188)-'Business Case'!B11*$C188*'Business Case'!B13*$D188-'Business Case'!B14*$E188)-MAX(0,(('Business Case'!B11*$C188*'Business Case'!B12*$B188)-'Business Case'!B11*$C188*'Business Case'!B13*$D188-'Business Case'!B14*$E188))*'Business Case'!$B$7-'Business Case'!$B$8*('Business Case'!B11*$C188*'Business Case'!B12*$B188)-'Business Case'!B15*$F188</f>
        <v>-1994665713.1209</v>
      </c>
      <c r="I188" s="39" t="n">
        <f aca="false">(('Business Case'!C11*$C188*'Business Case'!C12*$B188)-'Business Case'!C11*$C188*'Business Case'!C13*$D188-'Business Case'!C14*$E188)-MAX(0,(('Business Case'!C11*$C188*'Business Case'!C12*$B188)-'Business Case'!C11*$C188*'Business Case'!C13*$D188-'Business Case'!C14*$E188))*'Business Case'!$B$7-'Business Case'!$B$8*(('Business Case'!C11*$C188*'Business Case'!C12*$B188)-('Business Case'!B11*$C188*'Business Case'!B12*$B188))-'Business Case'!C15*$F188</f>
        <v>-38882333.9792524</v>
      </c>
      <c r="J188" s="39" t="n">
        <f aca="false">(('Business Case'!D11*$C188*'Business Case'!D12*$B188)-'Business Case'!D11*$C188*'Business Case'!D13*$D188-'Business Case'!D14*$E188)-MAX(0,(('Business Case'!D11*$C188*'Business Case'!D12*$B188)-'Business Case'!D11*$C188*'Business Case'!D13*$D188-'Business Case'!D14*$E188))*'Business Case'!$B$7-'Business Case'!$B$8*(('Business Case'!D11*$C188*'Business Case'!D12*$B188)-('Business Case'!C11*$C188*'Business Case'!C12*$B188))-'Business Case'!D15*$F188</f>
        <v>219595757.410831</v>
      </c>
      <c r="K188" s="39" t="n">
        <f aca="false">(('Business Case'!E11*$C188*'Business Case'!E12*$B188)-'Business Case'!E11*$C188*'Business Case'!E13*$D188-'Business Case'!E14*$E188)-MAX(0,(('Business Case'!E11*$C188*'Business Case'!E12*$B188)-'Business Case'!E11*$C188*'Business Case'!E13*$D188-'Business Case'!E14*$E188))*'Business Case'!$B$7-'Business Case'!$B$8*(('Business Case'!E11*$C188*'Business Case'!E12*$B188)-('Business Case'!D11*$C188*'Business Case'!D12*$B188))-'Business Case'!E15*$F188</f>
        <v>527940491.628938</v>
      </c>
      <c r="L188" s="39" t="n">
        <f aca="false">(('Business Case'!F11*$C188*'Business Case'!F12*$B188)-'Business Case'!F11*$C188*'Business Case'!F13*$D188-'Business Case'!F14*$E188)-MAX(0,(('Business Case'!F11*$C188*'Business Case'!F12*$B188)-'Business Case'!F11*$C188*'Business Case'!F13*$D188-'Business Case'!F14*$E188))*'Business Case'!$B$7-'Business Case'!$B$8*(('Business Case'!F11*$C188*'Business Case'!F12*$B188)-('Business Case'!E11*$C188*'Business Case'!E12*$B188))-'Business Case'!F15*$F188</f>
        <v>645073356.525702</v>
      </c>
      <c r="M188" s="39" t="n">
        <f aca="false">(('Business Case'!G11*$C188*'Business Case'!G12*$B188)-'Business Case'!G11*$C188*'Business Case'!G13*$D188-'Business Case'!G14*$E188)-MAX(0,(('Business Case'!G11*$C188*'Business Case'!G12*$B188)-'Business Case'!G11*$C188*'Business Case'!G13*$D188-'Business Case'!G14*$E188))*'Business Case'!$B$7-'Business Case'!$B$8*(('Business Case'!G11*$C188*'Business Case'!G12*$B188)-('Business Case'!F11*$C188*'Business Case'!F12*$B188))-'Business Case'!G15*$F188+'Business Case'!$B$8*('Business Case'!G11*$C188*'Business Case'!G12*$B188)</f>
        <v>815427612.576085</v>
      </c>
      <c r="N188" s="39" t="n">
        <f aca="false">IF(COUNT('Business Case'!B11:G11)=0,"",H188+NPV(G188,I188:M188))</f>
        <v>-561568578.244112</v>
      </c>
      <c r="P188" s="40" t="n">
        <f aca="true">RAND()</f>
        <v>0.738142154233628</v>
      </c>
      <c r="Q188" s="40" t="n">
        <f aca="true">RAND()</f>
        <v>0.270679456824317</v>
      </c>
      <c r="R188" s="40" t="n">
        <f aca="true">RAND()</f>
        <v>0.779637621669033</v>
      </c>
      <c r="S188" s="40" t="n">
        <f aca="true">RAND()</f>
        <v>0.798430349728733</v>
      </c>
      <c r="T188" s="40" t="n">
        <f aca="true">RAND()</f>
        <v>0.149359954011473</v>
      </c>
      <c r="U188" s="40" t="n">
        <f aca="true">RAND()</f>
        <v>0.759041353915752</v>
      </c>
    </row>
    <row r="189" customFormat="false" ht="15" hidden="false" customHeight="false" outlineLevel="0" collapsed="false">
      <c r="A189" s="36" t="n">
        <v>109</v>
      </c>
      <c r="B189" s="37" t="n">
        <f aca="false">1+IF($G$6=$E$6,$F$6,IF(P189&lt;($F$6-$E$6)/($G$6-$E$6),$E$6+SQRT(P189*($G$6-$E$6)*($F$6-$E$6)),$G$6-SQRT((1-P189)*($G$6-$E$6)*($G$6-$F$6))))</f>
        <v>1.00005965336483</v>
      </c>
      <c r="C189" s="37" t="n">
        <f aca="false">1+IF($G$7=$E$7,$F$7,IF(Q189&lt;($F$7-$E$7)/($G$7-$E$7),$E$7+SQRT(Q189*($G$7-$E$7)*($F$7-$E$7)),$G$7-SQRT((1-Q189)*($G$7-$E$7)*($G$7-$F$7))))</f>
        <v>0.937683415439712</v>
      </c>
      <c r="D189" s="37" t="n">
        <f aca="false">1+IF($G$8=$E$8,$F$8,IF(R189&lt;($F$8-$E$8)/($G$8-$E$8),$E$8+SQRT(R189*($G$8-$E$8)*($F$8-$E$8)),$G$8-SQRT((1-R189)*($G$8-$E$8)*($G$8-$F$8))))</f>
        <v>1.03618844086653</v>
      </c>
      <c r="E189" s="37" t="n">
        <f aca="false">1+IF($G$9=$E$9,$F$9,IF(S189&lt;($F$9-$E$9)/($G$9-$E$9),$E$9+SQRT(S189*($G$9-$E$9)*($F$9-$E$9)),$G$9-SQRT((1-S189)*($G$9-$E$9)*($G$9-$F$9))))</f>
        <v>1.06452622564131</v>
      </c>
      <c r="F189" s="37" t="n">
        <f aca="false">1+IF($G$10=$E$10,$F$10,IF(T189&lt;($F$10-$E$10)/($G$10-$E$10),$E$10+SQRT(T189*($G$10-$E$10)*($F$10-$E$10)),$G$10-SQRT((1-T189)*($G$10-$E$10)*($G$10-$F$10))))</f>
        <v>1.05738751867196</v>
      </c>
      <c r="G189" s="38" t="n">
        <f aca="false">IF($G$11=$E$11,$F$11,IF(U189&lt;($F$11-$E$11)/($G$11-$E$11),$E$11+SQRT(U189*($G$11-$E$11)*($F$11-$E$11)),$G$11-SQRT((1-U189)*($G$11-$E$11)*($G$11-$F$11))))</f>
        <v>0.105774034861029</v>
      </c>
      <c r="H189" s="39" t="n">
        <f aca="false">(('Business Case'!B11*$C189*'Business Case'!B12*$B189)-'Business Case'!B11*$C189*'Business Case'!B13*$D189-'Business Case'!B14*$E189)-MAX(0,(('Business Case'!B11*$C189*'Business Case'!B12*$B189)-'Business Case'!B11*$C189*'Business Case'!B13*$D189-'Business Case'!B14*$E189))*'Business Case'!$B$7-'Business Case'!$B$8*('Business Case'!B11*$C189*'Business Case'!B12*$B189)-'Business Case'!B15*$F189</f>
        <v>-2114775037.34391</v>
      </c>
      <c r="I189" s="39" t="n">
        <f aca="false">(('Business Case'!C11*$C189*'Business Case'!C12*$B189)-'Business Case'!C11*$C189*'Business Case'!C13*$D189-'Business Case'!C14*$E189)-MAX(0,(('Business Case'!C11*$C189*'Business Case'!C12*$B189)-'Business Case'!C11*$C189*'Business Case'!C13*$D189-'Business Case'!C14*$E189))*'Business Case'!$B$7-'Business Case'!$B$8*(('Business Case'!C11*$C189*'Business Case'!C12*$B189)-('Business Case'!B11*$C189*'Business Case'!B12*$B189))-'Business Case'!C15*$F189</f>
        <v>-35040772.4853337</v>
      </c>
      <c r="J189" s="39" t="n">
        <f aca="false">(('Business Case'!D11*$C189*'Business Case'!D12*$B189)-'Business Case'!D11*$C189*'Business Case'!D13*$D189-'Business Case'!D14*$E189)-MAX(0,(('Business Case'!D11*$C189*'Business Case'!D12*$B189)-'Business Case'!D11*$C189*'Business Case'!D13*$D189-'Business Case'!D14*$E189))*'Business Case'!$B$7-'Business Case'!$B$8*(('Business Case'!D11*$C189*'Business Case'!D12*$B189)-('Business Case'!C11*$C189*'Business Case'!C12*$B189))-'Business Case'!D15*$F189</f>
        <v>235645244.159848</v>
      </c>
      <c r="K189" s="39" t="n">
        <f aca="false">(('Business Case'!E11*$C189*'Business Case'!E12*$B189)-'Business Case'!E11*$C189*'Business Case'!E13*$D189-'Business Case'!E14*$E189)-MAX(0,(('Business Case'!E11*$C189*'Business Case'!E12*$B189)-'Business Case'!E11*$C189*'Business Case'!E13*$D189-'Business Case'!E14*$E189))*'Business Case'!$B$7-'Business Case'!$B$8*(('Business Case'!E11*$C189*'Business Case'!E12*$B189)-('Business Case'!D11*$C189*'Business Case'!D12*$B189))-'Business Case'!E15*$F189</f>
        <v>559200636.738627</v>
      </c>
      <c r="L189" s="39" t="n">
        <f aca="false">(('Business Case'!F11*$C189*'Business Case'!F12*$B189)-'Business Case'!F11*$C189*'Business Case'!F13*$D189-'Business Case'!F14*$E189)-MAX(0,(('Business Case'!F11*$C189*'Business Case'!F12*$B189)-'Business Case'!F11*$C189*'Business Case'!F13*$D189-'Business Case'!F14*$E189))*'Business Case'!$B$7-'Business Case'!$B$8*(('Business Case'!F11*$C189*'Business Case'!F12*$B189)-('Business Case'!E11*$C189*'Business Case'!E12*$B189))-'Business Case'!F15*$F189</f>
        <v>681837580.938437</v>
      </c>
      <c r="M189" s="39" t="n">
        <f aca="false">(('Business Case'!G11*$C189*'Business Case'!G12*$B189)-'Business Case'!G11*$C189*'Business Case'!G13*$D189-'Business Case'!G14*$E189)-MAX(0,(('Business Case'!G11*$C189*'Business Case'!G12*$B189)-'Business Case'!G11*$C189*'Business Case'!G13*$D189-'Business Case'!G14*$E189))*'Business Case'!$B$7-'Business Case'!$B$8*(('Business Case'!G11*$C189*'Business Case'!G12*$B189)-('Business Case'!F11*$C189*'Business Case'!F12*$B189))-'Business Case'!G15*$F189+'Business Case'!$B$8*('Business Case'!G11*$C189*'Business Case'!G12*$B189)</f>
        <v>860083076.854561</v>
      </c>
      <c r="N189" s="39" t="n">
        <f aca="false">IF(COUNT('Business Case'!B11:G11)=0,"",H189+NPV(G189,I189:M189))</f>
        <v>-563857074.771042</v>
      </c>
      <c r="P189" s="40" t="n">
        <f aca="true">RAND()</f>
        <v>0.667461570394496</v>
      </c>
      <c r="Q189" s="40" t="n">
        <f aca="true">RAND()</f>
        <v>0.418469673889531</v>
      </c>
      <c r="R189" s="40" t="n">
        <f aca="true">RAND()</f>
        <v>0.728538994730403</v>
      </c>
      <c r="S189" s="40" t="n">
        <f aca="true">RAND()</f>
        <v>0.805179570583473</v>
      </c>
      <c r="T189" s="40" t="n">
        <f aca="true">RAND()</f>
        <v>0.505339093822059</v>
      </c>
      <c r="U189" s="40" t="n">
        <f aca="true">RAND()</f>
        <v>0.608735075390228</v>
      </c>
    </row>
    <row r="190" customFormat="false" ht="15" hidden="false" customHeight="false" outlineLevel="0" collapsed="false">
      <c r="A190" s="36" t="n">
        <v>110</v>
      </c>
      <c r="B190" s="37" t="n">
        <f aca="false">1+IF($G$6=$E$6,$F$6,IF(P190&lt;($F$6-$E$6)/($G$6-$E$6),$E$6+SQRT(P190*($G$6-$E$6)*($F$6-$E$6)),$G$6-SQRT((1-P190)*($G$6-$E$6)*($G$6-$F$6))))</f>
        <v>1.02817041050253</v>
      </c>
      <c r="C190" s="37" t="n">
        <f aca="false">1+IF($G$7=$E$7,$F$7,IF(Q190&lt;($F$7-$E$7)/($G$7-$E$7),$E$7+SQRT(Q190*($G$7-$E$7)*($F$7-$E$7)),$G$7-SQRT((1-Q190)*($G$7-$E$7)*($G$7-$F$7))))</f>
        <v>1.01650741866676</v>
      </c>
      <c r="D190" s="37" t="n">
        <f aca="false">1+IF($G$8=$E$8,$F$8,IF(R190&lt;($F$8-$E$8)/($G$8-$E$8),$E$8+SQRT(R190*($G$8-$E$8)*($F$8-$E$8)),$G$8-SQRT((1-R190)*($G$8-$E$8)*($G$8-$F$8))))</f>
        <v>1.05303765482047</v>
      </c>
      <c r="E190" s="37" t="n">
        <f aca="false">1+IF($G$9=$E$9,$F$9,IF(S190&lt;($F$9-$E$9)/($G$9-$E$9),$E$9+SQRT(S190*($G$9-$E$9)*($F$9-$E$9)),$G$9-SQRT((1-S190)*($G$9-$E$9)*($G$9-$F$9))))</f>
        <v>1.07720102093144</v>
      </c>
      <c r="F190" s="37" t="n">
        <f aca="false">1+IF($G$10=$E$10,$F$10,IF(T190&lt;($F$10-$E$10)/($G$10-$E$10),$E$10+SQRT(T190*($G$10-$E$10)*($F$10-$E$10)),$G$10-SQRT((1-T190)*($G$10-$E$10)*($G$10-$F$10))))</f>
        <v>1.06697247984569</v>
      </c>
      <c r="G190" s="38" t="n">
        <f aca="false">IF($G$11=$E$11,$F$11,IF(U190&lt;($F$11-$E$11)/($G$11-$E$11),$E$11+SQRT(U190*($G$11-$E$11)*($F$11-$E$11)),$G$11-SQRT((1-U190)*($G$11-$E$11)*($G$11-$F$11))))</f>
        <v>0.110518904722431</v>
      </c>
      <c r="H190" s="39" t="n">
        <f aca="false">(('Business Case'!B11*$C190*'Business Case'!B12*$B190)-'Business Case'!B11*$C190*'Business Case'!B13*$D190-'Business Case'!B14*$E190)-MAX(0,(('Business Case'!B11*$C190*'Business Case'!B12*$B190)-'Business Case'!B11*$C190*'Business Case'!B13*$D190-'Business Case'!B14*$E190))*'Business Case'!$B$7-'Business Case'!$B$8*('Business Case'!B11*$C190*'Business Case'!B12*$B190)-'Business Case'!B15*$F190</f>
        <v>-2133944959.69137</v>
      </c>
      <c r="I190" s="39" t="n">
        <f aca="false">(('Business Case'!C11*$C190*'Business Case'!C12*$B190)-'Business Case'!C11*$C190*'Business Case'!C13*$D190-'Business Case'!C14*$E190)-MAX(0,(('Business Case'!C11*$C190*'Business Case'!C12*$B190)-'Business Case'!C11*$C190*'Business Case'!C13*$D190-'Business Case'!C14*$E190))*'Business Case'!$B$7-'Business Case'!$B$8*(('Business Case'!C11*$C190*'Business Case'!C12*$B190)-('Business Case'!B11*$C190*'Business Case'!B12*$B190))-'Business Case'!C15*$F190</f>
        <v>-5977901.66622151</v>
      </c>
      <c r="J190" s="39" t="n">
        <f aca="false">(('Business Case'!D11*$C190*'Business Case'!D12*$B190)-'Business Case'!D11*$C190*'Business Case'!D13*$D190-'Business Case'!D14*$E190)-MAX(0,(('Business Case'!D11*$C190*'Business Case'!D12*$B190)-'Business Case'!D11*$C190*'Business Case'!D13*$D190-'Business Case'!D14*$E190))*'Business Case'!$B$7-'Business Case'!$B$8*(('Business Case'!D11*$C190*'Business Case'!D12*$B190)-('Business Case'!C11*$C190*'Business Case'!C12*$B190))-'Business Case'!D15*$F190</f>
        <v>302099635.168921</v>
      </c>
      <c r="K190" s="39" t="n">
        <f aca="false">(('Business Case'!E11*$C190*'Business Case'!E12*$B190)-'Business Case'!E11*$C190*'Business Case'!E13*$D190-'Business Case'!E14*$E190)-MAX(0,(('Business Case'!E11*$C190*'Business Case'!E12*$B190)-'Business Case'!E11*$C190*'Business Case'!E13*$D190-'Business Case'!E14*$E190))*'Business Case'!$B$7-'Business Case'!$B$8*(('Business Case'!E11*$C190*'Business Case'!E12*$B190)-('Business Case'!D11*$C190*'Business Case'!D12*$B190))-'Business Case'!E15*$F190</f>
        <v>663525795.996348</v>
      </c>
      <c r="L190" s="39" t="n">
        <f aca="false">(('Business Case'!F11*$C190*'Business Case'!F12*$B190)-'Business Case'!F11*$C190*'Business Case'!F13*$D190-'Business Case'!F14*$E190)-MAX(0,(('Business Case'!F11*$C190*'Business Case'!F12*$B190)-'Business Case'!F11*$C190*'Business Case'!F13*$D190-'Business Case'!F14*$E190))*'Business Case'!$B$7-'Business Case'!$B$8*(('Business Case'!F11*$C190*'Business Case'!F12*$B190)-('Business Case'!E11*$C190*'Business Case'!E12*$B190))-'Business Case'!F15*$F190</f>
        <v>802338445.168291</v>
      </c>
      <c r="M190" s="39" t="n">
        <f aca="false">(('Business Case'!G11*$C190*'Business Case'!G12*$B190)-'Business Case'!G11*$C190*'Business Case'!G13*$D190-'Business Case'!G14*$E190)-MAX(0,(('Business Case'!G11*$C190*'Business Case'!G12*$B190)-'Business Case'!G11*$C190*'Business Case'!G13*$D190-'Business Case'!G14*$E190))*'Business Case'!$B$7-'Business Case'!$B$8*(('Business Case'!G11*$C190*'Business Case'!G12*$B190)-('Business Case'!F11*$C190*'Business Case'!F12*$B190))-'Business Case'!G15*$F190+'Business Case'!$B$8*('Business Case'!G11*$C190*'Business Case'!G12*$B190)</f>
        <v>1000999198.08289</v>
      </c>
      <c r="N190" s="39" t="n">
        <f aca="false">IF(COUNT('Business Case'!B11:G11)=0,"",H190+NPV(G190,I190:M190))</f>
        <v>-289685860.067032</v>
      </c>
      <c r="P190" s="40" t="n">
        <f aca="true">RAND()</f>
        <v>0.93646253631627</v>
      </c>
      <c r="Q190" s="40" t="n">
        <f aca="true">RAND()</f>
        <v>0.735996010799829</v>
      </c>
      <c r="R190" s="40" t="n">
        <f aca="true">RAND()</f>
        <v>0.852969209015886</v>
      </c>
      <c r="S190" s="40" t="n">
        <f aca="true">RAND()</f>
        <v>0.858674897242028</v>
      </c>
      <c r="T190" s="40" t="n">
        <f aca="true">RAND()</f>
        <v>0.553345691548834</v>
      </c>
      <c r="U190" s="40" t="n">
        <f aca="true">RAND()</f>
        <v>0.746991284524189</v>
      </c>
    </row>
    <row r="191" customFormat="false" ht="15" hidden="false" customHeight="false" outlineLevel="0" collapsed="false">
      <c r="A191" s="36" t="n">
        <v>111</v>
      </c>
      <c r="B191" s="37" t="n">
        <f aca="false">1+IF($G$6=$E$6,$F$6,IF(P191&lt;($F$6-$E$6)/($G$6-$E$6),$E$6+SQRT(P191*($G$6-$E$6)*($F$6-$E$6)),$G$6-SQRT((1-P191)*($G$6-$E$6)*($G$6-$F$6))))</f>
        <v>0.990106911174317</v>
      </c>
      <c r="C191" s="37" t="n">
        <f aca="false">1+IF($G$7=$E$7,$F$7,IF(Q191&lt;($F$7-$E$7)/($G$7-$E$7),$E$7+SQRT(Q191*($G$7-$E$7)*($F$7-$E$7)),$G$7-SQRT((1-Q191)*($G$7-$E$7)*($G$7-$F$7))))</f>
        <v>0.921906303201066</v>
      </c>
      <c r="D191" s="37" t="n">
        <f aca="false">1+IF($G$8=$E$8,$F$8,IF(R191&lt;($F$8-$E$8)/($G$8-$E$8),$E$8+SQRT(R191*($G$8-$E$8)*($F$8-$E$8)),$G$8-SQRT((1-R191)*($G$8-$E$8)*($G$8-$F$8))))</f>
        <v>1.00906792995028</v>
      </c>
      <c r="E191" s="37" t="n">
        <f aca="false">1+IF($G$9=$E$9,$F$9,IF(S191&lt;($F$9-$E$9)/($G$9-$E$9),$E$9+SQRT(S191*($G$9-$E$9)*($F$9-$E$9)),$G$9-SQRT((1-S191)*($G$9-$E$9)*($G$9-$F$9))))</f>
        <v>0.913077080124726</v>
      </c>
      <c r="F191" s="37" t="n">
        <f aca="false">1+IF($G$10=$E$10,$F$10,IF(T191&lt;($F$10-$E$10)/($G$10-$E$10),$E$10+SQRT(T191*($G$10-$E$10)*($F$10-$E$10)),$G$10-SQRT((1-T191)*($G$10-$E$10)*($G$10-$F$10))))</f>
        <v>1.1528684383719</v>
      </c>
      <c r="G191" s="38" t="n">
        <f aca="false">IF($G$11=$E$11,$F$11,IF(U191&lt;($F$11-$E$11)/($G$11-$E$11),$E$11+SQRT(U191*($G$11-$E$11)*($F$11-$E$11)),$G$11-SQRT((1-U191)*($G$11-$E$11)*($G$11-$F$11))))</f>
        <v>0.109376843200148</v>
      </c>
      <c r="H191" s="39" t="n">
        <f aca="false">(('Business Case'!B11*$C191*'Business Case'!B12*$B191)-'Business Case'!B11*$C191*'Business Case'!B13*$D191-'Business Case'!B14*$E191)-MAX(0,(('Business Case'!B11*$C191*'Business Case'!B12*$B191)-'Business Case'!B11*$C191*'Business Case'!B13*$D191-'Business Case'!B14*$E191))*'Business Case'!$B$7-'Business Case'!$B$8*('Business Case'!B11*$C191*'Business Case'!B12*$B191)-'Business Case'!B15*$F191</f>
        <v>-2305736876.7438</v>
      </c>
      <c r="I191" s="39" t="n">
        <f aca="false">(('Business Case'!C11*$C191*'Business Case'!C12*$B191)-'Business Case'!C11*$C191*'Business Case'!C13*$D191-'Business Case'!C14*$E191)-MAX(0,(('Business Case'!C11*$C191*'Business Case'!C12*$B191)-'Business Case'!C11*$C191*'Business Case'!C13*$D191-'Business Case'!C14*$E191))*'Business Case'!$B$7-'Business Case'!$B$8*(('Business Case'!C11*$C191*'Business Case'!C12*$B191)-('Business Case'!B11*$C191*'Business Case'!B12*$B191))-'Business Case'!C15*$F191</f>
        <v>-21029742.2181299</v>
      </c>
      <c r="J191" s="39" t="n">
        <f aca="false">(('Business Case'!D11*$C191*'Business Case'!D12*$B191)-'Business Case'!D11*$C191*'Business Case'!D13*$D191-'Business Case'!D14*$E191)-MAX(0,(('Business Case'!D11*$C191*'Business Case'!D12*$B191)-'Business Case'!D11*$C191*'Business Case'!D13*$D191-'Business Case'!D14*$E191))*'Business Case'!$B$7-'Business Case'!$B$8*(('Business Case'!D11*$C191*'Business Case'!D12*$B191)-('Business Case'!C11*$C191*'Business Case'!C12*$B191))-'Business Case'!D15*$F191</f>
        <v>250385736.183542</v>
      </c>
      <c r="K191" s="39" t="n">
        <f aca="false">(('Business Case'!E11*$C191*'Business Case'!E12*$B191)-'Business Case'!E11*$C191*'Business Case'!E13*$D191-'Business Case'!E14*$E191)-MAX(0,(('Business Case'!E11*$C191*'Business Case'!E12*$B191)-'Business Case'!E11*$C191*'Business Case'!E13*$D191-'Business Case'!E14*$E191))*'Business Case'!$B$7-'Business Case'!$B$8*(('Business Case'!E11*$C191*'Business Case'!E12*$B191)-('Business Case'!D11*$C191*'Business Case'!D12*$B191))-'Business Case'!E15*$F191</f>
        <v>579444636.503809</v>
      </c>
      <c r="L191" s="39" t="n">
        <f aca="false">(('Business Case'!F11*$C191*'Business Case'!F12*$B191)-'Business Case'!F11*$C191*'Business Case'!F13*$D191-'Business Case'!F14*$E191)-MAX(0,(('Business Case'!F11*$C191*'Business Case'!F12*$B191)-'Business Case'!F11*$C191*'Business Case'!F13*$D191-'Business Case'!F14*$E191))*'Business Case'!$B$7-'Business Case'!$B$8*(('Business Case'!F11*$C191*'Business Case'!F12*$B191)-('Business Case'!E11*$C191*'Business Case'!E12*$B191))-'Business Case'!F15*$F191</f>
        <v>701462339.963616</v>
      </c>
      <c r="M191" s="39" t="n">
        <f aca="false">(('Business Case'!G11*$C191*'Business Case'!G12*$B191)-'Business Case'!G11*$C191*'Business Case'!G13*$D191-'Business Case'!G14*$E191)-MAX(0,(('Business Case'!G11*$C191*'Business Case'!G12*$B191)-'Business Case'!G11*$C191*'Business Case'!G13*$D191-'Business Case'!G14*$E191))*'Business Case'!$B$7-'Business Case'!$B$8*(('Business Case'!G11*$C191*'Business Case'!G12*$B191)-('Business Case'!F11*$C191*'Business Case'!F12*$B191))-'Business Case'!G15*$F191+'Business Case'!$B$8*('Business Case'!G11*$C191*'Business Case'!G12*$B191)</f>
        <v>874964665.256159</v>
      </c>
      <c r="N191" s="39" t="n">
        <f aca="false">IF(COUNT('Business Case'!B11:G11)=0,"",H191+NPV(G191,I191:M191))</f>
        <v>-713023877.771219</v>
      </c>
      <c r="P191" s="40" t="n">
        <f aca="true">RAND()</f>
        <v>0.541283696091751</v>
      </c>
      <c r="Q191" s="40" t="n">
        <f aca="true">RAND()</f>
        <v>0.364758573336026</v>
      </c>
      <c r="R191" s="40" t="n">
        <f aca="true">RAND()</f>
        <v>0.448757242431519</v>
      </c>
      <c r="S191" s="40" t="n">
        <f aca="true">RAND()</f>
        <v>0.00684040098353995</v>
      </c>
      <c r="T191" s="40" t="n">
        <f aca="true">RAND()</f>
        <v>0.874206129809161</v>
      </c>
      <c r="U191" s="40" t="n">
        <f aca="true">RAND()</f>
        <v>0.716456935739144</v>
      </c>
    </row>
    <row r="192" customFormat="false" ht="15" hidden="false" customHeight="false" outlineLevel="0" collapsed="false">
      <c r="A192" s="36" t="n">
        <v>112</v>
      </c>
      <c r="B192" s="37" t="n">
        <f aca="false">1+IF($G$6=$E$6,$F$6,IF(P192&lt;($F$6-$E$6)/($G$6-$E$6),$E$6+SQRT(P192*($G$6-$E$6)*($F$6-$E$6)),$G$6-SQRT((1-P192)*($G$6-$E$6)*($G$6-$F$6))))</f>
        <v>1.02463086895766</v>
      </c>
      <c r="C192" s="37" t="n">
        <f aca="false">1+IF($G$7=$E$7,$F$7,IF(Q192&lt;($F$7-$E$7)/($G$7-$E$7),$E$7+SQRT(Q192*($G$7-$E$7)*($F$7-$E$7)),$G$7-SQRT((1-Q192)*($G$7-$E$7)*($G$7-$F$7))))</f>
        <v>0.753705214460836</v>
      </c>
      <c r="D192" s="37" t="n">
        <f aca="false">1+IF($G$8=$E$8,$F$8,IF(R192&lt;($F$8-$E$8)/($G$8-$E$8),$E$8+SQRT(R192*($G$8-$E$8)*($F$8-$E$8)),$G$8-SQRT((1-R192)*($G$8-$E$8)*($G$8-$F$8))))</f>
        <v>1.04192223864272</v>
      </c>
      <c r="E192" s="37" t="n">
        <f aca="false">1+IF($G$9=$E$9,$F$9,IF(S192&lt;($F$9-$E$9)/($G$9-$E$9),$E$9+SQRT(S192*($G$9-$E$9)*($F$9-$E$9)),$G$9-SQRT((1-S192)*($G$9-$E$9)*($G$9-$F$9))))</f>
        <v>0.961305358358183</v>
      </c>
      <c r="F192" s="37" t="n">
        <f aca="false">1+IF($G$10=$E$10,$F$10,IF(T192&lt;($F$10-$E$10)/($G$10-$E$10),$E$10+SQRT(T192*($G$10-$E$10)*($F$10-$E$10)),$G$10-SQRT((1-T192)*($G$10-$E$10)*($G$10-$F$10))))</f>
        <v>1.00257075058874</v>
      </c>
      <c r="G192" s="38" t="n">
        <f aca="false">IF($G$11=$E$11,$F$11,IF(U192&lt;($F$11-$E$11)/($G$11-$E$11),$E$11+SQRT(U192*($G$11-$E$11)*($F$11-$E$11)),$G$11-SQRT((1-U192)*($G$11-$E$11)*($G$11-$F$11))))</f>
        <v>0.0848718151664724</v>
      </c>
      <c r="H192" s="39" t="n">
        <f aca="false">(('Business Case'!B11*$C192*'Business Case'!B12*$B192)-'Business Case'!B11*$C192*'Business Case'!B13*$D192-'Business Case'!B14*$E192)-MAX(0,(('Business Case'!B11*$C192*'Business Case'!B12*$B192)-'Business Case'!B11*$C192*'Business Case'!B13*$D192-'Business Case'!B14*$E192))*'Business Case'!$B$7-'Business Case'!$B$8*('Business Case'!B11*$C192*'Business Case'!B12*$B192)-'Business Case'!B15*$F192</f>
        <v>-2005141501.17747</v>
      </c>
      <c r="I192" s="39" t="n">
        <f aca="false">(('Business Case'!C11*$C192*'Business Case'!C12*$B192)-'Business Case'!C11*$C192*'Business Case'!C13*$D192-'Business Case'!C14*$E192)-MAX(0,(('Business Case'!C11*$C192*'Business Case'!C12*$B192)-'Business Case'!C11*$C192*'Business Case'!C13*$D192-'Business Case'!C14*$E192))*'Business Case'!$B$7-'Business Case'!$B$8*(('Business Case'!C11*$C192*'Business Case'!C12*$B192)-('Business Case'!B11*$C192*'Business Case'!B12*$B192))-'Business Case'!C15*$F192</f>
        <v>-46456639.828047</v>
      </c>
      <c r="J192" s="39" t="n">
        <f aca="false">(('Business Case'!D11*$C192*'Business Case'!D12*$B192)-'Business Case'!D11*$C192*'Business Case'!D13*$D192-'Business Case'!D14*$E192)-MAX(0,(('Business Case'!D11*$C192*'Business Case'!D12*$B192)-'Business Case'!D11*$C192*'Business Case'!D13*$D192-'Business Case'!D14*$E192))*'Business Case'!$B$7-'Business Case'!$B$8*(('Business Case'!D11*$C192*'Business Case'!D12*$B192)-('Business Case'!C11*$C192*'Business Case'!C12*$B192))-'Business Case'!D15*$F192</f>
        <v>184075874.919908</v>
      </c>
      <c r="K192" s="39" t="n">
        <f aca="false">(('Business Case'!E11*$C192*'Business Case'!E12*$B192)-'Business Case'!E11*$C192*'Business Case'!E13*$D192-'Business Case'!E14*$E192)-MAX(0,(('Business Case'!E11*$C192*'Business Case'!E12*$B192)-'Business Case'!E11*$C192*'Business Case'!E13*$D192-'Business Case'!E14*$E192))*'Business Case'!$B$7-'Business Case'!$B$8*(('Business Case'!E11*$C192*'Business Case'!E12*$B192)-('Business Case'!D11*$C192*'Business Case'!D12*$B192))-'Business Case'!E15*$F192</f>
        <v>464736927.197301</v>
      </c>
      <c r="L192" s="39" t="n">
        <f aca="false">(('Business Case'!F11*$C192*'Business Case'!F12*$B192)-'Business Case'!F11*$C192*'Business Case'!F13*$D192-'Business Case'!F14*$E192)-MAX(0,(('Business Case'!F11*$C192*'Business Case'!F12*$B192)-'Business Case'!F11*$C192*'Business Case'!F13*$D192-'Business Case'!F14*$E192))*'Business Case'!$B$7-'Business Case'!$B$8*(('Business Case'!F11*$C192*'Business Case'!F12*$B192)-('Business Case'!E11*$C192*'Business Case'!E12*$B192))-'Business Case'!F15*$F192</f>
        <v>568270737.152349</v>
      </c>
      <c r="M192" s="39" t="n">
        <f aca="false">(('Business Case'!G11*$C192*'Business Case'!G12*$B192)-'Business Case'!G11*$C192*'Business Case'!G13*$D192-'Business Case'!G14*$E192)-MAX(0,(('Business Case'!G11*$C192*'Business Case'!G12*$B192)-'Business Case'!G11*$C192*'Business Case'!G13*$D192-'Business Case'!G14*$E192))*'Business Case'!$B$7-'Business Case'!$B$8*(('Business Case'!G11*$C192*'Business Case'!G12*$B192)-('Business Case'!F11*$C192*'Business Case'!F12*$B192))-'Business Case'!G15*$F192+'Business Case'!$B$8*('Business Case'!G11*$C192*'Business Case'!G12*$B192)</f>
        <v>715063748.200532</v>
      </c>
      <c r="N192" s="39" t="n">
        <f aca="false">IF(COUNT('Business Case'!B11:G11)=0,"",H192+NPV(G192,I192:M192))</f>
        <v>-641512998.285775</v>
      </c>
      <c r="P192" s="40" t="n">
        <f aca="true">RAND()</f>
        <v>0.914187625354208</v>
      </c>
      <c r="Q192" s="40" t="n">
        <f aca="true">RAND()</f>
        <v>0.0213648152613659</v>
      </c>
      <c r="R192" s="40" t="n">
        <f aca="true">RAND()</f>
        <v>0.775131575715106</v>
      </c>
      <c r="S192" s="40" t="n">
        <f aca="true">RAND()</f>
        <v>0.150333878537009</v>
      </c>
      <c r="T192" s="40" t="n">
        <f aca="true">RAND()</f>
        <v>0.183716887143713</v>
      </c>
      <c r="U192" s="40" t="n">
        <f aca="true">RAND()</f>
        <v>0.0237345830162705</v>
      </c>
    </row>
    <row r="193" customFormat="false" ht="15" hidden="false" customHeight="false" outlineLevel="0" collapsed="false">
      <c r="A193" s="36" t="n">
        <v>113</v>
      </c>
      <c r="B193" s="37" t="n">
        <f aca="false">1+IF($G$6=$E$6,$F$6,IF(P193&lt;($F$6-$E$6)/($G$6-$E$6),$E$6+SQRT(P193*($G$6-$E$6)*($F$6-$E$6)),$G$6-SQRT((1-P193)*($G$6-$E$6)*($G$6-$F$6))))</f>
        <v>0.984831221294747</v>
      </c>
      <c r="C193" s="37" t="n">
        <f aca="false">1+IF($G$7=$E$7,$F$7,IF(Q193&lt;($F$7-$E$7)/($G$7-$E$7),$E$7+SQRT(Q193*($G$7-$E$7)*($F$7-$E$7)),$G$7-SQRT((1-Q193)*($G$7-$E$7)*($G$7-$F$7))))</f>
        <v>0.959558131306346</v>
      </c>
      <c r="D193" s="37" t="n">
        <f aca="false">1+IF($G$8=$E$8,$F$8,IF(R193&lt;($F$8-$E$8)/($G$8-$E$8),$E$8+SQRT(R193*($G$8-$E$8)*($F$8-$E$8)),$G$8-SQRT((1-R193)*($G$8-$E$8)*($G$8-$F$8))))</f>
        <v>1.04507162623504</v>
      </c>
      <c r="E193" s="37" t="n">
        <f aca="false">1+IF($G$9=$E$9,$F$9,IF(S193&lt;($F$9-$E$9)/($G$9-$E$9),$E$9+SQRT(S193*($G$9-$E$9)*($F$9-$E$9)),$G$9-SQRT((1-S193)*($G$9-$E$9)*($G$9-$F$9))))</f>
        <v>1.05077666530014</v>
      </c>
      <c r="F193" s="37" t="n">
        <f aca="false">1+IF($G$10=$E$10,$F$10,IF(T193&lt;($F$10-$E$10)/($G$10-$E$10),$E$10+SQRT(T193*($G$10-$E$10)*($F$10-$E$10)),$G$10-SQRT((1-T193)*($G$10-$E$10)*($G$10-$F$10))))</f>
        <v>0.967447283538192</v>
      </c>
      <c r="G193" s="38" t="n">
        <f aca="false">IF($G$11=$E$11,$F$11,IF(U193&lt;($F$11-$E$11)/($G$11-$E$11),$E$11+SQRT(U193*($G$11-$E$11)*($F$11-$E$11)),$G$11-SQRT((1-U193)*($G$11-$E$11)*($G$11-$F$11))))</f>
        <v>0.119125890339494</v>
      </c>
      <c r="H193" s="39" t="n">
        <f aca="false">(('Business Case'!B11*$C193*'Business Case'!B12*$B193)-'Business Case'!B11*$C193*'Business Case'!B13*$D193-'Business Case'!B14*$E193)-MAX(0,(('Business Case'!B11*$C193*'Business Case'!B12*$B193)-'Business Case'!B11*$C193*'Business Case'!B13*$D193-'Business Case'!B14*$E193))*'Business Case'!$B$7-'Business Case'!$B$8*('Business Case'!B11*$C193*'Business Case'!B12*$B193)-'Business Case'!B15*$F193</f>
        <v>-1934894567.07638</v>
      </c>
      <c r="I193" s="39" t="n">
        <f aca="false">(('Business Case'!C11*$C193*'Business Case'!C12*$B193)-'Business Case'!C11*$C193*'Business Case'!C13*$D193-'Business Case'!C14*$E193)-MAX(0,(('Business Case'!C11*$C193*'Business Case'!C12*$B193)-'Business Case'!C11*$C193*'Business Case'!C13*$D193-'Business Case'!C14*$E193))*'Business Case'!$B$7-'Business Case'!$B$8*(('Business Case'!C11*$C193*'Business Case'!C12*$B193)-('Business Case'!B11*$C193*'Business Case'!B12*$B193))-'Business Case'!C15*$F193</f>
        <v>-34485724.5706084</v>
      </c>
      <c r="J193" s="39" t="n">
        <f aca="false">(('Business Case'!D11*$C193*'Business Case'!D12*$B193)-'Business Case'!D11*$C193*'Business Case'!D13*$D193-'Business Case'!D14*$E193)-MAX(0,(('Business Case'!D11*$C193*'Business Case'!D12*$B193)-'Business Case'!D11*$C193*'Business Case'!D13*$D193-'Business Case'!D14*$E193))*'Business Case'!$B$7-'Business Case'!$B$8*(('Business Case'!D11*$C193*'Business Case'!D12*$B193)-('Business Case'!C11*$C193*'Business Case'!C12*$B193))-'Business Case'!D15*$F193</f>
        <v>226182666.499867</v>
      </c>
      <c r="K193" s="39" t="n">
        <f aca="false">(('Business Case'!E11*$C193*'Business Case'!E12*$B193)-'Business Case'!E11*$C193*'Business Case'!E13*$D193-'Business Case'!E14*$E193)-MAX(0,(('Business Case'!E11*$C193*'Business Case'!E12*$B193)-'Business Case'!E11*$C193*'Business Case'!E13*$D193-'Business Case'!E14*$E193))*'Business Case'!$B$7-'Business Case'!$B$8*(('Business Case'!E11*$C193*'Business Case'!E12*$B193)-('Business Case'!D11*$C193*'Business Case'!D12*$B193))-'Business Case'!E15*$F193</f>
        <v>535223421.747252</v>
      </c>
      <c r="L193" s="39" t="n">
        <f aca="false">(('Business Case'!F11*$C193*'Business Case'!F12*$B193)-'Business Case'!F11*$C193*'Business Case'!F13*$D193-'Business Case'!F14*$E193)-MAX(0,(('Business Case'!F11*$C193*'Business Case'!F12*$B193)-'Business Case'!F11*$C193*'Business Case'!F13*$D193-'Business Case'!F14*$E193))*'Business Case'!$B$7-'Business Case'!$B$8*(('Business Case'!F11*$C193*'Business Case'!F12*$B193)-('Business Case'!E11*$C193*'Business Case'!E12*$B193))-'Business Case'!F15*$F193</f>
        <v>654772182.425134</v>
      </c>
      <c r="M193" s="39" t="n">
        <f aca="false">(('Business Case'!G11*$C193*'Business Case'!G12*$B193)-'Business Case'!G11*$C193*'Business Case'!G13*$D193-'Business Case'!G14*$E193)-MAX(0,(('Business Case'!G11*$C193*'Business Case'!G12*$B193)-'Business Case'!G11*$C193*'Business Case'!G13*$D193-'Business Case'!G14*$E193))*'Business Case'!$B$7-'Business Case'!$B$8*(('Business Case'!G11*$C193*'Business Case'!G12*$B193)-('Business Case'!F11*$C193*'Business Case'!F12*$B193))-'Business Case'!G15*$F193+'Business Case'!$B$8*('Business Case'!G11*$C193*'Business Case'!G12*$B193)</f>
        <v>834398315.857612</v>
      </c>
      <c r="N193" s="39" t="n">
        <f aca="false">IF(COUNT('Business Case'!B11:G11)=0,"",H193+NPV(G193,I193:M193))</f>
        <v>-510528335.717907</v>
      </c>
      <c r="P193" s="40" t="n">
        <f aca="true">RAND()</f>
        <v>0.479755740423885</v>
      </c>
      <c r="Q193" s="40" t="n">
        <f aca="true">RAND()</f>
        <v>0.499040174275869</v>
      </c>
      <c r="R193" s="40" t="n">
        <f aca="true">RAND()</f>
        <v>0.798858250369124</v>
      </c>
      <c r="S193" s="40" t="n">
        <f aca="true">RAND()</f>
        <v>0.737459462694384</v>
      </c>
      <c r="T193" s="40" t="n">
        <f aca="true">RAND()</f>
        <v>0.0202938468574712</v>
      </c>
      <c r="U193" s="40" t="n">
        <f aca="true">RAND()</f>
        <v>0.921169159394199</v>
      </c>
    </row>
    <row r="194" customFormat="false" ht="15" hidden="false" customHeight="false" outlineLevel="0" collapsed="false">
      <c r="A194" s="36" t="n">
        <v>114</v>
      </c>
      <c r="B194" s="37" t="n">
        <f aca="false">1+IF($G$6=$E$6,$F$6,IF(P194&lt;($F$6-$E$6)/($G$6-$E$6),$E$6+SQRT(P194*($G$6-$E$6)*($F$6-$E$6)),$G$6-SQRT((1-P194)*($G$6-$E$6)*($G$6-$F$6))))</f>
        <v>0.974718188854232</v>
      </c>
      <c r="C194" s="37" t="n">
        <f aca="false">1+IF($G$7=$E$7,$F$7,IF(Q194&lt;($F$7-$E$7)/($G$7-$E$7),$E$7+SQRT(Q194*($G$7-$E$7)*($F$7-$E$7)),$G$7-SQRT((1-Q194)*($G$7-$E$7)*($G$7-$F$7))))</f>
        <v>0.853502407690373</v>
      </c>
      <c r="D194" s="37" t="n">
        <f aca="false">1+IF($G$8=$E$8,$F$8,IF(R194&lt;($F$8-$E$8)/($G$8-$E$8),$E$8+SQRT(R194*($G$8-$E$8)*($F$8-$E$8)),$G$8-SQRT((1-R194)*($G$8-$E$8)*($G$8-$F$8))))</f>
        <v>1.003854831513</v>
      </c>
      <c r="E194" s="37" t="n">
        <f aca="false">1+IF($G$9=$E$9,$F$9,IF(S194&lt;($F$9-$E$9)/($G$9-$E$9),$E$9+SQRT(S194*($G$9-$E$9)*($F$9-$E$9)),$G$9-SQRT((1-S194)*($G$9-$E$9)*($G$9-$F$9))))</f>
        <v>1.00348462427396</v>
      </c>
      <c r="F194" s="37" t="n">
        <f aca="false">1+IF($G$10=$E$10,$F$10,IF(T194&lt;($F$10-$E$10)/($G$10-$E$10),$E$10+SQRT(T194*($G$10-$E$10)*($F$10-$E$10)),$G$10-SQRT((1-T194)*($G$10-$E$10)*($G$10-$F$10))))</f>
        <v>0.998167159343582</v>
      </c>
      <c r="G194" s="38" t="n">
        <f aca="false">IF($G$11=$E$11,$F$11,IF(U194&lt;($F$11-$E$11)/($G$11-$E$11),$E$11+SQRT(U194*($G$11-$E$11)*($F$11-$E$11)),$G$11-SQRT((1-U194)*($G$11-$E$11)*($G$11-$F$11))))</f>
        <v>0.0958224486537043</v>
      </c>
      <c r="H194" s="39" t="n">
        <f aca="false">(('Business Case'!B11*$C194*'Business Case'!B12*$B194)-'Business Case'!B11*$C194*'Business Case'!B13*$D194-'Business Case'!B14*$E194)-MAX(0,(('Business Case'!B11*$C194*'Business Case'!B12*$B194)-'Business Case'!B11*$C194*'Business Case'!B13*$D194-'Business Case'!B14*$E194))*'Business Case'!$B$7-'Business Case'!$B$8*('Business Case'!B11*$C194*'Business Case'!B12*$B194)-'Business Case'!B15*$F194</f>
        <v>-1996334318.68716</v>
      </c>
      <c r="I194" s="39" t="n">
        <f aca="false">(('Business Case'!C11*$C194*'Business Case'!C12*$B194)-'Business Case'!C11*$C194*'Business Case'!C13*$D194-'Business Case'!C14*$E194)-MAX(0,(('Business Case'!C11*$C194*'Business Case'!C12*$B194)-'Business Case'!C11*$C194*'Business Case'!C13*$D194-'Business Case'!C14*$E194))*'Business Case'!$B$7-'Business Case'!$B$8*(('Business Case'!C11*$C194*'Business Case'!C12*$B194)-('Business Case'!B11*$C194*'Business Case'!B12*$B194))-'Business Case'!C15*$F194</f>
        <v>-42842493.4722533</v>
      </c>
      <c r="J194" s="39" t="n">
        <f aca="false">(('Business Case'!D11*$C194*'Business Case'!D12*$B194)-'Business Case'!D11*$C194*'Business Case'!D13*$D194-'Business Case'!D14*$E194)-MAX(0,(('Business Case'!D11*$C194*'Business Case'!D12*$B194)-'Business Case'!D11*$C194*'Business Case'!D13*$D194-'Business Case'!D14*$E194))*'Business Case'!$B$7-'Business Case'!$B$8*(('Business Case'!D11*$C194*'Business Case'!D12*$B194)-('Business Case'!C11*$C194*'Business Case'!C12*$B194))-'Business Case'!D15*$F194</f>
        <v>199954199.362596</v>
      </c>
      <c r="K194" s="39" t="n">
        <f aca="false">(('Business Case'!E11*$C194*'Business Case'!E12*$B194)-'Business Case'!E11*$C194*'Business Case'!E13*$D194-'Business Case'!E14*$E194)-MAX(0,(('Business Case'!E11*$C194*'Business Case'!E12*$B194)-'Business Case'!E11*$C194*'Business Case'!E13*$D194-'Business Case'!E14*$E194))*'Business Case'!$B$7-'Business Case'!$B$8*(('Business Case'!E11*$C194*'Business Case'!E12*$B194)-('Business Case'!D11*$C194*'Business Case'!D12*$B194))-'Business Case'!E15*$F194</f>
        <v>492659250.164624</v>
      </c>
      <c r="L194" s="39" t="n">
        <f aca="false">(('Business Case'!F11*$C194*'Business Case'!F12*$B194)-'Business Case'!F11*$C194*'Business Case'!F13*$D194-'Business Case'!F14*$E194)-MAX(0,(('Business Case'!F11*$C194*'Business Case'!F12*$B194)-'Business Case'!F11*$C194*'Business Case'!F13*$D194-'Business Case'!F14*$E194))*'Business Case'!$B$7-'Business Case'!$B$8*(('Business Case'!F11*$C194*'Business Case'!F12*$B194)-('Business Case'!E11*$C194*'Business Case'!E12*$B194))-'Business Case'!F15*$F194</f>
        <v>602342785.643565</v>
      </c>
      <c r="M194" s="39" t="n">
        <f aca="false">(('Business Case'!G11*$C194*'Business Case'!G12*$B194)-'Business Case'!G11*$C194*'Business Case'!G13*$D194-'Business Case'!G14*$E194)-MAX(0,(('Business Case'!G11*$C194*'Business Case'!G12*$B194)-'Business Case'!G11*$C194*'Business Case'!G13*$D194-'Business Case'!G14*$E194))*'Business Case'!$B$7-'Business Case'!$B$8*(('Business Case'!G11*$C194*'Business Case'!G12*$B194)-('Business Case'!F11*$C194*'Business Case'!F12*$B194))-'Business Case'!G15*$F194+'Business Case'!$B$8*('Business Case'!G11*$C194*'Business Case'!G12*$B194)</f>
        <v>760474960.580516</v>
      </c>
      <c r="N194" s="39" t="n">
        <f aca="false">IF(COUNT('Business Case'!B11:G11)=0,"",H194+NPV(G194,I194:M194))</f>
        <v>-595542780.740232</v>
      </c>
      <c r="P194" s="40" t="n">
        <f aca="true">RAND()</f>
        <v>0.372187183043781</v>
      </c>
      <c r="Q194" s="40" t="n">
        <f aca="true">RAND()</f>
        <v>0.174540660494381</v>
      </c>
      <c r="R194" s="40" t="n">
        <f aca="true">RAND()</f>
        <v>0.383740438440378</v>
      </c>
      <c r="S194" s="40" t="n">
        <f aca="true">RAND()</f>
        <v>0.427553191356211</v>
      </c>
      <c r="T194" s="40" t="n">
        <f aca="true">RAND()</f>
        <v>0.154671682615333</v>
      </c>
      <c r="U194" s="40" t="n">
        <f aca="true">RAND()</f>
        <v>0.250349881399109</v>
      </c>
    </row>
    <row r="195" customFormat="false" ht="15" hidden="false" customHeight="false" outlineLevel="0" collapsed="false">
      <c r="A195" s="36" t="n">
        <v>115</v>
      </c>
      <c r="B195" s="37" t="n">
        <f aca="false">1+IF($G$6=$E$6,$F$6,IF(P195&lt;($F$6-$E$6)/($G$6-$E$6),$E$6+SQRT(P195*($G$6-$E$6)*($F$6-$E$6)),$G$6-SQRT((1-P195)*($G$6-$E$6)*($G$6-$F$6))))</f>
        <v>0.938742470703674</v>
      </c>
      <c r="C195" s="37" t="n">
        <f aca="false">1+IF($G$7=$E$7,$F$7,IF(Q195&lt;($F$7-$E$7)/($G$7-$E$7),$E$7+SQRT(Q195*($G$7-$E$7)*($F$7-$E$7)),$G$7-SQRT((1-Q195)*($G$7-$E$7)*($G$7-$F$7))))</f>
        <v>0.857639956574473</v>
      </c>
      <c r="D195" s="37" t="n">
        <f aca="false">1+IF($G$8=$E$8,$F$8,IF(R195&lt;($F$8-$E$8)/($G$8-$E$8),$E$8+SQRT(R195*($G$8-$E$8)*($F$8-$E$8)),$G$8-SQRT((1-R195)*($G$8-$E$8)*($G$8-$F$8))))</f>
        <v>0.957534620859386</v>
      </c>
      <c r="E195" s="37" t="n">
        <f aca="false">1+IF($G$9=$E$9,$F$9,IF(S195&lt;($F$9-$E$9)/($G$9-$E$9),$E$9+SQRT(S195*($G$9-$E$9)*($F$9-$E$9)),$G$9-SQRT((1-S195)*($G$9-$E$9)*($G$9-$F$9))))</f>
        <v>1.06893089429628</v>
      </c>
      <c r="F195" s="37" t="n">
        <f aca="false">1+IF($G$10=$E$10,$F$10,IF(T195&lt;($F$10-$E$10)/($G$10-$E$10),$E$10+SQRT(T195*($G$10-$E$10)*($F$10-$E$10)),$G$10-SQRT((1-T195)*($G$10-$E$10)*($G$10-$F$10))))</f>
        <v>1.14006974188615</v>
      </c>
      <c r="G195" s="38" t="n">
        <f aca="false">IF($G$11=$E$11,$F$11,IF(U195&lt;($F$11-$E$11)/($G$11-$E$11),$E$11+SQRT(U195*($G$11-$E$11)*($F$11-$E$11)),$G$11-SQRT((1-U195)*($G$11-$E$11)*($G$11-$F$11))))</f>
        <v>0.119992181688923</v>
      </c>
      <c r="H195" s="39" t="n">
        <f aca="false">(('Business Case'!B11*$C195*'Business Case'!B12*$B195)-'Business Case'!B11*$C195*'Business Case'!B13*$D195-'Business Case'!B14*$E195)-MAX(0,(('Business Case'!B11*$C195*'Business Case'!B12*$B195)-'Business Case'!B11*$C195*'Business Case'!B13*$D195-'Business Case'!B14*$E195))*'Business Case'!$B$7-'Business Case'!$B$8*('Business Case'!B11*$C195*'Business Case'!B12*$B195)-'Business Case'!B15*$F195</f>
        <v>-2280139483.77229</v>
      </c>
      <c r="I195" s="39" t="n">
        <f aca="false">(('Business Case'!C11*$C195*'Business Case'!C12*$B195)-'Business Case'!C11*$C195*'Business Case'!C13*$D195-'Business Case'!C14*$E195)-MAX(0,(('Business Case'!C11*$C195*'Business Case'!C12*$B195)-'Business Case'!C11*$C195*'Business Case'!C13*$D195-'Business Case'!C14*$E195))*'Business Case'!$B$7-'Business Case'!$B$8*(('Business Case'!C11*$C195*'Business Case'!C12*$B195)-('Business Case'!B11*$C195*'Business Case'!B12*$B195))-'Business Case'!C15*$F195</f>
        <v>-68707039.8500661</v>
      </c>
      <c r="J195" s="39" t="n">
        <f aca="false">(('Business Case'!D11*$C195*'Business Case'!D12*$B195)-'Business Case'!D11*$C195*'Business Case'!D13*$D195-'Business Case'!D14*$E195)-MAX(0,(('Business Case'!D11*$C195*'Business Case'!D12*$B195)-'Business Case'!D11*$C195*'Business Case'!D13*$D195-'Business Case'!D14*$E195))*'Business Case'!$B$7-'Business Case'!$B$8*(('Business Case'!D11*$C195*'Business Case'!D12*$B195)-('Business Case'!C11*$C195*'Business Case'!C12*$B195))-'Business Case'!D15*$F195</f>
        <v>170331409.863188</v>
      </c>
      <c r="K195" s="39" t="n">
        <f aca="false">(('Business Case'!E11*$C195*'Business Case'!E12*$B195)-'Business Case'!E11*$C195*'Business Case'!E13*$D195-'Business Case'!E14*$E195)-MAX(0,(('Business Case'!E11*$C195*'Business Case'!E12*$B195)-'Business Case'!E11*$C195*'Business Case'!E13*$D195-'Business Case'!E14*$E195))*'Business Case'!$B$7-'Business Case'!$B$8*(('Business Case'!E11*$C195*'Business Case'!E12*$B195)-('Business Case'!D11*$C195*'Business Case'!D12*$B195))-'Business Case'!E15*$F195</f>
        <v>466373346.670749</v>
      </c>
      <c r="L195" s="39" t="n">
        <f aca="false">(('Business Case'!F11*$C195*'Business Case'!F12*$B195)-'Business Case'!F11*$C195*'Business Case'!F13*$D195-'Business Case'!F14*$E195)-MAX(0,(('Business Case'!F11*$C195*'Business Case'!F12*$B195)-'Business Case'!F11*$C195*'Business Case'!F13*$D195-'Business Case'!F14*$E195))*'Business Case'!$B$7-'Business Case'!$B$8*(('Business Case'!F11*$C195*'Business Case'!F12*$B195)-('Business Case'!E11*$C195*'Business Case'!E12*$B195))-'Business Case'!F15*$F195</f>
        <v>573877191.379016</v>
      </c>
      <c r="M195" s="39" t="n">
        <f aca="false">(('Business Case'!G11*$C195*'Business Case'!G12*$B195)-'Business Case'!G11*$C195*'Business Case'!G13*$D195-'Business Case'!G14*$E195)-MAX(0,(('Business Case'!G11*$C195*'Business Case'!G12*$B195)-'Business Case'!G11*$C195*'Business Case'!G13*$D195-'Business Case'!G14*$E195))*'Business Case'!$B$7-'Business Case'!$B$8*(('Business Case'!G11*$C195*'Business Case'!G12*$B195)-('Business Case'!F11*$C195*'Business Case'!F12*$B195))-'Business Case'!G15*$F195+'Business Case'!$B$8*('Business Case'!G11*$C195*'Business Case'!G12*$B195)</f>
        <v>726911179.466854</v>
      </c>
      <c r="N195" s="39" t="n">
        <f aca="false">IF(COUNT('Business Case'!B11:G11)=0,"",H195+NPV(G195,I195:M195))</f>
        <v>-1096531306.85965</v>
      </c>
      <c r="P195" s="40" t="n">
        <f aca="true">RAND()</f>
        <v>0.100065269081668</v>
      </c>
      <c r="Q195" s="40" t="n">
        <f aca="true">RAND()</f>
        <v>0.184076710435567</v>
      </c>
      <c r="R195" s="40" t="n">
        <f aca="true">RAND()</f>
        <v>0.00756940153262485</v>
      </c>
      <c r="S195" s="40" t="n">
        <f aca="true">RAND()</f>
        <v>0.824741336010649</v>
      </c>
      <c r="T195" s="40" t="n">
        <f aca="true">RAND()</f>
        <v>0.838871178013621</v>
      </c>
      <c r="U195" s="40" t="n">
        <f aca="true">RAND()</f>
        <v>0.93322904843498</v>
      </c>
    </row>
    <row r="196" customFormat="false" ht="15" hidden="false" customHeight="false" outlineLevel="0" collapsed="false">
      <c r="A196" s="36" t="n">
        <v>116</v>
      </c>
      <c r="B196" s="37" t="n">
        <f aca="false">1+IF($G$6=$E$6,$F$6,IF(P196&lt;($F$6-$E$6)/($G$6-$E$6),$E$6+SQRT(P196*($G$6-$E$6)*($F$6-$E$6)),$G$6-SQRT((1-P196)*($G$6-$E$6)*($G$6-$F$6))))</f>
        <v>1.00838550103168</v>
      </c>
      <c r="C196" s="37" t="n">
        <f aca="false">1+IF($G$7=$E$7,$F$7,IF(Q196&lt;($F$7-$E$7)/($G$7-$E$7),$E$7+SQRT(Q196*($G$7-$E$7)*($F$7-$E$7)),$G$7-SQRT((1-Q196)*($G$7-$E$7)*($G$7-$F$7))))</f>
        <v>0.959437937751954</v>
      </c>
      <c r="D196" s="37" t="n">
        <f aca="false">1+IF($G$8=$E$8,$F$8,IF(R196&lt;($F$8-$E$8)/($G$8-$E$8),$E$8+SQRT(R196*($G$8-$E$8)*($F$8-$E$8)),$G$8-SQRT((1-R196)*($G$8-$E$8)*($G$8-$F$8))))</f>
        <v>1.061401200712</v>
      </c>
      <c r="E196" s="37" t="n">
        <f aca="false">1+IF($G$9=$E$9,$F$9,IF(S196&lt;($F$9-$E$9)/($G$9-$E$9),$E$9+SQRT(S196*($G$9-$E$9)*($F$9-$E$9)),$G$9-SQRT((1-S196)*($G$9-$E$9)*($G$9-$F$9))))</f>
        <v>0.953010723521696</v>
      </c>
      <c r="F196" s="37" t="n">
        <f aca="false">1+IF($G$10=$E$10,$F$10,IF(T196&lt;($F$10-$E$10)/($G$10-$E$10),$E$10+SQRT(T196*($G$10-$E$10)*($F$10-$E$10)),$G$10-SQRT((1-T196)*($G$10-$E$10)*($G$10-$F$10))))</f>
        <v>1.14713002219461</v>
      </c>
      <c r="G196" s="38" t="n">
        <f aca="false">IF($G$11=$E$11,$F$11,IF(U196&lt;($F$11-$E$11)/($G$11-$E$11),$E$11+SQRT(U196*($G$11-$E$11)*($F$11-$E$11)),$G$11-SQRT((1-U196)*($G$11-$E$11)*($G$11-$F$11))))</f>
        <v>0.107478662369905</v>
      </c>
      <c r="H196" s="39" t="n">
        <f aca="false">(('Business Case'!B11*$C196*'Business Case'!B12*$B196)-'Business Case'!B11*$C196*'Business Case'!B13*$D196-'Business Case'!B14*$E196)-MAX(0,(('Business Case'!B11*$C196*'Business Case'!B12*$B196)-'Business Case'!B11*$C196*'Business Case'!B13*$D196-'Business Case'!B14*$E196))*'Business Case'!$B$7-'Business Case'!$B$8*('Business Case'!B11*$C196*'Business Case'!B12*$B196)-'Business Case'!B15*$F196</f>
        <v>-2294260044.38922</v>
      </c>
      <c r="I196" s="39" t="n">
        <f aca="false">(('Business Case'!C11*$C196*'Business Case'!C12*$B196)-'Business Case'!C11*$C196*'Business Case'!C13*$D196-'Business Case'!C14*$E196)-MAX(0,(('Business Case'!C11*$C196*'Business Case'!C12*$B196)-'Business Case'!C11*$C196*'Business Case'!C13*$D196-'Business Case'!C14*$E196))*'Business Case'!$B$7-'Business Case'!$B$8*(('Business Case'!C11*$C196*'Business Case'!C12*$B196)-('Business Case'!B11*$C196*'Business Case'!B12*$B196))-'Business Case'!C15*$F196</f>
        <v>-29259980.2386982</v>
      </c>
      <c r="J196" s="39" t="n">
        <f aca="false">(('Business Case'!D11*$C196*'Business Case'!D12*$B196)-'Business Case'!D11*$C196*'Business Case'!D13*$D196-'Business Case'!D14*$E196)-MAX(0,(('Business Case'!D11*$C196*'Business Case'!D12*$B196)-'Business Case'!D11*$C196*'Business Case'!D13*$D196-'Business Case'!D14*$E196))*'Business Case'!$B$7-'Business Case'!$B$8*(('Business Case'!D11*$C196*'Business Case'!D12*$B196)-('Business Case'!C11*$C196*'Business Case'!C12*$B196))-'Business Case'!D15*$F196</f>
        <v>241865501.187537</v>
      </c>
      <c r="K196" s="39" t="n">
        <f aca="false">(('Business Case'!E11*$C196*'Business Case'!E12*$B196)-'Business Case'!E11*$C196*'Business Case'!E13*$D196-'Business Case'!E14*$E196)-MAX(0,(('Business Case'!E11*$C196*'Business Case'!E12*$B196)-'Business Case'!E11*$C196*'Business Case'!E13*$D196-'Business Case'!E14*$E196))*'Business Case'!$B$7-'Business Case'!$B$8*(('Business Case'!E11*$C196*'Business Case'!E12*$B196)-('Business Case'!D11*$C196*'Business Case'!D12*$B196))-'Business Case'!E15*$F196</f>
        <v>570347483.723501</v>
      </c>
      <c r="L196" s="39" t="n">
        <f aca="false">(('Business Case'!F11*$C196*'Business Case'!F12*$B196)-'Business Case'!F11*$C196*'Business Case'!F13*$D196-'Business Case'!F14*$E196)-MAX(0,(('Business Case'!F11*$C196*'Business Case'!F12*$B196)-'Business Case'!F11*$C196*'Business Case'!F13*$D196-'Business Case'!F14*$E196))*'Business Case'!$B$7-'Business Case'!$B$8*(('Business Case'!F11*$C196*'Business Case'!F12*$B196)-('Business Case'!E11*$C196*'Business Case'!E12*$B196))-'Business Case'!F15*$F196</f>
        <v>694158867.239371</v>
      </c>
      <c r="M196" s="39" t="n">
        <f aca="false">(('Business Case'!G11*$C196*'Business Case'!G12*$B196)-'Business Case'!G11*$C196*'Business Case'!G13*$D196-'Business Case'!G14*$E196)-MAX(0,(('Business Case'!G11*$C196*'Business Case'!G12*$B196)-'Business Case'!G11*$C196*'Business Case'!G13*$D196-'Business Case'!G14*$E196))*'Business Case'!$B$7-'Business Case'!$B$8*(('Business Case'!G11*$C196*'Business Case'!G12*$B196)-('Business Case'!F11*$C196*'Business Case'!F12*$B196))-'Business Case'!G15*$F196+'Business Case'!$B$8*('Business Case'!G11*$C196*'Business Case'!G12*$B196)</f>
        <v>878058093.961889</v>
      </c>
      <c r="N196" s="39" t="n">
        <f aca="false">IF(COUNT('Business Case'!B11:G11)=0,"",H196+NPV(G196,I196:M196))</f>
        <v>-715108379.523535</v>
      </c>
      <c r="P196" s="40" t="n">
        <f aca="true">RAND()</f>
        <v>0.769097796748742</v>
      </c>
      <c r="Q196" s="40" t="n">
        <f aca="true">RAND()</f>
        <v>0.498578100333236</v>
      </c>
      <c r="R196" s="40" t="n">
        <f aca="true">RAND()</f>
        <v>0.900675512901655</v>
      </c>
      <c r="S196" s="40" t="n">
        <f aca="true">RAND()</f>
        <v>0.112405472331749</v>
      </c>
      <c r="T196" s="40" t="n">
        <f aca="true">RAND()</f>
        <v>0.858903568884244</v>
      </c>
      <c r="U196" s="40" t="n">
        <f aca="true">RAND()</f>
        <v>0.661859567567502</v>
      </c>
    </row>
    <row r="197" customFormat="false" ht="15" hidden="false" customHeight="false" outlineLevel="0" collapsed="false">
      <c r="A197" s="36" t="n">
        <v>117</v>
      </c>
      <c r="B197" s="37" t="n">
        <f aca="false">1+IF($G$6=$E$6,$F$6,IF(P197&lt;($F$6-$E$6)/($G$6-$E$6),$E$6+SQRT(P197*($G$6-$E$6)*($F$6-$E$6)),$G$6-SQRT((1-P197)*($G$6-$E$6)*($G$6-$F$6))))</f>
        <v>0.958223882371908</v>
      </c>
      <c r="C197" s="37" t="n">
        <f aca="false">1+IF($G$7=$E$7,$F$7,IF(Q197&lt;($F$7-$E$7)/($G$7-$E$7),$E$7+SQRT(Q197*($G$7-$E$7)*($F$7-$E$7)),$G$7-SQRT((1-Q197)*($G$7-$E$7)*($G$7-$F$7))))</f>
        <v>1.02369779520773</v>
      </c>
      <c r="D197" s="37" t="n">
        <f aca="false">1+IF($G$8=$E$8,$F$8,IF(R197&lt;($F$8-$E$8)/($G$8-$E$8),$E$8+SQRT(R197*($G$8-$E$8)*($F$8-$E$8)),$G$8-SQRT((1-R197)*($G$8-$E$8)*($G$8-$F$8))))</f>
        <v>0.994069282856173</v>
      </c>
      <c r="E197" s="37" t="n">
        <f aca="false">1+IF($G$9=$E$9,$F$9,IF(S197&lt;($F$9-$E$9)/($G$9-$E$9),$E$9+SQRT(S197*($G$9-$E$9)*($F$9-$E$9)),$G$9-SQRT((1-S197)*($G$9-$E$9)*($G$9-$F$9))))</f>
        <v>1.09101658207279</v>
      </c>
      <c r="F197" s="37" t="n">
        <f aca="false">1+IF($G$10=$E$10,$F$10,IF(T197&lt;($F$10-$E$10)/($G$10-$E$10),$E$10+SQRT(T197*($G$10-$E$10)*($F$10-$E$10)),$G$10-SQRT((1-T197)*($G$10-$E$10)*($G$10-$F$10))))</f>
        <v>1.14247080954319</v>
      </c>
      <c r="G197" s="38" t="n">
        <f aca="false">IF($G$11=$E$11,$F$11,IF(U197&lt;($F$11-$E$11)/($G$11-$E$11),$E$11+SQRT(U197*($G$11-$E$11)*($F$11-$E$11)),$G$11-SQRT((1-U197)*($G$11-$E$11)*($G$11-$F$11))))</f>
        <v>0.0938426551713348</v>
      </c>
      <c r="H197" s="39" t="n">
        <f aca="false">(('Business Case'!B11*$C197*'Business Case'!B12*$B197)-'Business Case'!B11*$C197*'Business Case'!B13*$D197-'Business Case'!B14*$E197)-MAX(0,(('Business Case'!B11*$C197*'Business Case'!B12*$B197)-'Business Case'!B11*$C197*'Business Case'!B13*$D197-'Business Case'!B14*$E197))*'Business Case'!$B$7-'Business Case'!$B$8*('Business Case'!B11*$C197*'Business Case'!B12*$B197)-'Business Case'!B15*$F197</f>
        <v>-2284941619.08638</v>
      </c>
      <c r="I197" s="39" t="n">
        <f aca="false">(('Business Case'!C11*$C197*'Business Case'!C12*$B197)-'Business Case'!C11*$C197*'Business Case'!C13*$D197-'Business Case'!C14*$E197)-MAX(0,(('Business Case'!C11*$C197*'Business Case'!C12*$B197)-'Business Case'!C11*$C197*'Business Case'!C13*$D197-'Business Case'!C14*$E197))*'Business Case'!$B$7-'Business Case'!$B$8*(('Business Case'!C11*$C197*'Business Case'!C12*$B197)-('Business Case'!B11*$C197*'Business Case'!B12*$B197))-'Business Case'!C15*$F197</f>
        <v>-37730842.3616484</v>
      </c>
      <c r="J197" s="39" t="n">
        <f aca="false">(('Business Case'!D11*$C197*'Business Case'!D12*$B197)-'Business Case'!D11*$C197*'Business Case'!D13*$D197-'Business Case'!D14*$E197)-MAX(0,(('Business Case'!D11*$C197*'Business Case'!D12*$B197)-'Business Case'!D11*$C197*'Business Case'!D13*$D197-'Business Case'!D14*$E197))*'Business Case'!$B$7-'Business Case'!$B$8*(('Business Case'!D11*$C197*'Business Case'!D12*$B197)-('Business Case'!C11*$C197*'Business Case'!C12*$B197))-'Business Case'!D15*$F197</f>
        <v>244779452.270035</v>
      </c>
      <c r="K197" s="39" t="n">
        <f aca="false">(('Business Case'!E11*$C197*'Business Case'!E12*$B197)-'Business Case'!E11*$C197*'Business Case'!E13*$D197-'Business Case'!E14*$E197)-MAX(0,(('Business Case'!E11*$C197*'Business Case'!E12*$B197)-'Business Case'!E11*$C197*'Business Case'!E13*$D197-'Business Case'!E14*$E197))*'Business Case'!$B$7-'Business Case'!$B$8*(('Business Case'!E11*$C197*'Business Case'!E12*$B197)-('Business Case'!D11*$C197*'Business Case'!D12*$B197))-'Business Case'!E15*$F197</f>
        <v>584413287.378879</v>
      </c>
      <c r="L197" s="39" t="n">
        <f aca="false">(('Business Case'!F11*$C197*'Business Case'!F12*$B197)-'Business Case'!F11*$C197*'Business Case'!F13*$D197-'Business Case'!F14*$E197)-MAX(0,(('Business Case'!F11*$C197*'Business Case'!F12*$B197)-'Business Case'!F11*$C197*'Business Case'!F13*$D197-'Business Case'!F14*$E197))*'Business Case'!$B$7-'Business Case'!$B$8*(('Business Case'!F11*$C197*'Business Case'!F12*$B197)-('Business Case'!E11*$C197*'Business Case'!E12*$B197))-'Business Case'!F15*$F197</f>
        <v>712484384.301616</v>
      </c>
      <c r="M197" s="39" t="n">
        <f aca="false">(('Business Case'!G11*$C197*'Business Case'!G12*$B197)-'Business Case'!G11*$C197*'Business Case'!G13*$D197-'Business Case'!G14*$E197)-MAX(0,(('Business Case'!G11*$C197*'Business Case'!G12*$B197)-'Business Case'!G11*$C197*'Business Case'!G13*$D197-'Business Case'!G14*$E197))*'Business Case'!$B$7-'Business Case'!$B$8*(('Business Case'!G11*$C197*'Business Case'!G12*$B197)-('Business Case'!F11*$C197*'Business Case'!F12*$B197))-'Business Case'!G15*$F197+'Business Case'!$B$8*('Business Case'!G11*$C197*'Business Case'!G12*$B197)</f>
        <v>898939877.218579</v>
      </c>
      <c r="N197" s="39" t="n">
        <f aca="false">IF(COUNT('Business Case'!B11:G11)=0,"",H197+NPV(G197,I197:M197))</f>
        <v>-596574108.032054</v>
      </c>
      <c r="P197" s="40" t="n">
        <f aca="true">RAND()</f>
        <v>0.226001365230522</v>
      </c>
      <c r="Q197" s="40" t="n">
        <f aca="true">RAND()</f>
        <v>0.763670415772025</v>
      </c>
      <c r="R197" s="40" t="n">
        <f aca="true">RAND()</f>
        <v>0.258946892194317</v>
      </c>
      <c r="S197" s="40" t="n">
        <f aca="true">RAND()</f>
        <v>0.907225504256639</v>
      </c>
      <c r="T197" s="40" t="n">
        <f aca="true">RAND()</f>
        <v>0.845832975996037</v>
      </c>
      <c r="U197" s="40" t="n">
        <f aca="true">RAND()</f>
        <v>0.191619102192482</v>
      </c>
    </row>
    <row r="198" customFormat="false" ht="15" hidden="false" customHeight="false" outlineLevel="0" collapsed="false">
      <c r="A198" s="36" t="n">
        <v>118</v>
      </c>
      <c r="B198" s="37" t="n">
        <f aca="false">1+IF($G$6=$E$6,$F$6,IF(P198&lt;($F$6-$E$6)/($G$6-$E$6),$E$6+SQRT(P198*($G$6-$E$6)*($F$6-$E$6)),$G$6-SQRT((1-P198)*($G$6-$E$6)*($G$6-$F$6))))</f>
        <v>1.00796078585724</v>
      </c>
      <c r="C198" s="37" t="n">
        <f aca="false">1+IF($G$7=$E$7,$F$7,IF(Q198&lt;($F$7-$E$7)/($G$7-$E$7),$E$7+SQRT(Q198*($G$7-$E$7)*($F$7-$E$7)),$G$7-SQRT((1-Q198)*($G$7-$E$7)*($G$7-$F$7))))</f>
        <v>0.93269756055744</v>
      </c>
      <c r="D198" s="37" t="n">
        <f aca="false">1+IF($G$8=$E$8,$F$8,IF(R198&lt;($F$8-$E$8)/($G$8-$E$8),$E$8+SQRT(R198*($G$8-$E$8)*($F$8-$E$8)),$G$8-SQRT((1-R198)*($G$8-$E$8)*($G$8-$F$8))))</f>
        <v>0.963847725796276</v>
      </c>
      <c r="E198" s="37" t="n">
        <f aca="false">1+IF($G$9=$E$9,$F$9,IF(S198&lt;($F$9-$E$9)/($G$9-$E$9),$E$9+SQRT(S198*($G$9-$E$9)*($F$9-$E$9)),$G$9-SQRT((1-S198)*($G$9-$E$9)*($G$9-$F$9))))</f>
        <v>0.978179617475237</v>
      </c>
      <c r="F198" s="37" t="n">
        <f aca="false">1+IF($G$10=$E$10,$F$10,IF(T198&lt;($F$10-$E$10)/($G$10-$E$10),$E$10+SQRT(T198*($G$10-$E$10)*($F$10-$E$10)),$G$10-SQRT((1-T198)*($G$10-$E$10)*($G$10-$F$10))))</f>
        <v>1.00405060407156</v>
      </c>
      <c r="G198" s="38" t="n">
        <f aca="false">IF($G$11=$E$11,$F$11,IF(U198&lt;($F$11-$E$11)/($G$11-$E$11),$E$11+SQRT(U198*($G$11-$E$11)*($F$11-$E$11)),$G$11-SQRT((1-U198)*($G$11-$E$11)*($G$11-$F$11))))</f>
        <v>0.092845491808966</v>
      </c>
      <c r="H198" s="39" t="n">
        <f aca="false">(('Business Case'!B11*$C198*'Business Case'!B12*$B198)-'Business Case'!B11*$C198*'Business Case'!B13*$D198-'Business Case'!B14*$E198)-MAX(0,(('Business Case'!B11*$C198*'Business Case'!B12*$B198)-'Business Case'!B11*$C198*'Business Case'!B13*$D198-'Business Case'!B14*$E198))*'Business Case'!$B$7-'Business Case'!$B$8*('Business Case'!B11*$C198*'Business Case'!B12*$B198)-'Business Case'!B15*$F198</f>
        <v>-2008101208.14312</v>
      </c>
      <c r="I198" s="39" t="n">
        <f aca="false">(('Business Case'!C11*$C198*'Business Case'!C12*$B198)-'Business Case'!C11*$C198*'Business Case'!C13*$D198-'Business Case'!C14*$E198)-MAX(0,(('Business Case'!C11*$C198*'Business Case'!C12*$B198)-'Business Case'!C11*$C198*'Business Case'!C13*$D198-'Business Case'!C14*$E198))*'Business Case'!$B$7-'Business Case'!$B$8*(('Business Case'!C11*$C198*'Business Case'!C12*$B198)-('Business Case'!B11*$C198*'Business Case'!B12*$B198))-'Business Case'!C15*$F198</f>
        <v>21584880.53008</v>
      </c>
      <c r="J198" s="39" t="n">
        <f aca="false">(('Business Case'!D11*$C198*'Business Case'!D12*$B198)-'Business Case'!D11*$C198*'Business Case'!D13*$D198-'Business Case'!D14*$E198)-MAX(0,(('Business Case'!D11*$C198*'Business Case'!D12*$B198)-'Business Case'!D11*$C198*'Business Case'!D13*$D198-'Business Case'!D14*$E198))*'Business Case'!$B$7-'Business Case'!$B$8*(('Business Case'!D11*$C198*'Business Case'!D12*$B198)-('Business Case'!C11*$C198*'Business Case'!C12*$B198))-'Business Case'!D15*$F198</f>
        <v>331407916.899262</v>
      </c>
      <c r="K198" s="39" t="n">
        <f aca="false">(('Business Case'!E11*$C198*'Business Case'!E12*$B198)-'Business Case'!E11*$C198*'Business Case'!E13*$D198-'Business Case'!E14*$E198)-MAX(0,(('Business Case'!E11*$C198*'Business Case'!E12*$B198)-'Business Case'!E11*$C198*'Business Case'!E13*$D198-'Business Case'!E14*$E198))*'Business Case'!$B$7-'Business Case'!$B$8*(('Business Case'!E11*$C198*'Business Case'!E12*$B198)-('Business Case'!D11*$C198*'Business Case'!D12*$B198))-'Business Case'!E15*$F198</f>
        <v>691433483.472021</v>
      </c>
      <c r="L198" s="39" t="n">
        <f aca="false">(('Business Case'!F11*$C198*'Business Case'!F12*$B198)-'Business Case'!F11*$C198*'Business Case'!F13*$D198-'Business Case'!F14*$E198)-MAX(0,(('Business Case'!F11*$C198*'Business Case'!F12*$B198)-'Business Case'!F11*$C198*'Business Case'!F13*$D198-'Business Case'!F14*$E198))*'Business Case'!$B$7-'Business Case'!$B$8*(('Business Case'!F11*$C198*'Business Case'!F12*$B198)-('Business Case'!E11*$C198*'Business Case'!E12*$B198))-'Business Case'!F15*$F198</f>
        <v>827198464.81306</v>
      </c>
      <c r="M198" s="39" t="n">
        <f aca="false">(('Business Case'!G11*$C198*'Business Case'!G12*$B198)-'Business Case'!G11*$C198*'Business Case'!G13*$D198-'Business Case'!G14*$E198)-MAX(0,(('Business Case'!G11*$C198*'Business Case'!G12*$B198)-'Business Case'!G11*$C198*'Business Case'!G13*$D198-'Business Case'!G14*$E198))*'Business Case'!$B$7-'Business Case'!$B$8*(('Business Case'!G11*$C198*'Business Case'!G12*$B198)-('Business Case'!F11*$C198*'Business Case'!F12*$B198))-'Business Case'!G15*$F198+'Business Case'!$B$8*('Business Case'!G11*$C198*'Business Case'!G12*$B198)</f>
        <v>1005896962.1786</v>
      </c>
      <c r="N198" s="39" t="n">
        <f aca="false">IF(COUNT('Business Case'!B11:G11)=0,"",H198+NPV(G198,I198:M198))</f>
        <v>44118255.3407021</v>
      </c>
      <c r="P198" s="40" t="n">
        <f aca="true">RAND()</f>
        <v>0.764360596567921</v>
      </c>
      <c r="Q198" s="40" t="n">
        <f aca="true">RAND()</f>
        <v>0.40109744214358</v>
      </c>
      <c r="R198" s="40" t="n">
        <f aca="true">RAND()</f>
        <v>0.0255679346305142</v>
      </c>
      <c r="S198" s="40" t="n">
        <f aca="true">RAND()</f>
        <v>0.244482103542977</v>
      </c>
      <c r="T198" s="40" t="n">
        <f aca="true">RAND()</f>
        <v>0.19345192856582</v>
      </c>
      <c r="U198" s="40" t="n">
        <f aca="true">RAND()</f>
        <v>0.165006659814213</v>
      </c>
    </row>
    <row r="199" customFormat="false" ht="15" hidden="false" customHeight="false" outlineLevel="0" collapsed="false">
      <c r="A199" s="36" t="n">
        <v>119</v>
      </c>
      <c r="B199" s="37" t="n">
        <f aca="false">1+IF($G$6=$E$6,$F$6,IF(P199&lt;($F$6-$E$6)/($G$6-$E$6),$E$6+SQRT(P199*($G$6-$E$6)*($F$6-$E$6)),$G$6-SQRT((1-P199)*($G$6-$E$6)*($G$6-$F$6))))</f>
        <v>1.00003863782225</v>
      </c>
      <c r="C199" s="37" t="n">
        <f aca="false">1+IF($G$7=$E$7,$F$7,IF(Q199&lt;($F$7-$E$7)/($G$7-$E$7),$E$7+SQRT(Q199*($G$7-$E$7)*($F$7-$E$7)),$G$7-SQRT((1-Q199)*($G$7-$E$7)*($G$7-$F$7))))</f>
        <v>0.916277219027281</v>
      </c>
      <c r="D199" s="37" t="n">
        <f aca="false">1+IF($G$8=$E$8,$F$8,IF(R199&lt;($F$8-$E$8)/($G$8-$E$8),$E$8+SQRT(R199*($G$8-$E$8)*($F$8-$E$8)),$G$8-SQRT((1-R199)*($G$8-$E$8)*($G$8-$F$8))))</f>
        <v>1.06574836481445</v>
      </c>
      <c r="E199" s="37" t="n">
        <f aca="false">1+IF($G$9=$E$9,$F$9,IF(S199&lt;($F$9-$E$9)/($G$9-$E$9),$E$9+SQRT(S199*($G$9-$E$9)*($F$9-$E$9)),$G$9-SQRT((1-S199)*($G$9-$E$9)*($G$9-$F$9))))</f>
        <v>0.970928824063512</v>
      </c>
      <c r="F199" s="37" t="n">
        <f aca="false">1+IF($G$10=$E$10,$F$10,IF(T199&lt;($F$10-$E$10)/($G$10-$E$10),$E$10+SQRT(T199*($G$10-$E$10)*($F$10-$E$10)),$G$10-SQRT((1-T199)*($G$10-$E$10)*($G$10-$F$10))))</f>
        <v>1.0081173128438</v>
      </c>
      <c r="G199" s="38" t="n">
        <f aca="false">IF($G$11=$E$11,$F$11,IF(U199&lt;($F$11-$E$11)/($G$11-$E$11),$E$11+SQRT(U199*($G$11-$E$11)*($F$11-$E$11)),$G$11-SQRT((1-U199)*($G$11-$E$11)*($G$11-$F$11))))</f>
        <v>0.122522152083865</v>
      </c>
      <c r="H199" s="39" t="n">
        <f aca="false">(('Business Case'!B11*$C199*'Business Case'!B12*$B199)-'Business Case'!B11*$C199*'Business Case'!B13*$D199-'Business Case'!B14*$E199)-MAX(0,(('Business Case'!B11*$C199*'Business Case'!B12*$B199)-'Business Case'!B11*$C199*'Business Case'!B13*$D199-'Business Case'!B14*$E199))*'Business Case'!$B$7-'Business Case'!$B$8*('Business Case'!B11*$C199*'Business Case'!B12*$B199)-'Business Case'!B15*$F199</f>
        <v>-2016234625.6876</v>
      </c>
      <c r="I199" s="39" t="n">
        <f aca="false">(('Business Case'!C11*$C199*'Business Case'!C12*$B199)-'Business Case'!C11*$C199*'Business Case'!C13*$D199-'Business Case'!C14*$E199)-MAX(0,(('Business Case'!C11*$C199*'Business Case'!C12*$B199)-'Business Case'!C11*$C199*'Business Case'!C13*$D199-'Business Case'!C14*$E199))*'Business Case'!$B$7-'Business Case'!$B$8*(('Business Case'!C11*$C199*'Business Case'!C12*$B199)-('Business Case'!B11*$C199*'Business Case'!B12*$B199))-'Business Case'!C15*$F199</f>
        <v>-35754048.1229212</v>
      </c>
      <c r="J199" s="39" t="n">
        <f aca="false">(('Business Case'!D11*$C199*'Business Case'!D12*$B199)-'Business Case'!D11*$C199*'Business Case'!D13*$D199-'Business Case'!D14*$E199)-MAX(0,(('Business Case'!D11*$C199*'Business Case'!D12*$B199)-'Business Case'!D11*$C199*'Business Case'!D13*$D199-'Business Case'!D14*$E199))*'Business Case'!$B$7-'Business Case'!$B$8*(('Business Case'!D11*$C199*'Business Case'!D12*$B199)-('Business Case'!C11*$C199*'Business Case'!C12*$B199))-'Business Case'!D15*$F199</f>
        <v>214871360.143999</v>
      </c>
      <c r="K199" s="39" t="n">
        <f aca="false">(('Business Case'!E11*$C199*'Business Case'!E12*$B199)-'Business Case'!E11*$C199*'Business Case'!E13*$D199-'Business Case'!E14*$E199)-MAX(0,(('Business Case'!E11*$C199*'Business Case'!E12*$B199)-'Business Case'!E11*$C199*'Business Case'!E13*$D199-'Business Case'!E14*$E199))*'Business Case'!$B$7-'Business Case'!$B$8*(('Business Case'!E11*$C199*'Business Case'!E12*$B199)-('Business Case'!D11*$C199*'Business Case'!D12*$B199))-'Business Case'!E15*$F199</f>
        <v>515902634.05311</v>
      </c>
      <c r="L199" s="39" t="n">
        <f aca="false">(('Business Case'!F11*$C199*'Business Case'!F12*$B199)-'Business Case'!F11*$C199*'Business Case'!F13*$D199-'Business Case'!F14*$E199)-MAX(0,(('Business Case'!F11*$C199*'Business Case'!F12*$B199)-'Business Case'!F11*$C199*'Business Case'!F13*$D199-'Business Case'!F14*$E199))*'Business Case'!$B$7-'Business Case'!$B$8*(('Business Case'!F11*$C199*'Business Case'!F12*$B199)-('Business Case'!E11*$C199*'Business Case'!E12*$B199))-'Business Case'!F15*$F199</f>
        <v>631112201.024503</v>
      </c>
      <c r="M199" s="39" t="n">
        <f aca="false">(('Business Case'!G11*$C199*'Business Case'!G12*$B199)-'Business Case'!G11*$C199*'Business Case'!G13*$D199-'Business Case'!G14*$E199)-MAX(0,(('Business Case'!G11*$C199*'Business Case'!G12*$B199)-'Business Case'!G11*$C199*'Business Case'!G13*$D199-'Business Case'!G14*$E199))*'Business Case'!$B$7-'Business Case'!$B$8*(('Business Case'!G11*$C199*'Business Case'!G12*$B199)-('Business Case'!F11*$C199*'Business Case'!F12*$B199))-'Business Case'!G15*$F199+'Business Case'!$B$8*('Business Case'!G11*$C199*'Business Case'!G12*$B199)</f>
        <v>805284904.211147</v>
      </c>
      <c r="N199" s="39" t="n">
        <f aca="false">IF(COUNT('Business Case'!B11:G11)=0,"",H199+NPV(G199,I199:M199))</f>
        <v>-663500731.16729</v>
      </c>
      <c r="P199" s="40" t="n">
        <f aca="true">RAND()</f>
        <v>0.667181638579206</v>
      </c>
      <c r="Q199" s="40" t="n">
        <f aca="true">RAND()</f>
        <v>0.346487670149441</v>
      </c>
      <c r="R199" s="40" t="n">
        <f aca="true">RAND()</f>
        <v>0.92178836580771</v>
      </c>
      <c r="S199" s="40" t="n">
        <f aca="true">RAND()</f>
        <v>0.201235923321308</v>
      </c>
      <c r="T199" s="40" t="n">
        <f aca="true">RAND()</f>
        <v>0.219903542054607</v>
      </c>
      <c r="U199" s="40" t="n">
        <f aca="true">RAND()</f>
        <v>0.962721193695442</v>
      </c>
    </row>
    <row r="200" customFormat="false" ht="15" hidden="false" customHeight="false" outlineLevel="0" collapsed="false">
      <c r="A200" s="36" t="n">
        <v>120</v>
      </c>
      <c r="B200" s="37" t="n">
        <f aca="false">1+IF($G$6=$E$6,$F$6,IF(P200&lt;($F$6-$E$6)/($G$6-$E$6),$E$6+SQRT(P200*($G$6-$E$6)*($F$6-$E$6)),$G$6-SQRT((1-P200)*($G$6-$E$6)*($G$6-$F$6))))</f>
        <v>0.939128007257948</v>
      </c>
      <c r="C200" s="37" t="n">
        <f aca="false">1+IF($G$7=$E$7,$F$7,IF(Q200&lt;($F$7-$E$7)/($G$7-$E$7),$E$7+SQRT(Q200*($G$7-$E$7)*($F$7-$E$7)),$G$7-SQRT((1-Q200)*($G$7-$E$7)*($G$7-$F$7))))</f>
        <v>0.984801127714609</v>
      </c>
      <c r="D200" s="37" t="n">
        <f aca="false">1+IF($G$8=$E$8,$F$8,IF(R200&lt;($F$8-$E$8)/($G$8-$E$8),$E$8+SQRT(R200*($G$8-$E$8)*($F$8-$E$8)),$G$8-SQRT((1-R200)*($G$8-$E$8)*($G$8-$F$8))))</f>
        <v>1.06185892364626</v>
      </c>
      <c r="E200" s="37" t="n">
        <f aca="false">1+IF($G$9=$E$9,$F$9,IF(S200&lt;($F$9-$E$9)/($G$9-$E$9),$E$9+SQRT(S200*($G$9-$E$9)*($F$9-$E$9)),$G$9-SQRT((1-S200)*($G$9-$E$9)*($G$9-$F$9))))</f>
        <v>1.08768530247216</v>
      </c>
      <c r="F200" s="37" t="n">
        <f aca="false">1+IF($G$10=$E$10,$F$10,IF(T200&lt;($F$10-$E$10)/($G$10-$E$10),$E$10+SQRT(T200*($G$10-$E$10)*($F$10-$E$10)),$G$10-SQRT((1-T200)*($G$10-$E$10)*($G$10-$F$10))))</f>
        <v>0.980426570173427</v>
      </c>
      <c r="G200" s="38" t="n">
        <f aca="false">IF($G$11=$E$11,$F$11,IF(U200&lt;($F$11-$E$11)/($G$11-$E$11),$E$11+SQRT(U200*($G$11-$E$11)*($F$11-$E$11)),$G$11-SQRT((1-U200)*($G$11-$E$11)*($G$11-$F$11))))</f>
        <v>0.0900181384728042</v>
      </c>
      <c r="H200" s="39" t="n">
        <f aca="false">(('Business Case'!B11*$C200*'Business Case'!B12*$B200)-'Business Case'!B11*$C200*'Business Case'!B13*$D200-'Business Case'!B14*$E200)-MAX(0,(('Business Case'!B11*$C200*'Business Case'!B12*$B200)-'Business Case'!B11*$C200*'Business Case'!B13*$D200-'Business Case'!B14*$E200))*'Business Case'!$B$7-'Business Case'!$B$8*('Business Case'!B11*$C200*'Business Case'!B12*$B200)-'Business Case'!B15*$F200</f>
        <v>-1960853140.34685</v>
      </c>
      <c r="I200" s="39" t="n">
        <f aca="false">(('Business Case'!C11*$C200*'Business Case'!C12*$B200)-'Business Case'!C11*$C200*'Business Case'!C13*$D200-'Business Case'!C14*$E200)-MAX(0,(('Business Case'!C11*$C200*'Business Case'!C12*$B200)-'Business Case'!C11*$C200*'Business Case'!C13*$D200-'Business Case'!C14*$E200))*'Business Case'!$B$7-'Business Case'!$B$8*(('Business Case'!C11*$C200*'Business Case'!C12*$B200)-('Business Case'!B11*$C200*'Business Case'!B12*$B200))-'Business Case'!C15*$F200</f>
        <v>-78458590.4508879</v>
      </c>
      <c r="J200" s="39" t="n">
        <f aca="false">(('Business Case'!D11*$C200*'Business Case'!D12*$B200)-'Business Case'!D11*$C200*'Business Case'!D13*$D200-'Business Case'!D14*$E200)-MAX(0,(('Business Case'!D11*$C200*'Business Case'!D12*$B200)-'Business Case'!D11*$C200*'Business Case'!D13*$D200-'Business Case'!D14*$E200))*'Business Case'!$B$7-'Business Case'!$B$8*(('Business Case'!D11*$C200*'Business Case'!D12*$B200)-('Business Case'!C11*$C200*'Business Case'!C12*$B200))-'Business Case'!D15*$F200</f>
        <v>143738774.107842</v>
      </c>
      <c r="K200" s="39" t="n">
        <f aca="false">(('Business Case'!E11*$C200*'Business Case'!E12*$B200)-'Business Case'!E11*$C200*'Business Case'!E13*$D200-'Business Case'!E14*$E200)-MAX(0,(('Business Case'!E11*$C200*'Business Case'!E12*$B200)-'Business Case'!E11*$C200*'Business Case'!E13*$D200-'Business Case'!E14*$E200))*'Business Case'!$B$7-'Business Case'!$B$8*(('Business Case'!E11*$C200*'Business Case'!E12*$B200)-('Business Case'!D11*$C200*'Business Case'!D12*$B200))-'Business Case'!E15*$F200</f>
        <v>414957467.175243</v>
      </c>
      <c r="L200" s="39" t="n">
        <f aca="false">(('Business Case'!F11*$C200*'Business Case'!F12*$B200)-'Business Case'!F11*$C200*'Business Case'!F13*$D200-'Business Case'!F14*$E200)-MAX(0,(('Business Case'!F11*$C200*'Business Case'!F12*$B200)-'Business Case'!F11*$C200*'Business Case'!F13*$D200-'Business Case'!F14*$E200))*'Business Case'!$B$7-'Business Case'!$B$8*(('Business Case'!F11*$C200*'Business Case'!F12*$B200)-('Business Case'!E11*$C200*'Business Case'!E12*$B200))-'Business Case'!F15*$F200</f>
        <v>520986220.681974</v>
      </c>
      <c r="M200" s="39" t="n">
        <f aca="false">(('Business Case'!G11*$C200*'Business Case'!G12*$B200)-'Business Case'!G11*$C200*'Business Case'!G13*$D200-'Business Case'!G14*$E200)-MAX(0,(('Business Case'!G11*$C200*'Business Case'!G12*$B200)-'Business Case'!G11*$C200*'Business Case'!G13*$D200-'Business Case'!G14*$E200))*'Business Case'!$B$7-'Business Case'!$B$8*(('Business Case'!G11*$C200*'Business Case'!G12*$B200)-('Business Case'!F11*$C200*'Business Case'!F12*$B200))-'Business Case'!G15*$F200+'Business Case'!$B$8*('Business Case'!G11*$C200*'Business Case'!G12*$B200)</f>
        <v>696782529.944664</v>
      </c>
      <c r="N200" s="39" t="n">
        <f aca="false">IF(COUNT('Business Case'!B11:G11)=0,"",H200+NPV(G200,I200:M200))</f>
        <v>-769568606.487712</v>
      </c>
      <c r="P200" s="40" t="n">
        <f aca="true">RAND()</f>
        <v>0.102066730131866</v>
      </c>
      <c r="Q200" s="40" t="n">
        <f aca="true">RAND()</f>
        <v>0.600827276648243</v>
      </c>
      <c r="R200" s="40" t="n">
        <f aca="true">RAND()</f>
        <v>0.903017219638553</v>
      </c>
      <c r="S200" s="40" t="n">
        <f aca="true">RAND()</f>
        <v>0.896450092587035</v>
      </c>
      <c r="T200" s="40" t="n">
        <f aca="true">RAND()</f>
        <v>0.0617184115012328</v>
      </c>
      <c r="U200" s="40" t="n">
        <f aca="true">RAND()</f>
        <v>0.100363098460279</v>
      </c>
    </row>
    <row r="201" customFormat="false" ht="15" hidden="false" customHeight="false" outlineLevel="0" collapsed="false">
      <c r="A201" s="36" t="n">
        <v>121</v>
      </c>
      <c r="B201" s="37" t="n">
        <f aca="false">1+IF($G$6=$E$6,$F$6,IF(P201&lt;($F$6-$E$6)/($G$6-$E$6),$E$6+SQRT(P201*($G$6-$E$6)*($F$6-$E$6)),$G$6-SQRT((1-P201)*($G$6-$E$6)*($G$6-$F$6))))</f>
        <v>0.993123379251124</v>
      </c>
      <c r="C201" s="37" t="n">
        <f aca="false">1+IF($G$7=$E$7,$F$7,IF(Q201&lt;($F$7-$E$7)/($G$7-$E$7),$E$7+SQRT(Q201*($G$7-$E$7)*($F$7-$E$7)),$G$7-SQRT((1-Q201)*($G$7-$E$7)*($G$7-$F$7))))</f>
        <v>0.951864565330692</v>
      </c>
      <c r="D201" s="37" t="n">
        <f aca="false">1+IF($G$8=$E$8,$F$8,IF(R201&lt;($F$8-$E$8)/($G$8-$E$8),$E$8+SQRT(R201*($G$8-$E$8)*($F$8-$E$8)),$G$8-SQRT((1-R201)*($G$8-$E$8)*($G$8-$F$8))))</f>
        <v>0.97576844628245</v>
      </c>
      <c r="E201" s="37" t="n">
        <f aca="false">1+IF($G$9=$E$9,$F$9,IF(S201&lt;($F$9-$E$9)/($G$9-$E$9),$E$9+SQRT(S201*($G$9-$E$9)*($F$9-$E$9)),$G$9-SQRT((1-S201)*($G$9-$E$9)*($G$9-$F$9))))</f>
        <v>0.945028914808036</v>
      </c>
      <c r="F201" s="37" t="n">
        <f aca="false">1+IF($G$10=$E$10,$F$10,IF(T201&lt;($F$10-$E$10)/($G$10-$E$10),$E$10+SQRT(T201*($G$10-$E$10)*($F$10-$E$10)),$G$10-SQRT((1-T201)*($G$10-$E$10)*($G$10-$F$10))))</f>
        <v>1.01414914339822</v>
      </c>
      <c r="G201" s="38" t="n">
        <f aca="false">IF($G$11=$E$11,$F$11,IF(U201&lt;($F$11-$E$11)/($G$11-$E$11),$E$11+SQRT(U201*($G$11-$E$11)*($F$11-$E$11)),$G$11-SQRT((1-U201)*($G$11-$E$11)*($G$11-$F$11))))</f>
        <v>0.107075964637349</v>
      </c>
      <c r="H201" s="39" t="n">
        <f aca="false">(('Business Case'!B11*$C201*'Business Case'!B12*$B201)-'Business Case'!B11*$C201*'Business Case'!B13*$D201-'Business Case'!B14*$E201)-MAX(0,(('Business Case'!B11*$C201*'Business Case'!B12*$B201)-'Business Case'!B11*$C201*'Business Case'!B13*$D201-'Business Case'!B14*$E201))*'Business Case'!$B$7-'Business Case'!$B$8*('Business Case'!B11*$C201*'Business Case'!B12*$B201)-'Business Case'!B15*$F201</f>
        <v>-2028298286.79644</v>
      </c>
      <c r="I201" s="39" t="n">
        <f aca="false">(('Business Case'!C11*$C201*'Business Case'!C12*$B201)-'Business Case'!C11*$C201*'Business Case'!C13*$D201-'Business Case'!C14*$E201)-MAX(0,(('Business Case'!C11*$C201*'Business Case'!C12*$B201)-'Business Case'!C11*$C201*'Business Case'!C13*$D201-'Business Case'!C14*$E201))*'Business Case'!$B$7-'Business Case'!$B$8*(('Business Case'!C11*$C201*'Business Case'!C12*$B201)-('Business Case'!B11*$C201*'Business Case'!B12*$B201))-'Business Case'!C15*$F201</f>
        <v>14009932.5325868</v>
      </c>
      <c r="J201" s="39" t="n">
        <f aca="false">(('Business Case'!D11*$C201*'Business Case'!D12*$B201)-'Business Case'!D11*$C201*'Business Case'!D13*$D201-'Business Case'!D14*$E201)-MAX(0,(('Business Case'!D11*$C201*'Business Case'!D12*$B201)-'Business Case'!D11*$C201*'Business Case'!D13*$D201-'Business Case'!D14*$E201))*'Business Case'!$B$7-'Business Case'!$B$8*(('Business Case'!D11*$C201*'Business Case'!D12*$B201)-('Business Case'!C11*$C201*'Business Case'!C12*$B201))-'Business Case'!D15*$F201</f>
        <v>312823225.651057</v>
      </c>
      <c r="K201" s="39" t="n">
        <f aca="false">(('Business Case'!E11*$C201*'Business Case'!E12*$B201)-'Business Case'!E11*$C201*'Business Case'!E13*$D201-'Business Case'!E14*$E201)-MAX(0,(('Business Case'!E11*$C201*'Business Case'!E12*$B201)-'Business Case'!E11*$C201*'Business Case'!E13*$D201-'Business Case'!E14*$E201))*'Business Case'!$B$7-'Business Case'!$B$8*(('Business Case'!E11*$C201*'Business Case'!E12*$B201)-('Business Case'!D11*$C201*'Business Case'!D12*$B201))-'Business Case'!E15*$F201</f>
        <v>662343975.939439</v>
      </c>
      <c r="L201" s="39" t="n">
        <f aca="false">(('Business Case'!F11*$C201*'Business Case'!F12*$B201)-'Business Case'!F11*$C201*'Business Case'!F13*$D201-'Business Case'!F14*$E201)-MAX(0,(('Business Case'!F11*$C201*'Business Case'!F12*$B201)-'Business Case'!F11*$C201*'Business Case'!F13*$D201-'Business Case'!F14*$E201))*'Business Case'!$B$7-'Business Case'!$B$8*(('Business Case'!F11*$C201*'Business Case'!F12*$B201)-('Business Case'!E11*$C201*'Business Case'!E12*$B201))-'Business Case'!F15*$F201</f>
        <v>794618630.019167</v>
      </c>
      <c r="M201" s="39" t="n">
        <f aca="false">(('Business Case'!G11*$C201*'Business Case'!G12*$B201)-'Business Case'!G11*$C201*'Business Case'!G13*$D201-'Business Case'!G14*$E201)-MAX(0,(('Business Case'!G11*$C201*'Business Case'!G12*$B201)-'Business Case'!G11*$C201*'Business Case'!G13*$D201-'Business Case'!G14*$E201))*'Business Case'!$B$7-'Business Case'!$B$8*(('Business Case'!G11*$C201*'Business Case'!G12*$B201)-('Business Case'!F11*$C201*'Business Case'!F12*$B201))-'Business Case'!G15*$F201+'Business Case'!$B$8*('Business Case'!G11*$C201*'Business Case'!G12*$B201)</f>
        <v>974304856.740482</v>
      </c>
      <c r="N201" s="39" t="n">
        <f aca="false">IF(COUNT('Business Case'!B11:G11)=0,"",H201+NPV(G201,I201:M201))</f>
        <v>-157387595.935783</v>
      </c>
      <c r="P201" s="40" t="n">
        <f aca="true">RAND()</f>
        <v>0.57813091754325</v>
      </c>
      <c r="Q201" s="40" t="n">
        <f aca="true">RAND()</f>
        <v>0.469894513105321</v>
      </c>
      <c r="R201" s="40" t="n">
        <f aca="true">RAND()</f>
        <v>0.0885350431748674</v>
      </c>
      <c r="S201" s="40" t="n">
        <f aca="true">RAND()</f>
        <v>0.0811041267515732</v>
      </c>
      <c r="T201" s="40" t="n">
        <f aca="true">RAND()</f>
        <v>0.258324979202769</v>
      </c>
      <c r="U201" s="40" t="n">
        <f aca="true">RAND()</f>
        <v>0.649659068461283</v>
      </c>
    </row>
    <row r="202" customFormat="false" ht="15" hidden="false" customHeight="false" outlineLevel="0" collapsed="false">
      <c r="A202" s="36" t="n">
        <v>122</v>
      </c>
      <c r="B202" s="37" t="n">
        <f aca="false">1+IF($G$6=$E$6,$F$6,IF(P202&lt;($F$6-$E$6)/($G$6-$E$6),$E$6+SQRT(P202*($G$6-$E$6)*($F$6-$E$6)),$G$6-SQRT((1-P202)*($G$6-$E$6)*($G$6-$F$6))))</f>
        <v>0.905848459015246</v>
      </c>
      <c r="C202" s="37" t="n">
        <f aca="false">1+IF($G$7=$E$7,$F$7,IF(Q202&lt;($F$7-$E$7)/($G$7-$E$7),$E$7+SQRT(Q202*($G$7-$E$7)*($F$7-$E$7)),$G$7-SQRT((1-Q202)*($G$7-$E$7)*($G$7-$F$7))))</f>
        <v>0.9256730522281</v>
      </c>
      <c r="D202" s="37" t="n">
        <f aca="false">1+IF($G$8=$E$8,$F$8,IF(R202&lt;($F$8-$E$8)/($G$8-$E$8),$E$8+SQRT(R202*($G$8-$E$8)*($F$8-$E$8)),$G$8-SQRT((1-R202)*($G$8-$E$8)*($G$8-$F$8))))</f>
        <v>1.04242616036994</v>
      </c>
      <c r="E202" s="37" t="n">
        <f aca="false">1+IF($G$9=$E$9,$F$9,IF(S202&lt;($F$9-$E$9)/($G$9-$E$9),$E$9+SQRT(S202*($G$9-$E$9)*($F$9-$E$9)),$G$9-SQRT((1-S202)*($G$9-$E$9)*($G$9-$F$9))))</f>
        <v>1.04166757318974</v>
      </c>
      <c r="F202" s="37" t="n">
        <f aca="false">1+IF($G$10=$E$10,$F$10,IF(T202&lt;($F$10-$E$10)/($G$10-$E$10),$E$10+SQRT(T202*($G$10-$E$10)*($F$10-$E$10)),$G$10-SQRT((1-T202)*($G$10-$E$10)*($G$10-$F$10))))</f>
        <v>0.987890186783448</v>
      </c>
      <c r="G202" s="38" t="n">
        <f aca="false">IF($G$11=$E$11,$F$11,IF(U202&lt;($F$11-$E$11)/($G$11-$E$11),$E$11+SQRT(U202*($G$11-$E$11)*($F$11-$E$11)),$G$11-SQRT((1-U202)*($G$11-$E$11)*($G$11-$F$11))))</f>
        <v>0.0905810589216198</v>
      </c>
      <c r="H202" s="39" t="n">
        <f aca="false">(('Business Case'!B11*$C202*'Business Case'!B12*$B202)-'Business Case'!B11*$C202*'Business Case'!B13*$D202-'Business Case'!B14*$E202)-MAX(0,(('Business Case'!B11*$C202*'Business Case'!B12*$B202)-'Business Case'!B11*$C202*'Business Case'!B13*$D202-'Business Case'!B14*$E202))*'Business Case'!$B$7-'Business Case'!$B$8*('Business Case'!B11*$C202*'Business Case'!B12*$B202)-'Business Case'!B15*$F202</f>
        <v>-1975780373.5669</v>
      </c>
      <c r="I202" s="39" t="n">
        <f aca="false">(('Business Case'!C11*$C202*'Business Case'!C12*$B202)-'Business Case'!C11*$C202*'Business Case'!C13*$D202-'Business Case'!C14*$E202)-MAX(0,(('Business Case'!C11*$C202*'Business Case'!C12*$B202)-'Business Case'!C11*$C202*'Business Case'!C13*$D202-'Business Case'!C14*$E202))*'Business Case'!$B$7-'Business Case'!$B$8*(('Business Case'!C11*$C202*'Business Case'!C12*$B202)-('Business Case'!B11*$C202*'Business Case'!B12*$B202))-'Business Case'!C15*$F202</f>
        <v>-97550205.2896895</v>
      </c>
      <c r="J202" s="39" t="n">
        <f aca="false">(('Business Case'!D11*$C202*'Business Case'!D12*$B202)-'Business Case'!D11*$C202*'Business Case'!D13*$D202-'Business Case'!D14*$E202)-MAX(0,(('Business Case'!D11*$C202*'Business Case'!D12*$B202)-'Business Case'!D11*$C202*'Business Case'!D13*$D202-'Business Case'!D14*$E202))*'Business Case'!$B$7-'Business Case'!$B$8*(('Business Case'!D11*$C202*'Business Case'!D12*$B202)-('Business Case'!C11*$C202*'Business Case'!C12*$B202))-'Business Case'!D15*$F202</f>
        <v>95282588.2967438</v>
      </c>
      <c r="K202" s="39" t="n">
        <f aca="false">(('Business Case'!E11*$C202*'Business Case'!E12*$B202)-'Business Case'!E11*$C202*'Business Case'!E13*$D202-'Business Case'!E14*$E202)-MAX(0,(('Business Case'!E11*$C202*'Business Case'!E12*$B202)-'Business Case'!E11*$C202*'Business Case'!E13*$D202-'Business Case'!E14*$E202))*'Business Case'!$B$7-'Business Case'!$B$8*(('Business Case'!E11*$C202*'Business Case'!E12*$B202)-('Business Case'!D11*$C202*'Business Case'!D12*$B202))-'Business Case'!E15*$F202</f>
        <v>337509891.22235</v>
      </c>
      <c r="L202" s="39" t="n">
        <f aca="false">(('Business Case'!F11*$C202*'Business Case'!F12*$B202)-'Business Case'!F11*$C202*'Business Case'!F13*$D202-'Business Case'!F14*$E202)-MAX(0,(('Business Case'!F11*$C202*'Business Case'!F12*$B202)-'Business Case'!F11*$C202*'Business Case'!F13*$D202-'Business Case'!F14*$E202))*'Business Case'!$B$7-'Business Case'!$B$8*(('Business Case'!F11*$C202*'Business Case'!F12*$B202)-('Business Case'!E11*$C202*'Business Case'!E12*$B202))-'Business Case'!F15*$F202</f>
        <v>430766723.277959</v>
      </c>
      <c r="M202" s="39" t="n">
        <f aca="false">(('Business Case'!G11*$C202*'Business Case'!G12*$B202)-'Business Case'!G11*$C202*'Business Case'!G13*$D202-'Business Case'!G14*$E202)-MAX(0,(('Business Case'!G11*$C202*'Business Case'!G12*$B202)-'Business Case'!G11*$C202*'Business Case'!G13*$D202-'Business Case'!G14*$E202))*'Business Case'!$B$7-'Business Case'!$B$8*(('Business Case'!G11*$C202*'Business Case'!G12*$B202)-('Business Case'!F11*$C202*'Business Case'!F12*$B202))-'Business Case'!G15*$F202+'Business Case'!$B$8*('Business Case'!G11*$C202*'Business Case'!G12*$B202)</f>
        <v>590152511.342017</v>
      </c>
      <c r="N202" s="39" t="n">
        <f aca="false">IF(COUNT('Business Case'!B11:G11)=0,"",H202+NPV(G202,I202:M202))</f>
        <v>-1037858974.63564</v>
      </c>
      <c r="P202" s="40" t="n">
        <f aca="true">RAND()</f>
        <v>0.00228029819020049</v>
      </c>
      <c r="Q202" s="40" t="n">
        <f aca="true">RAND()</f>
        <v>0.377246862977383</v>
      </c>
      <c r="R202" s="40" t="n">
        <f aca="true">RAND()</f>
        <v>0.779016866016834</v>
      </c>
      <c r="S202" s="40" t="n">
        <f aca="true">RAND()</f>
        <v>0.687042274703962</v>
      </c>
      <c r="T202" s="40" t="n">
        <f aca="true">RAND()</f>
        <v>0.0957110836323043</v>
      </c>
      <c r="U202" s="40" t="n">
        <f aca="true">RAND()</f>
        <v>0.111958807902789</v>
      </c>
    </row>
    <row r="203" customFormat="false" ht="15" hidden="false" customHeight="false" outlineLevel="0" collapsed="false">
      <c r="A203" s="36" t="n">
        <v>123</v>
      </c>
      <c r="B203" s="37" t="n">
        <f aca="false">1+IF($G$6=$E$6,$F$6,IF(P203&lt;($F$6-$E$6)/($G$6-$E$6),$E$6+SQRT(P203*($G$6-$E$6)*($F$6-$E$6)),$G$6-SQRT((1-P203)*($G$6-$E$6)*($G$6-$F$6))))</f>
        <v>0.974714884991607</v>
      </c>
      <c r="C203" s="37" t="n">
        <f aca="false">1+IF($G$7=$E$7,$F$7,IF(Q203&lt;($F$7-$E$7)/($G$7-$E$7),$E$7+SQRT(Q203*($G$7-$E$7)*($F$7-$E$7)),$G$7-SQRT((1-Q203)*($G$7-$E$7)*($G$7-$F$7))))</f>
        <v>1.04654757708518</v>
      </c>
      <c r="D203" s="37" t="n">
        <f aca="false">1+IF($G$8=$E$8,$F$8,IF(R203&lt;($F$8-$E$8)/($G$8-$E$8),$E$8+SQRT(R203*($G$8-$E$8)*($F$8-$E$8)),$G$8-SQRT((1-R203)*($G$8-$E$8)*($G$8-$F$8))))</f>
        <v>1.06393691432316</v>
      </c>
      <c r="E203" s="37" t="n">
        <f aca="false">1+IF($G$9=$E$9,$F$9,IF(S203&lt;($F$9-$E$9)/($G$9-$E$9),$E$9+SQRT(S203*($G$9-$E$9)*($F$9-$E$9)),$G$9-SQRT((1-S203)*($G$9-$E$9)*($G$9-$F$9))))</f>
        <v>0.975448988893067</v>
      </c>
      <c r="F203" s="37" t="n">
        <f aca="false">1+IF($G$10=$E$10,$F$10,IF(T203&lt;($F$10-$E$10)/($G$10-$E$10),$E$10+SQRT(T203*($G$10-$E$10)*($F$10-$E$10)),$G$10-SQRT((1-T203)*($G$10-$E$10)*($G$10-$F$10))))</f>
        <v>0.992554225730737</v>
      </c>
      <c r="G203" s="38" t="n">
        <f aca="false">IF($G$11=$E$11,$F$11,IF(U203&lt;($F$11-$E$11)/($G$11-$E$11),$E$11+SQRT(U203*($G$11-$E$11)*($F$11-$E$11)),$G$11-SQRT((1-U203)*($G$11-$E$11)*($G$11-$F$11))))</f>
        <v>0.104279098371867</v>
      </c>
      <c r="H203" s="39" t="n">
        <f aca="false">(('Business Case'!B11*$C203*'Business Case'!B12*$B203)-'Business Case'!B11*$C203*'Business Case'!B13*$D203-'Business Case'!B14*$E203)-MAX(0,(('Business Case'!B11*$C203*'Business Case'!B12*$B203)-'Business Case'!B11*$C203*'Business Case'!B13*$D203-'Business Case'!B14*$E203))*'Business Case'!$B$7-'Business Case'!$B$8*('Business Case'!B11*$C203*'Business Case'!B12*$B203)-'Business Case'!B15*$F203</f>
        <v>-1985108451.46147</v>
      </c>
      <c r="I203" s="39" t="n">
        <f aca="false">(('Business Case'!C11*$C203*'Business Case'!C12*$B203)-'Business Case'!C11*$C203*'Business Case'!C13*$D203-'Business Case'!C14*$E203)-MAX(0,(('Business Case'!C11*$C203*'Business Case'!C12*$B203)-'Business Case'!C11*$C203*'Business Case'!C13*$D203-'Business Case'!C14*$E203))*'Business Case'!$B$7-'Business Case'!$B$8*(('Business Case'!C11*$C203*'Business Case'!C12*$B203)-('Business Case'!B11*$C203*'Business Case'!B12*$B203))-'Business Case'!C15*$F203</f>
        <v>-25324779.7872126</v>
      </c>
      <c r="J203" s="39" t="n">
        <f aca="false">(('Business Case'!D11*$C203*'Business Case'!D12*$B203)-'Business Case'!D11*$C203*'Business Case'!D13*$D203-'Business Case'!D14*$E203)-MAX(0,(('Business Case'!D11*$C203*'Business Case'!D12*$B203)-'Business Case'!D11*$C203*'Business Case'!D13*$D203-'Business Case'!D14*$E203))*'Business Case'!$B$7-'Business Case'!$B$8*(('Business Case'!D11*$C203*'Business Case'!D12*$B203)-('Business Case'!C11*$C203*'Business Case'!C12*$B203))-'Business Case'!D15*$F203</f>
        <v>240195941.60336</v>
      </c>
      <c r="K203" s="39" t="n">
        <f aca="false">(('Business Case'!E11*$C203*'Business Case'!E12*$B203)-'Business Case'!E11*$C203*'Business Case'!E13*$D203-'Business Case'!E14*$E203)-MAX(0,(('Business Case'!E11*$C203*'Business Case'!E12*$B203)-'Business Case'!E11*$C203*'Business Case'!E13*$D203-'Business Case'!E14*$E203))*'Business Case'!$B$7-'Business Case'!$B$8*(('Business Case'!E11*$C203*'Business Case'!E12*$B203)-('Business Case'!D11*$C203*'Business Case'!D12*$B203))-'Business Case'!E15*$F203</f>
        <v>555344374.280469</v>
      </c>
      <c r="L203" s="39" t="n">
        <f aca="false">(('Business Case'!F11*$C203*'Business Case'!F12*$B203)-'Business Case'!F11*$C203*'Business Case'!F13*$D203-'Business Case'!F14*$E203)-MAX(0,(('Business Case'!F11*$C203*'Business Case'!F12*$B203)-'Business Case'!F11*$C203*'Business Case'!F13*$D203-'Business Case'!F14*$E203))*'Business Case'!$B$7-'Business Case'!$B$8*(('Business Case'!F11*$C203*'Business Case'!F12*$B203)-('Business Case'!E11*$C203*'Business Case'!E12*$B203))-'Business Case'!F15*$F203</f>
        <v>679105436.333404</v>
      </c>
      <c r="M203" s="39" t="n">
        <f aca="false">(('Business Case'!G11*$C203*'Business Case'!G12*$B203)-'Business Case'!G11*$C203*'Business Case'!G13*$D203-'Business Case'!G14*$E203)-MAX(0,(('Business Case'!G11*$C203*'Business Case'!G12*$B203)-'Business Case'!G11*$C203*'Business Case'!G13*$D203-'Business Case'!G14*$E203))*'Business Case'!$B$7-'Business Case'!$B$8*(('Business Case'!G11*$C203*'Business Case'!G12*$B203)-('Business Case'!F11*$C203*'Business Case'!F12*$B203))-'Business Case'!G15*$F203+'Business Case'!$B$8*('Business Case'!G11*$C203*'Business Case'!G12*$B203)</f>
        <v>873003288.408501</v>
      </c>
      <c r="N203" s="39" t="n">
        <f aca="false">IF(COUNT('Business Case'!B11:G11)=0,"",H203+NPV(G203,I203:M203))</f>
        <v>-410326217.89287</v>
      </c>
      <c r="P203" s="40" t="n">
        <f aca="true">RAND()</f>
        <v>0.372154269287268</v>
      </c>
      <c r="Q203" s="40" t="n">
        <f aca="true">RAND()</f>
        <v>0.84144586952673</v>
      </c>
      <c r="R203" s="40" t="n">
        <f aca="true">RAND()</f>
        <v>0.91329692343097</v>
      </c>
      <c r="S203" s="40" t="n">
        <f aca="true">RAND()</f>
        <v>0.227701996999445</v>
      </c>
      <c r="T203" s="40" t="n">
        <f aca="true">RAND()</f>
        <v>0.120724141836165</v>
      </c>
      <c r="U203" s="40" t="n">
        <f aca="true">RAND()</f>
        <v>0.558956812957279</v>
      </c>
    </row>
    <row r="204" customFormat="false" ht="15" hidden="false" customHeight="false" outlineLevel="0" collapsed="false">
      <c r="A204" s="36" t="n">
        <v>124</v>
      </c>
      <c r="B204" s="37" t="n">
        <f aca="false">1+IF($G$6=$E$6,$F$6,IF(P204&lt;($F$6-$E$6)/($G$6-$E$6),$E$6+SQRT(P204*($G$6-$E$6)*($F$6-$E$6)),$G$6-SQRT((1-P204)*($G$6-$E$6)*($G$6-$F$6))))</f>
        <v>1.02298684539214</v>
      </c>
      <c r="C204" s="37" t="n">
        <f aca="false">1+IF($G$7=$E$7,$F$7,IF(Q204&lt;($F$7-$E$7)/($G$7-$E$7),$E$7+SQRT(Q204*($G$7-$E$7)*($F$7-$E$7)),$G$7-SQRT((1-Q204)*($G$7-$E$7)*($G$7-$F$7))))</f>
        <v>1.08721379250731</v>
      </c>
      <c r="D204" s="37" t="n">
        <f aca="false">1+IF($G$8=$E$8,$F$8,IF(R204&lt;($F$8-$E$8)/($G$8-$E$8),$E$8+SQRT(R204*($G$8-$E$8)*($F$8-$E$8)),$G$8-SQRT((1-R204)*($G$8-$E$8)*($G$8-$F$8))))</f>
        <v>0.997158080818815</v>
      </c>
      <c r="E204" s="37" t="n">
        <f aca="false">1+IF($G$9=$E$9,$F$9,IF(S204&lt;($F$9-$E$9)/($G$9-$E$9),$E$9+SQRT(S204*($G$9-$E$9)*($F$9-$E$9)),$G$9-SQRT((1-S204)*($G$9-$E$9)*($G$9-$F$9))))</f>
        <v>1.05736612122018</v>
      </c>
      <c r="F204" s="37" t="n">
        <f aca="false">1+IF($G$10=$E$10,$F$10,IF(T204&lt;($F$10-$E$10)/($G$10-$E$10),$E$10+SQRT(T204*($G$10-$E$10)*($F$10-$E$10)),$G$10-SQRT((1-T204)*($G$10-$E$10)*($G$10-$F$10))))</f>
        <v>1.07809975873506</v>
      </c>
      <c r="G204" s="38" t="n">
        <f aca="false">IF($G$11=$E$11,$F$11,IF(U204&lt;($F$11-$E$11)/($G$11-$E$11),$E$11+SQRT(U204*($G$11-$E$11)*($F$11-$E$11)),$G$11-SQRT((1-U204)*($G$11-$E$11)*($G$11-$F$11))))</f>
        <v>0.112925908020878</v>
      </c>
      <c r="H204" s="39" t="n">
        <f aca="false">(('Business Case'!B11*$C204*'Business Case'!B12*$B204)-'Business Case'!B11*$C204*'Business Case'!B13*$D204-'Business Case'!B14*$E204)-MAX(0,(('Business Case'!B11*$C204*'Business Case'!B12*$B204)-'Business Case'!B11*$C204*'Business Case'!B13*$D204-'Business Case'!B14*$E204))*'Business Case'!$B$7-'Business Case'!$B$8*('Business Case'!B11*$C204*'Business Case'!B12*$B204)-'Business Case'!B15*$F204</f>
        <v>-2156199517.47012</v>
      </c>
      <c r="I204" s="39" t="n">
        <f aca="false">(('Business Case'!C11*$C204*'Business Case'!C12*$B204)-'Business Case'!C11*$C204*'Business Case'!C13*$D204-'Business Case'!C14*$E204)-MAX(0,(('Business Case'!C11*$C204*'Business Case'!C12*$B204)-'Business Case'!C11*$C204*'Business Case'!C13*$D204-'Business Case'!C14*$E204))*'Business Case'!$B$7-'Business Case'!$B$8*(('Business Case'!C11*$C204*'Business Case'!C12*$B204)-('Business Case'!B11*$C204*'Business Case'!B12*$B204))-'Business Case'!C15*$F204</f>
        <v>40167373.4832247</v>
      </c>
      <c r="J204" s="39" t="n">
        <f aca="false">(('Business Case'!D11*$C204*'Business Case'!D12*$B204)-'Business Case'!D11*$C204*'Business Case'!D13*$D204-'Business Case'!D14*$E204)-MAX(0,(('Business Case'!D11*$C204*'Business Case'!D12*$B204)-'Business Case'!D11*$C204*'Business Case'!D13*$D204-'Business Case'!D14*$E204))*'Business Case'!$B$7-'Business Case'!$B$8*(('Business Case'!D11*$C204*'Business Case'!D12*$B204)-('Business Case'!C11*$C204*'Business Case'!C12*$B204))-'Business Case'!D15*$F204</f>
        <v>396158913.621128</v>
      </c>
      <c r="K204" s="39" t="n">
        <f aca="false">(('Business Case'!E11*$C204*'Business Case'!E12*$B204)-'Business Case'!E11*$C204*'Business Case'!E13*$D204-'Business Case'!E14*$E204)-MAX(0,(('Business Case'!E11*$C204*'Business Case'!E12*$B204)-'Business Case'!E11*$C204*'Business Case'!E13*$D204-'Business Case'!E14*$E204))*'Business Case'!$B$7-'Business Case'!$B$8*(('Business Case'!E11*$C204*'Business Case'!E12*$B204)-('Business Case'!D11*$C204*'Business Case'!D12*$B204))-'Business Case'!E15*$F204</f>
        <v>806055441.695785</v>
      </c>
      <c r="L204" s="39" t="n">
        <f aca="false">(('Business Case'!F11*$C204*'Business Case'!F12*$B204)-'Business Case'!F11*$C204*'Business Case'!F13*$D204-'Business Case'!F14*$E204)-MAX(0,(('Business Case'!F11*$C204*'Business Case'!F12*$B204)-'Business Case'!F11*$C204*'Business Case'!F13*$D204-'Business Case'!F14*$E204))*'Business Case'!$B$7-'Business Case'!$B$8*(('Business Case'!F11*$C204*'Business Case'!F12*$B204)-('Business Case'!E11*$C204*'Business Case'!E12*$B204))-'Business Case'!F15*$F204</f>
        <v>963157107.304195</v>
      </c>
      <c r="M204" s="39" t="n">
        <f aca="false">(('Business Case'!G11*$C204*'Business Case'!G12*$B204)-'Business Case'!G11*$C204*'Business Case'!G13*$D204-'Business Case'!G14*$E204)-MAX(0,(('Business Case'!G11*$C204*'Business Case'!G12*$B204)-'Business Case'!G11*$C204*'Business Case'!G13*$D204-'Business Case'!G14*$E204))*'Business Case'!$B$7-'Business Case'!$B$8*(('Business Case'!G11*$C204*'Business Case'!G12*$B204)-('Business Case'!F11*$C204*'Business Case'!F12*$B204))-'Business Case'!G15*$F204+'Business Case'!$B$8*('Business Case'!G11*$C204*'Business Case'!G12*$B204)</f>
        <v>1174565111.23096</v>
      </c>
      <c r="N204" s="39" t="n">
        <f aca="false">IF(COUNT('Business Case'!B11:G11)=0,"",H204+NPV(G204,I204:M204))</f>
        <v>100227880.825157</v>
      </c>
      <c r="P204" s="40" t="n">
        <f aca="true">RAND()</f>
        <v>0.902705263750931</v>
      </c>
      <c r="Q204" s="40" t="n">
        <f aca="true">RAND()</f>
        <v>0.941598402202741</v>
      </c>
      <c r="R204" s="40" t="n">
        <f aca="true">RAND()</f>
        <v>0.296517944868517</v>
      </c>
      <c r="S204" s="40" t="n">
        <f aca="true">RAND()</f>
        <v>0.771172386725475</v>
      </c>
      <c r="T204" s="40" t="n">
        <f aca="true">RAND()</f>
        <v>0.606004094040732</v>
      </c>
      <c r="U204" s="40" t="n">
        <f aca="true">RAND()</f>
        <v>0.805650255392311</v>
      </c>
    </row>
    <row r="205" customFormat="false" ht="15" hidden="false" customHeight="false" outlineLevel="0" collapsed="false">
      <c r="A205" s="36" t="n">
        <v>125</v>
      </c>
      <c r="B205" s="37" t="n">
        <f aca="false">1+IF($G$6=$E$6,$F$6,IF(P205&lt;($F$6-$E$6)/($G$6-$E$6),$E$6+SQRT(P205*($G$6-$E$6)*($F$6-$E$6)),$G$6-SQRT((1-P205)*($G$6-$E$6)*($G$6-$F$6))))</f>
        <v>1.0167880173361</v>
      </c>
      <c r="C205" s="37" t="n">
        <f aca="false">1+IF($G$7=$E$7,$F$7,IF(Q205&lt;($F$7-$E$7)/($G$7-$E$7),$E$7+SQRT(Q205*($G$7-$E$7)*($F$7-$E$7)),$G$7-SQRT((1-Q205)*($G$7-$E$7)*($G$7-$F$7))))</f>
        <v>0.76547927618488</v>
      </c>
      <c r="D205" s="37" t="n">
        <f aca="false">1+IF($G$8=$E$8,$F$8,IF(R205&lt;($F$8-$E$8)/($G$8-$E$8),$E$8+SQRT(R205*($G$8-$E$8)*($F$8-$E$8)),$G$8-SQRT((1-R205)*($G$8-$E$8)*($G$8-$F$8))))</f>
        <v>0.993601216442066</v>
      </c>
      <c r="E205" s="37" t="n">
        <f aca="false">1+IF($G$9=$E$9,$F$9,IF(S205&lt;($F$9-$E$9)/($G$9-$E$9),$E$9+SQRT(S205*($G$9-$E$9)*($F$9-$E$9)),$G$9-SQRT((1-S205)*($G$9-$E$9)*($G$9-$F$9))))</f>
        <v>1.02548114731093</v>
      </c>
      <c r="F205" s="37" t="n">
        <f aca="false">1+IF($G$10=$E$10,$F$10,IF(T205&lt;($F$10-$E$10)/($G$10-$E$10),$E$10+SQRT(T205*($G$10-$E$10)*($F$10-$E$10)),$G$10-SQRT((1-T205)*($G$10-$E$10)*($G$10-$F$10))))</f>
        <v>1.15249068769966</v>
      </c>
      <c r="G205" s="38" t="n">
        <f aca="false">IF($G$11=$E$11,$F$11,IF(U205&lt;($F$11-$E$11)/($G$11-$E$11),$E$11+SQRT(U205*($G$11-$E$11)*($F$11-$E$11)),$G$11-SQRT((1-U205)*($G$11-$E$11)*($G$11-$F$11))))</f>
        <v>0.0972313453293291</v>
      </c>
      <c r="H205" s="39" t="n">
        <f aca="false">(('Business Case'!B11*$C205*'Business Case'!B12*$B205)-'Business Case'!B11*$C205*'Business Case'!B13*$D205-'Business Case'!B14*$E205)-MAX(0,(('Business Case'!B11*$C205*'Business Case'!B12*$B205)-'Business Case'!B11*$C205*'Business Case'!B13*$D205-'Business Case'!B14*$E205))*'Business Case'!$B$7-'Business Case'!$B$8*('Business Case'!B11*$C205*'Business Case'!B12*$B205)-'Business Case'!B15*$F205</f>
        <v>-2304981375.39933</v>
      </c>
      <c r="I205" s="39" t="n">
        <f aca="false">(('Business Case'!C11*$C205*'Business Case'!C12*$B205)-'Business Case'!C11*$C205*'Business Case'!C13*$D205-'Business Case'!C14*$E205)-MAX(0,(('Business Case'!C11*$C205*'Business Case'!C12*$B205)-'Business Case'!C11*$C205*'Business Case'!C13*$D205-'Business Case'!C14*$E205))*'Business Case'!$B$7-'Business Case'!$B$8*(('Business Case'!C11*$C205*'Business Case'!C12*$B205)-('Business Case'!B11*$C205*'Business Case'!B12*$B205))-'Business Case'!C15*$F205</f>
        <v>-53269383.197112</v>
      </c>
      <c r="J205" s="39" t="n">
        <f aca="false">(('Business Case'!D11*$C205*'Business Case'!D12*$B205)-'Business Case'!D11*$C205*'Business Case'!D13*$D205-'Business Case'!D14*$E205)-MAX(0,(('Business Case'!D11*$C205*'Business Case'!D12*$B205)-'Business Case'!D11*$C205*'Business Case'!D13*$D205-'Business Case'!D14*$E205))*'Business Case'!$B$7-'Business Case'!$B$8*(('Business Case'!D11*$C205*'Business Case'!D12*$B205)-('Business Case'!C11*$C205*'Business Case'!C12*$B205))-'Business Case'!D15*$F205</f>
        <v>194882356.786753</v>
      </c>
      <c r="K205" s="39" t="n">
        <f aca="false">(('Business Case'!E11*$C205*'Business Case'!E12*$B205)-'Business Case'!E11*$C205*'Business Case'!E13*$D205-'Business Case'!E14*$E205)-MAX(0,(('Business Case'!E11*$C205*'Business Case'!E12*$B205)-'Business Case'!E11*$C205*'Business Case'!E13*$D205-'Business Case'!E14*$E205))*'Business Case'!$B$7-'Business Case'!$B$8*(('Business Case'!E11*$C205*'Business Case'!E12*$B205)-('Business Case'!D11*$C205*'Business Case'!D12*$B205))-'Business Case'!E15*$F205</f>
        <v>500658631.155602</v>
      </c>
      <c r="L205" s="39" t="n">
        <f aca="false">(('Business Case'!F11*$C205*'Business Case'!F12*$B205)-'Business Case'!F11*$C205*'Business Case'!F13*$D205-'Business Case'!F14*$E205)-MAX(0,(('Business Case'!F11*$C205*'Business Case'!F12*$B205)-'Business Case'!F11*$C205*'Business Case'!F13*$D205-'Business Case'!F14*$E205))*'Business Case'!$B$7-'Business Case'!$B$8*(('Business Case'!F11*$C205*'Business Case'!F12*$B205)-('Business Case'!E11*$C205*'Business Case'!E12*$B205))-'Business Case'!F15*$F205</f>
        <v>610274967.992487</v>
      </c>
      <c r="M205" s="39" t="n">
        <f aca="false">(('Business Case'!G11*$C205*'Business Case'!G12*$B205)-'Business Case'!G11*$C205*'Business Case'!G13*$D205-'Business Case'!G14*$E205)-MAX(0,(('Business Case'!G11*$C205*'Business Case'!G12*$B205)-'Business Case'!G11*$C205*'Business Case'!G13*$D205-'Business Case'!G14*$E205))*'Business Case'!$B$7-'Business Case'!$B$8*(('Business Case'!G11*$C205*'Business Case'!G12*$B205)-('Business Case'!F11*$C205*'Business Case'!F12*$B205))-'Business Case'!G15*$F205+'Business Case'!$B$8*('Business Case'!G11*$C205*'Business Case'!G12*$B205)</f>
        <v>758219963.958272</v>
      </c>
      <c r="N205" s="39" t="n">
        <f aca="false">IF(COUNT('Business Case'!B11:G11)=0,"",H205+NPV(G205,I205:M205))</f>
        <v>-914835881.691746</v>
      </c>
      <c r="P205" s="40" t="n">
        <f aca="true">RAND()</f>
        <v>0.852928561004411</v>
      </c>
      <c r="Q205" s="40" t="n">
        <f aca="true">RAND()</f>
        <v>0.0317595230347832</v>
      </c>
      <c r="R205" s="40" t="n">
        <f aca="true">RAND()</f>
        <v>0.253475476697055</v>
      </c>
      <c r="S205" s="40" t="n">
        <f aca="true">RAND()</f>
        <v>0.586534808666636</v>
      </c>
      <c r="T205" s="40" t="n">
        <f aca="true">RAND()</f>
        <v>0.873225786862873</v>
      </c>
      <c r="U205" s="40" t="n">
        <f aca="true">RAND()</f>
        <v>0.296919261858592</v>
      </c>
    </row>
    <row r="206" customFormat="false" ht="15" hidden="false" customHeight="false" outlineLevel="0" collapsed="false">
      <c r="A206" s="36" t="n">
        <v>126</v>
      </c>
      <c r="B206" s="37" t="n">
        <f aca="false">1+IF($G$6=$E$6,$F$6,IF(P206&lt;($F$6-$E$6)/($G$6-$E$6),$E$6+SQRT(P206*($G$6-$E$6)*($F$6-$E$6)),$G$6-SQRT((1-P206)*($G$6-$E$6)*($G$6-$F$6))))</f>
        <v>1.02528503804751</v>
      </c>
      <c r="C206" s="37" t="n">
        <f aca="false">1+IF($G$7=$E$7,$F$7,IF(Q206&lt;($F$7-$E$7)/($G$7-$E$7),$E$7+SQRT(Q206*($G$7-$E$7)*($F$7-$E$7)),$G$7-SQRT((1-Q206)*($G$7-$E$7)*($G$7-$F$7))))</f>
        <v>0.957341629294041</v>
      </c>
      <c r="D206" s="37" t="n">
        <f aca="false">1+IF($G$8=$E$8,$F$8,IF(R206&lt;($F$8-$E$8)/($G$8-$E$8),$E$8+SQRT(R206*($G$8-$E$8)*($F$8-$E$8)),$G$8-SQRT((1-R206)*($G$8-$E$8)*($G$8-$F$8))))</f>
        <v>1.00395906497386</v>
      </c>
      <c r="E206" s="37" t="n">
        <f aca="false">1+IF($G$9=$E$9,$F$9,IF(S206&lt;($F$9-$E$9)/($G$9-$E$9),$E$9+SQRT(S206*($G$9-$E$9)*($F$9-$E$9)),$G$9-SQRT((1-S206)*($G$9-$E$9)*($G$9-$F$9))))</f>
        <v>1.03471175006285</v>
      </c>
      <c r="F206" s="37" t="n">
        <f aca="false">1+IF($G$10=$E$10,$F$10,IF(T206&lt;($F$10-$E$10)/($G$10-$E$10),$E$10+SQRT(T206*($G$10-$E$10)*($F$10-$E$10)),$G$10-SQRT((1-T206)*($G$10-$E$10)*($G$10-$F$10))))</f>
        <v>1.0318723050816</v>
      </c>
      <c r="G206" s="38" t="n">
        <f aca="false">IF($G$11=$E$11,$F$11,IF(U206&lt;($F$11-$E$11)/($G$11-$E$11),$E$11+SQRT(U206*($G$11-$E$11)*($F$11-$E$11)),$G$11-SQRT((1-U206)*($G$11-$E$11)*($G$11-$F$11))))</f>
        <v>0.112986374540487</v>
      </c>
      <c r="H206" s="39" t="n">
        <f aca="false">(('Business Case'!B11*$C206*'Business Case'!B12*$B206)-'Business Case'!B11*$C206*'Business Case'!B13*$D206-'Business Case'!B14*$E206)-MAX(0,(('Business Case'!B11*$C206*'Business Case'!B12*$B206)-'Business Case'!B11*$C206*'Business Case'!B13*$D206-'Business Case'!B14*$E206))*'Business Case'!$B$7-'Business Case'!$B$8*('Business Case'!B11*$C206*'Business Case'!B12*$B206)-'Business Case'!B15*$F206</f>
        <v>-2063744610.1632</v>
      </c>
      <c r="I206" s="39" t="n">
        <f aca="false">(('Business Case'!C11*$C206*'Business Case'!C12*$B206)-'Business Case'!C11*$C206*'Business Case'!C13*$D206-'Business Case'!C14*$E206)-MAX(0,(('Business Case'!C11*$C206*'Business Case'!C12*$B206)-'Business Case'!C11*$C206*'Business Case'!C13*$D206-'Business Case'!C14*$E206))*'Business Case'!$B$7-'Business Case'!$B$8*(('Business Case'!C11*$C206*'Business Case'!C12*$B206)-('Business Case'!B11*$C206*'Business Case'!B12*$B206))-'Business Case'!C15*$F206</f>
        <v>10729236.5786754</v>
      </c>
      <c r="J206" s="39" t="n">
        <f aca="false">(('Business Case'!D11*$C206*'Business Case'!D12*$B206)-'Business Case'!D11*$C206*'Business Case'!D13*$D206-'Business Case'!D14*$E206)-MAX(0,(('Business Case'!D11*$C206*'Business Case'!D12*$B206)-'Business Case'!D11*$C206*'Business Case'!D13*$D206-'Business Case'!D14*$E206))*'Business Case'!$B$7-'Business Case'!$B$8*(('Business Case'!D11*$C206*'Business Case'!D12*$B206)-('Business Case'!C11*$C206*'Business Case'!C12*$B206))-'Business Case'!D15*$F206</f>
        <v>322665165.375028</v>
      </c>
      <c r="K206" s="39" t="n">
        <f aca="false">(('Business Case'!E11*$C206*'Business Case'!E12*$B206)-'Business Case'!E11*$C206*'Business Case'!E13*$D206-'Business Case'!E14*$E206)-MAX(0,(('Business Case'!E11*$C206*'Business Case'!E12*$B206)-'Business Case'!E11*$C206*'Business Case'!E13*$D206-'Business Case'!E14*$E206))*'Business Case'!$B$7-'Business Case'!$B$8*(('Business Case'!E11*$C206*'Business Case'!E12*$B206)-('Business Case'!D11*$C206*'Business Case'!D12*$B206))-'Business Case'!E15*$F206</f>
        <v>686194709.425462</v>
      </c>
      <c r="L206" s="39" t="n">
        <f aca="false">(('Business Case'!F11*$C206*'Business Case'!F12*$B206)-'Business Case'!F11*$C206*'Business Case'!F13*$D206-'Business Case'!F14*$E206)-MAX(0,(('Business Case'!F11*$C206*'Business Case'!F12*$B206)-'Business Case'!F11*$C206*'Business Case'!F13*$D206-'Business Case'!F14*$E206))*'Business Case'!$B$7-'Business Case'!$B$8*(('Business Case'!F11*$C206*'Business Case'!F12*$B206)-('Business Case'!E11*$C206*'Business Case'!E12*$B206))-'Business Case'!F15*$F206</f>
        <v>824095652.924633</v>
      </c>
      <c r="M206" s="39" t="n">
        <f aca="false">(('Business Case'!G11*$C206*'Business Case'!G12*$B206)-'Business Case'!G11*$C206*'Business Case'!G13*$D206-'Business Case'!G14*$E206)-MAX(0,(('Business Case'!G11*$C206*'Business Case'!G12*$B206)-'Business Case'!G11*$C206*'Business Case'!G13*$D206-'Business Case'!G14*$E206))*'Business Case'!$B$7-'Business Case'!$B$8*(('Business Case'!G11*$C206*'Business Case'!G12*$B206)-('Business Case'!F11*$C206*'Business Case'!F12*$B206))-'Business Case'!G15*$F206+'Business Case'!$B$8*('Business Case'!G11*$C206*'Business Case'!G12*$B206)</f>
        <v>1010668306.04343</v>
      </c>
      <c r="N206" s="39" t="n">
        <f aca="false">IF(COUNT('Business Case'!B11:G11)=0,"",H206+NPV(G206,I206:M206))</f>
        <v>-167080945.688845</v>
      </c>
      <c r="P206" s="40" t="n">
        <f aca="true">RAND()</f>
        <v>0.918556087424926</v>
      </c>
      <c r="Q206" s="40" t="n">
        <f aca="true">RAND()</f>
        <v>0.490553438279346</v>
      </c>
      <c r="R206" s="40" t="n">
        <f aca="true">RAND()</f>
        <v>0.385075919953597</v>
      </c>
      <c r="S206" s="40" t="n">
        <f aca="true">RAND()</f>
        <v>0.645563184704774</v>
      </c>
      <c r="T206" s="40" t="n">
        <f aca="true">RAND()</f>
        <v>0.365604116127815</v>
      </c>
      <c r="U206" s="40" t="n">
        <f aca="true">RAND()</f>
        <v>0.807024365815618</v>
      </c>
    </row>
    <row r="207" customFormat="false" ht="15" hidden="false" customHeight="false" outlineLevel="0" collapsed="false">
      <c r="A207" s="36" t="n">
        <v>127</v>
      </c>
      <c r="B207" s="37" t="n">
        <f aca="false">1+IF($G$6=$E$6,$F$6,IF(P207&lt;($F$6-$E$6)/($G$6-$E$6),$E$6+SQRT(P207*($G$6-$E$6)*($F$6-$E$6)),$G$6-SQRT((1-P207)*($G$6-$E$6)*($G$6-$F$6))))</f>
        <v>0.930493015168156</v>
      </c>
      <c r="C207" s="37" t="n">
        <f aca="false">1+IF($G$7=$E$7,$F$7,IF(Q207&lt;($F$7-$E$7)/($G$7-$E$7),$E$7+SQRT(Q207*($G$7-$E$7)*($F$7-$E$7)),$G$7-SQRT((1-Q207)*($G$7-$E$7)*($G$7-$F$7))))</f>
        <v>0.907669407074295</v>
      </c>
      <c r="D207" s="37" t="n">
        <f aca="false">1+IF($G$8=$E$8,$F$8,IF(R207&lt;($F$8-$E$8)/($G$8-$E$8),$E$8+SQRT(R207*($G$8-$E$8)*($F$8-$E$8)),$G$8-SQRT((1-R207)*($G$8-$E$8)*($G$8-$F$8))))</f>
        <v>1.02589844747228</v>
      </c>
      <c r="E207" s="37" t="n">
        <f aca="false">1+IF($G$9=$E$9,$F$9,IF(S207&lt;($F$9-$E$9)/($G$9-$E$9),$E$9+SQRT(S207*($G$9-$E$9)*($F$9-$E$9)),$G$9-SQRT((1-S207)*($G$9-$E$9)*($G$9-$F$9))))</f>
        <v>1.04135242940049</v>
      </c>
      <c r="F207" s="37" t="n">
        <f aca="false">1+IF($G$10=$E$10,$F$10,IF(T207&lt;($F$10-$E$10)/($G$10-$E$10),$E$10+SQRT(T207*($G$10-$E$10)*($F$10-$E$10)),$G$10-SQRT((1-T207)*($G$10-$E$10)*($G$10-$F$10))))</f>
        <v>1.05772040925056</v>
      </c>
      <c r="G207" s="38" t="n">
        <f aca="false">IF($G$11=$E$11,$F$11,IF(U207&lt;($F$11-$E$11)/($G$11-$E$11),$E$11+SQRT(U207*($G$11-$E$11)*($F$11-$E$11)),$G$11-SQRT((1-U207)*($G$11-$E$11)*($G$11-$F$11))))</f>
        <v>0.0982980666424794</v>
      </c>
      <c r="H207" s="39" t="n">
        <f aca="false">(('Business Case'!B11*$C207*'Business Case'!B12*$B207)-'Business Case'!B11*$C207*'Business Case'!B13*$D207-'Business Case'!B14*$E207)-MAX(0,(('Business Case'!B11*$C207*'Business Case'!B12*$B207)-'Business Case'!B11*$C207*'Business Case'!B13*$D207-'Business Case'!B14*$E207))*'Business Case'!$B$7-'Business Case'!$B$8*('Business Case'!B11*$C207*'Business Case'!B12*$B207)-'Business Case'!B15*$F207</f>
        <v>-2115440818.50113</v>
      </c>
      <c r="I207" s="39" t="n">
        <f aca="false">(('Business Case'!C11*$C207*'Business Case'!C12*$B207)-'Business Case'!C11*$C207*'Business Case'!C13*$D207-'Business Case'!C14*$E207)-MAX(0,(('Business Case'!C11*$C207*'Business Case'!C12*$B207)-'Business Case'!C11*$C207*'Business Case'!C13*$D207-'Business Case'!C14*$E207))*'Business Case'!$B$7-'Business Case'!$B$8*(('Business Case'!C11*$C207*'Business Case'!C12*$B207)-('Business Case'!B11*$C207*'Business Case'!B12*$B207))-'Business Case'!C15*$F207</f>
        <v>-82551463.8185949</v>
      </c>
      <c r="J207" s="39" t="n">
        <f aca="false">(('Business Case'!D11*$C207*'Business Case'!D12*$B207)-'Business Case'!D11*$C207*'Business Case'!D13*$D207-'Business Case'!D14*$E207)-MAX(0,(('Business Case'!D11*$C207*'Business Case'!D12*$B207)-'Business Case'!D11*$C207*'Business Case'!D13*$D207-'Business Case'!D14*$E207))*'Business Case'!$B$7-'Business Case'!$B$8*(('Business Case'!D11*$C207*'Business Case'!D12*$B207)-('Business Case'!C11*$C207*'Business Case'!C12*$B207))-'Business Case'!D15*$F207</f>
        <v>132532458.19663</v>
      </c>
      <c r="K207" s="39" t="n">
        <f aca="false">(('Business Case'!E11*$C207*'Business Case'!E12*$B207)-'Business Case'!E11*$C207*'Business Case'!E13*$D207-'Business Case'!E14*$E207)-MAX(0,(('Business Case'!E11*$C207*'Business Case'!E12*$B207)-'Business Case'!E11*$C207*'Business Case'!E13*$D207-'Business Case'!E14*$E207))*'Business Case'!$B$7-'Business Case'!$B$8*(('Business Case'!E11*$C207*'Business Case'!E12*$B207)-('Business Case'!D11*$C207*'Business Case'!D12*$B207))-'Business Case'!E15*$F207</f>
        <v>400502400.674383</v>
      </c>
      <c r="L207" s="39" t="n">
        <f aca="false">(('Business Case'!F11*$C207*'Business Case'!F12*$B207)-'Business Case'!F11*$C207*'Business Case'!F13*$D207-'Business Case'!F14*$E207)-MAX(0,(('Business Case'!F11*$C207*'Business Case'!F12*$B207)-'Business Case'!F11*$C207*'Business Case'!F13*$D207-'Business Case'!F14*$E207))*'Business Case'!$B$7-'Business Case'!$B$8*(('Business Case'!F11*$C207*'Business Case'!F12*$B207)-('Business Case'!E11*$C207*'Business Case'!E12*$B207))-'Business Case'!F15*$F207</f>
        <v>501385727.6448</v>
      </c>
      <c r="M207" s="39" t="n">
        <f aca="false">(('Business Case'!G11*$C207*'Business Case'!G12*$B207)-'Business Case'!G11*$C207*'Business Case'!G13*$D207-'Business Case'!G14*$E207)-MAX(0,(('Business Case'!G11*$C207*'Business Case'!G12*$B207)-'Business Case'!G11*$C207*'Business Case'!G13*$D207-'Business Case'!G14*$E207))*'Business Case'!$B$7-'Business Case'!$B$8*(('Business Case'!G11*$C207*'Business Case'!G12*$B207)-('Business Case'!F11*$C207*'Business Case'!F12*$B207))-'Business Case'!G15*$F207+'Business Case'!$B$8*('Business Case'!G11*$C207*'Business Case'!G12*$B207)</f>
        <v>661923502.287516</v>
      </c>
      <c r="N207" s="39" t="n">
        <f aca="false">IF(COUNT('Business Case'!B11:G11)=0,"",H207+NPV(G207,I207:M207))</f>
        <v>-1019651236.95044</v>
      </c>
      <c r="P207" s="40" t="n">
        <f aca="true">RAND()</f>
        <v>0.0619882649363598</v>
      </c>
      <c r="Q207" s="40" t="n">
        <f aca="true">RAND()</f>
        <v>0.319456167663623</v>
      </c>
      <c r="R207" s="40" t="n">
        <f aca="true">RAND()</f>
        <v>0.633930660865394</v>
      </c>
      <c r="S207" s="40" t="n">
        <f aca="true">RAND()</f>
        <v>0.685218810741998</v>
      </c>
      <c r="T207" s="40" t="n">
        <f aca="true">RAND()</f>
        <v>0.507047453083063</v>
      </c>
      <c r="U207" s="40" t="n">
        <f aca="true">RAND()</f>
        <v>0.334819242852615</v>
      </c>
    </row>
    <row r="208" customFormat="false" ht="15" hidden="false" customHeight="false" outlineLevel="0" collapsed="false">
      <c r="A208" s="36" t="n">
        <v>128</v>
      </c>
      <c r="B208" s="37" t="n">
        <f aca="false">1+IF($G$6=$E$6,$F$6,IF(P208&lt;($F$6-$E$6)/($G$6-$E$6),$E$6+SQRT(P208*($G$6-$E$6)*($F$6-$E$6)),$G$6-SQRT((1-P208)*($G$6-$E$6)*($G$6-$F$6))))</f>
        <v>0.93899336439773</v>
      </c>
      <c r="C208" s="37" t="n">
        <f aca="false">1+IF($G$7=$E$7,$F$7,IF(Q208&lt;($F$7-$E$7)/($G$7-$E$7),$E$7+SQRT(Q208*($G$7-$E$7)*($F$7-$E$7)),$G$7-SQRT((1-Q208)*($G$7-$E$7)*($G$7-$F$7))))</f>
        <v>1.13494234538245</v>
      </c>
      <c r="D208" s="37" t="n">
        <f aca="false">1+IF($G$8=$E$8,$F$8,IF(R208&lt;($F$8-$E$8)/($G$8-$E$8),$E$8+SQRT(R208*($G$8-$E$8)*($F$8-$E$8)),$G$8-SQRT((1-R208)*($G$8-$E$8)*($G$8-$F$8))))</f>
        <v>0.993819898664722</v>
      </c>
      <c r="E208" s="37" t="n">
        <f aca="false">1+IF($G$9=$E$9,$F$9,IF(S208&lt;($F$9-$E$9)/($G$9-$E$9),$E$9+SQRT(S208*($G$9-$E$9)*($F$9-$E$9)),$G$9-SQRT((1-S208)*($G$9-$E$9)*($G$9-$F$9))))</f>
        <v>0.944522477592185</v>
      </c>
      <c r="F208" s="37" t="n">
        <f aca="false">1+IF($G$10=$E$10,$F$10,IF(T208&lt;($F$10-$E$10)/($G$10-$E$10),$E$10+SQRT(T208*($G$10-$E$10)*($F$10-$E$10)),$G$10-SQRT((1-T208)*($G$10-$E$10)*($G$10-$F$10))))</f>
        <v>1.0733751392598</v>
      </c>
      <c r="G208" s="38" t="n">
        <f aca="false">IF($G$11=$E$11,$F$11,IF(U208&lt;($F$11-$E$11)/($G$11-$E$11),$E$11+SQRT(U208*($G$11-$E$11)*($F$11-$E$11)),$G$11-SQRT((1-U208)*($G$11-$E$11)*($G$11-$F$11))))</f>
        <v>0.101030177939139</v>
      </c>
      <c r="H208" s="39" t="n">
        <f aca="false">(('Business Case'!B11*$C208*'Business Case'!B12*$B208)-'Business Case'!B11*$C208*'Business Case'!B13*$D208-'Business Case'!B14*$E208)-MAX(0,(('Business Case'!B11*$C208*'Business Case'!B12*$B208)-'Business Case'!B11*$C208*'Business Case'!B13*$D208-'Business Case'!B14*$E208))*'Business Case'!$B$7-'Business Case'!$B$8*('Business Case'!B11*$C208*'Business Case'!B12*$B208)-'Business Case'!B15*$F208</f>
        <v>-2146750278.51961</v>
      </c>
      <c r="I208" s="39" t="n">
        <f aca="false">(('Business Case'!C11*$C208*'Business Case'!C12*$B208)-'Business Case'!C11*$C208*'Business Case'!C13*$D208-'Business Case'!C14*$E208)-MAX(0,(('Business Case'!C11*$C208*'Business Case'!C12*$B208)-'Business Case'!C11*$C208*'Business Case'!C13*$D208-'Business Case'!C14*$E208))*'Business Case'!$B$7-'Business Case'!$B$8*(('Business Case'!C11*$C208*'Business Case'!C12*$B208)-('Business Case'!B11*$C208*'Business Case'!B12*$B208))-'Business Case'!C15*$F208</f>
        <v>-1415960.48509407</v>
      </c>
      <c r="J208" s="39" t="n">
        <f aca="false">(('Business Case'!D11*$C208*'Business Case'!D12*$B208)-'Business Case'!D11*$C208*'Business Case'!D13*$D208-'Business Case'!D14*$E208)-MAX(0,(('Business Case'!D11*$C208*'Business Case'!D12*$B208)-'Business Case'!D11*$C208*'Business Case'!D13*$D208-'Business Case'!D14*$E208))*'Business Case'!$B$7-'Business Case'!$B$8*(('Business Case'!D11*$C208*'Business Case'!D12*$B208)-('Business Case'!C11*$C208*'Business Case'!C12*$B208))-'Business Case'!D15*$F208</f>
        <v>294062749.963377</v>
      </c>
      <c r="K208" s="39" t="n">
        <f aca="false">(('Business Case'!E11*$C208*'Business Case'!E12*$B208)-'Business Case'!E11*$C208*'Business Case'!E13*$D208-'Business Case'!E14*$E208)-MAX(0,(('Business Case'!E11*$C208*'Business Case'!E12*$B208)-'Business Case'!E11*$C208*'Business Case'!E13*$D208-'Business Case'!E14*$E208))*'Business Case'!$B$7-'Business Case'!$B$8*(('Business Case'!E11*$C208*'Business Case'!E12*$B208)-('Business Case'!D11*$C208*'Business Case'!D12*$B208))-'Business Case'!E15*$F208</f>
        <v>643210217.374838</v>
      </c>
      <c r="L208" s="39" t="n">
        <f aca="false">(('Business Case'!F11*$C208*'Business Case'!F12*$B208)-'Business Case'!F11*$C208*'Business Case'!F13*$D208-'Business Case'!F14*$E208)-MAX(0,(('Business Case'!F11*$C208*'Business Case'!F12*$B208)-'Business Case'!F11*$C208*'Business Case'!F13*$D208-'Business Case'!F14*$E208))*'Business Case'!$B$7-'Business Case'!$B$8*(('Business Case'!F11*$C208*'Business Case'!F12*$B208)-('Business Case'!E11*$C208*'Business Case'!E12*$B208))-'Business Case'!F15*$F208</f>
        <v>778533827.986979</v>
      </c>
      <c r="M208" s="39" t="n">
        <f aca="false">(('Business Case'!G11*$C208*'Business Case'!G12*$B208)-'Business Case'!G11*$C208*'Business Case'!G13*$D208-'Business Case'!G14*$E208)-MAX(0,(('Business Case'!G11*$C208*'Business Case'!G12*$B208)-'Business Case'!G11*$C208*'Business Case'!G13*$D208-'Business Case'!G14*$E208))*'Business Case'!$B$7-'Business Case'!$B$8*(('Business Case'!G11*$C208*'Business Case'!G12*$B208)-('Business Case'!F11*$C208*'Business Case'!F12*$B208))-'Business Case'!G15*$F208+'Business Case'!$B$8*('Business Case'!G11*$C208*'Business Case'!G12*$B208)</f>
        <v>981102717.198224</v>
      </c>
      <c r="N208" s="39" t="n">
        <f aca="false">IF(COUNT('Business Case'!B11:G11)=0,"",H208+NPV(G208,I208:M208))</f>
        <v>-287460904.708738</v>
      </c>
      <c r="P208" s="40" t="n">
        <f aca="true">RAND()</f>
        <v>0.101365497803613</v>
      </c>
      <c r="Q208" s="40" t="n">
        <f aca="true">RAND()</f>
        <v>0.996640993146941</v>
      </c>
      <c r="R208" s="40" t="n">
        <f aca="true">RAND()</f>
        <v>0.256024469198204</v>
      </c>
      <c r="S208" s="40" t="n">
        <f aca="true">RAND()</f>
        <v>0.0792900404378653</v>
      </c>
      <c r="T208" s="40" t="n">
        <f aca="true">RAND()</f>
        <v>0.584048780913421</v>
      </c>
      <c r="U208" s="40" t="n">
        <f aca="true">RAND()</f>
        <v>0.440499606508033</v>
      </c>
    </row>
    <row r="209" customFormat="false" ht="15" hidden="false" customHeight="false" outlineLevel="0" collapsed="false">
      <c r="A209" s="36" t="n">
        <v>129</v>
      </c>
      <c r="B209" s="37" t="n">
        <f aca="false">1+IF($G$6=$E$6,$F$6,IF(P209&lt;($F$6-$E$6)/($G$6-$E$6),$E$6+SQRT(P209*($G$6-$E$6)*($F$6-$E$6)),$G$6-SQRT((1-P209)*($G$6-$E$6)*($G$6-$F$6))))</f>
        <v>0.951135704873833</v>
      </c>
      <c r="C209" s="37" t="n">
        <f aca="false">1+IF($G$7=$E$7,$F$7,IF(Q209&lt;($F$7-$E$7)/($G$7-$E$7),$E$7+SQRT(Q209*($G$7-$E$7)*($F$7-$E$7)),$G$7-SQRT((1-Q209)*($G$7-$E$7)*($G$7-$F$7))))</f>
        <v>0.883175922039329</v>
      </c>
      <c r="D209" s="37" t="n">
        <f aca="false">1+IF($G$8=$E$8,$F$8,IF(R209&lt;($F$8-$E$8)/($G$8-$E$8),$E$8+SQRT(R209*($G$8-$E$8)*($F$8-$E$8)),$G$8-SQRT((1-R209)*($G$8-$E$8)*($G$8-$F$8))))</f>
        <v>1.02288136666073</v>
      </c>
      <c r="E209" s="37" t="n">
        <f aca="false">1+IF($G$9=$E$9,$F$9,IF(S209&lt;($F$9-$E$9)/($G$9-$E$9),$E$9+SQRT(S209*($G$9-$E$9)*($F$9-$E$9)),$G$9-SQRT((1-S209)*($G$9-$E$9)*($G$9-$F$9))))</f>
        <v>1.01411386515112</v>
      </c>
      <c r="F209" s="37" t="n">
        <f aca="false">1+IF($G$10=$E$10,$F$10,IF(T209&lt;($F$10-$E$10)/($G$10-$E$10),$E$10+SQRT(T209*($G$10-$E$10)*($F$10-$E$10)),$G$10-SQRT((1-T209)*($G$10-$E$10)*($G$10-$F$10))))</f>
        <v>1.00054244638761</v>
      </c>
      <c r="G209" s="38" t="n">
        <f aca="false">IF($G$11=$E$11,$F$11,IF(U209&lt;($F$11-$E$11)/($G$11-$E$11),$E$11+SQRT(U209*($G$11-$E$11)*($F$11-$E$11)),$G$11-SQRT((1-U209)*($G$11-$E$11)*($G$11-$F$11))))</f>
        <v>0.097533665783548</v>
      </c>
      <c r="H209" s="39" t="n">
        <f aca="false">(('Business Case'!B11*$C209*'Business Case'!B12*$B209)-'Business Case'!B11*$C209*'Business Case'!B13*$D209-'Business Case'!B14*$E209)-MAX(0,(('Business Case'!B11*$C209*'Business Case'!B12*$B209)-'Business Case'!B11*$C209*'Business Case'!B13*$D209-'Business Case'!B14*$E209))*'Business Case'!$B$7-'Business Case'!$B$8*('Business Case'!B11*$C209*'Business Case'!B12*$B209)-'Business Case'!B15*$F209</f>
        <v>-2001084892.77521</v>
      </c>
      <c r="I209" s="39" t="n">
        <f aca="false">(('Business Case'!C11*$C209*'Business Case'!C12*$B209)-'Business Case'!C11*$C209*'Business Case'!C13*$D209-'Business Case'!C14*$E209)-MAX(0,(('Business Case'!C11*$C209*'Business Case'!C12*$B209)-'Business Case'!C11*$C209*'Business Case'!C13*$D209-'Business Case'!C14*$E209))*'Business Case'!$B$7-'Business Case'!$B$8*(('Business Case'!C11*$C209*'Business Case'!C12*$B209)-('Business Case'!B11*$C209*'Business Case'!B12*$B209))-'Business Case'!C15*$F209</f>
        <v>-62231330.7948853</v>
      </c>
      <c r="J209" s="39" t="n">
        <f aca="false">(('Business Case'!D11*$C209*'Business Case'!D12*$B209)-'Business Case'!D11*$C209*'Business Case'!D13*$D209-'Business Case'!D14*$E209)-MAX(0,(('Business Case'!D11*$C209*'Business Case'!D12*$B209)-'Business Case'!D11*$C209*'Business Case'!D13*$D209-'Business Case'!D14*$E209))*'Business Case'!$B$7-'Business Case'!$B$8*(('Business Case'!D11*$C209*'Business Case'!D12*$B209)-('Business Case'!C11*$C209*'Business Case'!C12*$B209))-'Business Case'!D15*$F209</f>
        <v>163345219.412075</v>
      </c>
      <c r="K209" s="39" t="n">
        <f aca="false">(('Business Case'!E11*$C209*'Business Case'!E12*$B209)-'Business Case'!E11*$C209*'Business Case'!E13*$D209-'Business Case'!E14*$E209)-MAX(0,(('Business Case'!E11*$C209*'Business Case'!E12*$B209)-'Business Case'!E11*$C209*'Business Case'!E13*$D209-'Business Case'!E14*$E209))*'Business Case'!$B$7-'Business Case'!$B$8*(('Business Case'!E11*$C209*'Business Case'!E12*$B209)-('Business Case'!D11*$C209*'Business Case'!D12*$B209))-'Business Case'!E15*$F209</f>
        <v>438948891.938415</v>
      </c>
      <c r="L209" s="39" t="n">
        <f aca="false">(('Business Case'!F11*$C209*'Business Case'!F12*$B209)-'Business Case'!F11*$C209*'Business Case'!F13*$D209-'Business Case'!F14*$E209)-MAX(0,(('Business Case'!F11*$C209*'Business Case'!F12*$B209)-'Business Case'!F11*$C209*'Business Case'!F13*$D209-'Business Case'!F14*$E209))*'Business Case'!$B$7-'Business Case'!$B$8*(('Business Case'!F11*$C209*'Business Case'!F12*$B209)-('Business Case'!E11*$C209*'Business Case'!E12*$B209))-'Business Case'!F15*$F209</f>
        <v>543172171.833131</v>
      </c>
      <c r="M209" s="39" t="n">
        <f aca="false">(('Business Case'!G11*$C209*'Business Case'!G12*$B209)-'Business Case'!G11*$C209*'Business Case'!G13*$D209-'Business Case'!G14*$E209)-MAX(0,(('Business Case'!G11*$C209*'Business Case'!G12*$B209)-'Business Case'!G11*$C209*'Business Case'!G13*$D209-'Business Case'!G14*$E209))*'Business Case'!$B$7-'Business Case'!$B$8*(('Business Case'!G11*$C209*'Business Case'!G12*$B209)-('Business Case'!F11*$C209*'Business Case'!F12*$B209))-'Business Case'!G15*$F209+'Business Case'!$B$8*('Business Case'!G11*$C209*'Business Case'!G12*$B209)</f>
        <v>702843202.541312</v>
      </c>
      <c r="N209" s="39" t="n">
        <f aca="false">IF(COUNT('Business Case'!B11:G11)=0,"",H209+NPV(G209,I209:M209))</f>
        <v>-774489721.053045</v>
      </c>
      <c r="P209" s="40" t="n">
        <f aca="true">RAND()</f>
        <v>0.174324020862918</v>
      </c>
      <c r="Q209" s="40" t="n">
        <f aca="true">RAND()</f>
        <v>0.248543840110802</v>
      </c>
      <c r="R209" s="40" t="n">
        <f aca="true">RAND()</f>
        <v>0.603514426125571</v>
      </c>
      <c r="S209" s="40" t="n">
        <f aca="true">RAND()</f>
        <v>0.507598889488877</v>
      </c>
      <c r="T209" s="40" t="n">
        <f aca="true">RAND()</f>
        <v>0.17027905260959</v>
      </c>
      <c r="U209" s="40" t="n">
        <f aca="true">RAND()</f>
        <v>0.307429435809161</v>
      </c>
    </row>
    <row r="210" customFormat="false" ht="15" hidden="false" customHeight="false" outlineLevel="0" collapsed="false">
      <c r="A210" s="36" t="n">
        <v>130</v>
      </c>
      <c r="B210" s="37" t="n">
        <f aca="false">1+IF($G$6=$E$6,$F$6,IF(P210&lt;($F$6-$E$6)/($G$6-$E$6),$E$6+SQRT(P210*($G$6-$E$6)*($F$6-$E$6)),$G$6-SQRT((1-P210)*($G$6-$E$6)*($G$6-$F$6))))</f>
        <v>0.960285169310228</v>
      </c>
      <c r="C210" s="37" t="n">
        <f aca="false">1+IF($G$7=$E$7,$F$7,IF(Q210&lt;($F$7-$E$7)/($G$7-$E$7),$E$7+SQRT(Q210*($G$7-$E$7)*($F$7-$E$7)),$G$7-SQRT((1-Q210)*($G$7-$E$7)*($G$7-$F$7))))</f>
        <v>0.867232677725939</v>
      </c>
      <c r="D210" s="37" t="n">
        <f aca="false">1+IF($G$8=$E$8,$F$8,IF(R210&lt;($F$8-$E$8)/($G$8-$E$8),$E$8+SQRT(R210*($G$8-$E$8)*($F$8-$E$8)),$G$8-SQRT((1-R210)*($G$8-$E$8)*($G$8-$F$8))))</f>
        <v>0.982255527202785</v>
      </c>
      <c r="E210" s="37" t="n">
        <f aca="false">1+IF($G$9=$E$9,$F$9,IF(S210&lt;($F$9-$E$9)/($G$9-$E$9),$E$9+SQRT(S210*($G$9-$E$9)*($F$9-$E$9)),$G$9-SQRT((1-S210)*($G$9-$E$9)*($G$9-$F$9))))</f>
        <v>0.934240918093241</v>
      </c>
      <c r="F210" s="37" t="n">
        <f aca="false">1+IF($G$10=$E$10,$F$10,IF(T210&lt;($F$10-$E$10)/($G$10-$E$10),$E$10+SQRT(T210*($G$10-$E$10)*($F$10-$E$10)),$G$10-SQRT((1-T210)*($G$10-$E$10)*($G$10-$F$10))))</f>
        <v>0.970538214481872</v>
      </c>
      <c r="G210" s="38" t="n">
        <f aca="false">IF($G$11=$E$11,$F$11,IF(U210&lt;($F$11-$E$11)/($G$11-$E$11),$E$11+SQRT(U210*($G$11-$E$11)*($F$11-$E$11)),$G$11-SQRT((1-U210)*($G$11-$E$11)*($G$11-$F$11))))</f>
        <v>0.105840390375108</v>
      </c>
      <c r="H210" s="39" t="n">
        <f aca="false">(('Business Case'!B11*$C210*'Business Case'!B12*$B210)-'Business Case'!B11*$C210*'Business Case'!B13*$D210-'Business Case'!B14*$E210)-MAX(0,(('Business Case'!B11*$C210*'Business Case'!B12*$B210)-'Business Case'!B11*$C210*'Business Case'!B13*$D210-'Business Case'!B14*$E210))*'Business Case'!$B$7-'Business Case'!$B$8*('Business Case'!B11*$C210*'Business Case'!B12*$B210)-'Business Case'!B15*$F210</f>
        <v>-1941076428.96374</v>
      </c>
      <c r="I210" s="39" t="n">
        <f aca="false">(('Business Case'!C11*$C210*'Business Case'!C12*$B210)-'Business Case'!C11*$C210*'Business Case'!C13*$D210-'Business Case'!C14*$E210)-MAX(0,(('Business Case'!C11*$C210*'Business Case'!C12*$B210)-'Business Case'!C11*$C210*'Business Case'!C13*$D210-'Business Case'!C14*$E210))*'Business Case'!$B$7-'Business Case'!$B$8*(('Business Case'!C11*$C210*'Business Case'!C12*$B210)-('Business Case'!B11*$C210*'Business Case'!B12*$B210))-'Business Case'!C15*$F210</f>
        <v>-27035249.0526761</v>
      </c>
      <c r="J210" s="39" t="n">
        <f aca="false">(('Business Case'!D11*$C210*'Business Case'!D12*$B210)-'Business Case'!D11*$C210*'Business Case'!D13*$D210-'Business Case'!D14*$E210)-MAX(0,(('Business Case'!D11*$C210*'Business Case'!D12*$B210)-'Business Case'!D11*$C210*'Business Case'!D13*$D210-'Business Case'!D14*$E210))*'Business Case'!$B$7-'Business Case'!$B$8*(('Business Case'!D11*$C210*'Business Case'!D12*$B210)-('Business Case'!C11*$C210*'Business Case'!C12*$B210))-'Business Case'!D15*$F210</f>
        <v>219004250.682686</v>
      </c>
      <c r="K210" s="39" t="n">
        <f aca="false">(('Business Case'!E11*$C210*'Business Case'!E12*$B210)-'Business Case'!E11*$C210*'Business Case'!E13*$D210-'Business Case'!E14*$E210)-MAX(0,(('Business Case'!E11*$C210*'Business Case'!E12*$B210)-'Business Case'!E11*$C210*'Business Case'!E13*$D210-'Business Case'!E14*$E210))*'Business Case'!$B$7-'Business Case'!$B$8*(('Business Case'!E11*$C210*'Business Case'!E12*$B210)-('Business Case'!D11*$C210*'Business Case'!D12*$B210))-'Business Case'!E15*$F210</f>
        <v>513570661.142141</v>
      </c>
      <c r="L210" s="39" t="n">
        <f aca="false">(('Business Case'!F11*$C210*'Business Case'!F12*$B210)-'Business Case'!F11*$C210*'Business Case'!F13*$D210-'Business Case'!F14*$E210)-MAX(0,(('Business Case'!F11*$C210*'Business Case'!F12*$B210)-'Business Case'!F11*$C210*'Business Case'!F13*$D210-'Business Case'!F14*$E210))*'Business Case'!$B$7-'Business Case'!$B$8*(('Business Case'!F11*$C210*'Business Case'!F12*$B210)-('Business Case'!E11*$C210*'Business Case'!E12*$B210))-'Business Case'!F15*$F210</f>
        <v>624365073.578589</v>
      </c>
      <c r="M210" s="39" t="n">
        <f aca="false">(('Business Case'!G11*$C210*'Business Case'!G12*$B210)-'Business Case'!G11*$C210*'Business Case'!G13*$D210-'Business Case'!G14*$E210)-MAX(0,(('Business Case'!G11*$C210*'Business Case'!G12*$B210)-'Business Case'!G11*$C210*'Business Case'!G13*$D210-'Business Case'!G14*$E210))*'Business Case'!$B$7-'Business Case'!$B$8*(('Business Case'!G11*$C210*'Business Case'!G12*$B210)-('Business Case'!F11*$C210*'Business Case'!F12*$B210))-'Business Case'!G15*$F210+'Business Case'!$B$8*('Business Case'!G11*$C210*'Business Case'!G12*$B210)</f>
        <v>782661925.797559</v>
      </c>
      <c r="N210" s="39" t="n">
        <f aca="false">IF(COUNT('Business Case'!B11:G11)=0,"",H210+NPV(G210,I210:M210))</f>
        <v>-515878607.08754</v>
      </c>
      <c r="P210" s="40" t="n">
        <f aca="true">RAND()</f>
        <v>0.242286775917522</v>
      </c>
      <c r="Q210" s="40" t="n">
        <f aca="true">RAND()</f>
        <v>0.207161248143612</v>
      </c>
      <c r="R210" s="40" t="n">
        <f aca="true">RAND()</f>
        <v>0.138722538017283</v>
      </c>
      <c r="S210" s="40" t="n">
        <f aca="true">RAND()</f>
        <v>0.0468976188747202</v>
      </c>
      <c r="T210" s="40" t="n">
        <f aca="true">RAND()</f>
        <v>0.028121216940225</v>
      </c>
      <c r="U210" s="40" t="n">
        <f aca="true">RAND()</f>
        <v>0.610875508515224</v>
      </c>
    </row>
    <row r="211" customFormat="false" ht="15" hidden="false" customHeight="false" outlineLevel="0" collapsed="false">
      <c r="A211" s="36" t="n">
        <v>131</v>
      </c>
      <c r="B211" s="37" t="n">
        <f aca="false">1+IF($G$6=$E$6,$F$6,IF(P211&lt;($F$6-$E$6)/($G$6-$E$6),$E$6+SQRT(P211*($G$6-$E$6)*($F$6-$E$6)),$G$6-SQRT((1-P211)*($G$6-$E$6)*($G$6-$F$6))))</f>
        <v>0.99469998502438</v>
      </c>
      <c r="C211" s="37" t="n">
        <f aca="false">1+IF($G$7=$E$7,$F$7,IF(Q211&lt;($F$7-$E$7)/($G$7-$E$7),$E$7+SQRT(Q211*($G$7-$E$7)*($F$7-$E$7)),$G$7-SQRT((1-Q211)*($G$7-$E$7)*($G$7-$F$7))))</f>
        <v>0.963485675283353</v>
      </c>
      <c r="D211" s="37" t="n">
        <f aca="false">1+IF($G$8=$E$8,$F$8,IF(R211&lt;($F$8-$E$8)/($G$8-$E$8),$E$8+SQRT(R211*($G$8-$E$8)*($F$8-$E$8)),$G$8-SQRT((1-R211)*($G$8-$E$8)*($G$8-$F$8))))</f>
        <v>0.988906796913907</v>
      </c>
      <c r="E211" s="37" t="n">
        <f aca="false">1+IF($G$9=$E$9,$F$9,IF(S211&lt;($F$9-$E$9)/($G$9-$E$9),$E$9+SQRT(S211*($G$9-$E$9)*($F$9-$E$9)),$G$9-SQRT((1-S211)*($G$9-$E$9)*($G$9-$F$9))))</f>
        <v>1.07801680826092</v>
      </c>
      <c r="F211" s="37" t="n">
        <f aca="false">1+IF($G$10=$E$10,$F$10,IF(T211&lt;($F$10-$E$10)/($G$10-$E$10),$E$10+SQRT(T211*($G$10-$E$10)*($F$10-$E$10)),$G$10-SQRT((1-T211)*($G$10-$E$10)*($G$10-$F$10))))</f>
        <v>1.11120618871973</v>
      </c>
      <c r="G211" s="38" t="n">
        <f aca="false">IF($G$11=$E$11,$F$11,IF(U211&lt;($F$11-$E$11)/($G$11-$E$11),$E$11+SQRT(U211*($G$11-$E$11)*($F$11-$E$11)),$G$11-SQRT((1-U211)*($G$11-$E$11)*($G$11-$F$11))))</f>
        <v>0.093125188966894</v>
      </c>
      <c r="H211" s="39" t="n">
        <f aca="false">(('Business Case'!B11*$C211*'Business Case'!B12*$B211)-'Business Case'!B11*$C211*'Business Case'!B13*$D211-'Business Case'!B14*$E211)-MAX(0,(('Business Case'!B11*$C211*'Business Case'!B12*$B211)-'Business Case'!B11*$C211*'Business Case'!B13*$D211-'Business Case'!B14*$E211))*'Business Case'!$B$7-'Business Case'!$B$8*('Business Case'!B11*$C211*'Business Case'!B12*$B211)-'Business Case'!B15*$F211</f>
        <v>-2222412377.43946</v>
      </c>
      <c r="I211" s="39" t="n">
        <f aca="false">(('Business Case'!C11*$C211*'Business Case'!C12*$B211)-'Business Case'!C11*$C211*'Business Case'!C13*$D211-'Business Case'!C14*$E211)-MAX(0,(('Business Case'!C11*$C211*'Business Case'!C12*$B211)-'Business Case'!C11*$C211*'Business Case'!C13*$D211-'Business Case'!C14*$E211))*'Business Case'!$B$7-'Business Case'!$B$8*(('Business Case'!C11*$C211*'Business Case'!C12*$B211)-('Business Case'!B11*$C211*'Business Case'!B12*$B211))-'Business Case'!C15*$F211</f>
        <v>-16871541.8804998</v>
      </c>
      <c r="J211" s="39" t="n">
        <f aca="false">(('Business Case'!D11*$C211*'Business Case'!D12*$B211)-'Business Case'!D11*$C211*'Business Case'!D13*$D211-'Business Case'!D14*$E211)-MAX(0,(('Business Case'!D11*$C211*'Business Case'!D12*$B211)-'Business Case'!D11*$C211*'Business Case'!D13*$D211-'Business Case'!D14*$E211))*'Business Case'!$B$7-'Business Case'!$B$8*(('Business Case'!D11*$C211*'Business Case'!D12*$B211)-('Business Case'!C11*$C211*'Business Case'!C12*$B211))-'Business Case'!D15*$F211</f>
        <v>280353902.28812</v>
      </c>
      <c r="K211" s="39" t="n">
        <f aca="false">(('Business Case'!E11*$C211*'Business Case'!E12*$B211)-'Business Case'!E11*$C211*'Business Case'!E13*$D211-'Business Case'!E14*$E211)-MAX(0,(('Business Case'!E11*$C211*'Business Case'!E12*$B211)-'Business Case'!E11*$C211*'Business Case'!E13*$D211-'Business Case'!E14*$E211))*'Business Case'!$B$7-'Business Case'!$B$8*(('Business Case'!E11*$C211*'Business Case'!E12*$B211)-('Business Case'!D11*$C211*'Business Case'!D12*$B211))-'Business Case'!E15*$F211</f>
        <v>633139655.892727</v>
      </c>
      <c r="L211" s="39" t="n">
        <f aca="false">(('Business Case'!F11*$C211*'Business Case'!F12*$B211)-'Business Case'!F11*$C211*'Business Case'!F13*$D211-'Business Case'!F14*$E211)-MAX(0,(('Business Case'!F11*$C211*'Business Case'!F12*$B211)-'Business Case'!F11*$C211*'Business Case'!F13*$D211-'Business Case'!F14*$E211))*'Business Case'!$B$7-'Business Case'!$B$8*(('Business Case'!F11*$C211*'Business Case'!F12*$B211)-('Business Case'!E11*$C211*'Business Case'!E12*$B211))-'Business Case'!F15*$F211</f>
        <v>765336388.643897</v>
      </c>
      <c r="M211" s="39" t="n">
        <f aca="false">(('Business Case'!G11*$C211*'Business Case'!G12*$B211)-'Business Case'!G11*$C211*'Business Case'!G13*$D211-'Business Case'!G14*$E211)-MAX(0,(('Business Case'!G11*$C211*'Business Case'!G12*$B211)-'Business Case'!G11*$C211*'Business Case'!G13*$D211-'Business Case'!G14*$E211))*'Business Case'!$B$7-'Business Case'!$B$8*(('Business Case'!G11*$C211*'Business Case'!G12*$B211)-('Business Case'!F11*$C211*'Business Case'!F12*$B211))-'Business Case'!G15*$F211+'Business Case'!$B$8*('Business Case'!G11*$C211*'Business Case'!G12*$B211)</f>
        <v>947505104.466195</v>
      </c>
      <c r="N211" s="39" t="n">
        <f aca="false">IF(COUNT('Business Case'!B11:G11)=0,"",H211+NPV(G211,I211:M211))</f>
        <v>-375436473.857742</v>
      </c>
      <c r="P211" s="40" t="n">
        <f aca="true">RAND()</f>
        <v>0.597872477574522</v>
      </c>
      <c r="Q211" s="40" t="n">
        <f aca="true">RAND()</f>
        <v>0.514257045033516</v>
      </c>
      <c r="R211" s="40" t="n">
        <f aca="true">RAND()</f>
        <v>0.201831846146671</v>
      </c>
      <c r="S211" s="40" t="n">
        <f aca="true">RAND()</f>
        <v>0.861824536188113</v>
      </c>
      <c r="T211" s="40" t="n">
        <f aca="true">RAND()</f>
        <v>0.743150372670617</v>
      </c>
      <c r="U211" s="40" t="n">
        <f aca="true">RAND()</f>
        <v>0.172270585416675</v>
      </c>
    </row>
    <row r="212" customFormat="false" ht="15" hidden="false" customHeight="false" outlineLevel="0" collapsed="false">
      <c r="A212" s="36" t="n">
        <v>132</v>
      </c>
      <c r="B212" s="37" t="n">
        <f aca="false">1+IF($G$6=$E$6,$F$6,IF(P212&lt;($F$6-$E$6)/($G$6-$E$6),$E$6+SQRT(P212*($G$6-$E$6)*($F$6-$E$6)),$G$6-SQRT((1-P212)*($G$6-$E$6)*($G$6-$F$6))))</f>
        <v>0.956805218157021</v>
      </c>
      <c r="C212" s="37" t="n">
        <f aca="false">1+IF($G$7=$E$7,$F$7,IF(Q212&lt;($F$7-$E$7)/($G$7-$E$7),$E$7+SQRT(Q212*($G$7-$E$7)*($F$7-$E$7)),$G$7-SQRT((1-Q212)*($G$7-$E$7)*($G$7-$F$7))))</f>
        <v>0.792557596408088</v>
      </c>
      <c r="D212" s="37" t="n">
        <f aca="false">1+IF($G$8=$E$8,$F$8,IF(R212&lt;($F$8-$E$8)/($G$8-$E$8),$E$8+SQRT(R212*($G$8-$E$8)*($F$8-$E$8)),$G$8-SQRT((1-R212)*($G$8-$E$8)*($G$8-$F$8))))</f>
        <v>1.02957612397282</v>
      </c>
      <c r="E212" s="37" t="n">
        <f aca="false">1+IF($G$9=$E$9,$F$9,IF(S212&lt;($F$9-$E$9)/($G$9-$E$9),$E$9+SQRT(S212*($G$9-$E$9)*($F$9-$E$9)),$G$9-SQRT((1-S212)*($G$9-$E$9)*($G$9-$F$9))))</f>
        <v>0.973010358434239</v>
      </c>
      <c r="F212" s="37" t="n">
        <f aca="false">1+IF($G$10=$E$10,$F$10,IF(T212&lt;($F$10-$E$10)/($G$10-$E$10),$E$10+SQRT(T212*($G$10-$E$10)*($F$10-$E$10)),$G$10-SQRT((1-T212)*($G$10-$E$10)*($G$10-$F$10))))</f>
        <v>1.02655455111199</v>
      </c>
      <c r="G212" s="38" t="n">
        <f aca="false">IF($G$11=$E$11,$F$11,IF(U212&lt;($F$11-$E$11)/($G$11-$E$11),$E$11+SQRT(U212*($G$11-$E$11)*($F$11-$E$11)),$G$11-SQRT((1-U212)*($G$11-$E$11)*($G$11-$F$11))))</f>
        <v>0.115304510167892</v>
      </c>
      <c r="H212" s="39" t="n">
        <f aca="false">(('Business Case'!B11*$C212*'Business Case'!B12*$B212)-'Business Case'!B11*$C212*'Business Case'!B13*$D212-'Business Case'!B14*$E212)-MAX(0,(('Business Case'!B11*$C212*'Business Case'!B12*$B212)-'Business Case'!B11*$C212*'Business Case'!B13*$D212-'Business Case'!B14*$E212))*'Business Case'!$B$7-'Business Case'!$B$8*('Business Case'!B11*$C212*'Business Case'!B12*$B212)-'Business Case'!B15*$F212</f>
        <v>-2053109102.22398</v>
      </c>
      <c r="I212" s="39" t="n">
        <f aca="false">(('Business Case'!C11*$C212*'Business Case'!C12*$B212)-'Business Case'!C11*$C212*'Business Case'!C13*$D212-'Business Case'!C14*$E212)-MAX(0,(('Business Case'!C11*$C212*'Business Case'!C12*$B212)-'Business Case'!C11*$C212*'Business Case'!C13*$D212-'Business Case'!C14*$E212))*'Business Case'!$B$7-'Business Case'!$B$8*(('Business Case'!C11*$C212*'Business Case'!C12*$B212)-('Business Case'!B11*$C212*'Business Case'!B12*$B212))-'Business Case'!C15*$F212</f>
        <v>-76933558.7260526</v>
      </c>
      <c r="J212" s="39" t="n">
        <f aca="false">(('Business Case'!D11*$C212*'Business Case'!D12*$B212)-'Business Case'!D11*$C212*'Business Case'!D13*$D212-'Business Case'!D14*$E212)-MAX(0,(('Business Case'!D11*$C212*'Business Case'!D12*$B212)-'Business Case'!D11*$C212*'Business Case'!D13*$D212-'Business Case'!D14*$E212))*'Business Case'!$B$7-'Business Case'!$B$8*(('Business Case'!D11*$C212*'Business Case'!D12*$B212)-('Business Case'!C11*$C212*'Business Case'!C12*$B212))-'Business Case'!D15*$F212</f>
        <v>126461887.593942</v>
      </c>
      <c r="K212" s="39" t="n">
        <f aca="false">(('Business Case'!E11*$C212*'Business Case'!E12*$B212)-'Business Case'!E11*$C212*'Business Case'!E13*$D212-'Business Case'!E14*$E212)-MAX(0,(('Business Case'!E11*$C212*'Business Case'!E12*$B212)-'Business Case'!E11*$C212*'Business Case'!E13*$D212-'Business Case'!E14*$E212))*'Business Case'!$B$7-'Business Case'!$B$8*(('Business Case'!E11*$C212*'Business Case'!E12*$B212)-('Business Case'!D11*$C212*'Business Case'!D12*$B212))-'Business Case'!E15*$F212</f>
        <v>381185061.469536</v>
      </c>
      <c r="L212" s="39" t="n">
        <f aca="false">(('Business Case'!F11*$C212*'Business Case'!F12*$B212)-'Business Case'!F11*$C212*'Business Case'!F13*$D212-'Business Case'!F14*$E212)-MAX(0,(('Business Case'!F11*$C212*'Business Case'!F12*$B212)-'Business Case'!F11*$C212*'Business Case'!F13*$D212-'Business Case'!F14*$E212))*'Business Case'!$B$7-'Business Case'!$B$8*(('Business Case'!F11*$C212*'Business Case'!F12*$B212)-('Business Case'!E11*$C212*'Business Case'!E12*$B212))-'Business Case'!F15*$F212</f>
        <v>475191194.886534</v>
      </c>
      <c r="M212" s="39" t="n">
        <f aca="false">(('Business Case'!G11*$C212*'Business Case'!G12*$B212)-'Business Case'!G11*$C212*'Business Case'!G13*$D212-'Business Case'!G14*$E212)-MAX(0,(('Business Case'!G11*$C212*'Business Case'!G12*$B212)-'Business Case'!G11*$C212*'Business Case'!G13*$D212-'Business Case'!G14*$E212))*'Business Case'!$B$7-'Business Case'!$B$8*(('Business Case'!G11*$C212*'Business Case'!G12*$B212)-('Business Case'!F11*$C212*'Business Case'!F12*$B212))-'Business Case'!G15*$F212+'Business Case'!$B$8*('Business Case'!G11*$C212*'Business Case'!G12*$B212)</f>
        <v>619333277.093365</v>
      </c>
      <c r="N212" s="39" t="n">
        <f aca="false">IF(COUNT('Business Case'!B11:G11)=0,"",H212+NPV(G212,I212:M212))</f>
        <v>-1079665492.8733</v>
      </c>
      <c r="P212" s="40" t="n">
        <f aca="true">RAND()</f>
        <v>0.215122187324451</v>
      </c>
      <c r="Q212" s="40" t="n">
        <f aca="true">RAND()</f>
        <v>0.0634585826136475</v>
      </c>
      <c r="R212" s="40" t="n">
        <f aca="true">RAND()</f>
        <v>0.669365179020541</v>
      </c>
      <c r="S212" s="40" t="n">
        <f aca="true">RAND()</f>
        <v>0.213220497547841</v>
      </c>
      <c r="T212" s="40" t="n">
        <f aca="true">RAND()</f>
        <v>0.334295084949819</v>
      </c>
      <c r="U212" s="40" t="n">
        <f aca="true">RAND()</f>
        <v>0.856028385729615</v>
      </c>
    </row>
    <row r="213" customFormat="false" ht="15" hidden="false" customHeight="false" outlineLevel="0" collapsed="false">
      <c r="A213" s="36" t="n">
        <v>133</v>
      </c>
      <c r="B213" s="37" t="n">
        <f aca="false">1+IF($G$6=$E$6,$F$6,IF(P213&lt;($F$6-$E$6)/($G$6-$E$6),$E$6+SQRT(P213*($G$6-$E$6)*($F$6-$E$6)),$G$6-SQRT((1-P213)*($G$6-$E$6)*($G$6-$F$6))))</f>
        <v>0.978550176899648</v>
      </c>
      <c r="C213" s="37" t="n">
        <f aca="false">1+IF($G$7=$E$7,$F$7,IF(Q213&lt;($F$7-$E$7)/($G$7-$E$7),$E$7+SQRT(Q213*($G$7-$E$7)*($F$7-$E$7)),$G$7-SQRT((1-Q213)*($G$7-$E$7)*($G$7-$F$7))))</f>
        <v>0.900948711772391</v>
      </c>
      <c r="D213" s="37" t="n">
        <f aca="false">1+IF($G$8=$E$8,$F$8,IF(R213&lt;($F$8-$E$8)/($G$8-$E$8),$E$8+SQRT(R213*($G$8-$E$8)*($F$8-$E$8)),$G$8-SQRT((1-R213)*($G$8-$E$8)*($G$8-$F$8))))</f>
        <v>1.04049430270792</v>
      </c>
      <c r="E213" s="37" t="n">
        <f aca="false">1+IF($G$9=$E$9,$F$9,IF(S213&lt;($F$9-$E$9)/($G$9-$E$9),$E$9+SQRT(S213*($G$9-$E$9)*($F$9-$E$9)),$G$9-SQRT((1-S213)*($G$9-$E$9)*($G$9-$F$9))))</f>
        <v>0.958641478186683</v>
      </c>
      <c r="F213" s="37" t="n">
        <f aca="false">1+IF($G$10=$E$10,$F$10,IF(T213&lt;($F$10-$E$10)/($G$10-$E$10),$E$10+SQRT(T213*($G$10-$E$10)*($F$10-$E$10)),$G$10-SQRT((1-T213)*($G$10-$E$10)*($G$10-$F$10))))</f>
        <v>1.05008189984668</v>
      </c>
      <c r="G213" s="38" t="n">
        <f aca="false">IF($G$11=$E$11,$F$11,IF(U213&lt;($F$11-$E$11)/($G$11-$E$11),$E$11+SQRT(U213*($G$11-$E$11)*($F$11-$E$11)),$G$11-SQRT((1-U213)*($G$11-$E$11)*($G$11-$F$11))))</f>
        <v>0.0987622314773719</v>
      </c>
      <c r="H213" s="39" t="n">
        <f aca="false">(('Business Case'!B11*$C213*'Business Case'!B12*$B213)-'Business Case'!B11*$C213*'Business Case'!B13*$D213-'Business Case'!B14*$E213)-MAX(0,(('Business Case'!B11*$C213*'Business Case'!B12*$B213)-'Business Case'!B11*$C213*'Business Case'!B13*$D213-'Business Case'!B14*$E213))*'Business Case'!$B$7-'Business Case'!$B$8*('Business Case'!B11*$C213*'Business Case'!B12*$B213)-'Business Case'!B15*$F213</f>
        <v>-2100163799.69336</v>
      </c>
      <c r="I213" s="39" t="n">
        <f aca="false">(('Business Case'!C11*$C213*'Business Case'!C12*$B213)-'Business Case'!C11*$C213*'Business Case'!C13*$D213-'Business Case'!C14*$E213)-MAX(0,(('Business Case'!C11*$C213*'Business Case'!C12*$B213)-'Business Case'!C11*$C213*'Business Case'!C13*$D213-'Business Case'!C14*$E213))*'Business Case'!$B$7-'Business Case'!$B$8*(('Business Case'!C11*$C213*'Business Case'!C12*$B213)-('Business Case'!B11*$C213*'Business Case'!B12*$B213))-'Business Case'!C15*$F213</f>
        <v>-44807420.977341</v>
      </c>
      <c r="J213" s="39" t="n">
        <f aca="false">(('Business Case'!D11*$C213*'Business Case'!D12*$B213)-'Business Case'!D11*$C213*'Business Case'!D13*$D213-'Business Case'!D14*$E213)-MAX(0,(('Business Case'!D11*$C213*'Business Case'!D12*$B213)-'Business Case'!D11*$C213*'Business Case'!D13*$D213-'Business Case'!D14*$E213))*'Business Case'!$B$7-'Business Case'!$B$8*(('Business Case'!D11*$C213*'Business Case'!D12*$B213)-('Business Case'!C11*$C213*'Business Case'!C12*$B213))-'Business Case'!D15*$F213</f>
        <v>197415529.571411</v>
      </c>
      <c r="K213" s="39" t="n">
        <f aca="false">(('Business Case'!E11*$C213*'Business Case'!E12*$B213)-'Business Case'!E11*$C213*'Business Case'!E13*$D213-'Business Case'!E14*$E213)-MAX(0,(('Business Case'!E11*$C213*'Business Case'!E12*$B213)-'Business Case'!E11*$C213*'Business Case'!E13*$D213-'Business Case'!E14*$E213))*'Business Case'!$B$7-'Business Case'!$B$8*(('Business Case'!E11*$C213*'Business Case'!E12*$B213)-('Business Case'!D11*$C213*'Business Case'!D12*$B213))-'Business Case'!E15*$F213</f>
        <v>492142575.112497</v>
      </c>
      <c r="L213" s="39" t="n">
        <f aca="false">(('Business Case'!F11*$C213*'Business Case'!F12*$B213)-'Business Case'!F11*$C213*'Business Case'!F13*$D213-'Business Case'!F14*$E213)-MAX(0,(('Business Case'!F11*$C213*'Business Case'!F12*$B213)-'Business Case'!F11*$C213*'Business Case'!F13*$D213-'Business Case'!F14*$E213))*'Business Case'!$B$7-'Business Case'!$B$8*(('Business Case'!F11*$C213*'Business Case'!F12*$B213)-('Business Case'!E11*$C213*'Business Case'!E12*$B213))-'Business Case'!F15*$F213</f>
        <v>603352467.524266</v>
      </c>
      <c r="M213" s="39" t="n">
        <f aca="false">(('Business Case'!G11*$C213*'Business Case'!G12*$B213)-'Business Case'!G11*$C213*'Business Case'!G13*$D213-'Business Case'!G14*$E213)-MAX(0,(('Business Case'!G11*$C213*'Business Case'!G12*$B213)-'Business Case'!G11*$C213*'Business Case'!G13*$D213-'Business Case'!G14*$E213))*'Business Case'!$B$7-'Business Case'!$B$8*(('Business Case'!G11*$C213*'Business Case'!G12*$B213)-('Business Case'!F11*$C213*'Business Case'!F12*$B213))-'Business Case'!G15*$F213+'Business Case'!$B$8*('Business Case'!G11*$C213*'Business Case'!G12*$B213)</f>
        <v>770931466.449622</v>
      </c>
      <c r="N213" s="39" t="n">
        <f aca="false">IF(COUNT('Business Case'!B11:G11)=0,"",H213+NPV(G213,I213:M213))</f>
        <v>-711069544.202312</v>
      </c>
      <c r="P213" s="40" t="n">
        <f aca="true">RAND()</f>
        <v>0.411342019397736</v>
      </c>
      <c r="Q213" s="40" t="n">
        <f aca="true">RAND()</f>
        <v>0.299113961207286</v>
      </c>
      <c r="R213" s="40" t="n">
        <f aca="true">RAND()</f>
        <v>0.763938132652261</v>
      </c>
      <c r="S213" s="40" t="n">
        <f aca="true">RAND()</f>
        <v>0.13755291855677</v>
      </c>
      <c r="T213" s="40" t="n">
        <f aca="true">RAND()</f>
        <v>0.467103376414483</v>
      </c>
      <c r="U213" s="40" t="n">
        <f aca="true">RAND()</f>
        <v>0.352021330010485</v>
      </c>
    </row>
    <row r="214" customFormat="false" ht="15" hidden="false" customHeight="false" outlineLevel="0" collapsed="false">
      <c r="A214" s="36" t="n">
        <v>134</v>
      </c>
      <c r="B214" s="37" t="n">
        <f aca="false">1+IF($G$6=$E$6,$F$6,IF(P214&lt;($F$6-$E$6)/($G$6-$E$6),$E$6+SQRT(P214*($G$6-$E$6)*($F$6-$E$6)),$G$6-SQRT((1-P214)*($G$6-$E$6)*($G$6-$F$6))))</f>
        <v>0.949476909224099</v>
      </c>
      <c r="C214" s="37" t="n">
        <f aca="false">1+IF($G$7=$E$7,$F$7,IF(Q214&lt;($F$7-$E$7)/($G$7-$E$7),$E$7+SQRT(Q214*($G$7-$E$7)*($F$7-$E$7)),$G$7-SQRT((1-Q214)*($G$7-$E$7)*($G$7-$F$7))))</f>
        <v>0.963920959643362</v>
      </c>
      <c r="D214" s="37" t="n">
        <f aca="false">1+IF($G$8=$E$8,$F$8,IF(R214&lt;($F$8-$E$8)/($G$8-$E$8),$E$8+SQRT(R214*($G$8-$E$8)*($F$8-$E$8)),$G$8-SQRT((1-R214)*($G$8-$E$8)*($G$8-$F$8))))</f>
        <v>0.98275235497867</v>
      </c>
      <c r="E214" s="37" t="n">
        <f aca="false">1+IF($G$9=$E$9,$F$9,IF(S214&lt;($F$9-$E$9)/($G$9-$E$9),$E$9+SQRT(S214*($G$9-$E$9)*($F$9-$E$9)),$G$9-SQRT((1-S214)*($G$9-$E$9)*($G$9-$F$9))))</f>
        <v>0.920502824597911</v>
      </c>
      <c r="F214" s="37" t="n">
        <f aca="false">1+IF($G$10=$E$10,$F$10,IF(T214&lt;($F$10-$E$10)/($G$10-$E$10),$E$10+SQRT(T214*($G$10-$E$10)*($F$10-$E$10)),$G$10-SQRT((1-T214)*($G$10-$E$10)*($G$10-$F$10))))</f>
        <v>1.12486166002673</v>
      </c>
      <c r="G214" s="38" t="n">
        <f aca="false">IF($G$11=$E$11,$F$11,IF(U214&lt;($F$11-$E$11)/($G$11-$E$11),$E$11+SQRT(U214*($G$11-$E$11)*($F$11-$E$11)),$G$11-SQRT((1-U214)*($G$11-$E$11)*($G$11-$F$11))))</f>
        <v>0.103301590205017</v>
      </c>
      <c r="H214" s="39" t="n">
        <f aca="false">(('Business Case'!B11*$C214*'Business Case'!B12*$B214)-'Business Case'!B11*$C214*'Business Case'!B13*$D214-'Business Case'!B14*$E214)-MAX(0,(('Business Case'!B11*$C214*'Business Case'!B12*$B214)-'Business Case'!B11*$C214*'Business Case'!B13*$D214-'Business Case'!B14*$E214))*'Business Case'!$B$7-'Business Case'!$B$8*('Business Case'!B11*$C214*'Business Case'!B12*$B214)-'Business Case'!B15*$F214</f>
        <v>-2249723320.05347</v>
      </c>
      <c r="I214" s="39" t="n">
        <f aca="false">(('Business Case'!C11*$C214*'Business Case'!C12*$B214)-'Business Case'!C11*$C214*'Business Case'!C13*$D214-'Business Case'!C14*$E214)-MAX(0,(('Business Case'!C11*$C214*'Business Case'!C12*$B214)-'Business Case'!C11*$C214*'Business Case'!C13*$D214-'Business Case'!C14*$E214))*'Business Case'!$B$7-'Business Case'!$B$8*(('Business Case'!C11*$C214*'Business Case'!C12*$B214)-('Business Case'!B11*$C214*'Business Case'!B12*$B214))-'Business Case'!C15*$F214</f>
        <v>-26134624.5674423</v>
      </c>
      <c r="J214" s="39" t="n">
        <f aca="false">(('Business Case'!D11*$C214*'Business Case'!D12*$B214)-'Business Case'!D11*$C214*'Business Case'!D13*$D214-'Business Case'!D14*$E214)-MAX(0,(('Business Case'!D11*$C214*'Business Case'!D12*$B214)-'Business Case'!D11*$C214*'Business Case'!D13*$D214-'Business Case'!D14*$E214))*'Business Case'!$B$7-'Business Case'!$B$8*(('Business Case'!D11*$C214*'Business Case'!D12*$B214)-('Business Case'!C11*$C214*'Business Case'!C12*$B214))-'Business Case'!D15*$F214</f>
        <v>238557459.276574</v>
      </c>
      <c r="K214" s="39" t="n">
        <f aca="false">(('Business Case'!E11*$C214*'Business Case'!E12*$B214)-'Business Case'!E11*$C214*'Business Case'!E13*$D214-'Business Case'!E14*$E214)-MAX(0,(('Business Case'!E11*$C214*'Business Case'!E12*$B214)-'Business Case'!E11*$C214*'Business Case'!E13*$D214-'Business Case'!E14*$E214))*'Business Case'!$B$7-'Business Case'!$B$8*(('Business Case'!E11*$C214*'Business Case'!E12*$B214)-('Business Case'!D11*$C214*'Business Case'!D12*$B214))-'Business Case'!E15*$F214</f>
        <v>559492626.121929</v>
      </c>
      <c r="L214" s="39" t="n">
        <f aca="false">(('Business Case'!F11*$C214*'Business Case'!F12*$B214)-'Business Case'!F11*$C214*'Business Case'!F13*$D214-'Business Case'!F14*$E214)-MAX(0,(('Business Case'!F11*$C214*'Business Case'!F12*$B214)-'Business Case'!F11*$C214*'Business Case'!F13*$D214-'Business Case'!F14*$E214))*'Business Case'!$B$7-'Business Case'!$B$8*(('Business Case'!F11*$C214*'Business Case'!F12*$B214)-('Business Case'!E11*$C214*'Business Case'!E12*$B214))-'Business Case'!F15*$F214</f>
        <v>679353347.903909</v>
      </c>
      <c r="M214" s="39" t="n">
        <f aca="false">(('Business Case'!G11*$C214*'Business Case'!G12*$B214)-'Business Case'!G11*$C214*'Business Case'!G13*$D214-'Business Case'!G14*$E214)-MAX(0,(('Business Case'!G11*$C214*'Business Case'!G12*$B214)-'Business Case'!G11*$C214*'Business Case'!G13*$D214-'Business Case'!G14*$E214))*'Business Case'!$B$7-'Business Case'!$B$8*(('Business Case'!G11*$C214*'Business Case'!G12*$B214)-('Business Case'!F11*$C214*'Business Case'!F12*$B214))-'Business Case'!G15*$F214+'Business Case'!$B$8*('Business Case'!G11*$C214*'Business Case'!G12*$B214)</f>
        <v>853318497.324105</v>
      </c>
      <c r="N214" s="39" t="n">
        <f aca="false">IF(COUNT('Business Case'!B11:G11)=0,"",H214+NPV(G214,I214:M214))</f>
        <v>-680400038.72008</v>
      </c>
      <c r="P214" s="40" t="n">
        <f aca="true">RAND()</f>
        <v>0.163197636424651</v>
      </c>
      <c r="Q214" s="40" t="n">
        <f aca="true">RAND()</f>
        <v>0.515957577326469</v>
      </c>
      <c r="R214" s="40" t="n">
        <f aca="true">RAND()</f>
        <v>0.143028900886511</v>
      </c>
      <c r="S214" s="40" t="n">
        <f aca="true">RAND()</f>
        <v>0.0168146326597088</v>
      </c>
      <c r="T214" s="40" t="n">
        <f aca="true">RAND()</f>
        <v>0.791205278249806</v>
      </c>
      <c r="U214" s="40" t="n">
        <f aca="true">RAND()</f>
        <v>0.524796609612768</v>
      </c>
    </row>
    <row r="215" customFormat="false" ht="15" hidden="false" customHeight="false" outlineLevel="0" collapsed="false">
      <c r="A215" s="36" t="n">
        <v>135</v>
      </c>
      <c r="B215" s="37" t="n">
        <f aca="false">1+IF($G$6=$E$6,$F$6,IF(P215&lt;($F$6-$E$6)/($G$6-$E$6),$E$6+SQRT(P215*($G$6-$E$6)*($F$6-$E$6)),$G$6-SQRT((1-P215)*($G$6-$E$6)*($G$6-$F$6))))</f>
        <v>0.974164790418632</v>
      </c>
      <c r="C215" s="37" t="n">
        <f aca="false">1+IF($G$7=$E$7,$F$7,IF(Q215&lt;($F$7-$E$7)/($G$7-$E$7),$E$7+SQRT(Q215*($G$7-$E$7)*($F$7-$E$7)),$G$7-SQRT((1-Q215)*($G$7-$E$7)*($G$7-$F$7))))</f>
        <v>0.994915174613401</v>
      </c>
      <c r="D215" s="37" t="n">
        <f aca="false">1+IF($G$8=$E$8,$F$8,IF(R215&lt;($F$8-$E$8)/($G$8-$E$8),$E$8+SQRT(R215*($G$8-$E$8)*($F$8-$E$8)),$G$8-SQRT((1-R215)*($G$8-$E$8)*($G$8-$F$8))))</f>
        <v>1.01622976219835</v>
      </c>
      <c r="E215" s="37" t="n">
        <f aca="false">1+IF($G$9=$E$9,$F$9,IF(S215&lt;($F$9-$E$9)/($G$9-$E$9),$E$9+SQRT(S215*($G$9-$E$9)*($F$9-$E$9)),$G$9-SQRT((1-S215)*($G$9-$E$9)*($G$9-$F$9))))</f>
        <v>1.07205401466126</v>
      </c>
      <c r="F215" s="37" t="n">
        <f aca="false">1+IF($G$10=$E$10,$F$10,IF(T215&lt;($F$10-$E$10)/($G$10-$E$10),$E$10+SQRT(T215*($G$10-$E$10)*($F$10-$E$10)),$G$10-SQRT((1-T215)*($G$10-$E$10)*($G$10-$F$10))))</f>
        <v>1.09827321179724</v>
      </c>
      <c r="G215" s="38" t="n">
        <f aca="false">IF($G$11=$E$11,$F$11,IF(U215&lt;($F$11-$E$11)/($G$11-$E$11),$E$11+SQRT(U215*($G$11-$E$11)*($F$11-$E$11)),$G$11-SQRT((1-U215)*($G$11-$E$11)*($G$11-$F$11))))</f>
        <v>0.109641857685013</v>
      </c>
      <c r="H215" s="39" t="n">
        <f aca="false">(('Business Case'!B11*$C215*'Business Case'!B12*$B215)-'Business Case'!B11*$C215*'Business Case'!B13*$D215-'Business Case'!B14*$E215)-MAX(0,(('Business Case'!B11*$C215*'Business Case'!B12*$B215)-'Business Case'!B11*$C215*'Business Case'!B13*$D215-'Business Case'!B14*$E215))*'Business Case'!$B$7-'Business Case'!$B$8*('Business Case'!B11*$C215*'Business Case'!B12*$B215)-'Business Case'!B15*$F215</f>
        <v>-2196546423.59448</v>
      </c>
      <c r="I215" s="39" t="n">
        <f aca="false">(('Business Case'!C11*$C215*'Business Case'!C12*$B215)-'Business Case'!C11*$C215*'Business Case'!C13*$D215-'Business Case'!C14*$E215)-MAX(0,(('Business Case'!C11*$C215*'Business Case'!C12*$B215)-'Business Case'!C11*$C215*'Business Case'!C13*$D215-'Business Case'!C14*$E215))*'Business Case'!$B$7-'Business Case'!$B$8*(('Business Case'!C11*$C215*'Business Case'!C12*$B215)-('Business Case'!B11*$C215*'Business Case'!B12*$B215))-'Business Case'!C15*$F215</f>
        <v>-36246522.5558785</v>
      </c>
      <c r="J215" s="39" t="n">
        <f aca="false">(('Business Case'!D11*$C215*'Business Case'!D12*$B215)-'Business Case'!D11*$C215*'Business Case'!D13*$D215-'Business Case'!D14*$E215)-MAX(0,(('Business Case'!D11*$C215*'Business Case'!D12*$B215)-'Business Case'!D11*$C215*'Business Case'!D13*$D215-'Business Case'!D14*$E215))*'Business Case'!$B$7-'Business Case'!$B$8*(('Business Case'!D11*$C215*'Business Case'!D12*$B215)-('Business Case'!C11*$C215*'Business Case'!C12*$B215))-'Business Case'!D15*$F215</f>
        <v>240024272.432791</v>
      </c>
      <c r="K215" s="39" t="n">
        <f aca="false">(('Business Case'!E11*$C215*'Business Case'!E12*$B215)-'Business Case'!E11*$C215*'Business Case'!E13*$D215-'Business Case'!E14*$E215)-MAX(0,(('Business Case'!E11*$C215*'Business Case'!E12*$B215)-'Business Case'!E11*$C215*'Business Case'!E13*$D215-'Business Case'!E14*$E215))*'Business Case'!$B$7-'Business Case'!$B$8*(('Business Case'!E11*$C215*'Business Case'!E12*$B215)-('Business Case'!D11*$C215*'Business Case'!D12*$B215))-'Business Case'!E15*$F215</f>
        <v>571208728.011321</v>
      </c>
      <c r="L215" s="39" t="n">
        <f aca="false">(('Business Case'!F11*$C215*'Business Case'!F12*$B215)-'Business Case'!F11*$C215*'Business Case'!F13*$D215-'Business Case'!F14*$E215)-MAX(0,(('Business Case'!F11*$C215*'Business Case'!F12*$B215)-'Business Case'!F11*$C215*'Business Case'!F13*$D215-'Business Case'!F14*$E215))*'Business Case'!$B$7-'Business Case'!$B$8*(('Business Case'!F11*$C215*'Business Case'!F12*$B215)-('Business Case'!E11*$C215*'Business Case'!E12*$B215))-'Business Case'!F15*$F215</f>
        <v>696794936.660873</v>
      </c>
      <c r="M215" s="39" t="n">
        <f aca="false">(('Business Case'!G11*$C215*'Business Case'!G12*$B215)-'Business Case'!G11*$C215*'Business Case'!G13*$D215-'Business Case'!G14*$E215)-MAX(0,(('Business Case'!G11*$C215*'Business Case'!G12*$B215)-'Business Case'!G11*$C215*'Business Case'!G13*$D215-'Business Case'!G14*$E215))*'Business Case'!$B$7-'Business Case'!$B$8*(('Business Case'!G11*$C215*'Business Case'!G12*$B215)-('Business Case'!F11*$C215*'Business Case'!F12*$B215))-'Business Case'!G15*$F215+'Business Case'!$B$8*('Business Case'!G11*$C215*'Business Case'!G12*$B215)</f>
        <v>881022626.754178</v>
      </c>
      <c r="N215" s="39" t="n">
        <f aca="false">IF(COUNT('Business Case'!B11:G11)=0,"",H215+NPV(G215,I215:M215))</f>
        <v>-632927576.888085</v>
      </c>
      <c r="P215" s="40" t="n">
        <f aca="true">RAND()</f>
        <v>0.366694409189307</v>
      </c>
      <c r="Q215" s="40" t="n">
        <f aca="true">RAND()</f>
        <v>0.644258964572243</v>
      </c>
      <c r="R215" s="40" t="n">
        <f aca="true">RAND()</f>
        <v>0.532169817243713</v>
      </c>
      <c r="S215" s="40" t="n">
        <f aca="true">RAND()</f>
        <v>0.837984623188612</v>
      </c>
      <c r="T215" s="40" t="n">
        <f aca="true">RAND()</f>
        <v>0.693053089888997</v>
      </c>
      <c r="U215" s="40" t="n">
        <f aca="true">RAND()</f>
        <v>0.723697360988487</v>
      </c>
    </row>
    <row r="216" customFormat="false" ht="15" hidden="false" customHeight="false" outlineLevel="0" collapsed="false">
      <c r="A216" s="36" t="n">
        <v>136</v>
      </c>
      <c r="B216" s="37" t="n">
        <f aca="false">1+IF($G$6=$E$6,$F$6,IF(P216&lt;($F$6-$E$6)/($G$6-$E$6),$E$6+SQRT(P216*($G$6-$E$6)*($F$6-$E$6)),$G$6-SQRT((1-P216)*($G$6-$E$6)*($G$6-$F$6))))</f>
        <v>0.93013380988668</v>
      </c>
      <c r="C216" s="37" t="n">
        <f aca="false">1+IF($G$7=$E$7,$F$7,IF(Q216&lt;($F$7-$E$7)/($G$7-$E$7),$E$7+SQRT(Q216*($G$7-$E$7)*($F$7-$E$7)),$G$7-SQRT((1-Q216)*($G$7-$E$7)*($G$7-$F$7))))</f>
        <v>1.0902866989201</v>
      </c>
      <c r="D216" s="37" t="n">
        <f aca="false">1+IF($G$8=$E$8,$F$8,IF(R216&lt;($F$8-$E$8)/($G$8-$E$8),$E$8+SQRT(R216*($G$8-$E$8)*($F$8-$E$8)),$G$8-SQRT((1-R216)*($G$8-$E$8)*($G$8-$F$8))))</f>
        <v>0.973851542708354</v>
      </c>
      <c r="E216" s="37" t="n">
        <f aca="false">1+IF($G$9=$E$9,$F$9,IF(S216&lt;($F$9-$E$9)/($G$9-$E$9),$E$9+SQRT(S216*($G$9-$E$9)*($F$9-$E$9)),$G$9-SQRT((1-S216)*($G$9-$E$9)*($G$9-$F$9))))</f>
        <v>0.971831518643783</v>
      </c>
      <c r="F216" s="37" t="n">
        <f aca="false">1+IF($G$10=$E$10,$F$10,IF(T216&lt;($F$10-$E$10)/($G$10-$E$10),$E$10+SQRT(T216*($G$10-$E$10)*($F$10-$E$10)),$G$10-SQRT((1-T216)*($G$10-$E$10)*($G$10-$F$10))))</f>
        <v>1.16392199853651</v>
      </c>
      <c r="G216" s="38" t="n">
        <f aca="false">IF($G$11=$E$11,$F$11,IF(U216&lt;($F$11-$E$11)/($G$11-$E$11),$E$11+SQRT(U216*($G$11-$E$11)*($F$11-$E$11)),$G$11-SQRT((1-U216)*($G$11-$E$11)*($G$11-$F$11))))</f>
        <v>0.105434586529123</v>
      </c>
      <c r="H216" s="39" t="n">
        <f aca="false">(('Business Case'!B11*$C216*'Business Case'!B12*$B216)-'Business Case'!B11*$C216*'Business Case'!B13*$D216-'Business Case'!B14*$E216)-MAX(0,(('Business Case'!B11*$C216*'Business Case'!B12*$B216)-'Business Case'!B11*$C216*'Business Case'!B13*$D216-'Business Case'!B14*$E216))*'Business Case'!$B$7-'Business Case'!$B$8*('Business Case'!B11*$C216*'Business Case'!B12*$B216)-'Business Case'!B15*$F216</f>
        <v>-2327843997.07301</v>
      </c>
      <c r="I216" s="39" t="n">
        <f aca="false">(('Business Case'!C11*$C216*'Business Case'!C12*$B216)-'Business Case'!C11*$C216*'Business Case'!C13*$D216-'Business Case'!C14*$E216)-MAX(0,(('Business Case'!C11*$C216*'Business Case'!C12*$B216)-'Business Case'!C11*$C216*'Business Case'!C13*$D216-'Business Case'!C14*$E216))*'Business Case'!$B$7-'Business Case'!$B$8*(('Business Case'!C11*$C216*'Business Case'!C12*$B216)-('Business Case'!B11*$C216*'Business Case'!B12*$B216))-'Business Case'!C15*$F216</f>
        <v>-20072142.2721231</v>
      </c>
      <c r="J216" s="39" t="n">
        <f aca="false">(('Business Case'!D11*$C216*'Business Case'!D12*$B216)-'Business Case'!D11*$C216*'Business Case'!D13*$D216-'Business Case'!D14*$E216)-MAX(0,(('Business Case'!D11*$C216*'Business Case'!D12*$B216)-'Business Case'!D11*$C216*'Business Case'!D13*$D216-'Business Case'!D14*$E216))*'Business Case'!$B$7-'Business Case'!$B$8*(('Business Case'!D11*$C216*'Business Case'!D12*$B216)-('Business Case'!C11*$C216*'Business Case'!C12*$B216))-'Business Case'!D15*$F216</f>
        <v>267013950.356205</v>
      </c>
      <c r="K216" s="39" t="n">
        <f aca="false">(('Business Case'!E11*$C216*'Business Case'!E12*$B216)-'Business Case'!E11*$C216*'Business Case'!E13*$D216-'Business Case'!E14*$E216)-MAX(0,(('Business Case'!E11*$C216*'Business Case'!E12*$B216)-'Business Case'!E11*$C216*'Business Case'!E13*$D216-'Business Case'!E14*$E216))*'Business Case'!$B$7-'Business Case'!$B$8*(('Business Case'!E11*$C216*'Business Case'!E12*$B216)-('Business Case'!D11*$C216*'Business Case'!D12*$B216))-'Business Case'!E15*$F216</f>
        <v>612296142.911359</v>
      </c>
      <c r="L216" s="39" t="n">
        <f aca="false">(('Business Case'!F11*$C216*'Business Case'!F12*$B216)-'Business Case'!F11*$C216*'Business Case'!F13*$D216-'Business Case'!F14*$E216)-MAX(0,(('Business Case'!F11*$C216*'Business Case'!F12*$B216)-'Business Case'!F11*$C216*'Business Case'!F13*$D216-'Business Case'!F14*$E216))*'Business Case'!$B$7-'Business Case'!$B$8*(('Business Case'!F11*$C216*'Business Case'!F12*$B216)-('Business Case'!E11*$C216*'Business Case'!E12*$B216))-'Business Case'!F15*$F216</f>
        <v>743039235.851239</v>
      </c>
      <c r="M216" s="39" t="n">
        <f aca="false">(('Business Case'!G11*$C216*'Business Case'!G12*$B216)-'Business Case'!G11*$C216*'Business Case'!G13*$D216-'Business Case'!G14*$E216)-MAX(0,(('Business Case'!G11*$C216*'Business Case'!G12*$B216)-'Business Case'!G11*$C216*'Business Case'!G13*$D216-'Business Case'!G14*$E216))*'Business Case'!$B$7-'Business Case'!$B$8*(('Business Case'!G11*$C216*'Business Case'!G12*$B216)-('Business Case'!F11*$C216*'Business Case'!F12*$B216))-'Business Case'!G15*$F216+'Business Case'!$B$8*('Business Case'!G11*$C216*'Business Case'!G12*$B216)</f>
        <v>935801743.86864</v>
      </c>
      <c r="N216" s="39" t="n">
        <f aca="false">IF(COUNT('Business Case'!B11:G11)=0,"",H216+NPV(G216,I216:M216))</f>
        <v>-609702871.643239</v>
      </c>
      <c r="P216" s="40" t="n">
        <f aca="true">RAND()</f>
        <v>0.0605364332191046</v>
      </c>
      <c r="Q216" s="40" t="n">
        <f aca="true">RAND()</f>
        <v>0.947175135913197</v>
      </c>
      <c r="R216" s="40" t="n">
        <f aca="true">RAND()</f>
        <v>0.0758528119424586</v>
      </c>
      <c r="S216" s="40" t="n">
        <f aca="true">RAND()</f>
        <v>0.206390682826886</v>
      </c>
      <c r="T216" s="40" t="n">
        <f aca="true">RAND()</f>
        <v>0.901207702187343</v>
      </c>
      <c r="U216" s="40" t="n">
        <f aca="true">RAND()</f>
        <v>0.59769364066989</v>
      </c>
    </row>
    <row r="217" customFormat="false" ht="15" hidden="false" customHeight="false" outlineLevel="0" collapsed="false">
      <c r="A217" s="36" t="n">
        <v>137</v>
      </c>
      <c r="B217" s="37" t="n">
        <f aca="false">1+IF($G$6=$E$6,$F$6,IF(P217&lt;($F$6-$E$6)/($G$6-$E$6),$E$6+SQRT(P217*($G$6-$E$6)*($F$6-$E$6)),$G$6-SQRT((1-P217)*($G$6-$E$6)*($G$6-$F$6))))</f>
        <v>1.02540714827384</v>
      </c>
      <c r="C217" s="37" t="n">
        <f aca="false">1+IF($G$7=$E$7,$F$7,IF(Q217&lt;($F$7-$E$7)/($G$7-$E$7),$E$7+SQRT(Q217*($G$7-$E$7)*($F$7-$E$7)),$G$7-SQRT((1-Q217)*($G$7-$E$7)*($G$7-$F$7))))</f>
        <v>0.904827746831237</v>
      </c>
      <c r="D217" s="37" t="n">
        <f aca="false">1+IF($G$8=$E$8,$F$8,IF(R217&lt;($F$8-$E$8)/($G$8-$E$8),$E$8+SQRT(R217*($G$8-$E$8)*($F$8-$E$8)),$G$8-SQRT((1-R217)*($G$8-$E$8)*($G$8-$F$8))))</f>
        <v>1.01947011303836</v>
      </c>
      <c r="E217" s="37" t="n">
        <f aca="false">1+IF($G$9=$E$9,$F$9,IF(S217&lt;($F$9-$E$9)/($G$9-$E$9),$E$9+SQRT(S217*($G$9-$E$9)*($F$9-$E$9)),$G$9-SQRT((1-S217)*($G$9-$E$9)*($G$9-$F$9))))</f>
        <v>0.946545974371101</v>
      </c>
      <c r="F217" s="37" t="n">
        <f aca="false">1+IF($G$10=$E$10,$F$10,IF(T217&lt;($F$10-$E$10)/($G$10-$E$10),$E$10+SQRT(T217*($G$10-$E$10)*($F$10-$E$10)),$G$10-SQRT((1-T217)*($G$10-$E$10)*($G$10-$F$10))))</f>
        <v>1.09852109550807</v>
      </c>
      <c r="G217" s="38" t="n">
        <f aca="false">IF($G$11=$E$11,$F$11,IF(U217&lt;($F$11-$E$11)/($G$11-$E$11),$E$11+SQRT(U217*($G$11-$E$11)*($F$11-$E$11)),$G$11-SQRT((1-U217)*($G$11-$E$11)*($G$11-$F$11))))</f>
        <v>0.120157741593348</v>
      </c>
      <c r="H217" s="39" t="n">
        <f aca="false">(('Business Case'!B11*$C217*'Business Case'!B12*$B217)-'Business Case'!B11*$C217*'Business Case'!B13*$D217-'Business Case'!B14*$E217)-MAX(0,(('Business Case'!B11*$C217*'Business Case'!B12*$B217)-'Business Case'!B11*$C217*'Business Case'!B13*$D217-'Business Case'!B14*$E217))*'Business Case'!$B$7-'Business Case'!$B$8*('Business Case'!B11*$C217*'Business Case'!B12*$B217)-'Business Case'!B15*$F217</f>
        <v>-2197042191.01614</v>
      </c>
      <c r="I217" s="39" t="n">
        <f aca="false">(('Business Case'!C11*$C217*'Business Case'!C12*$B217)-'Business Case'!C11*$C217*'Business Case'!C13*$D217-'Business Case'!C14*$E217)-MAX(0,(('Business Case'!C11*$C217*'Business Case'!C12*$B217)-'Business Case'!C11*$C217*'Business Case'!C13*$D217-'Business Case'!C14*$E217))*'Business Case'!$B$7-'Business Case'!$B$8*(('Business Case'!C11*$C217*'Business Case'!C12*$B217)-('Business Case'!B11*$C217*'Business Case'!B12*$B217))-'Business Case'!C15*$F217</f>
        <v>-4818142.88679987</v>
      </c>
      <c r="J217" s="39" t="n">
        <f aca="false">(('Business Case'!D11*$C217*'Business Case'!D12*$B217)-'Business Case'!D11*$C217*'Business Case'!D13*$D217-'Business Case'!D14*$E217)-MAX(0,(('Business Case'!D11*$C217*'Business Case'!D12*$B217)-'Business Case'!D11*$C217*'Business Case'!D13*$D217-'Business Case'!D14*$E217))*'Business Case'!$B$7-'Business Case'!$B$8*(('Business Case'!D11*$C217*'Business Case'!D12*$B217)-('Business Case'!C11*$C217*'Business Case'!C12*$B217))-'Business Case'!D15*$F217</f>
        <v>282912686.295427</v>
      </c>
      <c r="K217" s="39" t="n">
        <f aca="false">(('Business Case'!E11*$C217*'Business Case'!E12*$B217)-'Business Case'!E11*$C217*'Business Case'!E13*$D217-'Business Case'!E14*$E217)-MAX(0,(('Business Case'!E11*$C217*'Business Case'!E12*$B217)-'Business Case'!E11*$C217*'Business Case'!E13*$D217-'Business Case'!E14*$E217))*'Business Case'!$B$7-'Business Case'!$B$8*(('Business Case'!E11*$C217*'Business Case'!E12*$B217)-('Business Case'!D11*$C217*'Business Case'!D12*$B217))-'Business Case'!E15*$F217</f>
        <v>625569570.253057</v>
      </c>
      <c r="L217" s="39" t="n">
        <f aca="false">(('Business Case'!F11*$C217*'Business Case'!F12*$B217)-'Business Case'!F11*$C217*'Business Case'!F13*$D217-'Business Case'!F14*$E217)-MAX(0,(('Business Case'!F11*$C217*'Business Case'!F12*$B217)-'Business Case'!F11*$C217*'Business Case'!F13*$D217-'Business Case'!F14*$E217))*'Business Case'!$B$7-'Business Case'!$B$8*(('Business Case'!F11*$C217*'Business Case'!F12*$B217)-('Business Case'!E11*$C217*'Business Case'!E12*$B217))-'Business Case'!F15*$F217</f>
        <v>753545196.622231</v>
      </c>
      <c r="M217" s="39" t="n">
        <f aca="false">(('Business Case'!G11*$C217*'Business Case'!G12*$B217)-'Business Case'!G11*$C217*'Business Case'!G13*$D217-'Business Case'!G14*$E217)-MAX(0,(('Business Case'!G11*$C217*'Business Case'!G12*$B217)-'Business Case'!G11*$C217*'Business Case'!G13*$D217-'Business Case'!G14*$E217))*'Business Case'!$B$7-'Business Case'!$B$8*(('Business Case'!G11*$C217*'Business Case'!G12*$B217)-('Business Case'!F11*$C217*'Business Case'!F12*$B217))-'Business Case'!G15*$F217+'Business Case'!$B$8*('Business Case'!G11*$C217*'Business Case'!G12*$B217)</f>
        <v>929904621.485276</v>
      </c>
      <c r="N217" s="39" t="n">
        <f aca="false">IF(COUNT('Business Case'!B11:G11)=0,"",H217+NPV(G217,I217:M217))</f>
        <v>-524887433.940526</v>
      </c>
      <c r="P217" s="40" t="n">
        <f aca="true">RAND()</f>
        <v>0.919358885863367</v>
      </c>
      <c r="Q217" s="40" t="n">
        <f aca="true">RAND()</f>
        <v>0.310773376829343</v>
      </c>
      <c r="R217" s="40" t="n">
        <f aca="true">RAND()</f>
        <v>0.567662487063013</v>
      </c>
      <c r="S217" s="40" t="n">
        <f aca="true">RAND()</f>
        <v>0.0866611092062079</v>
      </c>
      <c r="T217" s="40" t="n">
        <f aca="true">RAND()</f>
        <v>0.694055219918997</v>
      </c>
      <c r="U217" s="40" t="n">
        <f aca="true">RAND()</f>
        <v>0.935419966304461</v>
      </c>
    </row>
    <row r="218" customFormat="false" ht="15" hidden="false" customHeight="false" outlineLevel="0" collapsed="false">
      <c r="A218" s="36" t="n">
        <v>138</v>
      </c>
      <c r="B218" s="37" t="n">
        <f aca="false">1+IF($G$6=$E$6,$F$6,IF(P218&lt;($F$6-$E$6)/($G$6-$E$6),$E$6+SQRT(P218*($G$6-$E$6)*($F$6-$E$6)),$G$6-SQRT((1-P218)*($G$6-$E$6)*($G$6-$F$6))))</f>
        <v>1.03531207030157</v>
      </c>
      <c r="C218" s="37" t="n">
        <f aca="false">1+IF($G$7=$E$7,$F$7,IF(Q218&lt;($F$7-$E$7)/($G$7-$E$7),$E$7+SQRT(Q218*($G$7-$E$7)*($F$7-$E$7)),$G$7-SQRT((1-Q218)*($G$7-$E$7)*($G$7-$F$7))))</f>
        <v>1.01599169454372</v>
      </c>
      <c r="D218" s="37" t="n">
        <f aca="false">1+IF($G$8=$E$8,$F$8,IF(R218&lt;($F$8-$E$8)/($G$8-$E$8),$E$8+SQRT(R218*($G$8-$E$8)*($F$8-$E$8)),$G$8-SQRT((1-R218)*($G$8-$E$8)*($G$8-$F$8))))</f>
        <v>0.99591410192446</v>
      </c>
      <c r="E218" s="37" t="n">
        <f aca="false">1+IF($G$9=$E$9,$F$9,IF(S218&lt;($F$9-$E$9)/($G$9-$E$9),$E$9+SQRT(S218*($G$9-$E$9)*($F$9-$E$9)),$G$9-SQRT((1-S218)*($G$9-$E$9)*($G$9-$F$9))))</f>
        <v>1.07506312810573</v>
      </c>
      <c r="F218" s="37" t="n">
        <f aca="false">1+IF($G$10=$E$10,$F$10,IF(T218&lt;($F$10-$E$10)/($G$10-$E$10),$E$10+SQRT(T218*($G$10-$E$10)*($F$10-$E$10)),$G$10-SQRT((1-T218)*($G$10-$E$10)*($G$10-$F$10))))</f>
        <v>1.00065314784902</v>
      </c>
      <c r="G218" s="38" t="n">
        <f aca="false">IF($G$11=$E$11,$F$11,IF(U218&lt;($F$11-$E$11)/($G$11-$E$11),$E$11+SQRT(U218*($G$11-$E$11)*($F$11-$E$11)),$G$11-SQRT((1-U218)*($G$11-$E$11)*($G$11-$F$11))))</f>
        <v>0.0947316262385017</v>
      </c>
      <c r="H218" s="39" t="n">
        <f aca="false">(('Business Case'!B11*$C218*'Business Case'!B12*$B218)-'Business Case'!B11*$C218*'Business Case'!B13*$D218-'Business Case'!B14*$E218)-MAX(0,(('Business Case'!B11*$C218*'Business Case'!B12*$B218)-'Business Case'!B11*$C218*'Business Case'!B13*$D218-'Business Case'!B14*$E218))*'Business Case'!$B$7-'Business Case'!$B$8*('Business Case'!B11*$C218*'Business Case'!B12*$B218)-'Business Case'!B15*$F218</f>
        <v>-2001306295.69804</v>
      </c>
      <c r="I218" s="39" t="n">
        <f aca="false">(('Business Case'!C11*$C218*'Business Case'!C12*$B218)-'Business Case'!C11*$C218*'Business Case'!C13*$D218-'Business Case'!C14*$E218)-MAX(0,(('Business Case'!C11*$C218*'Business Case'!C12*$B218)-'Business Case'!C11*$C218*'Business Case'!C13*$D218-'Business Case'!C14*$E218))*'Business Case'!$B$7-'Business Case'!$B$8*(('Business Case'!C11*$C218*'Business Case'!C12*$B218)-('Business Case'!B11*$C218*'Business Case'!B12*$B218))-'Business Case'!C15*$F218</f>
        <v>36106488.0443591</v>
      </c>
      <c r="J218" s="39" t="n">
        <f aca="false">(('Business Case'!D11*$C218*'Business Case'!D12*$B218)-'Business Case'!D11*$C218*'Business Case'!D13*$D218-'Business Case'!D14*$E218)-MAX(0,(('Business Case'!D11*$C218*'Business Case'!D12*$B218)-'Business Case'!D11*$C218*'Business Case'!D13*$D218-'Business Case'!D14*$E218))*'Business Case'!$B$7-'Business Case'!$B$8*(('Business Case'!D11*$C218*'Business Case'!D12*$B218)-('Business Case'!C11*$C218*'Business Case'!C12*$B218))-'Business Case'!D15*$F218</f>
        <v>379681128.899642</v>
      </c>
      <c r="K218" s="39" t="n">
        <f aca="false">(('Business Case'!E11*$C218*'Business Case'!E12*$B218)-'Business Case'!E11*$C218*'Business Case'!E13*$D218-'Business Case'!E14*$E218)-MAX(0,(('Business Case'!E11*$C218*'Business Case'!E12*$B218)-'Business Case'!E11*$C218*'Business Case'!E13*$D218-'Business Case'!E14*$E218))*'Business Case'!$B$7-'Business Case'!$B$8*(('Business Case'!E11*$C218*'Business Case'!E12*$B218)-('Business Case'!D11*$C218*'Business Case'!D12*$B218))-'Business Case'!E15*$F218</f>
        <v>773288427.147376</v>
      </c>
      <c r="L218" s="39" t="n">
        <f aca="false">(('Business Case'!F11*$C218*'Business Case'!F12*$B218)-'Business Case'!F11*$C218*'Business Case'!F13*$D218-'Business Case'!F14*$E218)-MAX(0,(('Business Case'!F11*$C218*'Business Case'!F12*$B218)-'Business Case'!F11*$C218*'Business Case'!F13*$D218-'Business Case'!F14*$E218))*'Business Case'!$B$7-'Business Case'!$B$8*(('Business Case'!F11*$C218*'Business Case'!F12*$B218)-('Business Case'!E11*$C218*'Business Case'!E12*$B218))-'Business Case'!F15*$F218</f>
        <v>924165881.572062</v>
      </c>
      <c r="M218" s="39" t="n">
        <f aca="false">(('Business Case'!G11*$C218*'Business Case'!G12*$B218)-'Business Case'!G11*$C218*'Business Case'!G13*$D218-'Business Case'!G14*$E218)-MAX(0,(('Business Case'!G11*$C218*'Business Case'!G12*$B218)-'Business Case'!G11*$C218*'Business Case'!G13*$D218-'Business Case'!G14*$E218))*'Business Case'!$B$7-'Business Case'!$B$8*(('Business Case'!G11*$C218*'Business Case'!G12*$B218)-('Business Case'!F11*$C218*'Business Case'!F12*$B218))-'Business Case'!G15*$F218+'Business Case'!$B$8*('Business Case'!G11*$C218*'Business Case'!G12*$B218)</f>
        <v>1124105039.33981</v>
      </c>
      <c r="N218" s="39" t="n">
        <f aca="false">IF(COUNT('Business Case'!B11:G11)=0,"",H218+NPV(G218,I218:M218))</f>
        <v>296295561.299047</v>
      </c>
      <c r="P218" s="40" t="n">
        <f aca="true">RAND()</f>
        <v>0.971235296156527</v>
      </c>
      <c r="Q218" s="40" t="n">
        <f aca="true">RAND()</f>
        <v>0.733952208425705</v>
      </c>
      <c r="R218" s="40" t="n">
        <f aca="true">RAND()</f>
        <v>0.281080634070626</v>
      </c>
      <c r="S218" s="40" t="n">
        <f aca="true">RAND()</f>
        <v>0.850252406152039</v>
      </c>
      <c r="T218" s="40" t="n">
        <f aca="true">RAND()</f>
        <v>0.171015297631962</v>
      </c>
      <c r="U218" s="40" t="n">
        <f aca="true">RAND()</f>
        <v>0.217020811630911</v>
      </c>
    </row>
    <row r="219" customFormat="false" ht="15" hidden="false" customHeight="false" outlineLevel="0" collapsed="false">
      <c r="A219" s="36" t="n">
        <v>139</v>
      </c>
      <c r="B219" s="37" t="n">
        <f aca="false">1+IF($G$6=$E$6,$F$6,IF(P219&lt;($F$6-$E$6)/($G$6-$E$6),$E$6+SQRT(P219*($G$6-$E$6)*($F$6-$E$6)),$G$6-SQRT((1-P219)*($G$6-$E$6)*($G$6-$F$6))))</f>
        <v>0.979603371631494</v>
      </c>
      <c r="C219" s="37" t="n">
        <f aca="false">1+IF($G$7=$E$7,$F$7,IF(Q219&lt;($F$7-$E$7)/($G$7-$E$7),$E$7+SQRT(Q219*($G$7-$E$7)*($F$7-$E$7)),$G$7-SQRT((1-Q219)*($G$7-$E$7)*($G$7-$F$7))))</f>
        <v>0.926293251715342</v>
      </c>
      <c r="D219" s="37" t="n">
        <f aca="false">1+IF($G$8=$E$8,$F$8,IF(R219&lt;($F$8-$E$8)/($G$8-$E$8),$E$8+SQRT(R219*($G$8-$E$8)*($F$8-$E$8)),$G$8-SQRT((1-R219)*($G$8-$E$8)*($G$8-$F$8))))</f>
        <v>1.05937330189078</v>
      </c>
      <c r="E219" s="37" t="n">
        <f aca="false">1+IF($G$9=$E$9,$F$9,IF(S219&lt;($F$9-$E$9)/($G$9-$E$9),$E$9+SQRT(S219*($G$9-$E$9)*($F$9-$E$9)),$G$9-SQRT((1-S219)*($G$9-$E$9)*($G$9-$F$9))))</f>
        <v>0.975552902263781</v>
      </c>
      <c r="F219" s="37" t="n">
        <f aca="false">1+IF($G$10=$E$10,$F$10,IF(T219&lt;($F$10-$E$10)/($G$10-$E$10),$E$10+SQRT(T219*($G$10-$E$10)*($F$10-$E$10)),$G$10-SQRT((1-T219)*($G$10-$E$10)*($G$10-$F$10))))</f>
        <v>1.06392755374806</v>
      </c>
      <c r="G219" s="38" t="n">
        <f aca="false">IF($G$11=$E$11,$F$11,IF(U219&lt;($F$11-$E$11)/($G$11-$E$11),$E$11+SQRT(U219*($G$11-$E$11)*($F$11-$E$11)),$G$11-SQRT((1-U219)*($G$11-$E$11)*($G$11-$F$11))))</f>
        <v>0.091257873575303</v>
      </c>
      <c r="H219" s="39" t="n">
        <f aca="false">(('Business Case'!B11*$C219*'Business Case'!B12*$B219)-'Business Case'!B11*$C219*'Business Case'!B13*$D219-'Business Case'!B14*$E219)-MAX(0,(('Business Case'!B11*$C219*'Business Case'!B12*$B219)-'Business Case'!B11*$C219*'Business Case'!B13*$D219-'Business Case'!B14*$E219))*'Business Case'!$B$7-'Business Case'!$B$8*('Business Case'!B11*$C219*'Business Case'!B12*$B219)-'Business Case'!B15*$F219</f>
        <v>-2127855107.49612</v>
      </c>
      <c r="I219" s="39" t="n">
        <f aca="false">(('Business Case'!C11*$C219*'Business Case'!C12*$B219)-'Business Case'!C11*$C219*'Business Case'!C13*$D219-'Business Case'!C14*$E219)-MAX(0,(('Business Case'!C11*$C219*'Business Case'!C12*$B219)-'Business Case'!C11*$C219*'Business Case'!C13*$D219-'Business Case'!C14*$E219))*'Business Case'!$B$7-'Business Case'!$B$8*(('Business Case'!C11*$C219*'Business Case'!C12*$B219)-('Business Case'!B11*$C219*'Business Case'!B12*$B219))-'Business Case'!C15*$F219</f>
        <v>-51272218.1853054</v>
      </c>
      <c r="J219" s="39" t="n">
        <f aca="false">(('Business Case'!D11*$C219*'Business Case'!D12*$B219)-'Business Case'!D11*$C219*'Business Case'!D13*$D219-'Business Case'!D14*$E219)-MAX(0,(('Business Case'!D11*$C219*'Business Case'!D12*$B219)-'Business Case'!D11*$C219*'Business Case'!D13*$D219-'Business Case'!D14*$E219))*'Business Case'!$B$7-'Business Case'!$B$8*(('Business Case'!D11*$C219*'Business Case'!D12*$B219)-('Business Case'!C11*$C219*'Business Case'!C12*$B219))-'Business Case'!D15*$F219</f>
        <v>189611557.317297</v>
      </c>
      <c r="K219" s="39" t="n">
        <f aca="false">(('Business Case'!E11*$C219*'Business Case'!E12*$B219)-'Business Case'!E11*$C219*'Business Case'!E13*$D219-'Business Case'!E14*$E219)-MAX(0,(('Business Case'!E11*$C219*'Business Case'!E12*$B219)-'Business Case'!E11*$C219*'Business Case'!E13*$D219-'Business Case'!E14*$E219))*'Business Case'!$B$7-'Business Case'!$B$8*(('Business Case'!E11*$C219*'Business Case'!E12*$B219)-('Business Case'!D11*$C219*'Business Case'!D12*$B219))-'Business Case'!E15*$F219</f>
        <v>483691710.507303</v>
      </c>
      <c r="L219" s="39" t="n">
        <f aca="false">(('Business Case'!F11*$C219*'Business Case'!F12*$B219)-'Business Case'!F11*$C219*'Business Case'!F13*$D219-'Business Case'!F14*$E219)-MAX(0,(('Business Case'!F11*$C219*'Business Case'!F12*$B219)-'Business Case'!F11*$C219*'Business Case'!F13*$D219-'Business Case'!F14*$E219))*'Business Case'!$B$7-'Business Case'!$B$8*(('Business Case'!F11*$C219*'Business Case'!F12*$B219)-('Business Case'!E11*$C219*'Business Case'!E12*$B219))-'Business Case'!F15*$F219</f>
        <v>595346046.082299</v>
      </c>
      <c r="M219" s="39" t="n">
        <f aca="false">(('Business Case'!G11*$C219*'Business Case'!G12*$B219)-'Business Case'!G11*$C219*'Business Case'!G13*$D219-'Business Case'!G14*$E219)-MAX(0,(('Business Case'!G11*$C219*'Business Case'!G12*$B219)-'Business Case'!G11*$C219*'Business Case'!G13*$D219-'Business Case'!G14*$E219))*'Business Case'!$B$7-'Business Case'!$B$8*(('Business Case'!G11*$C219*'Business Case'!G12*$B219)-('Business Case'!F11*$C219*'Business Case'!F12*$B219))-'Business Case'!G15*$F219+'Business Case'!$B$8*('Business Case'!G11*$C219*'Business Case'!G12*$B219)</f>
        <v>767824636.65667</v>
      </c>
      <c r="N219" s="39" t="n">
        <f aca="false">IF(COUNT('Business Case'!B11:G11)=0,"",H219+NPV(G219,I219:M219))</f>
        <v>-727425696.002832</v>
      </c>
      <c r="P219" s="40" t="n">
        <f aca="true">RAND()</f>
        <v>0.422446451673447</v>
      </c>
      <c r="Q219" s="40" t="n">
        <f aca="true">RAND()</f>
        <v>0.379323227940022</v>
      </c>
      <c r="R219" s="40" t="n">
        <f aca="true">RAND()</f>
        <v>0.889964760049487</v>
      </c>
      <c r="S219" s="40" t="n">
        <f aca="true">RAND()</f>
        <v>0.228329641619217</v>
      </c>
      <c r="T219" s="40" t="n">
        <f aca="true">RAND()</f>
        <v>0.538360596610929</v>
      </c>
      <c r="U219" s="40" t="n">
        <f aca="true">RAND()</f>
        <v>0.126739717437506</v>
      </c>
    </row>
    <row r="220" customFormat="false" ht="15" hidden="false" customHeight="false" outlineLevel="0" collapsed="false">
      <c r="A220" s="36" t="n">
        <v>140</v>
      </c>
      <c r="B220" s="37" t="n">
        <f aca="false">1+IF($G$6=$E$6,$F$6,IF(P220&lt;($F$6-$E$6)/($G$6-$E$6),$E$6+SQRT(P220*($G$6-$E$6)*($F$6-$E$6)),$G$6-SQRT((1-P220)*($G$6-$E$6)*($G$6-$F$6))))</f>
        <v>0.934756155284554</v>
      </c>
      <c r="C220" s="37" t="n">
        <f aca="false">1+IF($G$7=$E$7,$F$7,IF(Q220&lt;($F$7-$E$7)/($G$7-$E$7),$E$7+SQRT(Q220*($G$7-$E$7)*($F$7-$E$7)),$G$7-SQRT((1-Q220)*($G$7-$E$7)*($G$7-$F$7))))</f>
        <v>1.11173147566978</v>
      </c>
      <c r="D220" s="37" t="n">
        <f aca="false">1+IF($G$8=$E$8,$F$8,IF(R220&lt;($F$8-$E$8)/($G$8-$E$8),$E$8+SQRT(R220*($G$8-$E$8)*($F$8-$E$8)),$G$8-SQRT((1-R220)*($G$8-$E$8)*($G$8-$F$8))))</f>
        <v>1.0199886266335</v>
      </c>
      <c r="E220" s="37" t="n">
        <f aca="false">1+IF($G$9=$E$9,$F$9,IF(S220&lt;($F$9-$E$9)/($G$9-$E$9),$E$9+SQRT(S220*($G$9-$E$9)*($F$9-$E$9)),$G$9-SQRT((1-S220)*($G$9-$E$9)*($G$9-$F$9))))</f>
        <v>1.00444193353996</v>
      </c>
      <c r="F220" s="37" t="n">
        <f aca="false">1+IF($G$10=$E$10,$F$10,IF(T220&lt;($F$10-$E$10)/($G$10-$E$10),$E$10+SQRT(T220*($G$10-$E$10)*($F$10-$E$10)),$G$10-SQRT((1-T220)*($G$10-$E$10)*($G$10-$F$10))))</f>
        <v>0.981977350796251</v>
      </c>
      <c r="G220" s="38" t="n">
        <f aca="false">IF($G$11=$E$11,$F$11,IF(U220&lt;($F$11-$E$11)/($G$11-$E$11),$E$11+SQRT(U220*($G$11-$E$11)*($F$11-$E$11)),$G$11-SQRT((1-U220)*($G$11-$E$11)*($G$11-$F$11))))</f>
        <v>0.109472101068031</v>
      </c>
      <c r="H220" s="39" t="n">
        <f aca="false">(('Business Case'!B11*$C220*'Business Case'!B12*$B220)-'Business Case'!B11*$C220*'Business Case'!B13*$D220-'Business Case'!B14*$E220)-MAX(0,(('Business Case'!B11*$C220*'Business Case'!B12*$B220)-'Business Case'!B11*$C220*'Business Case'!B13*$D220-'Business Case'!B14*$E220))*'Business Case'!$B$7-'Business Case'!$B$8*('Business Case'!B11*$C220*'Business Case'!B12*$B220)-'Business Case'!B15*$F220</f>
        <v>-1963954701.5925</v>
      </c>
      <c r="I220" s="39" t="n">
        <f aca="false">(('Business Case'!C11*$C220*'Business Case'!C12*$B220)-'Business Case'!C11*$C220*'Business Case'!C13*$D220-'Business Case'!C14*$E220)-MAX(0,(('Business Case'!C11*$C220*'Business Case'!C12*$B220)-'Business Case'!C11*$C220*'Business Case'!C13*$D220-'Business Case'!C14*$E220))*'Business Case'!$B$7-'Business Case'!$B$8*(('Business Case'!C11*$C220*'Business Case'!C12*$B220)-('Business Case'!B11*$C220*'Business Case'!B12*$B220))-'Business Case'!C15*$F220</f>
        <v>-24216996.7049069</v>
      </c>
      <c r="J220" s="39" t="n">
        <f aca="false">(('Business Case'!D11*$C220*'Business Case'!D12*$B220)-'Business Case'!D11*$C220*'Business Case'!D13*$D220-'Business Case'!D14*$E220)-MAX(0,(('Business Case'!D11*$C220*'Business Case'!D12*$B220)-'Business Case'!D11*$C220*'Business Case'!D13*$D220-'Business Case'!D14*$E220))*'Business Case'!$B$7-'Business Case'!$B$8*(('Business Case'!D11*$C220*'Business Case'!D12*$B220)-('Business Case'!C11*$C220*'Business Case'!C12*$B220))-'Business Case'!D15*$F220</f>
        <v>246467400.639916</v>
      </c>
      <c r="K220" s="39" t="n">
        <f aca="false">(('Business Case'!E11*$C220*'Business Case'!E12*$B220)-'Business Case'!E11*$C220*'Business Case'!E13*$D220-'Business Case'!E14*$E220)-MAX(0,(('Business Case'!E11*$C220*'Business Case'!E12*$B220)-'Business Case'!E11*$C220*'Business Case'!E13*$D220-'Business Case'!E14*$E220))*'Business Case'!$B$7-'Business Case'!$B$8*(('Business Case'!E11*$C220*'Business Case'!E12*$B220)-('Business Case'!D11*$C220*'Business Case'!D12*$B220))-'Business Case'!E15*$F220</f>
        <v>566250665.524551</v>
      </c>
      <c r="L220" s="39" t="n">
        <f aca="false">(('Business Case'!F11*$C220*'Business Case'!F12*$B220)-'Business Case'!F11*$C220*'Business Case'!F13*$D220-'Business Case'!F14*$E220)-MAX(0,(('Business Case'!F11*$C220*'Business Case'!F12*$B220)-'Business Case'!F11*$C220*'Business Case'!F13*$D220-'Business Case'!F14*$E220))*'Business Case'!$B$7-'Business Case'!$B$8*(('Business Case'!F11*$C220*'Business Case'!F12*$B220)-('Business Case'!E11*$C220*'Business Case'!E12*$B220))-'Business Case'!F15*$F220</f>
        <v>692393475.319974</v>
      </c>
      <c r="M220" s="39" t="n">
        <f aca="false">(('Business Case'!G11*$C220*'Business Case'!G12*$B220)-'Business Case'!G11*$C220*'Business Case'!G13*$D220-'Business Case'!G14*$E220)-MAX(0,(('Business Case'!G11*$C220*'Business Case'!G12*$B220)-'Business Case'!G11*$C220*'Business Case'!G13*$D220-'Business Case'!G14*$E220))*'Business Case'!$B$7-'Business Case'!$B$8*(('Business Case'!G11*$C220*'Business Case'!G12*$B220)-('Business Case'!F11*$C220*'Business Case'!F12*$B220))-'Business Case'!G15*$F220+'Business Case'!$B$8*('Business Case'!G11*$C220*'Business Case'!G12*$B220)</f>
        <v>889924200.729289</v>
      </c>
      <c r="N220" s="39" t="n">
        <f aca="false">IF(COUNT('Business Case'!B11:G11)=0,"",H220+NPV(G220,I220:M220))</f>
        <v>-384570363.623322</v>
      </c>
      <c r="P220" s="40" t="n">
        <f aca="true">RAND()</f>
        <v>0.0805326886776035</v>
      </c>
      <c r="Q220" s="40" t="n">
        <f aca="true">RAND()</f>
        <v>0.978304000675369</v>
      </c>
      <c r="R220" s="40" t="n">
        <f aca="true">RAND()</f>
        <v>0.573212008800484</v>
      </c>
      <c r="S220" s="40" t="n">
        <f aca="true">RAND()</f>
        <v>0.43500931435772</v>
      </c>
      <c r="T220" s="40" t="n">
        <f aca="true">RAND()</f>
        <v>0.0681700642631004</v>
      </c>
      <c r="U220" s="40" t="n">
        <f aca="true">RAND()</f>
        <v>0.719070243625904</v>
      </c>
    </row>
    <row r="221" customFormat="false" ht="15" hidden="false" customHeight="false" outlineLevel="0" collapsed="false">
      <c r="A221" s="36" t="n">
        <v>141</v>
      </c>
      <c r="B221" s="37" t="n">
        <f aca="false">1+IF($G$6=$E$6,$F$6,IF(P221&lt;($F$6-$E$6)/($G$6-$E$6),$E$6+SQRT(P221*($G$6-$E$6)*($F$6-$E$6)),$G$6-SQRT((1-P221)*($G$6-$E$6)*($G$6-$F$6))))</f>
        <v>0.98173203901925</v>
      </c>
      <c r="C221" s="37" t="n">
        <f aca="false">1+IF($G$7=$E$7,$F$7,IF(Q221&lt;($F$7-$E$7)/($G$7-$E$7),$E$7+SQRT(Q221*($G$7-$E$7)*($F$7-$E$7)),$G$7-SQRT((1-Q221)*($G$7-$E$7)*($G$7-$F$7))))</f>
        <v>0.878622685667658</v>
      </c>
      <c r="D221" s="37" t="n">
        <f aca="false">1+IF($G$8=$E$8,$F$8,IF(R221&lt;($F$8-$E$8)/($G$8-$E$8),$E$8+SQRT(R221*($G$8-$E$8)*($F$8-$E$8)),$G$8-SQRT((1-R221)*($G$8-$E$8)*($G$8-$F$8))))</f>
        <v>0.982768934268934</v>
      </c>
      <c r="E221" s="37" t="n">
        <f aca="false">1+IF($G$9=$E$9,$F$9,IF(S221&lt;($F$9-$E$9)/($G$9-$E$9),$E$9+SQRT(S221*($G$9-$E$9)*($F$9-$E$9)),$G$9-SQRT((1-S221)*($G$9-$E$9)*($G$9-$F$9))))</f>
        <v>1.06370157834141</v>
      </c>
      <c r="F221" s="37" t="n">
        <f aca="false">1+IF($G$10=$E$10,$F$10,IF(T221&lt;($F$10-$E$10)/($G$10-$E$10),$E$10+SQRT(T221*($G$10-$E$10)*($F$10-$E$10)),$G$10-SQRT((1-T221)*($G$10-$E$10)*($G$10-$F$10))))</f>
        <v>1.0291148876097</v>
      </c>
      <c r="G221" s="38" t="n">
        <f aca="false">IF($G$11=$E$11,$F$11,IF(U221&lt;($F$11-$E$11)/($G$11-$E$11),$E$11+SQRT(U221*($G$11-$E$11)*($F$11-$E$11)),$G$11-SQRT((1-U221)*($G$11-$E$11)*($G$11-$F$11))))</f>
        <v>0.114586704308853</v>
      </c>
      <c r="H221" s="39" t="n">
        <f aca="false">(('Business Case'!B11*$C221*'Business Case'!B12*$B221)-'Business Case'!B11*$C221*'Business Case'!B13*$D221-'Business Case'!B14*$E221)-MAX(0,(('Business Case'!B11*$C221*'Business Case'!B12*$B221)-'Business Case'!B11*$C221*'Business Case'!B13*$D221-'Business Case'!B14*$E221))*'Business Case'!$B$7-'Business Case'!$B$8*('Business Case'!B11*$C221*'Business Case'!B12*$B221)-'Business Case'!B15*$F221</f>
        <v>-2058229775.21939</v>
      </c>
      <c r="I221" s="39" t="n">
        <f aca="false">(('Business Case'!C11*$C221*'Business Case'!C12*$B221)-'Business Case'!C11*$C221*'Business Case'!C13*$D221-'Business Case'!C14*$E221)-MAX(0,(('Business Case'!C11*$C221*'Business Case'!C12*$B221)-'Business Case'!C11*$C221*'Business Case'!C13*$D221-'Business Case'!C14*$E221))*'Business Case'!$B$7-'Business Case'!$B$8*(('Business Case'!C11*$C221*'Business Case'!C12*$B221)-('Business Case'!B11*$C221*'Business Case'!B12*$B221))-'Business Case'!C15*$F221</f>
        <v>-34411239.7761054</v>
      </c>
      <c r="J221" s="39" t="n">
        <f aca="false">(('Business Case'!D11*$C221*'Business Case'!D12*$B221)-'Business Case'!D11*$C221*'Business Case'!D13*$D221-'Business Case'!D14*$E221)-MAX(0,(('Business Case'!D11*$C221*'Business Case'!D12*$B221)-'Business Case'!D11*$C221*'Business Case'!D13*$D221-'Business Case'!D14*$E221))*'Business Case'!$B$7-'Business Case'!$B$8*(('Business Case'!D11*$C221*'Business Case'!D12*$B221)-('Business Case'!C11*$C221*'Business Case'!C12*$B221))-'Business Case'!D15*$F221</f>
        <v>230063108.240303</v>
      </c>
      <c r="K221" s="39" t="n">
        <f aca="false">(('Business Case'!E11*$C221*'Business Case'!E12*$B221)-'Business Case'!E11*$C221*'Business Case'!E13*$D221-'Business Case'!E14*$E221)-MAX(0,(('Business Case'!E11*$C221*'Business Case'!E12*$B221)-'Business Case'!E11*$C221*'Business Case'!E13*$D221-'Business Case'!E14*$E221))*'Business Case'!$B$7-'Business Case'!$B$8*(('Business Case'!E11*$C221*'Business Case'!E12*$B221)-('Business Case'!D11*$C221*'Business Case'!D12*$B221))-'Business Case'!E15*$F221</f>
        <v>545993200.637196</v>
      </c>
      <c r="L221" s="39" t="n">
        <f aca="false">(('Business Case'!F11*$C221*'Business Case'!F12*$B221)-'Business Case'!F11*$C221*'Business Case'!F13*$D221-'Business Case'!F14*$E221)-MAX(0,(('Business Case'!F11*$C221*'Business Case'!F12*$B221)-'Business Case'!F11*$C221*'Business Case'!F13*$D221-'Business Case'!F14*$E221))*'Business Case'!$B$7-'Business Case'!$B$8*(('Business Case'!F11*$C221*'Business Case'!F12*$B221)-('Business Case'!E11*$C221*'Business Case'!E12*$B221))-'Business Case'!F15*$F221</f>
        <v>663961806.370262</v>
      </c>
      <c r="M221" s="39" t="n">
        <f aca="false">(('Business Case'!G11*$C221*'Business Case'!G12*$B221)-'Business Case'!G11*$C221*'Business Case'!G13*$D221-'Business Case'!G14*$E221)-MAX(0,(('Business Case'!G11*$C221*'Business Case'!G12*$B221)-'Business Case'!G11*$C221*'Business Case'!G13*$D221-'Business Case'!G14*$E221))*'Business Case'!$B$7-'Business Case'!$B$8*(('Business Case'!G11*$C221*'Business Case'!G12*$B221)-('Business Case'!F11*$C221*'Business Case'!F12*$B221))-'Business Case'!G15*$F221+'Business Case'!$B$8*('Business Case'!G11*$C221*'Business Case'!G12*$B221)</f>
        <v>827919499.872046</v>
      </c>
      <c r="N221" s="39" t="n">
        <f aca="false">IF(COUNT('Business Case'!B11:G11)=0,"",H221+NPV(G221,I221:M221))</f>
        <v>-598075056.985884</v>
      </c>
      <c r="P221" s="40" t="n">
        <f aca="true">RAND()</f>
        <v>0.445341746816285</v>
      </c>
      <c r="Q221" s="40" t="n">
        <f aca="true">RAND()</f>
        <v>0.236341213593533</v>
      </c>
      <c r="R221" s="40" t="n">
        <f aca="true">RAND()</f>
        <v>0.143173740416232</v>
      </c>
      <c r="S221" s="40" t="n">
        <f aca="true">RAND()</f>
        <v>0.801402197846301</v>
      </c>
      <c r="T221" s="40" t="n">
        <f aca="true">RAND()</f>
        <v>0.349463561657635</v>
      </c>
      <c r="U221" s="40" t="n">
        <f aca="true">RAND()</f>
        <v>0.841620210624843</v>
      </c>
    </row>
    <row r="222" customFormat="false" ht="15" hidden="false" customHeight="false" outlineLevel="0" collapsed="false">
      <c r="A222" s="36" t="n">
        <v>142</v>
      </c>
      <c r="B222" s="37" t="n">
        <f aca="false">1+IF($G$6=$E$6,$F$6,IF(P222&lt;($F$6-$E$6)/($G$6-$E$6),$E$6+SQRT(P222*($G$6-$E$6)*($F$6-$E$6)),$G$6-SQRT((1-P222)*($G$6-$E$6)*($G$6-$F$6))))</f>
        <v>1.0001792092746</v>
      </c>
      <c r="C222" s="37" t="n">
        <f aca="false">1+IF($G$7=$E$7,$F$7,IF(Q222&lt;($F$7-$E$7)/($G$7-$E$7),$E$7+SQRT(Q222*($G$7-$E$7)*($F$7-$E$7)),$G$7-SQRT((1-Q222)*($G$7-$E$7)*($G$7-$F$7))))</f>
        <v>1.02953768099806</v>
      </c>
      <c r="D222" s="37" t="n">
        <f aca="false">1+IF($G$8=$E$8,$F$8,IF(R222&lt;($F$8-$E$8)/($G$8-$E$8),$E$8+SQRT(R222*($G$8-$E$8)*($F$8-$E$8)),$G$8-SQRT((1-R222)*($G$8-$E$8)*($G$8-$F$8))))</f>
        <v>0.998251860555202</v>
      </c>
      <c r="E222" s="37" t="n">
        <f aca="false">1+IF($G$9=$E$9,$F$9,IF(S222&lt;($F$9-$E$9)/($G$9-$E$9),$E$9+SQRT(S222*($G$9-$E$9)*($F$9-$E$9)),$G$9-SQRT((1-S222)*($G$9-$E$9)*($G$9-$F$9))))</f>
        <v>0.9188320799247</v>
      </c>
      <c r="F222" s="37" t="n">
        <f aca="false">1+IF($G$10=$E$10,$F$10,IF(T222&lt;($F$10-$E$10)/($G$10-$E$10),$E$10+SQRT(T222*($G$10-$E$10)*($F$10-$E$10)),$G$10-SQRT((1-T222)*($G$10-$E$10)*($G$10-$F$10))))</f>
        <v>1.03815597220641</v>
      </c>
      <c r="G222" s="38" t="n">
        <f aca="false">IF($G$11=$E$11,$F$11,IF(U222&lt;($F$11-$E$11)/($G$11-$E$11),$E$11+SQRT(U222*($G$11-$E$11)*($F$11-$E$11)),$G$11-SQRT((1-U222)*($G$11-$E$11)*($G$11-$F$11))))</f>
        <v>0.0951544648183299</v>
      </c>
      <c r="H222" s="39" t="n">
        <f aca="false">(('Business Case'!B11*$C222*'Business Case'!B12*$B222)-'Business Case'!B11*$C222*'Business Case'!B13*$D222-'Business Case'!B14*$E222)-MAX(0,(('Business Case'!B11*$C222*'Business Case'!B12*$B222)-'Business Case'!B11*$C222*'Business Case'!B13*$D222-'Business Case'!B14*$E222))*'Business Case'!$B$7-'Business Case'!$B$8*('Business Case'!B11*$C222*'Business Case'!B12*$B222)-'Business Case'!B15*$F222</f>
        <v>-2076311944.41282</v>
      </c>
      <c r="I222" s="39" t="n">
        <f aca="false">(('Business Case'!C11*$C222*'Business Case'!C12*$B222)-'Business Case'!C11*$C222*'Business Case'!C13*$D222-'Business Case'!C14*$E222)-MAX(0,(('Business Case'!C11*$C222*'Business Case'!C12*$B222)-'Business Case'!C11*$C222*'Business Case'!C13*$D222-'Business Case'!C14*$E222))*'Business Case'!$B$7-'Business Case'!$B$8*(('Business Case'!C11*$C222*'Business Case'!C12*$B222)-('Business Case'!B11*$C222*'Business Case'!B12*$B222))-'Business Case'!C15*$F222</f>
        <v>29442702.8394773</v>
      </c>
      <c r="J222" s="39" t="n">
        <f aca="false">(('Business Case'!D11*$C222*'Business Case'!D12*$B222)-'Business Case'!D11*$C222*'Business Case'!D13*$D222-'Business Case'!D14*$E222)-MAX(0,(('Business Case'!D11*$C222*'Business Case'!D12*$B222)-'Business Case'!D11*$C222*'Business Case'!D13*$D222-'Business Case'!D14*$E222))*'Business Case'!$B$7-'Business Case'!$B$8*(('Business Case'!D11*$C222*'Business Case'!D12*$B222)-('Business Case'!C11*$C222*'Business Case'!C12*$B222))-'Business Case'!D15*$F222</f>
        <v>346739722.667846</v>
      </c>
      <c r="K222" s="39" t="n">
        <f aca="false">(('Business Case'!E11*$C222*'Business Case'!E12*$B222)-'Business Case'!E11*$C222*'Business Case'!E13*$D222-'Business Case'!E14*$E222)-MAX(0,(('Business Case'!E11*$C222*'Business Case'!E12*$B222)-'Business Case'!E11*$C222*'Business Case'!E13*$D222-'Business Case'!E14*$E222))*'Business Case'!$B$7-'Business Case'!$B$8*(('Business Case'!E11*$C222*'Business Case'!E12*$B222)-('Business Case'!D11*$C222*'Business Case'!D12*$B222))-'Business Case'!E15*$F222</f>
        <v>715944541.106536</v>
      </c>
      <c r="L222" s="39" t="n">
        <f aca="false">(('Business Case'!F11*$C222*'Business Case'!F12*$B222)-'Business Case'!F11*$C222*'Business Case'!F13*$D222-'Business Case'!F14*$E222)-MAX(0,(('Business Case'!F11*$C222*'Business Case'!F12*$B222)-'Business Case'!F11*$C222*'Business Case'!F13*$D222-'Business Case'!F14*$E222))*'Business Case'!$B$7-'Business Case'!$B$8*(('Business Case'!F11*$C222*'Business Case'!F12*$B222)-('Business Case'!E11*$C222*'Business Case'!E12*$B222))-'Business Case'!F15*$F222</f>
        <v>857297413.051298</v>
      </c>
      <c r="M222" s="39" t="n">
        <f aca="false">(('Business Case'!G11*$C222*'Business Case'!G12*$B222)-'Business Case'!G11*$C222*'Business Case'!G13*$D222-'Business Case'!G14*$E222)-MAX(0,(('Business Case'!G11*$C222*'Business Case'!G12*$B222)-'Business Case'!G11*$C222*'Business Case'!G13*$D222-'Business Case'!G14*$E222))*'Business Case'!$B$7-'Business Case'!$B$8*(('Business Case'!G11*$C222*'Business Case'!G12*$B222)-('Business Case'!F11*$C222*'Business Case'!F12*$B222))-'Business Case'!G15*$F222+'Business Case'!$B$8*('Business Case'!G11*$C222*'Business Case'!G12*$B222)</f>
        <v>1053027005.72881</v>
      </c>
      <c r="N222" s="39" t="n">
        <f aca="false">IF(COUNT('Business Case'!B11:G11)=0,"",H222+NPV(G222,I222:M222))</f>
        <v>49164930.7923067</v>
      </c>
      <c r="P222" s="40" t="n">
        <f aca="true">RAND()</f>
        <v>0.66905184153273</v>
      </c>
      <c r="Q222" s="40" t="n">
        <f aca="true">RAND()</f>
        <v>0.785019699269251</v>
      </c>
      <c r="R222" s="40" t="n">
        <f aca="true">RAND()</f>
        <v>0.310432272938484</v>
      </c>
      <c r="S222" s="40" t="n">
        <f aca="true">RAND()</f>
        <v>0.0141858893716116</v>
      </c>
      <c r="T222" s="40" t="n">
        <f aca="true">RAND()</f>
        <v>0.401628105175861</v>
      </c>
      <c r="U222" s="40" t="n">
        <f aca="true">RAND()</f>
        <v>0.229657803929998</v>
      </c>
    </row>
    <row r="223" customFormat="false" ht="15" hidden="false" customHeight="false" outlineLevel="0" collapsed="false">
      <c r="A223" s="36" t="n">
        <v>143</v>
      </c>
      <c r="B223" s="37" t="n">
        <f aca="false">1+IF($G$6=$E$6,$F$6,IF(P223&lt;($F$6-$E$6)/($G$6-$E$6),$E$6+SQRT(P223*($G$6-$E$6)*($F$6-$E$6)),$G$6-SQRT((1-P223)*($G$6-$E$6)*($G$6-$F$6))))</f>
        <v>0.946689127134545</v>
      </c>
      <c r="C223" s="37" t="n">
        <f aca="false">1+IF($G$7=$E$7,$F$7,IF(Q223&lt;($F$7-$E$7)/($G$7-$E$7),$E$7+SQRT(Q223*($G$7-$E$7)*($F$7-$E$7)),$G$7-SQRT((1-Q223)*($G$7-$E$7)*($G$7-$F$7))))</f>
        <v>0.983961235495261</v>
      </c>
      <c r="D223" s="37" t="n">
        <f aca="false">1+IF($G$8=$E$8,$F$8,IF(R223&lt;($F$8-$E$8)/($G$8-$E$8),$E$8+SQRT(R223*($G$8-$E$8)*($F$8-$E$8)),$G$8-SQRT((1-R223)*($G$8-$E$8)*($G$8-$F$8))))</f>
        <v>0.975528593804099</v>
      </c>
      <c r="E223" s="37" t="n">
        <f aca="false">1+IF($G$9=$E$9,$F$9,IF(S223&lt;($F$9-$E$9)/($G$9-$E$9),$E$9+SQRT(S223*($G$9-$E$9)*($F$9-$E$9)),$G$9-SQRT((1-S223)*($G$9-$E$9)*($G$9-$F$9))))</f>
        <v>0.997720245523568</v>
      </c>
      <c r="F223" s="37" t="n">
        <f aca="false">1+IF($G$10=$E$10,$F$10,IF(T223&lt;($F$10-$E$10)/($G$10-$E$10),$E$10+SQRT(T223*($G$10-$E$10)*($F$10-$E$10)),$G$10-SQRT((1-T223)*($G$10-$E$10)*($G$10-$F$10))))</f>
        <v>1.05372405166522</v>
      </c>
      <c r="G223" s="38" t="n">
        <f aca="false">IF($G$11=$E$11,$F$11,IF(U223&lt;($F$11-$E$11)/($G$11-$E$11),$E$11+SQRT(U223*($G$11-$E$11)*($F$11-$E$11)),$G$11-SQRT((1-U223)*($G$11-$E$11)*($G$11-$F$11))))</f>
        <v>0.126677778941539</v>
      </c>
      <c r="H223" s="39" t="n">
        <f aca="false">(('Business Case'!B11*$C223*'Business Case'!B12*$B223)-'Business Case'!B11*$C223*'Business Case'!B13*$D223-'Business Case'!B14*$E223)-MAX(0,(('Business Case'!B11*$C223*'Business Case'!B12*$B223)-'Business Case'!B11*$C223*'Business Case'!B13*$D223-'Business Case'!B14*$E223))*'Business Case'!$B$7-'Business Case'!$B$8*('Business Case'!B11*$C223*'Business Case'!B12*$B223)-'Business Case'!B15*$F223</f>
        <v>-2107448103.33044</v>
      </c>
      <c r="I223" s="39" t="n">
        <f aca="false">(('Business Case'!C11*$C223*'Business Case'!C12*$B223)-'Business Case'!C11*$C223*'Business Case'!C13*$D223-'Business Case'!C14*$E223)-MAX(0,(('Business Case'!C11*$C223*'Business Case'!C12*$B223)-'Business Case'!C11*$C223*'Business Case'!C13*$D223-'Business Case'!C14*$E223))*'Business Case'!$B$7-'Business Case'!$B$8*(('Business Case'!C11*$C223*'Business Case'!C12*$B223)-('Business Case'!B11*$C223*'Business Case'!B12*$B223))-'Business Case'!C15*$F223</f>
        <v>-23950428.0683318</v>
      </c>
      <c r="J223" s="39" t="n">
        <f aca="false">(('Business Case'!D11*$C223*'Business Case'!D12*$B223)-'Business Case'!D11*$C223*'Business Case'!D13*$D223-'Business Case'!D14*$E223)-MAX(0,(('Business Case'!D11*$C223*'Business Case'!D12*$B223)-'Business Case'!D11*$C223*'Business Case'!D13*$D223-'Business Case'!D14*$E223))*'Business Case'!$B$7-'Business Case'!$B$8*(('Business Case'!D11*$C223*'Business Case'!D12*$B223)-('Business Case'!C11*$C223*'Business Case'!C12*$B223))-'Business Case'!D15*$F223</f>
        <v>247636608.043396</v>
      </c>
      <c r="K223" s="39" t="n">
        <f aca="false">(('Business Case'!E11*$C223*'Business Case'!E12*$B223)-'Business Case'!E11*$C223*'Business Case'!E13*$D223-'Business Case'!E14*$E223)-MAX(0,(('Business Case'!E11*$C223*'Business Case'!E12*$B223)-'Business Case'!E11*$C223*'Business Case'!E13*$D223-'Business Case'!E14*$E223))*'Business Case'!$B$7-'Business Case'!$B$8*(('Business Case'!E11*$C223*'Business Case'!E12*$B223)-('Business Case'!D11*$C223*'Business Case'!D12*$B223))-'Business Case'!E15*$F223</f>
        <v>571909846.738385</v>
      </c>
      <c r="L223" s="39" t="n">
        <f aca="false">(('Business Case'!F11*$C223*'Business Case'!F12*$B223)-'Business Case'!F11*$C223*'Business Case'!F13*$D223-'Business Case'!F14*$E223)-MAX(0,(('Business Case'!F11*$C223*'Business Case'!F12*$B223)-'Business Case'!F11*$C223*'Business Case'!F13*$D223-'Business Case'!F14*$E223))*'Business Case'!$B$7-'Business Case'!$B$8*(('Business Case'!F11*$C223*'Business Case'!F12*$B223)-('Business Case'!E11*$C223*'Business Case'!E12*$B223))-'Business Case'!F15*$F223</f>
        <v>694631685.509018</v>
      </c>
      <c r="M223" s="39" t="n">
        <f aca="false">(('Business Case'!G11*$C223*'Business Case'!G12*$B223)-'Business Case'!G11*$C223*'Business Case'!G13*$D223-'Business Case'!G14*$E223)-MAX(0,(('Business Case'!G11*$C223*'Business Case'!G12*$B223)-'Business Case'!G11*$C223*'Business Case'!G13*$D223-'Business Case'!G14*$E223))*'Business Case'!$B$7-'Business Case'!$B$8*(('Business Case'!G11*$C223*'Business Case'!G12*$B223)-('Business Case'!F11*$C223*'Business Case'!F12*$B223))-'Business Case'!G15*$F223+'Business Case'!$B$8*('Business Case'!G11*$C223*'Business Case'!G12*$B223)</f>
        <v>871692232.542666</v>
      </c>
      <c r="N223" s="39" t="n">
        <f aca="false">IF(COUNT('Business Case'!B11:G11)=0,"",H223+NPV(G223,I223:M223))</f>
        <v>-622531572.283766</v>
      </c>
      <c r="P223" s="40" t="n">
        <f aca="true">RAND()</f>
        <v>0.145324972839047</v>
      </c>
      <c r="Q223" s="40" t="n">
        <f aca="true">RAND()</f>
        <v>0.597288764918482</v>
      </c>
      <c r="R223" s="40" t="n">
        <f aca="true">RAND()</f>
        <v>0.0868945468819545</v>
      </c>
      <c r="S223" s="40" t="n">
        <f aca="true">RAND()</f>
        <v>0.381969855407455</v>
      </c>
      <c r="T223" s="40" t="n">
        <f aca="true">RAND()</f>
        <v>0.486343361403783</v>
      </c>
      <c r="U223" s="40" t="n">
        <f aca="true">RAND()</f>
        <v>0.992641898159146</v>
      </c>
    </row>
    <row r="224" customFormat="false" ht="15" hidden="false" customHeight="false" outlineLevel="0" collapsed="false">
      <c r="A224" s="36" t="n">
        <v>144</v>
      </c>
      <c r="B224" s="37" t="n">
        <f aca="false">1+IF($G$6=$E$6,$F$6,IF(P224&lt;($F$6-$E$6)/($G$6-$E$6),$E$6+SQRT(P224*($G$6-$E$6)*($F$6-$E$6)),$G$6-SQRT((1-P224)*($G$6-$E$6)*($G$6-$F$6))))</f>
        <v>0.999353330104159</v>
      </c>
      <c r="C224" s="37" t="n">
        <f aca="false">1+IF($G$7=$E$7,$F$7,IF(Q224&lt;($F$7-$E$7)/($G$7-$E$7),$E$7+SQRT(Q224*($G$7-$E$7)*($F$7-$E$7)),$G$7-SQRT((1-Q224)*($G$7-$E$7)*($G$7-$F$7))))</f>
        <v>0.979084178611707</v>
      </c>
      <c r="D224" s="37" t="n">
        <f aca="false">1+IF($G$8=$E$8,$F$8,IF(R224&lt;($F$8-$E$8)/($G$8-$E$8),$E$8+SQRT(R224*($G$8-$E$8)*($F$8-$E$8)),$G$8-SQRT((1-R224)*($G$8-$E$8)*($G$8-$F$8))))</f>
        <v>0.985350286282758</v>
      </c>
      <c r="E224" s="37" t="n">
        <f aca="false">1+IF($G$9=$E$9,$F$9,IF(S224&lt;($F$9-$E$9)/($G$9-$E$9),$E$9+SQRT(S224*($G$9-$E$9)*($F$9-$E$9)),$G$9-SQRT((1-S224)*($G$9-$E$9)*($G$9-$F$9))))</f>
        <v>0.974407046447022</v>
      </c>
      <c r="F224" s="37" t="n">
        <f aca="false">1+IF($G$10=$E$10,$F$10,IF(T224&lt;($F$10-$E$10)/($G$10-$E$10),$E$10+SQRT(T224*($G$10-$E$10)*($F$10-$E$10)),$G$10-SQRT((1-T224)*($G$10-$E$10)*($G$10-$F$10))))</f>
        <v>0.995517277548025</v>
      </c>
      <c r="G224" s="38" t="n">
        <f aca="false">IF($G$11=$E$11,$F$11,IF(U224&lt;($F$11-$E$11)/($G$11-$E$11),$E$11+SQRT(U224*($G$11-$E$11)*($F$11-$E$11)),$G$11-SQRT((1-U224)*($G$11-$E$11)*($G$11-$F$11))))</f>
        <v>0.110527168271673</v>
      </c>
      <c r="H224" s="39" t="n">
        <f aca="false">(('Business Case'!B11*$C224*'Business Case'!B12*$B224)-'Business Case'!B11*$C224*'Business Case'!B13*$D224-'Business Case'!B14*$E224)-MAX(0,(('Business Case'!B11*$C224*'Business Case'!B12*$B224)-'Business Case'!B11*$C224*'Business Case'!B13*$D224-'Business Case'!B14*$E224))*'Business Case'!$B$7-'Business Case'!$B$8*('Business Case'!B11*$C224*'Business Case'!B12*$B224)-'Business Case'!B15*$F224</f>
        <v>-1991034555.09605</v>
      </c>
      <c r="I224" s="39" t="n">
        <f aca="false">(('Business Case'!C11*$C224*'Business Case'!C12*$B224)-'Business Case'!C11*$C224*'Business Case'!C13*$D224-'Business Case'!C14*$E224)-MAX(0,(('Business Case'!C11*$C224*'Business Case'!C12*$B224)-'Business Case'!C11*$C224*'Business Case'!C13*$D224-'Business Case'!C14*$E224))*'Business Case'!$B$7-'Business Case'!$B$8*(('Business Case'!C11*$C224*'Business Case'!C12*$B224)-('Business Case'!B11*$C224*'Business Case'!B12*$B224))-'Business Case'!C15*$F224</f>
        <v>18716385.142036</v>
      </c>
      <c r="J224" s="39" t="n">
        <f aca="false">(('Business Case'!D11*$C224*'Business Case'!D12*$B224)-'Business Case'!D11*$C224*'Business Case'!D13*$D224-'Business Case'!D14*$E224)-MAX(0,(('Business Case'!D11*$C224*'Business Case'!D12*$B224)-'Business Case'!D11*$C224*'Business Case'!D13*$D224-'Business Case'!D14*$E224))*'Business Case'!$B$7-'Business Case'!$B$8*(('Business Case'!D11*$C224*'Business Case'!D12*$B224)-('Business Case'!C11*$C224*'Business Case'!C12*$B224))-'Business Case'!D15*$F224</f>
        <v>326268081.664236</v>
      </c>
      <c r="K224" s="39" t="n">
        <f aca="false">(('Business Case'!E11*$C224*'Business Case'!E12*$B224)-'Business Case'!E11*$C224*'Business Case'!E13*$D224-'Business Case'!E14*$E224)-MAX(0,(('Business Case'!E11*$C224*'Business Case'!E12*$B224)-'Business Case'!E11*$C224*'Business Case'!E13*$D224-'Business Case'!E14*$E224))*'Business Case'!$B$7-'Business Case'!$B$8*(('Business Case'!E11*$C224*'Business Case'!E12*$B224)-('Business Case'!D11*$C224*'Business Case'!D12*$B224))-'Business Case'!E15*$F224</f>
        <v>683595642.063838</v>
      </c>
      <c r="L224" s="39" t="n">
        <f aca="false">(('Business Case'!F11*$C224*'Business Case'!F12*$B224)-'Business Case'!F11*$C224*'Business Case'!F13*$D224-'Business Case'!F14*$E224)-MAX(0,(('Business Case'!F11*$C224*'Business Case'!F12*$B224)-'Business Case'!F11*$C224*'Business Case'!F13*$D224-'Business Case'!F14*$E224))*'Business Case'!$B$7-'Business Case'!$B$8*(('Business Case'!F11*$C224*'Business Case'!F12*$B224)-('Business Case'!E11*$C224*'Business Case'!E12*$B224))-'Business Case'!F15*$F224</f>
        <v>819928141.984968</v>
      </c>
      <c r="M224" s="39" t="n">
        <f aca="false">(('Business Case'!G11*$C224*'Business Case'!G12*$B224)-'Business Case'!G11*$C224*'Business Case'!G13*$D224-'Business Case'!G14*$E224)-MAX(0,(('Business Case'!G11*$C224*'Business Case'!G12*$B224)-'Business Case'!G11*$C224*'Business Case'!G13*$D224-'Business Case'!G14*$E224))*'Business Case'!$B$7-'Business Case'!$B$8*(('Business Case'!G11*$C224*'Business Case'!G12*$B224)-('Business Case'!F11*$C224*'Business Case'!F12*$B224))-'Business Case'!G15*$F224+'Business Case'!$B$8*('Business Case'!G11*$C224*'Business Case'!G12*$B224)</f>
        <v>1005912114.59382</v>
      </c>
      <c r="N224" s="39" t="n">
        <f aca="false">IF(COUNT('Business Case'!B11:G11)=0,"",H224+NPV(G224,I224:M224))</f>
        <v>-75866482.8948448</v>
      </c>
      <c r="P224" s="40" t="n">
        <f aca="true">RAND()</f>
        <v>0.658072280185734</v>
      </c>
      <c r="Q224" s="40" t="n">
        <f aca="true">RAND()</f>
        <v>0.576947990750898</v>
      </c>
      <c r="R224" s="40" t="n">
        <f aca="true">RAND()</f>
        <v>0.166619032036395</v>
      </c>
      <c r="S224" s="40" t="n">
        <f aca="true">RAND()</f>
        <v>0.221456342438769</v>
      </c>
      <c r="T224" s="40" t="n">
        <f aca="true">RAND()</f>
        <v>0.13812150369226</v>
      </c>
      <c r="U224" s="40" t="n">
        <f aca="true">RAND()</f>
        <v>0.74720588298684</v>
      </c>
    </row>
    <row r="225" customFormat="false" ht="15" hidden="false" customHeight="false" outlineLevel="0" collapsed="false">
      <c r="A225" s="36" t="n">
        <v>145</v>
      </c>
      <c r="B225" s="37" t="n">
        <f aca="false">1+IF($G$6=$E$6,$F$6,IF(P225&lt;($F$6-$E$6)/($G$6-$E$6),$E$6+SQRT(P225*($G$6-$E$6)*($F$6-$E$6)),$G$6-SQRT((1-P225)*($G$6-$E$6)*($G$6-$F$6))))</f>
        <v>0.993830762399893</v>
      </c>
      <c r="C225" s="37" t="n">
        <f aca="false">1+IF($G$7=$E$7,$F$7,IF(Q225&lt;($F$7-$E$7)/($G$7-$E$7),$E$7+SQRT(Q225*($G$7-$E$7)*($F$7-$E$7)),$G$7-SQRT((1-Q225)*($G$7-$E$7)*($G$7-$F$7))))</f>
        <v>0.918114522299207</v>
      </c>
      <c r="D225" s="37" t="n">
        <f aca="false">1+IF($G$8=$E$8,$F$8,IF(R225&lt;($F$8-$E$8)/($G$8-$E$8),$E$8+SQRT(R225*($G$8-$E$8)*($F$8-$E$8)),$G$8-SQRT((1-R225)*($G$8-$E$8)*($G$8-$F$8))))</f>
        <v>0.986163495635098</v>
      </c>
      <c r="E225" s="37" t="n">
        <f aca="false">1+IF($G$9=$E$9,$F$9,IF(S225&lt;($F$9-$E$9)/($G$9-$E$9),$E$9+SQRT(S225*($G$9-$E$9)*($F$9-$E$9)),$G$9-SQRT((1-S225)*($G$9-$E$9)*($G$9-$F$9))))</f>
        <v>0.95606358739857</v>
      </c>
      <c r="F225" s="37" t="n">
        <f aca="false">1+IF($G$10=$E$10,$F$10,IF(T225&lt;($F$10-$E$10)/($G$10-$E$10),$E$10+SQRT(T225*($G$10-$E$10)*($F$10-$E$10)),$G$10-SQRT((1-T225)*($G$10-$E$10)*($G$10-$F$10))))</f>
        <v>1.07229450883026</v>
      </c>
      <c r="G225" s="38" t="n">
        <f aca="false">IF($G$11=$E$11,$F$11,IF(U225&lt;($F$11-$E$11)/($G$11-$E$11),$E$11+SQRT(U225*($G$11-$E$11)*($F$11-$E$11)),$G$11-SQRT((1-U225)*($G$11-$E$11)*($G$11-$F$11))))</f>
        <v>0.096027789030589</v>
      </c>
      <c r="H225" s="39" t="n">
        <f aca="false">(('Business Case'!B11*$C225*'Business Case'!B12*$B225)-'Business Case'!B11*$C225*'Business Case'!B13*$D225-'Business Case'!B14*$E225)-MAX(0,(('Business Case'!B11*$C225*'Business Case'!B12*$B225)-'Business Case'!B11*$C225*'Business Case'!B13*$D225-'Business Case'!B14*$E225))*'Business Case'!$B$7-'Business Case'!$B$8*('Business Case'!B11*$C225*'Business Case'!B12*$B225)-'Business Case'!B15*$F225</f>
        <v>-2144589017.66052</v>
      </c>
      <c r="I225" s="39" t="n">
        <f aca="false">(('Business Case'!C11*$C225*'Business Case'!C12*$B225)-'Business Case'!C11*$C225*'Business Case'!C13*$D225-'Business Case'!C14*$E225)-MAX(0,(('Business Case'!C11*$C225*'Business Case'!C12*$B225)-'Business Case'!C11*$C225*'Business Case'!C13*$D225-'Business Case'!C14*$E225))*'Business Case'!$B$7-'Business Case'!$B$8*(('Business Case'!C11*$C225*'Business Case'!C12*$B225)-('Business Case'!B11*$C225*'Business Case'!B12*$B225))-'Business Case'!C15*$F225</f>
        <v>-6618517.79905017</v>
      </c>
      <c r="J225" s="39" t="n">
        <f aca="false">(('Business Case'!D11*$C225*'Business Case'!D12*$B225)-'Business Case'!D11*$C225*'Business Case'!D13*$D225-'Business Case'!D14*$E225)-MAX(0,(('Business Case'!D11*$C225*'Business Case'!D12*$B225)-'Business Case'!D11*$C225*'Business Case'!D13*$D225-'Business Case'!D14*$E225))*'Business Case'!$B$7-'Business Case'!$B$8*(('Business Case'!D11*$C225*'Business Case'!D12*$B225)-('Business Case'!C11*$C225*'Business Case'!C12*$B225))-'Business Case'!D15*$F225</f>
        <v>277246089.034781</v>
      </c>
      <c r="K225" s="39" t="n">
        <f aca="false">(('Business Case'!E11*$C225*'Business Case'!E12*$B225)-'Business Case'!E11*$C225*'Business Case'!E13*$D225-'Business Case'!E14*$E225)-MAX(0,(('Business Case'!E11*$C225*'Business Case'!E12*$B225)-'Business Case'!E11*$C225*'Business Case'!E13*$D225-'Business Case'!E14*$E225))*'Business Case'!$B$7-'Business Case'!$B$8*(('Business Case'!E11*$C225*'Business Case'!E12*$B225)-('Business Case'!D11*$C225*'Business Case'!D12*$B225))-'Business Case'!E15*$F225</f>
        <v>614725421.310126</v>
      </c>
      <c r="L225" s="39" t="n">
        <f aca="false">(('Business Case'!F11*$C225*'Business Case'!F12*$B225)-'Business Case'!F11*$C225*'Business Case'!F13*$D225-'Business Case'!F14*$E225)-MAX(0,(('Business Case'!F11*$C225*'Business Case'!F12*$B225)-'Business Case'!F11*$C225*'Business Case'!F13*$D225-'Business Case'!F14*$E225))*'Business Case'!$B$7-'Business Case'!$B$8*(('Business Case'!F11*$C225*'Business Case'!F12*$B225)-('Business Case'!E11*$C225*'Business Case'!E12*$B225))-'Business Case'!F15*$F225</f>
        <v>740881244.669256</v>
      </c>
      <c r="M225" s="39" t="n">
        <f aca="false">(('Business Case'!G11*$C225*'Business Case'!G12*$B225)-'Business Case'!G11*$C225*'Business Case'!G13*$D225-'Business Case'!G14*$E225)-MAX(0,(('Business Case'!G11*$C225*'Business Case'!G12*$B225)-'Business Case'!G11*$C225*'Business Case'!G13*$D225-'Business Case'!G14*$E225))*'Business Case'!$B$7-'Business Case'!$B$8*(('Business Case'!G11*$C225*'Business Case'!G12*$B225)-('Business Case'!F11*$C225*'Business Case'!F12*$B225))-'Business Case'!G15*$F225+'Business Case'!$B$8*('Business Case'!G11*$C225*'Business Case'!G12*$B225)</f>
        <v>914319827.282446</v>
      </c>
      <c r="N225" s="39" t="n">
        <f aca="false">IF(COUNT('Business Case'!B11:G11)=0,"",H225+NPV(G225,I225:M225))</f>
        <v>-361451985.910839</v>
      </c>
      <c r="P225" s="40" t="n">
        <f aca="true">RAND()</f>
        <v>0.586947464836351</v>
      </c>
      <c r="Q225" s="40" t="n">
        <f aca="true">RAND()</f>
        <v>0.352399591391194</v>
      </c>
      <c r="R225" s="40" t="n">
        <f aca="true">RAND()</f>
        <v>0.174373122206631</v>
      </c>
      <c r="S225" s="40" t="n">
        <f aca="true">RAND()</f>
        <v>0.125725033279884</v>
      </c>
      <c r="T225" s="40" t="n">
        <f aca="true">RAND()</f>
        <v>0.578943445441621</v>
      </c>
      <c r="U225" s="40" t="n">
        <f aca="true">RAND()</f>
        <v>0.256890021209069</v>
      </c>
    </row>
    <row r="226" customFormat="false" ht="15" hidden="false" customHeight="false" outlineLevel="0" collapsed="false">
      <c r="A226" s="36" t="n">
        <v>146</v>
      </c>
      <c r="B226" s="37" t="n">
        <f aca="false">1+IF($G$6=$E$6,$F$6,IF(P226&lt;($F$6-$E$6)/($G$6-$E$6),$E$6+SQRT(P226*($G$6-$E$6)*($F$6-$E$6)),$G$6-SQRT((1-P226)*($G$6-$E$6)*($G$6-$F$6))))</f>
        <v>0.981213609504872</v>
      </c>
      <c r="C226" s="37" t="n">
        <f aca="false">1+IF($G$7=$E$7,$F$7,IF(Q226&lt;($F$7-$E$7)/($G$7-$E$7),$E$7+SQRT(Q226*($G$7-$E$7)*($F$7-$E$7)),$G$7-SQRT((1-Q226)*($G$7-$E$7)*($G$7-$F$7))))</f>
        <v>0.914907802935123</v>
      </c>
      <c r="D226" s="37" t="n">
        <f aca="false">1+IF($G$8=$E$8,$F$8,IF(R226&lt;($F$8-$E$8)/($G$8-$E$8),$E$8+SQRT(R226*($G$8-$E$8)*($F$8-$E$8)),$G$8-SQRT((1-R226)*($G$8-$E$8)*($G$8-$F$8))))</f>
        <v>1.04565278781426</v>
      </c>
      <c r="E226" s="37" t="n">
        <f aca="false">1+IF($G$9=$E$9,$F$9,IF(S226&lt;($F$9-$E$9)/($G$9-$E$9),$E$9+SQRT(S226*($G$9-$E$9)*($F$9-$E$9)),$G$9-SQRT((1-S226)*($G$9-$E$9)*($G$9-$F$9))))</f>
        <v>1.03578929274199</v>
      </c>
      <c r="F226" s="37" t="n">
        <f aca="false">1+IF($G$10=$E$10,$F$10,IF(T226&lt;($F$10-$E$10)/($G$10-$E$10),$E$10+SQRT(T226*($G$10-$E$10)*($F$10-$E$10)),$G$10-SQRT((1-T226)*($G$10-$E$10)*($G$10-$F$10))))</f>
        <v>0.991312522727869</v>
      </c>
      <c r="G226" s="38" t="n">
        <f aca="false">IF($G$11=$E$11,$F$11,IF(U226&lt;($F$11-$E$11)/($G$11-$E$11),$E$11+SQRT(U226*($G$11-$E$11)*($F$11-$E$11)),$G$11-SQRT((1-U226)*($G$11-$E$11)*($G$11-$F$11))))</f>
        <v>0.106220842453311</v>
      </c>
      <c r="H226" s="39" t="n">
        <f aca="false">(('Business Case'!B11*$C226*'Business Case'!B12*$B226)-'Business Case'!B11*$C226*'Business Case'!B13*$D226-'Business Case'!B14*$E226)-MAX(0,(('Business Case'!B11*$C226*'Business Case'!B12*$B226)-'Business Case'!B11*$C226*'Business Case'!B13*$D226-'Business Case'!B14*$E226))*'Business Case'!$B$7-'Business Case'!$B$8*('Business Case'!B11*$C226*'Business Case'!B12*$B226)-'Business Case'!B15*$F226</f>
        <v>-1982625045.45574</v>
      </c>
      <c r="I226" s="39" t="n">
        <f aca="false">(('Business Case'!C11*$C226*'Business Case'!C12*$B226)-'Business Case'!C11*$C226*'Business Case'!C13*$D226-'Business Case'!C14*$E226)-MAX(0,(('Business Case'!C11*$C226*'Business Case'!C12*$B226)-'Business Case'!C11*$C226*'Business Case'!C13*$D226-'Business Case'!C14*$E226))*'Business Case'!$B$7-'Business Case'!$B$8*(('Business Case'!C11*$C226*'Business Case'!C12*$B226)-('Business Case'!B11*$C226*'Business Case'!B12*$B226))-'Business Case'!C15*$F226</f>
        <v>-47402512.1426233</v>
      </c>
      <c r="J226" s="39" t="n">
        <f aca="false">(('Business Case'!D11*$C226*'Business Case'!D12*$B226)-'Business Case'!D11*$C226*'Business Case'!D13*$D226-'Business Case'!D14*$E226)-MAX(0,(('Business Case'!D11*$C226*'Business Case'!D12*$B226)-'Business Case'!D11*$C226*'Business Case'!D13*$D226-'Business Case'!D14*$E226))*'Business Case'!$B$7-'Business Case'!$B$8*(('Business Case'!D11*$C226*'Business Case'!D12*$B226)-('Business Case'!C11*$C226*'Business Case'!C12*$B226))-'Business Case'!D15*$F226</f>
        <v>198153269.576894</v>
      </c>
      <c r="K226" s="39" t="n">
        <f aca="false">(('Business Case'!E11*$C226*'Business Case'!E12*$B226)-'Business Case'!E11*$C226*'Business Case'!E13*$D226-'Business Case'!E14*$E226)-MAX(0,(('Business Case'!E11*$C226*'Business Case'!E12*$B226)-'Business Case'!E11*$C226*'Business Case'!E13*$D226-'Business Case'!E14*$E226))*'Business Case'!$B$7-'Business Case'!$B$8*(('Business Case'!E11*$C226*'Business Case'!E12*$B226)-('Business Case'!D11*$C226*'Business Case'!D12*$B226))-'Business Case'!E15*$F226</f>
        <v>493274677.432805</v>
      </c>
      <c r="L226" s="39" t="n">
        <f aca="false">(('Business Case'!F11*$C226*'Business Case'!F12*$B226)-'Business Case'!F11*$C226*'Business Case'!F13*$D226-'Business Case'!F14*$E226)-MAX(0,(('Business Case'!F11*$C226*'Business Case'!F12*$B226)-'Business Case'!F11*$C226*'Business Case'!F13*$D226-'Business Case'!F14*$E226))*'Business Case'!$B$7-'Business Case'!$B$8*(('Business Case'!F11*$C226*'Business Case'!F12*$B226)-('Business Case'!E11*$C226*'Business Case'!E12*$B226))-'Business Case'!F15*$F226</f>
        <v>606151807.446939</v>
      </c>
      <c r="M226" s="39" t="n">
        <f aca="false">(('Business Case'!G11*$C226*'Business Case'!G12*$B226)-'Business Case'!G11*$C226*'Business Case'!G13*$D226-'Business Case'!G14*$E226)-MAX(0,(('Business Case'!G11*$C226*'Business Case'!G12*$B226)-'Business Case'!G11*$C226*'Business Case'!G13*$D226-'Business Case'!G14*$E226))*'Business Case'!$B$7-'Business Case'!$B$8*(('Business Case'!G11*$C226*'Business Case'!G12*$B226)-('Business Case'!F11*$C226*'Business Case'!F12*$B226))-'Business Case'!G15*$F226+'Business Case'!$B$8*('Business Case'!G11*$C226*'Business Case'!G12*$B226)</f>
        <v>776790422.705561</v>
      </c>
      <c r="N226" s="39" t="n">
        <f aca="false">IF(COUNT('Business Case'!B11:G11)=0,"",H226+NPV(G226,I226:M226))</f>
        <v>-625471224.278239</v>
      </c>
      <c r="P226" s="40" t="n">
        <f aca="true">RAND()</f>
        <v>0.439710024587318</v>
      </c>
      <c r="Q226" s="40" t="n">
        <f aca="true">RAND()</f>
        <v>0.342113805647418</v>
      </c>
      <c r="R226" s="40" t="n">
        <f aca="true">RAND()</f>
        <v>0.803092035175861</v>
      </c>
      <c r="S226" s="40" t="n">
        <f aca="true">RAND()</f>
        <v>0.652157715936687</v>
      </c>
      <c r="T226" s="40" t="n">
        <f aca="true">RAND()</f>
        <v>0.11378163560938</v>
      </c>
      <c r="U226" s="40" t="n">
        <f aca="true">RAND()</f>
        <v>0.6230344442465</v>
      </c>
    </row>
    <row r="227" customFormat="false" ht="15" hidden="false" customHeight="false" outlineLevel="0" collapsed="false">
      <c r="A227" s="36" t="n">
        <v>147</v>
      </c>
      <c r="B227" s="37" t="n">
        <f aca="false">1+IF($G$6=$E$6,$F$6,IF(P227&lt;($F$6-$E$6)/($G$6-$E$6),$E$6+SQRT(P227*($G$6-$E$6)*($F$6-$E$6)),$G$6-SQRT((1-P227)*($G$6-$E$6)*($G$6-$F$6))))</f>
        <v>1.00957083724536</v>
      </c>
      <c r="C227" s="37" t="n">
        <f aca="false">1+IF($G$7=$E$7,$F$7,IF(Q227&lt;($F$7-$E$7)/($G$7-$E$7),$E$7+SQRT(Q227*($G$7-$E$7)*($F$7-$E$7)),$G$7-SQRT((1-Q227)*($G$7-$E$7)*($G$7-$F$7))))</f>
        <v>0.873599338658148</v>
      </c>
      <c r="D227" s="37" t="n">
        <f aca="false">1+IF($G$8=$E$8,$F$8,IF(R227&lt;($F$8-$E$8)/($G$8-$E$8),$E$8+SQRT(R227*($G$8-$E$8)*($F$8-$E$8)),$G$8-SQRT((1-R227)*($G$8-$E$8)*($G$8-$F$8))))</f>
        <v>0.983371911883377</v>
      </c>
      <c r="E227" s="37" t="n">
        <f aca="false">1+IF($G$9=$E$9,$F$9,IF(S227&lt;($F$9-$E$9)/($G$9-$E$9),$E$9+SQRT(S227*($G$9-$E$9)*($F$9-$E$9)),$G$9-SQRT((1-S227)*($G$9-$E$9)*($G$9-$F$9))))</f>
        <v>1.03985671558921</v>
      </c>
      <c r="F227" s="37" t="n">
        <f aca="false">1+IF($G$10=$E$10,$F$10,IF(T227&lt;($F$10-$E$10)/($G$10-$E$10),$E$10+SQRT(T227*($G$10-$E$10)*($F$10-$E$10)),$G$10-SQRT((1-T227)*($G$10-$E$10)*($G$10-$F$10))))</f>
        <v>1.0096374382681</v>
      </c>
      <c r="G227" s="38" t="n">
        <f aca="false">IF($G$11=$E$11,$F$11,IF(U227&lt;($F$11-$E$11)/($G$11-$E$11),$E$11+SQRT(U227*($G$11-$E$11)*($F$11-$E$11)),$G$11-SQRT((1-U227)*($G$11-$E$11)*($G$11-$F$11))))</f>
        <v>0.115136318346699</v>
      </c>
      <c r="H227" s="39" t="n">
        <f aca="false">(('Business Case'!B11*$C227*'Business Case'!B12*$B227)-'Business Case'!B11*$C227*'Business Case'!B13*$D227-'Business Case'!B14*$E227)-MAX(0,(('Business Case'!B11*$C227*'Business Case'!B12*$B227)-'Business Case'!B11*$C227*'Business Case'!B13*$D227-'Business Case'!B14*$E227))*'Business Case'!$B$7-'Business Case'!$B$8*('Business Case'!B11*$C227*'Business Case'!B12*$B227)-'Business Case'!B15*$F227</f>
        <v>-2019274876.53621</v>
      </c>
      <c r="I227" s="39" t="n">
        <f aca="false">(('Business Case'!C11*$C227*'Business Case'!C12*$B227)-'Business Case'!C11*$C227*'Business Case'!C13*$D227-'Business Case'!C14*$E227)-MAX(0,(('Business Case'!C11*$C227*'Business Case'!C12*$B227)-'Business Case'!C11*$C227*'Business Case'!C13*$D227-'Business Case'!C14*$E227))*'Business Case'!$B$7-'Business Case'!$B$8*(('Business Case'!C11*$C227*'Business Case'!C12*$B227)-('Business Case'!B11*$C227*'Business Case'!B12*$B227))-'Business Case'!C15*$F227</f>
        <v>-11939791.8064094</v>
      </c>
      <c r="J227" s="39" t="n">
        <f aca="false">(('Business Case'!D11*$C227*'Business Case'!D12*$B227)-'Business Case'!D11*$C227*'Business Case'!D13*$D227-'Business Case'!D14*$E227)-MAX(0,(('Business Case'!D11*$C227*'Business Case'!D12*$B227)-'Business Case'!D11*$C227*'Business Case'!D13*$D227-'Business Case'!D14*$E227))*'Business Case'!$B$7-'Business Case'!$B$8*(('Business Case'!D11*$C227*'Business Case'!D12*$B227)-('Business Case'!C11*$C227*'Business Case'!C12*$B227))-'Business Case'!D15*$F227</f>
        <v>270672613.123055</v>
      </c>
      <c r="K227" s="39" t="n">
        <f aca="false">(('Business Case'!E11*$C227*'Business Case'!E12*$B227)-'Business Case'!E11*$C227*'Business Case'!E13*$D227-'Business Case'!E14*$E227)-MAX(0,(('Business Case'!E11*$C227*'Business Case'!E12*$B227)-'Business Case'!E11*$C227*'Business Case'!E13*$D227-'Business Case'!E14*$E227))*'Business Case'!$B$7-'Business Case'!$B$8*(('Business Case'!E11*$C227*'Business Case'!E12*$B227)-('Business Case'!D11*$C227*'Business Case'!D12*$B227))-'Business Case'!E15*$F227</f>
        <v>603766889.965925</v>
      </c>
      <c r="L227" s="39" t="n">
        <f aca="false">(('Business Case'!F11*$C227*'Business Case'!F12*$B227)-'Business Case'!F11*$C227*'Business Case'!F13*$D227-'Business Case'!F14*$E227)-MAX(0,(('Business Case'!F11*$C227*'Business Case'!F12*$B227)-'Business Case'!F11*$C227*'Business Case'!F13*$D227-'Business Case'!F14*$E227))*'Business Case'!$B$7-'Business Case'!$B$8*(('Business Case'!F11*$C227*'Business Case'!F12*$B227)-('Business Case'!E11*$C227*'Business Case'!E12*$B227))-'Business Case'!F15*$F227</f>
        <v>728451576.910598</v>
      </c>
      <c r="M227" s="39" t="n">
        <f aca="false">(('Business Case'!G11*$C227*'Business Case'!G12*$B227)-'Business Case'!G11*$C227*'Business Case'!G13*$D227-'Business Case'!G14*$E227)-MAX(0,(('Business Case'!G11*$C227*'Business Case'!G12*$B227)-'Business Case'!G11*$C227*'Business Case'!G13*$D227-'Business Case'!G14*$E227))*'Business Case'!$B$7-'Business Case'!$B$8*(('Business Case'!G11*$C227*'Business Case'!G12*$B227)-('Business Case'!F11*$C227*'Business Case'!F12*$B227))-'Business Case'!G15*$F227+'Business Case'!$B$8*('Business Case'!G11*$C227*'Business Case'!G12*$B227)</f>
        <v>896094612.735616</v>
      </c>
      <c r="N227" s="39" t="n">
        <f aca="false">IF(COUNT('Business Case'!B11:G11)=0,"",H227+NPV(G227,I227:M227))</f>
        <v>-386192589.218726</v>
      </c>
      <c r="P227" s="40" t="n">
        <f aca="true">RAND()</f>
        <v>0.782064373194501</v>
      </c>
      <c r="Q227" s="40" t="n">
        <f aca="true">RAND()</f>
        <v>0.223235039870714</v>
      </c>
      <c r="R227" s="40" t="n">
        <f aca="true">RAND()</f>
        <v>0.148491267033582</v>
      </c>
      <c r="S227" s="40" t="n">
        <f aca="true">RAND()</f>
        <v>0.676492183978776</v>
      </c>
      <c r="T227" s="40" t="n">
        <f aca="true">RAND()</f>
        <v>0.229677852235737</v>
      </c>
      <c r="U227" s="40" t="n">
        <f aca="true">RAND()</f>
        <v>0.852713978472888</v>
      </c>
    </row>
    <row r="228" customFormat="false" ht="15" hidden="false" customHeight="false" outlineLevel="0" collapsed="false">
      <c r="A228" s="36" t="n">
        <v>148</v>
      </c>
      <c r="B228" s="37" t="n">
        <f aca="false">1+IF($G$6=$E$6,$F$6,IF(P228&lt;($F$6-$E$6)/($G$6-$E$6),$E$6+SQRT(P228*($G$6-$E$6)*($F$6-$E$6)),$G$6-SQRT((1-P228)*($G$6-$E$6)*($G$6-$F$6))))</f>
        <v>0.992120527837383</v>
      </c>
      <c r="C228" s="37" t="n">
        <f aca="false">1+IF($G$7=$E$7,$F$7,IF(Q228&lt;($F$7-$E$7)/($G$7-$E$7),$E$7+SQRT(Q228*($G$7-$E$7)*($F$7-$E$7)),$G$7-SQRT((1-Q228)*($G$7-$E$7)*($G$7-$F$7))))</f>
        <v>0.895945241901286</v>
      </c>
      <c r="D228" s="37" t="n">
        <f aca="false">1+IF($G$8=$E$8,$F$8,IF(R228&lt;($F$8-$E$8)/($G$8-$E$8),$E$8+SQRT(R228*($G$8-$E$8)*($F$8-$E$8)),$G$8-SQRT((1-R228)*($G$8-$E$8)*($G$8-$F$8))))</f>
        <v>1.07822575259625</v>
      </c>
      <c r="E228" s="37" t="n">
        <f aca="false">1+IF($G$9=$E$9,$F$9,IF(S228&lt;($F$9-$E$9)/($G$9-$E$9),$E$9+SQRT(S228*($G$9-$E$9)*($F$9-$E$9)),$G$9-SQRT((1-S228)*($G$9-$E$9)*($G$9-$F$9))))</f>
        <v>0.988782333341461</v>
      </c>
      <c r="F228" s="37" t="n">
        <f aca="false">1+IF($G$10=$E$10,$F$10,IF(T228&lt;($F$10-$E$10)/($G$10-$E$10),$E$10+SQRT(T228*($G$10-$E$10)*($F$10-$E$10)),$G$10-SQRT((1-T228)*($G$10-$E$10)*($G$10-$F$10))))</f>
        <v>1.06094207891195</v>
      </c>
      <c r="G228" s="38" t="n">
        <f aca="false">IF($G$11=$E$11,$F$11,IF(U228&lt;($F$11-$E$11)/($G$11-$E$11),$E$11+SQRT(U228*($G$11-$E$11)*($F$11-$E$11)),$G$11-SQRT((1-U228)*($G$11-$E$11)*($G$11-$F$11))))</f>
        <v>0.094615027223673</v>
      </c>
      <c r="H228" s="39" t="n">
        <f aca="false">(('Business Case'!B11*$C228*'Business Case'!B12*$B228)-'Business Case'!B11*$C228*'Business Case'!B13*$D228-'Business Case'!B14*$E228)-MAX(0,(('Business Case'!B11*$C228*'Business Case'!B12*$B228)-'Business Case'!B11*$C228*'Business Case'!B13*$D228-'Business Case'!B14*$E228))*'Business Case'!$B$7-'Business Case'!$B$8*('Business Case'!B11*$C228*'Business Case'!B12*$B228)-'Business Case'!B15*$F228</f>
        <v>-2121884157.8239</v>
      </c>
      <c r="I228" s="39" t="n">
        <f aca="false">(('Business Case'!C11*$C228*'Business Case'!C12*$B228)-'Business Case'!C11*$C228*'Business Case'!C13*$D228-'Business Case'!C14*$E228)-MAX(0,(('Business Case'!C11*$C228*'Business Case'!C12*$B228)-'Business Case'!C11*$C228*'Business Case'!C13*$D228-'Business Case'!C14*$E228))*'Business Case'!$B$7-'Business Case'!$B$8*(('Business Case'!C11*$C228*'Business Case'!C12*$B228)-('Business Case'!B11*$C228*'Business Case'!B12*$B228))-'Business Case'!C15*$F228</f>
        <v>-59248236.8203625</v>
      </c>
      <c r="J228" s="39" t="n">
        <f aca="false">(('Business Case'!D11*$C228*'Business Case'!D12*$B228)-'Business Case'!D11*$C228*'Business Case'!D13*$D228-'Business Case'!D14*$E228)-MAX(0,(('Business Case'!D11*$C228*'Business Case'!D12*$B228)-'Business Case'!D11*$C228*'Business Case'!D13*$D228-'Business Case'!D14*$E228))*'Business Case'!$B$7-'Business Case'!$B$8*(('Business Case'!D11*$C228*'Business Case'!D12*$B228)-('Business Case'!C11*$C228*'Business Case'!C12*$B228))-'Business Case'!D15*$F228</f>
        <v>174282414.993058</v>
      </c>
      <c r="K228" s="39" t="n">
        <f aca="false">(('Business Case'!E11*$C228*'Business Case'!E12*$B228)-'Business Case'!E11*$C228*'Business Case'!E13*$D228-'Business Case'!E14*$E228)-MAX(0,(('Business Case'!E11*$C228*'Business Case'!E12*$B228)-'Business Case'!E11*$C228*'Business Case'!E13*$D228-'Business Case'!E14*$E228))*'Business Case'!$B$7-'Business Case'!$B$8*(('Business Case'!E11*$C228*'Business Case'!E12*$B228)-('Business Case'!D11*$C228*'Business Case'!D12*$B228))-'Business Case'!E15*$F228</f>
        <v>460860170.752076</v>
      </c>
      <c r="L228" s="39" t="n">
        <f aca="false">(('Business Case'!F11*$C228*'Business Case'!F12*$B228)-'Business Case'!F11*$C228*'Business Case'!F13*$D228-'Business Case'!F14*$E228)-MAX(0,(('Business Case'!F11*$C228*'Business Case'!F12*$B228)-'Business Case'!F11*$C228*'Business Case'!F13*$D228-'Business Case'!F14*$E228))*'Business Case'!$B$7-'Business Case'!$B$8*(('Business Case'!F11*$C228*'Business Case'!F12*$B228)-('Business Case'!E11*$C228*'Business Case'!E12*$B228))-'Business Case'!F15*$F228</f>
        <v>569423609.984171</v>
      </c>
      <c r="M228" s="39" t="n">
        <f aca="false">(('Business Case'!G11*$C228*'Business Case'!G12*$B228)-'Business Case'!G11*$C228*'Business Case'!G13*$D228-'Business Case'!G14*$E228)-MAX(0,(('Business Case'!G11*$C228*'Business Case'!G12*$B228)-'Business Case'!G11*$C228*'Business Case'!G13*$D228-'Business Case'!G14*$E228))*'Business Case'!$B$7-'Business Case'!$B$8*(('Business Case'!G11*$C228*'Business Case'!G12*$B228)-('Business Case'!F11*$C228*'Business Case'!F12*$B228))-'Business Case'!G15*$F228+'Business Case'!$B$8*('Business Case'!G11*$C228*'Business Case'!G12*$B228)</f>
        <v>738382997.43609</v>
      </c>
      <c r="N228" s="39" t="n">
        <f aca="false">IF(COUNT('Business Case'!B11:G11)=0,"",H228+NPV(G228,I228:M228))</f>
        <v>-812668449.458989</v>
      </c>
      <c r="P228" s="40" t="n">
        <f aca="true">RAND()</f>
        <v>0.565746109935869</v>
      </c>
      <c r="Q228" s="40" t="n">
        <f aca="true">RAND()</f>
        <v>0.284403983879655</v>
      </c>
      <c r="R228" s="40" t="n">
        <f aca="true">RAND()</f>
        <v>0.968392143333352</v>
      </c>
      <c r="S228" s="40" t="n">
        <f aca="true">RAND()</f>
        <v>0.315292108542173</v>
      </c>
      <c r="T228" s="40" t="n">
        <f aca="true">RAND()</f>
        <v>0.523428032984861</v>
      </c>
      <c r="U228" s="40" t="n">
        <f aca="true">RAND()</f>
        <v>0.213599020748704</v>
      </c>
    </row>
    <row r="229" customFormat="false" ht="15" hidden="false" customHeight="false" outlineLevel="0" collapsed="false">
      <c r="A229" s="36" t="n">
        <v>149</v>
      </c>
      <c r="B229" s="37" t="n">
        <f aca="false">1+IF($G$6=$E$6,$F$6,IF(P229&lt;($F$6-$E$6)/($G$6-$E$6),$E$6+SQRT(P229*($G$6-$E$6)*($F$6-$E$6)),$G$6-SQRT((1-P229)*($G$6-$E$6)*($G$6-$F$6))))</f>
        <v>0.998112314500591</v>
      </c>
      <c r="C229" s="37" t="n">
        <f aca="false">1+IF($G$7=$E$7,$F$7,IF(Q229&lt;($F$7-$E$7)/($G$7-$E$7),$E$7+SQRT(Q229*($G$7-$E$7)*($F$7-$E$7)),$G$7-SQRT((1-Q229)*($G$7-$E$7)*($G$7-$F$7))))</f>
        <v>0.891215569294131</v>
      </c>
      <c r="D229" s="37" t="n">
        <f aca="false">1+IF($G$8=$E$8,$F$8,IF(R229&lt;($F$8-$E$8)/($G$8-$E$8),$E$8+SQRT(R229*($G$8-$E$8)*($F$8-$E$8)),$G$8-SQRT((1-R229)*($G$8-$E$8)*($G$8-$F$8))))</f>
        <v>1.02630828058673</v>
      </c>
      <c r="E229" s="37" t="n">
        <f aca="false">1+IF($G$9=$E$9,$F$9,IF(S229&lt;($F$9-$E$9)/($G$9-$E$9),$E$9+SQRT(S229*($G$9-$E$9)*($F$9-$E$9)),$G$9-SQRT((1-S229)*($G$9-$E$9)*($G$9-$F$9))))</f>
        <v>1.03012004243484</v>
      </c>
      <c r="F229" s="37" t="n">
        <f aca="false">1+IF($G$10=$E$10,$F$10,IF(T229&lt;($F$10-$E$10)/($G$10-$E$10),$E$10+SQRT(T229*($G$10-$E$10)*($F$10-$E$10)),$G$10-SQRT((1-T229)*($G$10-$E$10)*($G$10-$F$10))))</f>
        <v>1.00144920770732</v>
      </c>
      <c r="G229" s="38" t="n">
        <f aca="false">IF($G$11=$E$11,$F$11,IF(U229&lt;($F$11-$E$11)/($G$11-$E$11),$E$11+SQRT(U229*($G$11-$E$11)*($F$11-$E$11)),$G$11-SQRT((1-U229)*($G$11-$E$11)*($G$11-$F$11))))</f>
        <v>0.0995672022175769</v>
      </c>
      <c r="H229" s="39" t="n">
        <f aca="false">(('Business Case'!B11*$C229*'Business Case'!B12*$B229)-'Business Case'!B11*$C229*'Business Case'!B13*$D229-'Business Case'!B14*$E229)-MAX(0,(('Business Case'!B11*$C229*'Business Case'!B12*$B229)-'Business Case'!B11*$C229*'Business Case'!B13*$D229-'Business Case'!B14*$E229))*'Business Case'!$B$7-'Business Case'!$B$8*('Business Case'!B11*$C229*'Business Case'!B12*$B229)-'Business Case'!B15*$F229</f>
        <v>-2002898415.41464</v>
      </c>
      <c r="I229" s="39" t="n">
        <f aca="false">(('Business Case'!C11*$C229*'Business Case'!C12*$B229)-'Business Case'!C11*$C229*'Business Case'!C13*$D229-'Business Case'!C14*$E229)-MAX(0,(('Business Case'!C11*$C229*'Business Case'!C12*$B229)-'Business Case'!C11*$C229*'Business Case'!C13*$D229-'Business Case'!C14*$E229))*'Business Case'!$B$7-'Business Case'!$B$8*(('Business Case'!C11*$C229*'Business Case'!C12*$B229)-('Business Case'!B11*$C229*'Business Case'!B12*$B229))-'Business Case'!C15*$F229</f>
        <v>-32383357.5125725</v>
      </c>
      <c r="J229" s="39" t="n">
        <f aca="false">(('Business Case'!D11*$C229*'Business Case'!D12*$B229)-'Business Case'!D11*$C229*'Business Case'!D13*$D229-'Business Case'!D14*$E229)-MAX(0,(('Business Case'!D11*$C229*'Business Case'!D12*$B229)-'Business Case'!D11*$C229*'Business Case'!D13*$D229-'Business Case'!D14*$E229))*'Business Case'!$B$7-'Business Case'!$B$8*(('Business Case'!D11*$C229*'Business Case'!D12*$B229)-('Business Case'!C11*$C229*'Business Case'!C12*$B229))-'Business Case'!D15*$F229</f>
        <v>227974678.660817</v>
      </c>
      <c r="K229" s="39" t="n">
        <f aca="false">(('Business Case'!E11*$C229*'Business Case'!E12*$B229)-'Business Case'!E11*$C229*'Business Case'!E13*$D229-'Business Case'!E14*$E229)-MAX(0,(('Business Case'!E11*$C229*'Business Case'!E12*$B229)-'Business Case'!E11*$C229*'Business Case'!E13*$D229-'Business Case'!E14*$E229))*'Business Case'!$B$7-'Business Case'!$B$8*(('Business Case'!E11*$C229*'Business Case'!E12*$B229)-('Business Case'!D11*$C229*'Business Case'!D12*$B229))-'Business Case'!E15*$F229</f>
        <v>538405175.219573</v>
      </c>
      <c r="L229" s="39" t="n">
        <f aca="false">(('Business Case'!F11*$C229*'Business Case'!F12*$B229)-'Business Case'!F11*$C229*'Business Case'!F13*$D229-'Business Case'!F14*$E229)-MAX(0,(('Business Case'!F11*$C229*'Business Case'!F12*$B229)-'Business Case'!F11*$C229*'Business Case'!F13*$D229-'Business Case'!F14*$E229))*'Business Case'!$B$7-'Business Case'!$B$8*(('Business Case'!F11*$C229*'Business Case'!F12*$B229)-('Business Case'!E11*$C229*'Business Case'!E12*$B229))-'Business Case'!F15*$F229</f>
        <v>655933455.8647</v>
      </c>
      <c r="M229" s="39" t="n">
        <f aca="false">(('Business Case'!G11*$C229*'Business Case'!G12*$B229)-'Business Case'!G11*$C229*'Business Case'!G13*$D229-'Business Case'!G14*$E229)-MAX(0,(('Business Case'!G11*$C229*'Business Case'!G12*$B229)-'Business Case'!G11*$C229*'Business Case'!G13*$D229-'Business Case'!G14*$E229))*'Business Case'!$B$7-'Business Case'!$B$8*(('Business Case'!G11*$C229*'Business Case'!G12*$B229)-('Business Case'!F11*$C229*'Business Case'!F12*$B229))-'Business Case'!G15*$F229+'Business Case'!$B$8*('Business Case'!G11*$C229*'Business Case'!G12*$B229)</f>
        <v>825015933.095021</v>
      </c>
      <c r="N229" s="39" t="n">
        <f aca="false">IF(COUNT('Business Case'!B11:G11)=0,"",H229+NPV(G229,I229:M229))</f>
        <v>-476806524.568761</v>
      </c>
      <c r="P229" s="40" t="n">
        <f aca="true">RAND()</f>
        <v>0.641735083777529</v>
      </c>
      <c r="Q229" s="40" t="n">
        <f aca="true">RAND()</f>
        <v>0.270839955114656</v>
      </c>
      <c r="R229" s="40" t="n">
        <f aca="true">RAND()</f>
        <v>0.637968699327678</v>
      </c>
      <c r="S229" s="40" t="n">
        <f aca="true">RAND()</f>
        <v>0.616767887311323</v>
      </c>
      <c r="T229" s="40" t="n">
        <f aca="true">RAND()</f>
        <v>0.176300048675734</v>
      </c>
      <c r="U229" s="40" t="n">
        <f aca="true">RAND()</f>
        <v>0.382875402623545</v>
      </c>
    </row>
    <row r="230" customFormat="false" ht="15" hidden="false" customHeight="false" outlineLevel="0" collapsed="false">
      <c r="A230" s="36" t="n">
        <v>150</v>
      </c>
      <c r="B230" s="37" t="n">
        <f aca="false">1+IF($G$6=$E$6,$F$6,IF(P230&lt;($F$6-$E$6)/($G$6-$E$6),$E$6+SQRT(P230*($G$6-$E$6)*($F$6-$E$6)),$G$6-SQRT((1-P230)*($G$6-$E$6)*($G$6-$F$6))))</f>
        <v>1.04058763832535</v>
      </c>
      <c r="C230" s="37" t="n">
        <f aca="false">1+IF($G$7=$E$7,$F$7,IF(Q230&lt;($F$7-$E$7)/($G$7-$E$7),$E$7+SQRT(Q230*($G$7-$E$7)*($F$7-$E$7)),$G$7-SQRT((1-Q230)*($G$7-$E$7)*($G$7-$F$7))))</f>
        <v>1.05440175249941</v>
      </c>
      <c r="D230" s="37" t="n">
        <f aca="false">1+IF($G$8=$E$8,$F$8,IF(R230&lt;($F$8-$E$8)/($G$8-$E$8),$E$8+SQRT(R230*($G$8-$E$8)*($F$8-$E$8)),$G$8-SQRT((1-R230)*($G$8-$E$8)*($G$8-$F$8))))</f>
        <v>0.996339115055073</v>
      </c>
      <c r="E230" s="37" t="n">
        <f aca="false">1+IF($G$9=$E$9,$F$9,IF(S230&lt;($F$9-$E$9)/($G$9-$E$9),$E$9+SQRT(S230*($G$9-$E$9)*($F$9-$E$9)),$G$9-SQRT((1-S230)*($G$9-$E$9)*($G$9-$F$9))))</f>
        <v>0.978940099954234</v>
      </c>
      <c r="F230" s="37" t="n">
        <f aca="false">1+IF($G$10=$E$10,$F$10,IF(T230&lt;($F$10-$E$10)/($G$10-$E$10),$E$10+SQRT(T230*($G$10-$E$10)*($F$10-$E$10)),$G$10-SQRT((1-T230)*($G$10-$E$10)*($G$10-$F$10))))</f>
        <v>1.21542335019314</v>
      </c>
      <c r="G230" s="38" t="n">
        <f aca="false">IF($G$11=$E$11,$F$11,IF(U230&lt;($F$11-$E$11)/($G$11-$E$11),$E$11+SQRT(U230*($G$11-$E$11)*($F$11-$E$11)),$G$11-SQRT((1-U230)*($G$11-$E$11)*($G$11-$F$11))))</f>
        <v>0.085351614030575</v>
      </c>
      <c r="H230" s="39" t="n">
        <f aca="false">(('Business Case'!B11*$C230*'Business Case'!B12*$B230)-'Business Case'!B11*$C230*'Business Case'!B13*$D230-'Business Case'!B14*$E230)-MAX(0,(('Business Case'!B11*$C230*'Business Case'!B12*$B230)-'Business Case'!B11*$C230*'Business Case'!B13*$D230-'Business Case'!B14*$E230))*'Business Case'!$B$7-'Business Case'!$B$8*('Business Case'!B11*$C230*'Business Case'!B12*$B230)-'Business Case'!B15*$F230</f>
        <v>-2430846700.38629</v>
      </c>
      <c r="I230" s="39" t="n">
        <f aca="false">(('Business Case'!C11*$C230*'Business Case'!C12*$B230)-'Business Case'!C11*$C230*'Business Case'!C13*$D230-'Business Case'!C14*$E230)-MAX(0,(('Business Case'!C11*$C230*'Business Case'!C12*$B230)-'Business Case'!C11*$C230*'Business Case'!C13*$D230-'Business Case'!C14*$E230))*'Business Case'!$B$7-'Business Case'!$B$8*(('Business Case'!C11*$C230*'Business Case'!C12*$B230)-('Business Case'!B11*$C230*'Business Case'!B12*$B230))-'Business Case'!C15*$F230</f>
        <v>43264049.3114476</v>
      </c>
      <c r="J230" s="39" t="n">
        <f aca="false">(('Business Case'!D11*$C230*'Business Case'!D12*$B230)-'Business Case'!D11*$C230*'Business Case'!D13*$D230-'Business Case'!D14*$E230)-MAX(0,(('Business Case'!D11*$C230*'Business Case'!D12*$B230)-'Business Case'!D11*$C230*'Business Case'!D13*$D230-'Business Case'!D14*$E230))*'Business Case'!$B$7-'Business Case'!$B$8*(('Business Case'!D11*$C230*'Business Case'!D12*$B230)-('Business Case'!C11*$C230*'Business Case'!C12*$B230))-'Business Case'!D15*$F230</f>
        <v>404154430.599918</v>
      </c>
      <c r="K230" s="39" t="n">
        <f aca="false">(('Business Case'!E11*$C230*'Business Case'!E12*$B230)-'Business Case'!E11*$C230*'Business Case'!E13*$D230-'Business Case'!E14*$E230)-MAX(0,(('Business Case'!E11*$C230*'Business Case'!E12*$B230)-'Business Case'!E11*$C230*'Business Case'!E13*$D230-'Business Case'!E14*$E230))*'Business Case'!$B$7-'Business Case'!$B$8*(('Business Case'!E11*$C230*'Business Case'!E12*$B230)-('Business Case'!D11*$C230*'Business Case'!D12*$B230))-'Business Case'!E15*$F230</f>
        <v>825815979.398046</v>
      </c>
      <c r="L230" s="39" t="n">
        <f aca="false">(('Business Case'!F11*$C230*'Business Case'!F12*$B230)-'Business Case'!F11*$C230*'Business Case'!F13*$D230-'Business Case'!F14*$E230)-MAX(0,(('Business Case'!F11*$C230*'Business Case'!F12*$B230)-'Business Case'!F11*$C230*'Business Case'!F13*$D230-'Business Case'!F14*$E230))*'Business Case'!$B$7-'Business Case'!$B$8*(('Business Case'!F11*$C230*'Business Case'!F12*$B230)-('Business Case'!E11*$C230*'Business Case'!E12*$B230))-'Business Case'!F15*$F230</f>
        <v>984031916.32368</v>
      </c>
      <c r="M230" s="39" t="n">
        <f aca="false">(('Business Case'!G11*$C230*'Business Case'!G12*$B230)-'Business Case'!G11*$C230*'Business Case'!G13*$D230-'Business Case'!G14*$E230)-MAX(0,(('Business Case'!G11*$C230*'Business Case'!G12*$B230)-'Business Case'!G11*$C230*'Business Case'!G13*$D230-'Business Case'!G14*$E230))*'Business Case'!$B$7-'Business Case'!$B$8*(('Business Case'!G11*$C230*'Business Case'!G12*$B230)-('Business Case'!F11*$C230*'Business Case'!F12*$B230))-'Business Case'!G15*$F230+'Business Case'!$B$8*('Business Case'!G11*$C230*'Business Case'!G12*$B230)</f>
        <v>1192587203.71914</v>
      </c>
      <c r="N230" s="39" t="n">
        <f aca="false">IF(COUNT('Business Case'!B11:G11)=0,"",H230+NPV(G230,I230:M230))</f>
        <v>98986880.1203919</v>
      </c>
      <c r="P230" s="40" t="n">
        <f aca="true">RAND()</f>
        <v>0.988187659694088</v>
      </c>
      <c r="Q230" s="40" t="n">
        <f aca="true">RAND()</f>
        <v>0.86460703814543</v>
      </c>
      <c r="R230" s="40" t="n">
        <f aca="true">RAND()</f>
        <v>0.286308477878309</v>
      </c>
      <c r="S230" s="40" t="n">
        <f aca="true">RAND()</f>
        <v>0.249261575231378</v>
      </c>
      <c r="T230" s="40" t="n">
        <f aca="true">RAND()</f>
        <v>0.984059403841788</v>
      </c>
      <c r="U230" s="40" t="n">
        <f aca="true">RAND()</f>
        <v>0.0286397727322471</v>
      </c>
    </row>
    <row r="231" customFormat="false" ht="15" hidden="false" customHeight="false" outlineLevel="0" collapsed="false">
      <c r="A231" s="36" t="n">
        <v>151</v>
      </c>
      <c r="B231" s="37" t="n">
        <f aca="false">1+IF($G$6=$E$6,$F$6,IF(P231&lt;($F$6-$E$6)/($G$6-$E$6),$E$6+SQRT(P231*($G$6-$E$6)*($F$6-$E$6)),$G$6-SQRT((1-P231)*($G$6-$E$6)*($G$6-$F$6))))</f>
        <v>0.93640581882265</v>
      </c>
      <c r="C231" s="37" t="n">
        <f aca="false">1+IF($G$7=$E$7,$F$7,IF(Q231&lt;($F$7-$E$7)/($G$7-$E$7),$E$7+SQRT(Q231*($G$7-$E$7)*($F$7-$E$7)),$G$7-SQRT((1-Q231)*($G$7-$E$7)*($G$7-$F$7))))</f>
        <v>1.09864669695913</v>
      </c>
      <c r="D231" s="37" t="n">
        <f aca="false">1+IF($G$8=$E$8,$F$8,IF(R231&lt;($F$8-$E$8)/($G$8-$E$8),$E$8+SQRT(R231*($G$8-$E$8)*($F$8-$E$8)),$G$8-SQRT((1-R231)*($G$8-$E$8)*($G$8-$F$8))))</f>
        <v>0.984661477398252</v>
      </c>
      <c r="E231" s="37" t="n">
        <f aca="false">1+IF($G$9=$E$9,$F$9,IF(S231&lt;($F$9-$E$9)/($G$9-$E$9),$E$9+SQRT(S231*($G$9-$E$9)*($F$9-$E$9)),$G$9-SQRT((1-S231)*($G$9-$E$9)*($G$9-$F$9))))</f>
        <v>0.993640066071073</v>
      </c>
      <c r="F231" s="37" t="n">
        <f aca="false">1+IF($G$10=$E$10,$F$10,IF(T231&lt;($F$10-$E$10)/($G$10-$E$10),$E$10+SQRT(T231*($G$10-$E$10)*($F$10-$E$10)),$G$10-SQRT((1-T231)*($G$10-$E$10)*($G$10-$F$10))))</f>
        <v>1.08279782823402</v>
      </c>
      <c r="G231" s="38" t="n">
        <f aca="false">IF($G$11=$E$11,$F$11,IF(U231&lt;($F$11-$E$11)/($G$11-$E$11),$E$11+SQRT(U231*($G$11-$E$11)*($F$11-$E$11)),$G$11-SQRT((1-U231)*($G$11-$E$11)*($G$11-$F$11))))</f>
        <v>0.087360181180472</v>
      </c>
      <c r="H231" s="39" t="n">
        <f aca="false">(('Business Case'!B11*$C231*'Business Case'!B12*$B231)-'Business Case'!B11*$C231*'Business Case'!B13*$D231-'Business Case'!B14*$E231)-MAX(0,(('Business Case'!B11*$C231*'Business Case'!B12*$B231)-'Business Case'!B11*$C231*'Business Case'!B13*$D231-'Business Case'!B14*$E231))*'Business Case'!$B$7-'Business Case'!$B$8*('Business Case'!B11*$C231*'Business Case'!B12*$B231)-'Business Case'!B15*$F231</f>
        <v>-2165595656.46804</v>
      </c>
      <c r="I231" s="39" t="n">
        <f aca="false">(('Business Case'!C11*$C231*'Business Case'!C12*$B231)-'Business Case'!C11*$C231*'Business Case'!C13*$D231-'Business Case'!C14*$E231)-MAX(0,(('Business Case'!C11*$C231*'Business Case'!C12*$B231)-'Business Case'!C11*$C231*'Business Case'!C13*$D231-'Business Case'!C14*$E231))*'Business Case'!$B$7-'Business Case'!$B$8*(('Business Case'!C11*$C231*'Business Case'!C12*$B231)-('Business Case'!B11*$C231*'Business Case'!B12*$B231))-'Business Case'!C15*$F231</f>
        <v>-14055645.0729019</v>
      </c>
      <c r="J231" s="39" t="n">
        <f aca="false">(('Business Case'!D11*$C231*'Business Case'!D12*$B231)-'Business Case'!D11*$C231*'Business Case'!D13*$D231-'Business Case'!D14*$E231)-MAX(0,(('Business Case'!D11*$C231*'Business Case'!D12*$B231)-'Business Case'!D11*$C231*'Business Case'!D13*$D231-'Business Case'!D14*$E231))*'Business Case'!$B$7-'Business Case'!$B$8*(('Business Case'!D11*$C231*'Business Case'!D12*$B231)-('Business Case'!C11*$C231*'Business Case'!C12*$B231))-'Business Case'!D15*$F231</f>
        <v>274796021.720193</v>
      </c>
      <c r="K231" s="39" t="n">
        <f aca="false">(('Business Case'!E11*$C231*'Business Case'!E12*$B231)-'Business Case'!E11*$C231*'Business Case'!E13*$D231-'Business Case'!E14*$E231)-MAX(0,(('Business Case'!E11*$C231*'Business Case'!E12*$B231)-'Business Case'!E11*$C231*'Business Case'!E13*$D231-'Business Case'!E14*$E231))*'Business Case'!$B$7-'Business Case'!$B$8*(('Business Case'!E11*$C231*'Business Case'!E12*$B231)-('Business Case'!D11*$C231*'Business Case'!D12*$B231))-'Business Case'!E15*$F231</f>
        <v>617787579.924989</v>
      </c>
      <c r="L231" s="39" t="n">
        <f aca="false">(('Business Case'!F11*$C231*'Business Case'!F12*$B231)-'Business Case'!F11*$C231*'Business Case'!F13*$D231-'Business Case'!F14*$E231)-MAX(0,(('Business Case'!F11*$C231*'Business Case'!F12*$B231)-'Business Case'!F11*$C231*'Business Case'!F13*$D231-'Business Case'!F14*$E231))*'Business Case'!$B$7-'Business Case'!$B$8*(('Business Case'!F11*$C231*'Business Case'!F12*$B231)-('Business Case'!E11*$C231*'Business Case'!E12*$B231))-'Business Case'!F15*$F231</f>
        <v>749626076.620879</v>
      </c>
      <c r="M231" s="39" t="n">
        <f aca="false">(('Business Case'!G11*$C231*'Business Case'!G12*$B231)-'Business Case'!G11*$C231*'Business Case'!G13*$D231-'Business Case'!G14*$E231)-MAX(0,(('Business Case'!G11*$C231*'Business Case'!G12*$B231)-'Business Case'!G11*$C231*'Business Case'!G13*$D231-'Business Case'!G14*$E231))*'Business Case'!$B$7-'Business Case'!$B$8*(('Business Case'!G11*$C231*'Business Case'!G12*$B231)-('Business Case'!F11*$C231*'Business Case'!F12*$B231))-'Business Case'!G15*$F231+'Business Case'!$B$8*('Business Case'!G11*$C231*'Business Case'!G12*$B231)</f>
        <v>945176419.327603</v>
      </c>
      <c r="N231" s="39" t="n">
        <f aca="false">IF(COUNT('Business Case'!B11:G11)=0,"",H231+NPV(G231,I231:M231))</f>
        <v>-307556392.292339</v>
      </c>
      <c r="P231" s="40" t="n">
        <f aca="true">RAND()</f>
        <v>0.0883589096098411</v>
      </c>
      <c r="Q231" s="40" t="n">
        <f aca="true">RAND()</f>
        <v>0.960930937285816</v>
      </c>
      <c r="R231" s="40" t="n">
        <f aca="true">RAND()</f>
        <v>0.16018906872394</v>
      </c>
      <c r="S231" s="40" t="n">
        <f aca="true">RAND()</f>
        <v>0.350738478951794</v>
      </c>
      <c r="T231" s="40" t="n">
        <f aca="true">RAND()</f>
        <v>0.627245783423194</v>
      </c>
      <c r="U231" s="40" t="n">
        <f aca="true">RAND()</f>
        <v>0.0541722670093737</v>
      </c>
    </row>
    <row r="232" customFormat="false" ht="15" hidden="false" customHeight="false" outlineLevel="0" collapsed="false">
      <c r="A232" s="36" t="n">
        <v>152</v>
      </c>
      <c r="B232" s="37" t="n">
        <f aca="false">1+IF($G$6=$E$6,$F$6,IF(P232&lt;($F$6-$E$6)/($G$6-$E$6),$E$6+SQRT(P232*($G$6-$E$6)*($F$6-$E$6)),$G$6-SQRT((1-P232)*($G$6-$E$6)*($G$6-$F$6))))</f>
        <v>1.006819036761</v>
      </c>
      <c r="C232" s="37" t="n">
        <f aca="false">1+IF($G$7=$E$7,$F$7,IF(Q232&lt;($F$7-$E$7)/($G$7-$E$7),$E$7+SQRT(Q232*($G$7-$E$7)*($F$7-$E$7)),$G$7-SQRT((1-Q232)*($G$7-$E$7)*($G$7-$F$7))))</f>
        <v>0.987774746645085</v>
      </c>
      <c r="D232" s="37" t="n">
        <f aca="false">1+IF($G$8=$E$8,$F$8,IF(R232&lt;($F$8-$E$8)/($G$8-$E$8),$E$8+SQRT(R232*($G$8-$E$8)*($F$8-$E$8)),$G$8-SQRT((1-R232)*($G$8-$E$8)*($G$8-$F$8))))</f>
        <v>0.997171744605348</v>
      </c>
      <c r="E232" s="37" t="n">
        <f aca="false">1+IF($G$9=$E$9,$F$9,IF(S232&lt;($F$9-$E$9)/($G$9-$E$9),$E$9+SQRT(S232*($G$9-$E$9)*($F$9-$E$9)),$G$9-SQRT((1-S232)*($G$9-$E$9)*($G$9-$F$9))))</f>
        <v>1.04477589852291</v>
      </c>
      <c r="F232" s="37" t="n">
        <f aca="false">1+IF($G$10=$E$10,$F$10,IF(T232&lt;($F$10-$E$10)/($G$10-$E$10),$E$10+SQRT(T232*($G$10-$E$10)*($F$10-$E$10)),$G$10-SQRT((1-T232)*($G$10-$E$10)*($G$10-$F$10))))</f>
        <v>1.01576185234876</v>
      </c>
      <c r="G232" s="38" t="n">
        <f aca="false">IF($G$11=$E$11,$F$11,IF(U232&lt;($F$11-$E$11)/($G$11-$E$11),$E$11+SQRT(U232*($G$11-$E$11)*($F$11-$E$11)),$G$11-SQRT((1-U232)*($G$11-$E$11)*($G$11-$F$11))))</f>
        <v>0.125457656439317</v>
      </c>
      <c r="H232" s="39" t="n">
        <f aca="false">(('Business Case'!B11*$C232*'Business Case'!B12*$B232)-'Business Case'!B11*$C232*'Business Case'!B13*$D232-'Business Case'!B14*$E232)-MAX(0,(('Business Case'!B11*$C232*'Business Case'!B12*$B232)-'Business Case'!B11*$C232*'Business Case'!B13*$D232-'Business Case'!B14*$E232))*'Business Case'!$B$7-'Business Case'!$B$8*('Business Case'!B11*$C232*'Business Case'!B12*$B232)-'Business Case'!B15*$F232</f>
        <v>-2031523704.69752</v>
      </c>
      <c r="I232" s="39" t="n">
        <f aca="false">(('Business Case'!C11*$C232*'Business Case'!C12*$B232)-'Business Case'!C11*$C232*'Business Case'!C13*$D232-'Business Case'!C14*$E232)-MAX(0,(('Business Case'!C11*$C232*'Business Case'!C12*$B232)-'Business Case'!C11*$C232*'Business Case'!C13*$D232-'Business Case'!C14*$E232))*'Business Case'!$B$7-'Business Case'!$B$8*(('Business Case'!C11*$C232*'Business Case'!C12*$B232)-('Business Case'!B11*$C232*'Business Case'!B12*$B232))-'Business Case'!C15*$F232</f>
        <v>8645391.73224565</v>
      </c>
      <c r="J232" s="39" t="n">
        <f aca="false">(('Business Case'!D11*$C232*'Business Case'!D12*$B232)-'Business Case'!D11*$C232*'Business Case'!D13*$D232-'Business Case'!D14*$E232)-MAX(0,(('Business Case'!D11*$C232*'Business Case'!D12*$B232)-'Business Case'!D11*$C232*'Business Case'!D13*$D232-'Business Case'!D14*$E232))*'Business Case'!$B$7-'Business Case'!$B$8*(('Business Case'!D11*$C232*'Business Case'!D12*$B232)-('Business Case'!C11*$C232*'Business Case'!C12*$B232))-'Business Case'!D15*$F232</f>
        <v>318989521.587903</v>
      </c>
      <c r="K232" s="39" t="n">
        <f aca="false">(('Business Case'!E11*$C232*'Business Case'!E12*$B232)-'Business Case'!E11*$C232*'Business Case'!E13*$D232-'Business Case'!E14*$E232)-MAX(0,(('Business Case'!E11*$C232*'Business Case'!E12*$B232)-'Business Case'!E11*$C232*'Business Case'!E13*$D232-'Business Case'!E14*$E232))*'Business Case'!$B$7-'Business Case'!$B$8*(('Business Case'!E11*$C232*'Business Case'!E12*$B232)-('Business Case'!D11*$C232*'Business Case'!D12*$B232))-'Business Case'!E15*$F232</f>
        <v>680121744.060998</v>
      </c>
      <c r="L232" s="39" t="n">
        <f aca="false">(('Business Case'!F11*$C232*'Business Case'!F12*$B232)-'Business Case'!F11*$C232*'Business Case'!F13*$D232-'Business Case'!F14*$E232)-MAX(0,(('Business Case'!F11*$C232*'Business Case'!F12*$B232)-'Business Case'!F11*$C232*'Business Case'!F13*$D232-'Business Case'!F14*$E232))*'Business Case'!$B$7-'Business Case'!$B$8*(('Business Case'!F11*$C232*'Business Case'!F12*$B232)-('Business Case'!E11*$C232*'Business Case'!E12*$B232))-'Business Case'!F15*$F232</f>
        <v>817940067.425269</v>
      </c>
      <c r="M232" s="39" t="n">
        <f aca="false">(('Business Case'!G11*$C232*'Business Case'!G12*$B232)-'Business Case'!G11*$C232*'Business Case'!G13*$D232-'Business Case'!G14*$E232)-MAX(0,(('Business Case'!G11*$C232*'Business Case'!G12*$B232)-'Business Case'!G11*$C232*'Business Case'!G13*$D232-'Business Case'!G14*$E232))*'Business Case'!$B$7-'Business Case'!$B$8*(('Business Case'!G11*$C232*'Business Case'!G12*$B232)-('Business Case'!F11*$C232*'Business Case'!F12*$B232))-'Business Case'!G15*$F232+'Business Case'!$B$8*('Business Case'!G11*$C232*'Business Case'!G12*$B232)</f>
        <v>1006976607.86005</v>
      </c>
      <c r="N232" s="39" t="n">
        <f aca="false">IF(COUNT('Business Case'!B11:G11)=0,"",H232+NPV(G232,I232:M232))</f>
        <v>-227445985.660725</v>
      </c>
      <c r="P232" s="40" t="n">
        <f aca="true">RAND()</f>
        <v>0.751387255166962</v>
      </c>
      <c r="Q232" s="40" t="n">
        <f aca="true">RAND()</f>
        <v>0.613439294864019</v>
      </c>
      <c r="R232" s="40" t="n">
        <f aca="true">RAND()</f>
        <v>0.296689798548284</v>
      </c>
      <c r="S232" s="40" t="n">
        <f aca="true">RAND()</f>
        <v>0.704743692489033</v>
      </c>
      <c r="T232" s="40" t="n">
        <f aca="true">RAND()</f>
        <v>0.268433202465547</v>
      </c>
      <c r="U232" s="40" t="n">
        <f aca="true">RAND()</f>
        <v>0.986244743317816</v>
      </c>
    </row>
    <row r="233" customFormat="false" ht="15" hidden="false" customHeight="false" outlineLevel="0" collapsed="false">
      <c r="A233" s="36" t="n">
        <v>153</v>
      </c>
      <c r="B233" s="37" t="n">
        <f aca="false">1+IF($G$6=$E$6,$F$6,IF(P233&lt;($F$6-$E$6)/($G$6-$E$6),$E$6+SQRT(P233*($G$6-$E$6)*($F$6-$E$6)),$G$6-SQRT((1-P233)*($G$6-$E$6)*($G$6-$F$6))))</f>
        <v>1.02738044967989</v>
      </c>
      <c r="C233" s="37" t="n">
        <f aca="false">1+IF($G$7=$E$7,$F$7,IF(Q233&lt;($F$7-$E$7)/($G$7-$E$7),$E$7+SQRT(Q233*($G$7-$E$7)*($F$7-$E$7)),$G$7-SQRT((1-Q233)*($G$7-$E$7)*($G$7-$F$7))))</f>
        <v>0.84765927624659</v>
      </c>
      <c r="D233" s="37" t="n">
        <f aca="false">1+IF($G$8=$E$8,$F$8,IF(R233&lt;($F$8-$E$8)/($G$8-$E$8),$E$8+SQRT(R233*($G$8-$E$8)*($F$8-$E$8)),$G$8-SQRT((1-R233)*($G$8-$E$8)*($G$8-$F$8))))</f>
        <v>1.03531120715937</v>
      </c>
      <c r="E233" s="37" t="n">
        <f aca="false">1+IF($G$9=$E$9,$F$9,IF(S233&lt;($F$9-$E$9)/($G$9-$E$9),$E$9+SQRT(S233*($G$9-$E$9)*($F$9-$E$9)),$G$9-SQRT((1-S233)*($G$9-$E$9)*($G$9-$F$9))))</f>
        <v>0.945539316130235</v>
      </c>
      <c r="F233" s="37" t="n">
        <f aca="false">1+IF($G$10=$E$10,$F$10,IF(T233&lt;($F$10-$E$10)/($G$10-$E$10),$E$10+SQRT(T233*($G$10-$E$10)*($F$10-$E$10)),$G$10-SQRT((1-T233)*($G$10-$E$10)*($G$10-$F$10))))</f>
        <v>1.161981255743</v>
      </c>
      <c r="G233" s="38" t="n">
        <f aca="false">IF($G$11=$E$11,$F$11,IF(U233&lt;($F$11-$E$11)/($G$11-$E$11),$E$11+SQRT(U233*($G$11-$E$11)*($F$11-$E$11)),$G$11-SQRT((1-U233)*($G$11-$E$11)*($G$11-$F$11))))</f>
        <v>0.113767501117595</v>
      </c>
      <c r="H233" s="39" t="n">
        <f aca="false">(('Business Case'!B11*$C233*'Business Case'!B12*$B233)-'Business Case'!B11*$C233*'Business Case'!B13*$D233-'Business Case'!B14*$E233)-MAX(0,(('Business Case'!B11*$C233*'Business Case'!B12*$B233)-'Business Case'!B11*$C233*'Business Case'!B13*$D233-'Business Case'!B14*$E233))*'Business Case'!$B$7-'Business Case'!$B$8*('Business Case'!B11*$C233*'Business Case'!B12*$B233)-'Business Case'!B15*$F233</f>
        <v>-2323962511.48599</v>
      </c>
      <c r="I233" s="39" t="n">
        <f aca="false">(('Business Case'!C11*$C233*'Business Case'!C12*$B233)-'Business Case'!C11*$C233*'Business Case'!C13*$D233-'Business Case'!C14*$E233)-MAX(0,(('Business Case'!C11*$C233*'Business Case'!C12*$B233)-'Business Case'!C11*$C233*'Business Case'!C13*$D233-'Business Case'!C14*$E233))*'Business Case'!$B$7-'Business Case'!$B$8*(('Business Case'!C11*$C233*'Business Case'!C12*$B233)-('Business Case'!B11*$C233*'Business Case'!B12*$B233))-'Business Case'!C15*$F233</f>
        <v>-31752043.6191625</v>
      </c>
      <c r="J233" s="39" t="n">
        <f aca="false">(('Business Case'!D11*$C233*'Business Case'!D12*$B233)-'Business Case'!D11*$C233*'Business Case'!D13*$D233-'Business Case'!D14*$E233)-MAX(0,(('Business Case'!D11*$C233*'Business Case'!D12*$B233)-'Business Case'!D11*$C233*'Business Case'!D13*$D233-'Business Case'!D14*$E233))*'Business Case'!$B$7-'Business Case'!$B$8*(('Business Case'!D11*$C233*'Business Case'!D12*$B233)-('Business Case'!C11*$C233*'Business Case'!C12*$B233))-'Business Case'!D15*$F233</f>
        <v>232295555.675838</v>
      </c>
      <c r="K233" s="39" t="n">
        <f aca="false">(('Business Case'!E11*$C233*'Business Case'!E12*$B233)-'Business Case'!E11*$C233*'Business Case'!E13*$D233-'Business Case'!E14*$E233)-MAX(0,(('Business Case'!E11*$C233*'Business Case'!E12*$B233)-'Business Case'!E11*$C233*'Business Case'!E13*$D233-'Business Case'!E14*$E233))*'Business Case'!$B$7-'Business Case'!$B$8*(('Business Case'!E11*$C233*'Business Case'!E12*$B233)-('Business Case'!D11*$C233*'Business Case'!D12*$B233))-'Business Case'!E15*$F233</f>
        <v>554442217.757988</v>
      </c>
      <c r="L233" s="39" t="n">
        <f aca="false">(('Business Case'!F11*$C233*'Business Case'!F12*$B233)-'Business Case'!F11*$C233*'Business Case'!F13*$D233-'Business Case'!F14*$E233)-MAX(0,(('Business Case'!F11*$C233*'Business Case'!F12*$B233)-'Business Case'!F11*$C233*'Business Case'!F13*$D233-'Business Case'!F14*$E233))*'Business Case'!$B$7-'Business Case'!$B$8*(('Business Case'!F11*$C233*'Business Case'!F12*$B233)-('Business Case'!E11*$C233*'Business Case'!E12*$B233))-'Business Case'!F15*$F233</f>
        <v>672555301.913751</v>
      </c>
      <c r="M233" s="39" t="n">
        <f aca="false">(('Business Case'!G11*$C233*'Business Case'!G12*$B233)-'Business Case'!G11*$C233*'Business Case'!G13*$D233-'Business Case'!G14*$E233)-MAX(0,(('Business Case'!G11*$C233*'Business Case'!G12*$B233)-'Business Case'!G11*$C233*'Business Case'!G13*$D233-'Business Case'!G14*$E233))*'Business Case'!$B$7-'Business Case'!$B$8*(('Business Case'!G11*$C233*'Business Case'!G12*$B233)-('Business Case'!F11*$C233*'Business Case'!F12*$B233))-'Business Case'!G15*$F233+'Business Case'!$B$8*('Business Case'!G11*$C233*'Business Case'!G12*$B233)</f>
        <v>838089999.396279</v>
      </c>
      <c r="N233" s="39" t="n">
        <f aca="false">IF(COUNT('Business Case'!B11:G11)=0,"",H233+NPV(G233,I233:M233))</f>
        <v>-837825952.464261</v>
      </c>
      <c r="P233" s="40" t="n">
        <f aca="true">RAND()</f>
        <v>0.931780792442148</v>
      </c>
      <c r="Q233" s="40" t="n">
        <f aca="true">RAND()</f>
        <v>0.161505643419755</v>
      </c>
      <c r="R233" s="40" t="n">
        <f aca="true">RAND()</f>
        <v>0.721024005388165</v>
      </c>
      <c r="S233" s="40" t="n">
        <f aca="true">RAND()</f>
        <v>0.0829531725443789</v>
      </c>
      <c r="T233" s="40" t="n">
        <f aca="true">RAND()</f>
        <v>0.896702675458934</v>
      </c>
      <c r="U233" s="40" t="n">
        <f aca="true">RAND()</f>
        <v>0.82433732002181</v>
      </c>
    </row>
    <row r="234" customFormat="false" ht="15" hidden="false" customHeight="false" outlineLevel="0" collapsed="false">
      <c r="A234" s="36" t="n">
        <v>154</v>
      </c>
      <c r="B234" s="37" t="n">
        <f aca="false">1+IF($G$6=$E$6,$F$6,IF(P234&lt;($F$6-$E$6)/($G$6-$E$6),$E$6+SQRT(P234*($G$6-$E$6)*($F$6-$E$6)),$G$6-SQRT((1-P234)*($G$6-$E$6)*($G$6-$F$6))))</f>
        <v>0.918873854259057</v>
      </c>
      <c r="C234" s="37" t="n">
        <f aca="false">1+IF($G$7=$E$7,$F$7,IF(Q234&lt;($F$7-$E$7)/($G$7-$E$7),$E$7+SQRT(Q234*($G$7-$E$7)*($F$7-$E$7)),$G$7-SQRT((1-Q234)*($G$7-$E$7)*($G$7-$F$7))))</f>
        <v>1.09679408463162</v>
      </c>
      <c r="D234" s="37" t="n">
        <f aca="false">1+IF($G$8=$E$8,$F$8,IF(R234&lt;($F$8-$E$8)/($G$8-$E$8),$E$8+SQRT(R234*($G$8-$E$8)*($F$8-$E$8)),$G$8-SQRT((1-R234)*($G$8-$E$8)*($G$8-$F$8))))</f>
        <v>0.991366112804505</v>
      </c>
      <c r="E234" s="37" t="n">
        <f aca="false">1+IF($G$9=$E$9,$F$9,IF(S234&lt;($F$9-$E$9)/($G$9-$E$9),$E$9+SQRT(S234*($G$9-$E$9)*($F$9-$E$9)),$G$9-SQRT((1-S234)*($G$9-$E$9)*($G$9-$F$9))))</f>
        <v>0.987588042517533</v>
      </c>
      <c r="F234" s="37" t="n">
        <f aca="false">1+IF($G$10=$E$10,$F$10,IF(T234&lt;($F$10-$E$10)/($G$10-$E$10),$E$10+SQRT(T234*($G$10-$E$10)*($F$10-$E$10)),$G$10-SQRT((1-T234)*($G$10-$E$10)*($G$10-$F$10))))</f>
        <v>1.14344207952789</v>
      </c>
      <c r="G234" s="38" t="n">
        <f aca="false">IF($G$11=$E$11,$F$11,IF(U234&lt;($F$11-$E$11)/($G$11-$E$11),$E$11+SQRT(U234*($G$11-$E$11)*($F$11-$E$11)),$G$11-SQRT((1-U234)*($G$11-$E$11)*($G$11-$F$11))))</f>
        <v>0.0980470437260541</v>
      </c>
      <c r="H234" s="39" t="n">
        <f aca="false">(('Business Case'!B11*$C234*'Business Case'!B12*$B234)-'Business Case'!B11*$C234*'Business Case'!B13*$D234-'Business Case'!B14*$E234)-MAX(0,(('Business Case'!B11*$C234*'Business Case'!B12*$B234)-'Business Case'!B11*$C234*'Business Case'!B13*$D234-'Business Case'!B14*$E234))*'Business Case'!$B$7-'Business Case'!$B$8*('Business Case'!B11*$C234*'Business Case'!B12*$B234)-'Business Case'!B15*$F234</f>
        <v>-2286884159.05577</v>
      </c>
      <c r="I234" s="39" t="n">
        <f aca="false">(('Business Case'!C11*$C234*'Business Case'!C12*$B234)-'Business Case'!C11*$C234*'Business Case'!C13*$D234-'Business Case'!C14*$E234)-MAX(0,(('Business Case'!C11*$C234*'Business Case'!C12*$B234)-'Business Case'!C11*$C234*'Business Case'!C13*$D234-'Business Case'!C14*$E234))*'Business Case'!$B$7-'Business Case'!$B$8*(('Business Case'!C11*$C234*'Business Case'!C12*$B234)-('Business Case'!B11*$C234*'Business Case'!B12*$B234))-'Business Case'!C15*$F234</f>
        <v>-38174148.5985976</v>
      </c>
      <c r="J234" s="39" t="n">
        <f aca="false">(('Business Case'!D11*$C234*'Business Case'!D12*$B234)-'Business Case'!D11*$C234*'Business Case'!D13*$D234-'Business Case'!D14*$E234)-MAX(0,(('Business Case'!D11*$C234*'Business Case'!D12*$B234)-'Business Case'!D11*$C234*'Business Case'!D13*$D234-'Business Case'!D14*$E234))*'Business Case'!$B$7-'Business Case'!$B$8*(('Business Case'!D11*$C234*'Business Case'!D12*$B234)-('Business Case'!C11*$C234*'Business Case'!C12*$B234))-'Business Case'!D15*$F234</f>
        <v>230676081.145774</v>
      </c>
      <c r="K234" s="39" t="n">
        <f aca="false">(('Business Case'!E11*$C234*'Business Case'!E12*$B234)-'Business Case'!E11*$C234*'Business Case'!E13*$D234-'Business Case'!E14*$E234)-MAX(0,(('Business Case'!E11*$C234*'Business Case'!E12*$B234)-'Business Case'!E11*$C234*'Business Case'!E13*$D234-'Business Case'!E14*$E234))*'Business Case'!$B$7-'Business Case'!$B$8*(('Business Case'!E11*$C234*'Business Case'!E12*$B234)-('Business Case'!D11*$C234*'Business Case'!D12*$B234))-'Business Case'!E15*$F234</f>
        <v>556698414.86654</v>
      </c>
      <c r="L234" s="39" t="n">
        <f aca="false">(('Business Case'!F11*$C234*'Business Case'!F12*$B234)-'Business Case'!F11*$C234*'Business Case'!F13*$D234-'Business Case'!F14*$E234)-MAX(0,(('Business Case'!F11*$C234*'Business Case'!F12*$B234)-'Business Case'!F11*$C234*'Business Case'!F13*$D234-'Business Case'!F14*$E234))*'Business Case'!$B$7-'Business Case'!$B$8*(('Business Case'!F11*$C234*'Business Case'!F12*$B234)-('Business Case'!E11*$C234*'Business Case'!E12*$B234))-'Business Case'!F15*$F234</f>
        <v>681145258.610789</v>
      </c>
      <c r="M234" s="39" t="n">
        <f aca="false">(('Business Case'!G11*$C234*'Business Case'!G12*$B234)-'Business Case'!G11*$C234*'Business Case'!G13*$D234-'Business Case'!G14*$E234)-MAX(0,(('Business Case'!G11*$C234*'Business Case'!G12*$B234)-'Business Case'!G11*$C234*'Business Case'!G13*$D234-'Business Case'!G14*$E234))*'Business Case'!$B$7-'Business Case'!$B$8*(('Business Case'!G11*$C234*'Business Case'!G12*$B234)-('Business Case'!F11*$C234*'Business Case'!F12*$B234))-'Business Case'!G15*$F234+'Business Case'!$B$8*('Business Case'!G11*$C234*'Business Case'!G12*$B234)</f>
        <v>872710811.339476</v>
      </c>
      <c r="N234" s="39" t="n">
        <f aca="false">IF(COUNT('Business Case'!B11:G11)=0,"",H234+NPV(G234,I234:M234))</f>
        <v>-694567258.882669</v>
      </c>
      <c r="P234" s="40" t="n">
        <f aca="true">RAND()</f>
        <v>0.0237481583061404</v>
      </c>
      <c r="Q234" s="40" t="n">
        <f aca="true">RAND()</f>
        <v>0.958061193626849</v>
      </c>
      <c r="R234" s="40" t="n">
        <f aca="true">RAND()</f>
        <v>0.228154038474</v>
      </c>
      <c r="S234" s="40" t="n">
        <f aca="true">RAND()</f>
        <v>0.306866607682129</v>
      </c>
      <c r="T234" s="40" t="n">
        <f aca="true">RAND()</f>
        <v>0.84860546112878</v>
      </c>
      <c r="U234" s="40" t="n">
        <f aca="true">RAND()</f>
        <v>0.325695787250107</v>
      </c>
    </row>
    <row r="235" customFormat="false" ht="15" hidden="false" customHeight="false" outlineLevel="0" collapsed="false">
      <c r="A235" s="36" t="n">
        <v>155</v>
      </c>
      <c r="B235" s="37" t="n">
        <f aca="false">1+IF($G$6=$E$6,$F$6,IF(P235&lt;($F$6-$E$6)/($G$6-$E$6),$E$6+SQRT(P235*($G$6-$E$6)*($F$6-$E$6)),$G$6-SQRT((1-P235)*($G$6-$E$6)*($G$6-$F$6))))</f>
        <v>1.03073066985517</v>
      </c>
      <c r="C235" s="37" t="n">
        <f aca="false">1+IF($G$7=$E$7,$F$7,IF(Q235&lt;($F$7-$E$7)/($G$7-$E$7),$E$7+SQRT(Q235*($G$7-$E$7)*($F$7-$E$7)),$G$7-SQRT((1-Q235)*($G$7-$E$7)*($G$7-$F$7))))</f>
        <v>0.974974576302242</v>
      </c>
      <c r="D235" s="37" t="n">
        <f aca="false">1+IF($G$8=$E$8,$F$8,IF(R235&lt;($F$8-$E$8)/($G$8-$E$8),$E$8+SQRT(R235*($G$8-$E$8)*($F$8-$E$8)),$G$8-SQRT((1-R235)*($G$8-$E$8)*($G$8-$F$8))))</f>
        <v>1.08186033326151</v>
      </c>
      <c r="E235" s="37" t="n">
        <f aca="false">1+IF($G$9=$E$9,$F$9,IF(S235&lt;($F$9-$E$9)/($G$9-$E$9),$E$9+SQRT(S235*($G$9-$E$9)*($F$9-$E$9)),$G$9-SQRT((1-S235)*($G$9-$E$9)*($G$9-$F$9))))</f>
        <v>1.02216985025762</v>
      </c>
      <c r="F235" s="37" t="n">
        <f aca="false">1+IF($G$10=$E$10,$F$10,IF(T235&lt;($F$10-$E$10)/($G$10-$E$10),$E$10+SQRT(T235*($G$10-$E$10)*($F$10-$E$10)),$G$10-SQRT((1-T235)*($G$10-$E$10)*($G$10-$F$10))))</f>
        <v>1.19299650800486</v>
      </c>
      <c r="G235" s="38" t="n">
        <f aca="false">IF($G$11=$E$11,$F$11,IF(U235&lt;($F$11-$E$11)/($G$11-$E$11),$E$11+SQRT(U235*($G$11-$E$11)*($F$11-$E$11)),$G$11-SQRT((1-U235)*($G$11-$E$11)*($G$11-$F$11))))</f>
        <v>0.107338273993062</v>
      </c>
      <c r="H235" s="39" t="n">
        <f aca="false">(('Business Case'!B11*$C235*'Business Case'!B12*$B235)-'Business Case'!B11*$C235*'Business Case'!B13*$D235-'Business Case'!B14*$E235)-MAX(0,(('Business Case'!B11*$C235*'Business Case'!B12*$B235)-'Business Case'!B11*$C235*'Business Case'!B13*$D235-'Business Case'!B14*$E235))*'Business Case'!$B$7-'Business Case'!$B$8*('Business Case'!B11*$C235*'Business Case'!B12*$B235)-'Business Case'!B15*$F235</f>
        <v>-2385993016.00972</v>
      </c>
      <c r="I235" s="39" t="n">
        <f aca="false">(('Business Case'!C11*$C235*'Business Case'!C12*$B235)-'Business Case'!C11*$C235*'Business Case'!C13*$D235-'Business Case'!C14*$E235)-MAX(0,(('Business Case'!C11*$C235*'Business Case'!C12*$B235)-'Business Case'!C11*$C235*'Business Case'!C13*$D235-'Business Case'!C14*$E235))*'Business Case'!$B$7-'Business Case'!$B$8*(('Business Case'!C11*$C235*'Business Case'!C12*$B235)-('Business Case'!B11*$C235*'Business Case'!B12*$B235))-'Business Case'!C15*$F235</f>
        <v>-33599207.3030209</v>
      </c>
      <c r="J235" s="39" t="n">
        <f aca="false">(('Business Case'!D11*$C235*'Business Case'!D12*$B235)-'Business Case'!D11*$C235*'Business Case'!D13*$D235-'Business Case'!D14*$E235)-MAX(0,(('Business Case'!D11*$C235*'Business Case'!D12*$B235)-'Business Case'!D11*$C235*'Business Case'!D13*$D235-'Business Case'!D14*$E235))*'Business Case'!$B$7-'Business Case'!$B$8*(('Business Case'!D11*$C235*'Business Case'!D12*$B235)-('Business Case'!C11*$C235*'Business Case'!C12*$B235))-'Business Case'!D15*$F235</f>
        <v>249549681.411813</v>
      </c>
      <c r="K235" s="39" t="n">
        <f aca="false">(('Business Case'!E11*$C235*'Business Case'!E12*$B235)-'Business Case'!E11*$C235*'Business Case'!E13*$D235-'Business Case'!E14*$E235)-MAX(0,(('Business Case'!E11*$C235*'Business Case'!E12*$B235)-'Business Case'!E11*$C235*'Business Case'!E13*$D235-'Business Case'!E14*$E235))*'Business Case'!$B$7-'Business Case'!$B$8*(('Business Case'!E11*$C235*'Business Case'!E12*$B235)-('Business Case'!D11*$C235*'Business Case'!D12*$B235))-'Business Case'!E15*$F235</f>
        <v>592348395.526891</v>
      </c>
      <c r="L235" s="39" t="n">
        <f aca="false">(('Business Case'!F11*$C235*'Business Case'!F12*$B235)-'Business Case'!F11*$C235*'Business Case'!F13*$D235-'Business Case'!F14*$E235)-MAX(0,(('Business Case'!F11*$C235*'Business Case'!F12*$B235)-'Business Case'!F11*$C235*'Business Case'!F13*$D235-'Business Case'!F14*$E235))*'Business Case'!$B$7-'Business Case'!$B$8*(('Business Case'!F11*$C235*'Business Case'!F12*$B235)-('Business Case'!E11*$C235*'Business Case'!E12*$B235))-'Business Case'!F15*$F235</f>
        <v>721461953.438993</v>
      </c>
      <c r="M235" s="39" t="n">
        <f aca="false">(('Business Case'!G11*$C235*'Business Case'!G12*$B235)-'Business Case'!G11*$C235*'Business Case'!G13*$D235-'Business Case'!G14*$E235)-MAX(0,(('Business Case'!G11*$C235*'Business Case'!G12*$B235)-'Business Case'!G11*$C235*'Business Case'!G13*$D235-'Business Case'!G14*$E235))*'Business Case'!$B$7-'Business Case'!$B$8*(('Business Case'!G11*$C235*'Business Case'!G12*$B235)-('Business Case'!F11*$C235*'Business Case'!F12*$B235))-'Business Case'!G15*$F235+'Business Case'!$B$8*('Business Case'!G11*$C235*'Business Case'!G12*$B235)</f>
        <v>912480225.978359</v>
      </c>
      <c r="N235" s="39" t="n">
        <f aca="false">IF(COUNT('Business Case'!B11:G11)=0,"",H235+NPV(G235,I235:M235))</f>
        <v>-748682027.538262</v>
      </c>
      <c r="P235" s="40" t="n">
        <f aca="true">RAND()</f>
        <v>0.950492388769264</v>
      </c>
      <c r="Q235" s="40" t="n">
        <f aca="true">RAND()</f>
        <v>0.560081611945167</v>
      </c>
      <c r="R235" s="40" t="n">
        <f aca="true">RAND()</f>
        <v>0.978063499374438</v>
      </c>
      <c r="S235" s="40" t="n">
        <f aca="true">RAND()</f>
        <v>0.564252075115722</v>
      </c>
      <c r="T235" s="40" t="n">
        <f aca="true">RAND()</f>
        <v>0.956674692004799</v>
      </c>
      <c r="U235" s="40" t="n">
        <f aca="true">RAND()</f>
        <v>0.657630782924323</v>
      </c>
    </row>
    <row r="236" customFormat="false" ht="15" hidden="false" customHeight="false" outlineLevel="0" collapsed="false">
      <c r="A236" s="36" t="n">
        <v>156</v>
      </c>
      <c r="B236" s="37" t="n">
        <f aca="false">1+IF($G$6=$E$6,$F$6,IF(P236&lt;($F$6-$E$6)/($G$6-$E$6),$E$6+SQRT(P236*($G$6-$E$6)*($F$6-$E$6)),$G$6-SQRT((1-P236)*($G$6-$E$6)*($G$6-$F$6))))</f>
        <v>0.949511212873635</v>
      </c>
      <c r="C236" s="37" t="n">
        <f aca="false">1+IF($G$7=$E$7,$F$7,IF(Q236&lt;($F$7-$E$7)/($G$7-$E$7),$E$7+SQRT(Q236*($G$7-$E$7)*($F$7-$E$7)),$G$7-SQRT((1-Q236)*($G$7-$E$7)*($G$7-$F$7))))</f>
        <v>0.962862520665152</v>
      </c>
      <c r="D236" s="37" t="n">
        <f aca="false">1+IF($G$8=$E$8,$F$8,IF(R236&lt;($F$8-$E$8)/($G$8-$E$8),$E$8+SQRT(R236*($G$8-$E$8)*($F$8-$E$8)),$G$8-SQRT((1-R236)*($G$8-$E$8)*($G$8-$F$8))))</f>
        <v>1.06232115539409</v>
      </c>
      <c r="E236" s="37" t="n">
        <f aca="false">1+IF($G$9=$E$9,$F$9,IF(S236&lt;($F$9-$E$9)/($G$9-$E$9),$E$9+SQRT(S236*($G$9-$E$9)*($F$9-$E$9)),$G$9-SQRT((1-S236)*($G$9-$E$9)*($G$9-$F$9))))</f>
        <v>1.09817328958147</v>
      </c>
      <c r="F236" s="37" t="n">
        <f aca="false">1+IF($G$10=$E$10,$F$10,IF(T236&lt;($F$10-$E$10)/($G$10-$E$10),$E$10+SQRT(T236*($G$10-$E$10)*($F$10-$E$10)),$G$10-SQRT((1-T236)*($G$10-$E$10)*($G$10-$F$10))))</f>
        <v>1.01478496116238</v>
      </c>
      <c r="G236" s="38" t="n">
        <f aca="false">IF($G$11=$E$11,$F$11,IF(U236&lt;($F$11-$E$11)/($G$11-$E$11),$E$11+SQRT(U236*($G$11-$E$11)*($F$11-$E$11)),$G$11-SQRT((1-U236)*($G$11-$E$11)*($G$11-$F$11))))</f>
        <v>0.103009350892066</v>
      </c>
      <c r="H236" s="39" t="n">
        <f aca="false">(('Business Case'!B11*$C236*'Business Case'!B12*$B236)-'Business Case'!B11*$C236*'Business Case'!B13*$D236-'Business Case'!B14*$E236)-MAX(0,(('Business Case'!B11*$C236*'Business Case'!B12*$B236)-'Business Case'!B11*$C236*'Business Case'!B13*$D236-'Business Case'!B14*$E236))*'Business Case'!$B$7-'Business Case'!$B$8*('Business Case'!B11*$C236*'Business Case'!B12*$B236)-'Business Case'!B15*$F236</f>
        <v>-2029569922.32476</v>
      </c>
      <c r="I236" s="39" t="n">
        <f aca="false">(('Business Case'!C11*$C236*'Business Case'!C12*$B236)-'Business Case'!C11*$C236*'Business Case'!C13*$D236-'Business Case'!C14*$E236)-MAX(0,(('Business Case'!C11*$C236*'Business Case'!C12*$B236)-'Business Case'!C11*$C236*'Business Case'!C13*$D236-'Business Case'!C14*$E236))*'Business Case'!$B$7-'Business Case'!$B$8*(('Business Case'!C11*$C236*'Business Case'!C12*$B236)-('Business Case'!B11*$C236*'Business Case'!B12*$B236))-'Business Case'!C15*$F236</f>
        <v>-79825047.2814431</v>
      </c>
      <c r="J236" s="39" t="n">
        <f aca="false">(('Business Case'!D11*$C236*'Business Case'!D12*$B236)-'Business Case'!D11*$C236*'Business Case'!D13*$D236-'Business Case'!D14*$E236)-MAX(0,(('Business Case'!D11*$C236*'Business Case'!D12*$B236)-'Business Case'!D11*$C236*'Business Case'!D13*$D236-'Business Case'!D14*$E236))*'Business Case'!$B$7-'Business Case'!$B$8*(('Business Case'!D11*$C236*'Business Case'!D12*$B236)-('Business Case'!C11*$C236*'Business Case'!C12*$B236))-'Business Case'!D15*$F236</f>
        <v>145383299.041286</v>
      </c>
      <c r="K236" s="39" t="n">
        <f aca="false">(('Business Case'!E11*$C236*'Business Case'!E12*$B236)-'Business Case'!E11*$C236*'Business Case'!E13*$D236-'Business Case'!E14*$E236)-MAX(0,(('Business Case'!E11*$C236*'Business Case'!E12*$B236)-'Business Case'!E11*$C236*'Business Case'!E13*$D236-'Business Case'!E14*$E236))*'Business Case'!$B$7-'Business Case'!$B$8*(('Business Case'!E11*$C236*'Business Case'!E12*$B236)-('Business Case'!D11*$C236*'Business Case'!D12*$B236))-'Business Case'!E15*$F236</f>
        <v>421330893.422135</v>
      </c>
      <c r="L236" s="39" t="n">
        <f aca="false">(('Business Case'!F11*$C236*'Business Case'!F12*$B236)-'Business Case'!F11*$C236*'Business Case'!F13*$D236-'Business Case'!F14*$E236)-MAX(0,(('Business Case'!F11*$C236*'Business Case'!F12*$B236)-'Business Case'!F11*$C236*'Business Case'!F13*$D236-'Business Case'!F14*$E236))*'Business Case'!$B$7-'Business Case'!$B$8*(('Business Case'!F11*$C236*'Business Case'!F12*$B236)-('Business Case'!E11*$C236*'Business Case'!E12*$B236))-'Business Case'!F15*$F236</f>
        <v>527996779.336011</v>
      </c>
      <c r="M236" s="39" t="n">
        <f aca="false">(('Business Case'!G11*$C236*'Business Case'!G12*$B236)-'Business Case'!G11*$C236*'Business Case'!G13*$D236-'Business Case'!G14*$E236)-MAX(0,(('Business Case'!G11*$C236*'Business Case'!G12*$B236)-'Business Case'!G11*$C236*'Business Case'!G13*$D236-'Business Case'!G14*$E236))*'Business Case'!$B$7-'Business Case'!$B$8*(('Business Case'!G11*$C236*'Business Case'!G12*$B236)-('Business Case'!F11*$C236*'Business Case'!F12*$B236))-'Business Case'!G15*$F236+'Business Case'!$B$8*('Business Case'!G11*$C236*'Business Case'!G12*$B236)</f>
        <v>701777183.603991</v>
      </c>
      <c r="N236" s="39" t="n">
        <f aca="false">IF(COUNT('Business Case'!B11:G11)=0,"",H236+NPV(G236,I236:M236))</f>
        <v>-881929321.385482</v>
      </c>
      <c r="P236" s="40" t="n">
        <f aca="true">RAND()</f>
        <v>0.163424013347895</v>
      </c>
      <c r="Q236" s="40" t="n">
        <f aca="true">RAND()</f>
        <v>0.51182744274398</v>
      </c>
      <c r="R236" s="40" t="n">
        <f aca="true">RAND()</f>
        <v>0.905353644610918</v>
      </c>
      <c r="S236" s="40" t="n">
        <f aca="true">RAND()</f>
        <v>0.928373122325177</v>
      </c>
      <c r="T236" s="40" t="n">
        <f aca="true">RAND()</f>
        <v>0.262318473394906</v>
      </c>
      <c r="U236" s="40" t="n">
        <f aca="true">RAND()</f>
        <v>0.514336573821573</v>
      </c>
    </row>
    <row r="237" customFormat="false" ht="15" hidden="false" customHeight="false" outlineLevel="0" collapsed="false">
      <c r="A237" s="36" t="n">
        <v>157</v>
      </c>
      <c r="B237" s="37" t="n">
        <f aca="false">1+IF($G$6=$E$6,$F$6,IF(P237&lt;($F$6-$E$6)/($G$6-$E$6),$E$6+SQRT(P237*($G$6-$E$6)*($F$6-$E$6)),$G$6-SQRT((1-P237)*($G$6-$E$6)*($G$6-$F$6))))</f>
        <v>0.9977933824373</v>
      </c>
      <c r="C237" s="37" t="n">
        <f aca="false">1+IF($G$7=$E$7,$F$7,IF(Q237&lt;($F$7-$E$7)/($G$7-$E$7),$E$7+SQRT(Q237*($G$7-$E$7)*($F$7-$E$7)),$G$7-SQRT((1-Q237)*($G$7-$E$7)*($G$7-$F$7))))</f>
        <v>0.814573244174134</v>
      </c>
      <c r="D237" s="37" t="n">
        <f aca="false">1+IF($G$8=$E$8,$F$8,IF(R237&lt;($F$8-$E$8)/($G$8-$E$8),$E$8+SQRT(R237*($G$8-$E$8)*($F$8-$E$8)),$G$8-SQRT((1-R237)*($G$8-$E$8)*($G$8-$F$8))))</f>
        <v>1.0105056878106</v>
      </c>
      <c r="E237" s="37" t="n">
        <f aca="false">1+IF($G$9=$E$9,$F$9,IF(S237&lt;($F$9-$E$9)/($G$9-$E$9),$E$9+SQRT(S237*($G$9-$E$9)*($F$9-$E$9)),$G$9-SQRT((1-S237)*($G$9-$E$9)*($G$9-$F$9))))</f>
        <v>1.01928777541347</v>
      </c>
      <c r="F237" s="37" t="n">
        <f aca="false">1+IF($G$10=$E$10,$F$10,IF(T237&lt;($F$10-$E$10)/($G$10-$E$10),$E$10+SQRT(T237*($G$10-$E$10)*($F$10-$E$10)),$G$10-SQRT((1-T237)*($G$10-$E$10)*($G$10-$F$10))))</f>
        <v>1.02555641392252</v>
      </c>
      <c r="G237" s="38" t="n">
        <f aca="false">IF($G$11=$E$11,$F$11,IF(U237&lt;($F$11-$E$11)/($G$11-$E$11),$E$11+SQRT(U237*($G$11-$E$11)*($F$11-$E$11)),$G$11-SQRT((1-U237)*($G$11-$E$11)*($G$11-$F$11))))</f>
        <v>0.0894249792290551</v>
      </c>
      <c r="H237" s="39" t="n">
        <f aca="false">(('Business Case'!B11*$C237*'Business Case'!B12*$B237)-'Business Case'!B11*$C237*'Business Case'!B13*$D237-'Business Case'!B14*$E237)-MAX(0,(('Business Case'!B11*$C237*'Business Case'!B12*$B237)-'Business Case'!B11*$C237*'Business Case'!B13*$D237-'Business Case'!B14*$E237))*'Business Case'!$B$7-'Business Case'!$B$8*('Business Case'!B11*$C237*'Business Case'!B12*$B237)-'Business Case'!B15*$F237</f>
        <v>-2051112827.84504</v>
      </c>
      <c r="I237" s="39" t="n">
        <f aca="false">(('Business Case'!C11*$C237*'Business Case'!C12*$B237)-'Business Case'!C11*$C237*'Business Case'!C13*$D237-'Business Case'!C14*$E237)-MAX(0,(('Business Case'!C11*$C237*'Business Case'!C12*$B237)-'Business Case'!C11*$C237*'Business Case'!C13*$D237-'Business Case'!C14*$E237))*'Business Case'!$B$7-'Business Case'!$B$8*(('Business Case'!C11*$C237*'Business Case'!C12*$B237)-('Business Case'!B11*$C237*'Business Case'!B12*$B237))-'Business Case'!C15*$F237</f>
        <v>-45287934.6612484</v>
      </c>
      <c r="J237" s="39" t="n">
        <f aca="false">(('Business Case'!D11*$C237*'Business Case'!D12*$B237)-'Business Case'!D11*$C237*'Business Case'!D13*$D237-'Business Case'!D14*$E237)-MAX(0,(('Business Case'!D11*$C237*'Business Case'!D12*$B237)-'Business Case'!D11*$C237*'Business Case'!D13*$D237-'Business Case'!D14*$E237))*'Business Case'!$B$7-'Business Case'!$B$8*(('Business Case'!D11*$C237*'Business Case'!D12*$B237)-('Business Case'!C11*$C237*'Business Case'!C12*$B237))-'Business Case'!D15*$F237</f>
        <v>199056790.81921</v>
      </c>
      <c r="K237" s="39" t="n">
        <f aca="false">(('Business Case'!E11*$C237*'Business Case'!E12*$B237)-'Business Case'!E11*$C237*'Business Case'!E13*$D237-'Business Case'!E14*$E237)-MAX(0,(('Business Case'!E11*$C237*'Business Case'!E12*$B237)-'Business Case'!E11*$C237*'Business Case'!E13*$D237-'Business Case'!E14*$E237))*'Business Case'!$B$7-'Business Case'!$B$8*(('Business Case'!E11*$C237*'Business Case'!E12*$B237)-('Business Case'!D11*$C237*'Business Case'!D12*$B237))-'Business Case'!E15*$F237</f>
        <v>494679336.995795</v>
      </c>
      <c r="L237" s="39" t="n">
        <f aca="false">(('Business Case'!F11*$C237*'Business Case'!F12*$B237)-'Business Case'!F11*$C237*'Business Case'!F13*$D237-'Business Case'!F14*$E237)-MAX(0,(('Business Case'!F11*$C237*'Business Case'!F12*$B237)-'Business Case'!F11*$C237*'Business Case'!F13*$D237-'Business Case'!F14*$E237))*'Business Case'!$B$7-'Business Case'!$B$8*(('Business Case'!F11*$C237*'Business Case'!F12*$B237)-('Business Case'!E11*$C237*'Business Case'!E12*$B237))-'Business Case'!F15*$F237</f>
        <v>604217110.213053</v>
      </c>
      <c r="M237" s="39" t="n">
        <f aca="false">(('Business Case'!G11*$C237*'Business Case'!G12*$B237)-'Business Case'!G11*$C237*'Business Case'!G13*$D237-'Business Case'!G14*$E237)-MAX(0,(('Business Case'!G11*$C237*'Business Case'!G12*$B237)-'Business Case'!G11*$C237*'Business Case'!G13*$D237-'Business Case'!G14*$E237))*'Business Case'!$B$7-'Business Case'!$B$8*(('Business Case'!G11*$C237*'Business Case'!G12*$B237)-('Business Case'!F11*$C237*'Business Case'!F12*$B237))-'Business Case'!G15*$F237+'Business Case'!$B$8*('Business Case'!G11*$C237*'Business Case'!G12*$B237)</f>
        <v>758709532.86047</v>
      </c>
      <c r="N237" s="39" t="n">
        <f aca="false">IF(COUNT('Business Case'!B11:G11)=0,"",H237+NPV(G237,I237:M237))</f>
        <v>-619016959.098011</v>
      </c>
      <c r="P237" s="40" t="n">
        <f aca="true">RAND()</f>
        <v>0.637569709901868</v>
      </c>
      <c r="Q237" s="40" t="n">
        <f aca="true">RAND()</f>
        <v>0.0972372465228569</v>
      </c>
      <c r="R237" s="40" t="n">
        <f aca="true">RAND()</f>
        <v>0.466051205716421</v>
      </c>
      <c r="S237" s="40" t="n">
        <f aca="true">RAND()</f>
        <v>0.544381715830426</v>
      </c>
      <c r="T237" s="40" t="n">
        <f aca="true">RAND()</f>
        <v>0.32833435558242</v>
      </c>
      <c r="U237" s="40" t="n">
        <f aca="true">RAND()</f>
        <v>0.0888302334681192</v>
      </c>
    </row>
    <row r="238" customFormat="false" ht="15" hidden="false" customHeight="false" outlineLevel="0" collapsed="false">
      <c r="A238" s="36" t="n">
        <v>158</v>
      </c>
      <c r="B238" s="37" t="n">
        <f aca="false">1+IF($G$6=$E$6,$F$6,IF(P238&lt;($F$6-$E$6)/($G$6-$E$6),$E$6+SQRT(P238*($G$6-$E$6)*($F$6-$E$6)),$G$6-SQRT((1-P238)*($G$6-$E$6)*($G$6-$F$6))))</f>
        <v>1.02858906713738</v>
      </c>
      <c r="C238" s="37" t="n">
        <f aca="false">1+IF($G$7=$E$7,$F$7,IF(Q238&lt;($F$7-$E$7)/($G$7-$E$7),$E$7+SQRT(Q238*($G$7-$E$7)*($F$7-$E$7)),$G$7-SQRT((1-Q238)*($G$7-$E$7)*($G$7-$F$7))))</f>
        <v>0.936655431474092</v>
      </c>
      <c r="D238" s="37" t="n">
        <f aca="false">1+IF($G$8=$E$8,$F$8,IF(R238&lt;($F$8-$E$8)/($G$8-$E$8),$E$8+SQRT(R238*($G$8-$E$8)*($F$8-$E$8)),$G$8-SQRT((1-R238)*($G$8-$E$8)*($G$8-$F$8))))</f>
        <v>0.978788206514111</v>
      </c>
      <c r="E238" s="37" t="n">
        <f aca="false">1+IF($G$9=$E$9,$F$9,IF(S238&lt;($F$9-$E$9)/($G$9-$E$9),$E$9+SQRT(S238*($G$9-$E$9)*($F$9-$E$9)),$G$9-SQRT((1-S238)*($G$9-$E$9)*($G$9-$F$9))))</f>
        <v>1.03169780069083</v>
      </c>
      <c r="F238" s="37" t="n">
        <f aca="false">1+IF($G$10=$E$10,$F$10,IF(T238&lt;($F$10-$E$10)/($G$10-$E$10),$E$10+SQRT(T238*($G$10-$E$10)*($F$10-$E$10)),$G$10-SQRT((1-T238)*($G$10-$E$10)*($G$10-$F$10))))</f>
        <v>1.0253974005948</v>
      </c>
      <c r="G238" s="38" t="n">
        <f aca="false">IF($G$11=$E$11,$F$11,IF(U238&lt;($F$11-$E$11)/($G$11-$E$11),$E$11+SQRT(U238*($G$11-$E$11)*($F$11-$E$11)),$G$11-SQRT((1-U238)*($G$11-$E$11)*($G$11-$F$11))))</f>
        <v>0.0960608278389778</v>
      </c>
      <c r="H238" s="39" t="n">
        <f aca="false">(('Business Case'!B11*$C238*'Business Case'!B12*$B238)-'Business Case'!B11*$C238*'Business Case'!B13*$D238-'Business Case'!B14*$E238)-MAX(0,(('Business Case'!B11*$C238*'Business Case'!B12*$B238)-'Business Case'!B11*$C238*'Business Case'!B13*$D238-'Business Case'!B14*$E238))*'Business Case'!$B$7-'Business Case'!$B$8*('Business Case'!B11*$C238*'Business Case'!B12*$B238)-'Business Case'!B15*$F238</f>
        <v>-2050794801.18961</v>
      </c>
      <c r="I238" s="39" t="n">
        <f aca="false">(('Business Case'!C11*$C238*'Business Case'!C12*$B238)-'Business Case'!C11*$C238*'Business Case'!C13*$D238-'Business Case'!C14*$E238)-MAX(0,(('Business Case'!C11*$C238*'Business Case'!C12*$B238)-'Business Case'!C11*$C238*'Business Case'!C13*$D238-'Business Case'!C14*$E238))*'Business Case'!$B$7-'Business Case'!$B$8*(('Business Case'!C11*$C238*'Business Case'!C12*$B238)-('Business Case'!B11*$C238*'Business Case'!B12*$B238))-'Business Case'!C15*$F238</f>
        <v>20608122.3072361</v>
      </c>
      <c r="J238" s="39" t="n">
        <f aca="false">(('Business Case'!D11*$C238*'Business Case'!D12*$B238)-'Business Case'!D11*$C238*'Business Case'!D13*$D238-'Business Case'!D14*$E238)-MAX(0,(('Business Case'!D11*$C238*'Business Case'!D12*$B238)-'Business Case'!D11*$C238*'Business Case'!D13*$D238-'Business Case'!D14*$E238))*'Business Case'!$B$7-'Business Case'!$B$8*(('Business Case'!D11*$C238*'Business Case'!D12*$B238)-('Business Case'!C11*$C238*'Business Case'!C12*$B238))-'Business Case'!D15*$F238</f>
        <v>340407806.463783</v>
      </c>
      <c r="K238" s="39" t="n">
        <f aca="false">(('Business Case'!E11*$C238*'Business Case'!E12*$B238)-'Business Case'!E11*$C238*'Business Case'!E13*$D238-'Business Case'!E14*$E238)-MAX(0,(('Business Case'!E11*$C238*'Business Case'!E12*$B238)-'Business Case'!E11*$C238*'Business Case'!E13*$D238-'Business Case'!E14*$E238))*'Business Case'!$B$7-'Business Case'!$B$8*(('Business Case'!E11*$C238*'Business Case'!E12*$B238)-('Business Case'!D11*$C238*'Business Case'!D12*$B238))-'Business Case'!E15*$F238</f>
        <v>711477360.65007</v>
      </c>
      <c r="L238" s="39" t="n">
        <f aca="false">(('Business Case'!F11*$C238*'Business Case'!F12*$B238)-'Business Case'!F11*$C238*'Business Case'!F13*$D238-'Business Case'!F14*$E238)-MAX(0,(('Business Case'!F11*$C238*'Business Case'!F12*$B238)-'Business Case'!F11*$C238*'Business Case'!F13*$D238-'Business Case'!F14*$E238))*'Business Case'!$B$7-'Business Case'!$B$8*(('Business Case'!F11*$C238*'Business Case'!F12*$B238)-('Business Case'!E11*$C238*'Business Case'!E12*$B238))-'Business Case'!F15*$F238</f>
        <v>851373518.389983</v>
      </c>
      <c r="M238" s="39" t="n">
        <f aca="false">(('Business Case'!G11*$C238*'Business Case'!G12*$B238)-'Business Case'!G11*$C238*'Business Case'!G13*$D238-'Business Case'!G14*$E238)-MAX(0,(('Business Case'!G11*$C238*'Business Case'!G12*$B238)-'Business Case'!G11*$C238*'Business Case'!G13*$D238-'Business Case'!G14*$E238))*'Business Case'!$B$7-'Business Case'!$B$8*(('Business Case'!G11*$C238*'Business Case'!G12*$B238)-('Business Case'!F11*$C238*'Business Case'!F12*$B238))-'Business Case'!G15*$F238+'Business Case'!$B$8*('Business Case'!G11*$C238*'Business Case'!G12*$B238)</f>
        <v>1034502965.00583</v>
      </c>
      <c r="N238" s="39" t="n">
        <f aca="false">IF(COUNT('Business Case'!B11:G11)=0,"",H238+NPV(G238,I238:M238))</f>
        <v>35564473.7061615</v>
      </c>
      <c r="P238" s="40" t="n">
        <f aca="true">RAND()</f>
        <v>0.938876260527003</v>
      </c>
      <c r="Q238" s="40" t="n">
        <f aca="true">RAND()</f>
        <v>0.414857727749547</v>
      </c>
      <c r="R238" s="40" t="n">
        <f aca="true">RAND()</f>
        <v>0.110501444573212</v>
      </c>
      <c r="S238" s="40" t="n">
        <f aca="true">RAND()</f>
        <v>0.626789057029679</v>
      </c>
      <c r="T238" s="40" t="n">
        <f aca="true">RAND()</f>
        <v>0.327382297872379</v>
      </c>
      <c r="U238" s="40" t="n">
        <f aca="true">RAND()</f>
        <v>0.257950190873284</v>
      </c>
    </row>
    <row r="239" customFormat="false" ht="15" hidden="false" customHeight="false" outlineLevel="0" collapsed="false">
      <c r="A239" s="36" t="n">
        <v>159</v>
      </c>
      <c r="B239" s="37" t="n">
        <f aca="false">1+IF($G$6=$E$6,$F$6,IF(P239&lt;($F$6-$E$6)/($G$6-$E$6),$E$6+SQRT(P239*($G$6-$E$6)*($F$6-$E$6)),$G$6-SQRT((1-P239)*($G$6-$E$6)*($G$6-$F$6))))</f>
        <v>0.967766531958371</v>
      </c>
      <c r="C239" s="37" t="n">
        <f aca="false">1+IF($G$7=$E$7,$F$7,IF(Q239&lt;($F$7-$E$7)/($G$7-$E$7),$E$7+SQRT(Q239*($G$7-$E$7)*($F$7-$E$7)),$G$7-SQRT((1-Q239)*($G$7-$E$7)*($G$7-$F$7))))</f>
        <v>1.03599699611721</v>
      </c>
      <c r="D239" s="37" t="n">
        <f aca="false">1+IF($G$8=$E$8,$F$8,IF(R239&lt;($F$8-$E$8)/($G$8-$E$8),$E$8+SQRT(R239*($G$8-$E$8)*($F$8-$E$8)),$G$8-SQRT((1-R239)*($G$8-$E$8)*($G$8-$F$8))))</f>
        <v>0.992434487557056</v>
      </c>
      <c r="E239" s="37" t="n">
        <f aca="false">1+IF($G$9=$E$9,$F$9,IF(S239&lt;($F$9-$E$9)/($G$9-$E$9),$E$9+SQRT(S239*($G$9-$E$9)*($F$9-$E$9)),$G$9-SQRT((1-S239)*($G$9-$E$9)*($G$9-$F$9))))</f>
        <v>1.11958086345568</v>
      </c>
      <c r="F239" s="37" t="n">
        <f aca="false">1+IF($G$10=$E$10,$F$10,IF(T239&lt;($F$10-$E$10)/($G$10-$E$10),$E$10+SQRT(T239*($G$10-$E$10)*($F$10-$E$10)),$G$10-SQRT((1-T239)*($G$10-$E$10)*($G$10-$F$10))))</f>
        <v>1.01128423478014</v>
      </c>
      <c r="G239" s="38" t="n">
        <f aca="false">IF($G$11=$E$11,$F$11,IF(U239&lt;($F$11-$E$11)/($G$11-$E$11),$E$11+SQRT(U239*($G$11-$E$11)*($F$11-$E$11)),$G$11-SQRT((1-U239)*($G$11-$E$11)*($G$11-$F$11))))</f>
        <v>0.105245192850463</v>
      </c>
      <c r="H239" s="39" t="n">
        <f aca="false">(('Business Case'!B11*$C239*'Business Case'!B12*$B239)-'Business Case'!B11*$C239*'Business Case'!B13*$D239-'Business Case'!B14*$E239)-MAX(0,(('Business Case'!B11*$C239*'Business Case'!B12*$B239)-'Business Case'!B11*$C239*'Business Case'!B13*$D239-'Business Case'!B14*$E239))*'Business Case'!$B$7-'Business Case'!$B$8*('Business Case'!B11*$C239*'Business Case'!B12*$B239)-'Business Case'!B15*$F239</f>
        <v>-2022568469.56029</v>
      </c>
      <c r="I239" s="39" t="n">
        <f aca="false">(('Business Case'!C11*$C239*'Business Case'!C12*$B239)-'Business Case'!C11*$C239*'Business Case'!C13*$D239-'Business Case'!C14*$E239)-MAX(0,(('Business Case'!C11*$C239*'Business Case'!C12*$B239)-'Business Case'!C11*$C239*'Business Case'!C13*$D239-'Business Case'!C14*$E239))*'Business Case'!$B$7-'Business Case'!$B$8*(('Business Case'!C11*$C239*'Business Case'!C12*$B239)-('Business Case'!B11*$C239*'Business Case'!B12*$B239))-'Business Case'!C15*$F239</f>
        <v>-17438779.5544574</v>
      </c>
      <c r="J239" s="39" t="n">
        <f aca="false">(('Business Case'!D11*$C239*'Business Case'!D12*$B239)-'Business Case'!D11*$C239*'Business Case'!D13*$D239-'Business Case'!D14*$E239)-MAX(0,(('Business Case'!D11*$C239*'Business Case'!D12*$B239)-'Business Case'!D11*$C239*'Business Case'!D13*$D239-'Business Case'!D14*$E239))*'Business Case'!$B$7-'Business Case'!$B$8*(('Business Case'!D11*$C239*'Business Case'!D12*$B239)-('Business Case'!C11*$C239*'Business Case'!C12*$B239))-'Business Case'!D15*$F239</f>
        <v>277430214.079974</v>
      </c>
      <c r="K239" s="39" t="n">
        <f aca="false">(('Business Case'!E11*$C239*'Business Case'!E12*$B239)-'Business Case'!E11*$C239*'Business Case'!E13*$D239-'Business Case'!E14*$E239)-MAX(0,(('Business Case'!E11*$C239*'Business Case'!E12*$B239)-'Business Case'!E11*$C239*'Business Case'!E13*$D239-'Business Case'!E14*$E239))*'Business Case'!$B$7-'Business Case'!$B$8*(('Business Case'!E11*$C239*'Business Case'!E12*$B239)-('Business Case'!D11*$C239*'Business Case'!D12*$B239))-'Business Case'!E15*$F239</f>
        <v>622863419.453413</v>
      </c>
      <c r="L239" s="39" t="n">
        <f aca="false">(('Business Case'!F11*$C239*'Business Case'!F12*$B239)-'Business Case'!F11*$C239*'Business Case'!F13*$D239-'Business Case'!F14*$E239)-MAX(0,(('Business Case'!F11*$C239*'Business Case'!F12*$B239)-'Business Case'!F11*$C239*'Business Case'!F13*$D239-'Business Case'!F14*$E239))*'Business Case'!$B$7-'Business Case'!$B$8*(('Business Case'!F11*$C239*'Business Case'!F12*$B239)-('Business Case'!E11*$C239*'Business Case'!E12*$B239))-'Business Case'!F15*$F239</f>
        <v>755803051.283208</v>
      </c>
      <c r="M239" s="39" t="n">
        <f aca="false">(('Business Case'!G11*$C239*'Business Case'!G12*$B239)-'Business Case'!G11*$C239*'Business Case'!G13*$D239-'Business Case'!G14*$E239)-MAX(0,(('Business Case'!G11*$C239*'Business Case'!G12*$B239)-'Business Case'!G11*$C239*'Business Case'!G13*$D239-'Business Case'!G14*$E239))*'Business Case'!$B$7-'Business Case'!$B$8*(('Business Case'!G11*$C239*'Business Case'!G12*$B239)-('Business Case'!F11*$C239*'Business Case'!F12*$B239))-'Business Case'!G15*$F239+'Business Case'!$B$8*('Business Case'!G11*$C239*'Business Case'!G12*$B239)</f>
        <v>946377871.350625</v>
      </c>
      <c r="N239" s="39" t="n">
        <f aca="false">IF(COUNT('Business Case'!B11:G11)=0,"",H239+NPV(G239,I239:M239))</f>
        <v>-269592887.745638</v>
      </c>
      <c r="P239" s="40" t="n">
        <f aca="true">RAND()</f>
        <v>0.306153523577658</v>
      </c>
      <c r="Q239" s="40" t="n">
        <f aca="true">RAND()</f>
        <v>0.807456520084456</v>
      </c>
      <c r="R239" s="40" t="n">
        <f aca="true">RAND()</f>
        <v>0.24009143123066</v>
      </c>
      <c r="S239" s="40" t="n">
        <f aca="true">RAND()</f>
        <v>0.975324696850615</v>
      </c>
      <c r="T239" s="40" t="n">
        <f aca="true">RAND()</f>
        <v>0.240197112473306</v>
      </c>
      <c r="U239" s="40" t="n">
        <f aca="true">RAND()</f>
        <v>0.591466348659502</v>
      </c>
    </row>
    <row r="240" customFormat="false" ht="15" hidden="false" customHeight="false" outlineLevel="0" collapsed="false">
      <c r="A240" s="36" t="n">
        <v>160</v>
      </c>
      <c r="B240" s="37" t="n">
        <f aca="false">1+IF($G$6=$E$6,$F$6,IF(P240&lt;($F$6-$E$6)/($G$6-$E$6),$E$6+SQRT(P240*($G$6-$E$6)*($F$6-$E$6)),$G$6-SQRT((1-P240)*($G$6-$E$6)*($G$6-$F$6))))</f>
        <v>1.02083507631273</v>
      </c>
      <c r="C240" s="37" t="n">
        <f aca="false">1+IF($G$7=$E$7,$F$7,IF(Q240&lt;($F$7-$E$7)/($G$7-$E$7),$E$7+SQRT(Q240*($G$7-$E$7)*($F$7-$E$7)),$G$7-SQRT((1-Q240)*($G$7-$E$7)*($G$7-$F$7))))</f>
        <v>1.03276689892229</v>
      </c>
      <c r="D240" s="37" t="n">
        <f aca="false">1+IF($G$8=$E$8,$F$8,IF(R240&lt;($F$8-$E$8)/($G$8-$E$8),$E$8+SQRT(R240*($G$8-$E$8)*($F$8-$E$8)),$G$8-SQRT((1-R240)*($G$8-$E$8)*($G$8-$F$8))))</f>
        <v>0.995841511524964</v>
      </c>
      <c r="E240" s="37" t="n">
        <f aca="false">1+IF($G$9=$E$9,$F$9,IF(S240&lt;($F$9-$E$9)/($G$9-$E$9),$E$9+SQRT(S240*($G$9-$E$9)*($F$9-$E$9)),$G$9-SQRT((1-S240)*($G$9-$E$9)*($G$9-$F$9))))</f>
        <v>1.0004053623817</v>
      </c>
      <c r="F240" s="37" t="n">
        <f aca="false">1+IF($G$10=$E$10,$F$10,IF(T240&lt;($F$10-$E$10)/($G$10-$E$10),$E$10+SQRT(T240*($G$10-$E$10)*($F$10-$E$10)),$G$10-SQRT((1-T240)*($G$10-$E$10)*($G$10-$F$10))))</f>
        <v>1.09269382453057</v>
      </c>
      <c r="G240" s="38" t="n">
        <f aca="false">IF($G$11=$E$11,$F$11,IF(U240&lt;($F$11-$E$11)/($G$11-$E$11),$E$11+SQRT(U240*($G$11-$E$11)*($F$11-$E$11)),$G$11-SQRT((1-U240)*($G$11-$E$11)*($G$11-$F$11))))</f>
        <v>0.127698325186773</v>
      </c>
      <c r="H240" s="39" t="n">
        <f aca="false">(('Business Case'!B11*$C240*'Business Case'!B12*$B240)-'Business Case'!B11*$C240*'Business Case'!B13*$D240-'Business Case'!B14*$E240)-MAX(0,(('Business Case'!B11*$C240*'Business Case'!B12*$B240)-'Business Case'!B11*$C240*'Business Case'!B13*$D240-'Business Case'!B14*$E240))*'Business Case'!$B$7-'Business Case'!$B$8*('Business Case'!B11*$C240*'Business Case'!B12*$B240)-'Business Case'!B15*$F240</f>
        <v>-2185387649.06114</v>
      </c>
      <c r="I240" s="39" t="n">
        <f aca="false">(('Business Case'!C11*$C240*'Business Case'!C12*$B240)-'Business Case'!C11*$C240*'Business Case'!C13*$D240-'Business Case'!C14*$E240)-MAX(0,(('Business Case'!C11*$C240*'Business Case'!C12*$B240)-'Business Case'!C11*$C240*'Business Case'!C13*$D240-'Business Case'!C14*$E240))*'Business Case'!$B$7-'Business Case'!$B$8*(('Business Case'!C11*$C240*'Business Case'!C12*$B240)-('Business Case'!B11*$C240*'Business Case'!B12*$B240))-'Business Case'!C15*$F240</f>
        <v>30858452.7483365</v>
      </c>
      <c r="J240" s="39" t="n">
        <f aca="false">(('Business Case'!D11*$C240*'Business Case'!D12*$B240)-'Business Case'!D11*$C240*'Business Case'!D13*$D240-'Business Case'!D14*$E240)-MAX(0,(('Business Case'!D11*$C240*'Business Case'!D12*$B240)-'Business Case'!D11*$C240*'Business Case'!D13*$D240-'Business Case'!D14*$E240))*'Business Case'!$B$7-'Business Case'!$B$8*(('Business Case'!D11*$C240*'Business Case'!D12*$B240)-('Business Case'!C11*$C240*'Business Case'!C12*$B240))-'Business Case'!D15*$F240</f>
        <v>367898048.088114</v>
      </c>
      <c r="K240" s="39" t="n">
        <f aca="false">(('Business Case'!E11*$C240*'Business Case'!E12*$B240)-'Business Case'!E11*$C240*'Business Case'!E13*$D240-'Business Case'!E14*$E240)-MAX(0,(('Business Case'!E11*$C240*'Business Case'!E12*$B240)-'Business Case'!E11*$C240*'Business Case'!E13*$D240-'Business Case'!E14*$E240))*'Business Case'!$B$7-'Business Case'!$B$8*(('Business Case'!E11*$C240*'Business Case'!E12*$B240)-('Business Case'!D11*$C240*'Business Case'!D12*$B240))-'Business Case'!E15*$F240</f>
        <v>759572334.65442</v>
      </c>
      <c r="L240" s="39" t="n">
        <f aca="false">(('Business Case'!F11*$C240*'Business Case'!F12*$B240)-'Business Case'!F11*$C240*'Business Case'!F13*$D240-'Business Case'!F14*$E240)-MAX(0,(('Business Case'!F11*$C240*'Business Case'!F12*$B240)-'Business Case'!F11*$C240*'Business Case'!F13*$D240-'Business Case'!F14*$E240))*'Business Case'!$B$7-'Business Case'!$B$8*(('Business Case'!F11*$C240*'Business Case'!F12*$B240)-('Business Case'!E11*$C240*'Business Case'!E12*$B240))-'Business Case'!F15*$F240</f>
        <v>908354944.839484</v>
      </c>
      <c r="M240" s="39" t="n">
        <f aca="false">(('Business Case'!G11*$C240*'Business Case'!G12*$B240)-'Business Case'!G11*$C240*'Business Case'!G13*$D240-'Business Case'!G14*$E240)-MAX(0,(('Business Case'!G11*$C240*'Business Case'!G12*$B240)-'Business Case'!G11*$C240*'Business Case'!G13*$D240-'Business Case'!G14*$E240))*'Business Case'!$B$7-'Business Case'!$B$8*(('Business Case'!G11*$C240*'Business Case'!G12*$B240)-('Business Case'!F11*$C240*'Business Case'!F12*$B240))-'Business Case'!G15*$F240+'Business Case'!$B$8*('Business Case'!G11*$C240*'Business Case'!G12*$B240)</f>
        <v>1108753376.06774</v>
      </c>
      <c r="N240" s="39" t="n">
        <f aca="false">IF(COUNT('Business Case'!B11:G11)=0,"",H240+NPV(G240,I240:M240))</f>
        <v>-169449673.872961</v>
      </c>
      <c r="P240" s="40" t="n">
        <f aca="true">RAND()</f>
        <v>0.886587630175441</v>
      </c>
      <c r="Q240" s="40" t="n">
        <f aca="true">RAND()</f>
        <v>0.796391111284492</v>
      </c>
      <c r="R240" s="40" t="n">
        <f aca="true">RAND()</f>
        <v>0.280192557185784</v>
      </c>
      <c r="S240" s="40" t="n">
        <f aca="true">RAND()</f>
        <v>0.403238517222622</v>
      </c>
      <c r="T240" s="40" t="n">
        <f aca="true">RAND()</f>
        <v>0.670063562122403</v>
      </c>
      <c r="U240" s="40" t="n">
        <f aca="true">RAND()</f>
        <v>0.996468195369437</v>
      </c>
    </row>
    <row r="241" customFormat="false" ht="15" hidden="false" customHeight="false" outlineLevel="0" collapsed="false">
      <c r="A241" s="36" t="n">
        <v>161</v>
      </c>
      <c r="B241" s="37" t="n">
        <f aca="false">1+IF($G$6=$E$6,$F$6,IF(P241&lt;($F$6-$E$6)/($G$6-$E$6),$E$6+SQRT(P241*($G$6-$E$6)*($F$6-$E$6)),$G$6-SQRT((1-P241)*($G$6-$E$6)*($G$6-$F$6))))</f>
        <v>1.02064573843611</v>
      </c>
      <c r="C241" s="37" t="n">
        <f aca="false">1+IF($G$7=$E$7,$F$7,IF(Q241&lt;($F$7-$E$7)/($G$7-$E$7),$E$7+SQRT(Q241*($G$7-$E$7)*($F$7-$E$7)),$G$7-SQRT((1-Q241)*($G$7-$E$7)*($G$7-$F$7))))</f>
        <v>0.99496036483027</v>
      </c>
      <c r="D241" s="37" t="n">
        <f aca="false">1+IF($G$8=$E$8,$F$8,IF(R241&lt;($F$8-$E$8)/($G$8-$E$8),$E$8+SQRT(R241*($G$8-$E$8)*($F$8-$E$8)),$G$8-SQRT((1-R241)*($G$8-$E$8)*($G$8-$F$8))))</f>
        <v>1.00129552891465</v>
      </c>
      <c r="E241" s="37" t="n">
        <f aca="false">1+IF($G$9=$E$9,$F$9,IF(S241&lt;($F$9-$E$9)/($G$9-$E$9),$E$9+SQRT(S241*($G$9-$E$9)*($F$9-$E$9)),$G$9-SQRT((1-S241)*($G$9-$E$9)*($G$9-$F$9))))</f>
        <v>1.01525619785518</v>
      </c>
      <c r="F241" s="37" t="n">
        <f aca="false">1+IF($G$10=$E$10,$F$10,IF(T241&lt;($F$10-$E$10)/($G$10-$E$10),$E$10+SQRT(T241*($G$10-$E$10)*($F$10-$E$10)),$G$10-SQRT((1-T241)*($G$10-$E$10)*($G$10-$F$10))))</f>
        <v>1.0489165619782</v>
      </c>
      <c r="G241" s="38" t="n">
        <f aca="false">IF($G$11=$E$11,$F$11,IF(U241&lt;($F$11-$E$11)/($G$11-$E$11),$E$11+SQRT(U241*($G$11-$E$11)*($F$11-$E$11)),$G$11-SQRT((1-U241)*($G$11-$E$11)*($G$11-$F$11))))</f>
        <v>0.0992979315118657</v>
      </c>
      <c r="H241" s="39" t="n">
        <f aca="false">(('Business Case'!B11*$C241*'Business Case'!B12*$B241)-'Business Case'!B11*$C241*'Business Case'!B13*$D241-'Business Case'!B14*$E241)-MAX(0,(('Business Case'!B11*$C241*'Business Case'!B12*$B241)-'Business Case'!B11*$C241*'Business Case'!B13*$D241-'Business Case'!B14*$E241))*'Business Case'!$B$7-'Business Case'!$B$8*('Business Case'!B11*$C241*'Business Case'!B12*$B241)-'Business Case'!B15*$F241</f>
        <v>-2097833123.95639</v>
      </c>
      <c r="I241" s="39" t="n">
        <f aca="false">(('Business Case'!C11*$C241*'Business Case'!C12*$B241)-'Business Case'!C11*$C241*'Business Case'!C13*$D241-'Business Case'!C14*$E241)-MAX(0,(('Business Case'!C11*$C241*'Business Case'!C12*$B241)-'Business Case'!C11*$C241*'Business Case'!C13*$D241-'Business Case'!C14*$E241))*'Business Case'!$B$7-'Business Case'!$B$8*(('Business Case'!C11*$C241*'Business Case'!C12*$B241)-('Business Case'!B11*$C241*'Business Case'!B12*$B241))-'Business Case'!C15*$F241</f>
        <v>19864611.3048171</v>
      </c>
      <c r="J241" s="39" t="n">
        <f aca="false">(('Business Case'!D11*$C241*'Business Case'!D12*$B241)-'Business Case'!D11*$C241*'Business Case'!D13*$D241-'Business Case'!D14*$E241)-MAX(0,(('Business Case'!D11*$C241*'Business Case'!D12*$B241)-'Business Case'!D11*$C241*'Business Case'!D13*$D241-'Business Case'!D14*$E241))*'Business Case'!$B$7-'Business Case'!$B$8*(('Business Case'!D11*$C241*'Business Case'!D12*$B241)-('Business Case'!C11*$C241*'Business Case'!C12*$B241))-'Business Case'!D15*$F241</f>
        <v>341633936.739852</v>
      </c>
      <c r="K241" s="39" t="n">
        <f aca="false">(('Business Case'!E11*$C241*'Business Case'!E12*$B241)-'Business Case'!E11*$C241*'Business Case'!E13*$D241-'Business Case'!E14*$E241)-MAX(0,(('Business Case'!E11*$C241*'Business Case'!E12*$B241)-'Business Case'!E11*$C241*'Business Case'!E13*$D241-'Business Case'!E14*$E241))*'Business Case'!$B$7-'Business Case'!$B$8*(('Business Case'!E11*$C241*'Business Case'!E12*$B241)-('Business Case'!D11*$C241*'Business Case'!D12*$B241))-'Business Case'!E15*$F241</f>
        <v>715849090.273797</v>
      </c>
      <c r="L241" s="39" t="n">
        <f aca="false">(('Business Case'!F11*$C241*'Business Case'!F12*$B241)-'Business Case'!F11*$C241*'Business Case'!F13*$D241-'Business Case'!F14*$E241)-MAX(0,(('Business Case'!F11*$C241*'Business Case'!F12*$B241)-'Business Case'!F11*$C241*'Business Case'!F13*$D241-'Business Case'!F14*$E241))*'Business Case'!$B$7-'Business Case'!$B$8*(('Business Case'!F11*$C241*'Business Case'!F12*$B241)-('Business Case'!E11*$C241*'Business Case'!E12*$B241))-'Business Case'!F15*$F241</f>
        <v>858201283.150403</v>
      </c>
      <c r="M241" s="39" t="n">
        <f aca="false">(('Business Case'!G11*$C241*'Business Case'!G12*$B241)-'Business Case'!G11*$C241*'Business Case'!G13*$D241-'Business Case'!G14*$E241)-MAX(0,(('Business Case'!G11*$C241*'Business Case'!G12*$B241)-'Business Case'!G11*$C241*'Business Case'!G13*$D241-'Business Case'!G14*$E241))*'Business Case'!$B$7-'Business Case'!$B$8*(('Business Case'!G11*$C241*'Business Case'!G12*$B241)-('Business Case'!F11*$C241*'Business Case'!F12*$B241))-'Business Case'!G15*$F241+'Business Case'!$B$8*('Business Case'!G11*$C241*'Business Case'!G12*$B241)</f>
        <v>1051227914.00751</v>
      </c>
      <c r="N241" s="39" t="n">
        <f aca="false">IF(COUNT('Business Case'!B11:G11)=0,"",H241+NPV(G241,I241:M241))</f>
        <v>-15722174.476856</v>
      </c>
      <c r="P241" s="40" t="n">
        <f aca="true">RAND()</f>
        <v>0.885110310405162</v>
      </c>
      <c r="Q241" s="40" t="n">
        <f aca="true">RAND()</f>
        <v>0.644456420894858</v>
      </c>
      <c r="R241" s="40" t="n">
        <f aca="true">RAND()</f>
        <v>0.350495159184021</v>
      </c>
      <c r="S241" s="40" t="n">
        <f aca="true">RAND()</f>
        <v>0.515842874228194</v>
      </c>
      <c r="T241" s="40" t="n">
        <f aca="true">RAND()</f>
        <v>0.460872679377746</v>
      </c>
      <c r="U241" s="40" t="n">
        <f aca="true">RAND()</f>
        <v>0.37241016063666</v>
      </c>
    </row>
    <row r="242" customFormat="false" ht="15" hidden="false" customHeight="false" outlineLevel="0" collapsed="false">
      <c r="A242" s="36" t="n">
        <v>162</v>
      </c>
      <c r="B242" s="37" t="n">
        <f aca="false">1+IF($G$6=$E$6,$F$6,IF(P242&lt;($F$6-$E$6)/($G$6-$E$6),$E$6+SQRT(P242*($G$6-$E$6)*($F$6-$E$6)),$G$6-SQRT((1-P242)*($G$6-$E$6)*($G$6-$F$6))))</f>
        <v>0.960401761678475</v>
      </c>
      <c r="C242" s="37" t="n">
        <f aca="false">1+IF($G$7=$E$7,$F$7,IF(Q242&lt;($F$7-$E$7)/($G$7-$E$7),$E$7+SQRT(Q242*($G$7-$E$7)*($F$7-$E$7)),$G$7-SQRT((1-Q242)*($G$7-$E$7)*($G$7-$F$7))))</f>
        <v>1.08640563056297</v>
      </c>
      <c r="D242" s="37" t="n">
        <f aca="false">1+IF($G$8=$E$8,$F$8,IF(R242&lt;($F$8-$E$8)/($G$8-$E$8),$E$8+SQRT(R242*($G$8-$E$8)*($F$8-$E$8)),$G$8-SQRT((1-R242)*($G$8-$E$8)*($G$8-$F$8))))</f>
        <v>0.997381591712572</v>
      </c>
      <c r="E242" s="37" t="n">
        <f aca="false">1+IF($G$9=$E$9,$F$9,IF(S242&lt;($F$9-$E$9)/($G$9-$E$9),$E$9+SQRT(S242*($G$9-$E$9)*($F$9-$E$9)),$G$9-SQRT((1-S242)*($G$9-$E$9)*($G$9-$F$9))))</f>
        <v>1.06666179245708</v>
      </c>
      <c r="F242" s="37" t="n">
        <f aca="false">1+IF($G$10=$E$10,$F$10,IF(T242&lt;($F$10-$E$10)/($G$10-$E$10),$E$10+SQRT(T242*($G$10-$E$10)*($F$10-$E$10)),$G$10-SQRT((1-T242)*($G$10-$E$10)*($G$10-$F$10))))</f>
        <v>1.04847541786246</v>
      </c>
      <c r="G242" s="38" t="n">
        <f aca="false">IF($G$11=$E$11,$F$11,IF(U242&lt;($F$11-$E$11)/($G$11-$E$11),$E$11+SQRT(U242*($G$11-$E$11)*($F$11-$E$11)),$G$11-SQRT((1-U242)*($G$11-$E$11)*($G$11-$F$11))))</f>
        <v>0.119289985251356</v>
      </c>
      <c r="H242" s="39" t="n">
        <f aca="false">(('Business Case'!B11*$C242*'Business Case'!B12*$B242)-'Business Case'!B11*$C242*'Business Case'!B13*$D242-'Business Case'!B14*$E242)-MAX(0,(('Business Case'!B11*$C242*'Business Case'!B12*$B242)-'Business Case'!B11*$C242*'Business Case'!B13*$D242-'Business Case'!B14*$E242))*'Business Case'!$B$7-'Business Case'!$B$8*('Business Case'!B11*$C242*'Business Case'!B12*$B242)-'Business Case'!B15*$F242</f>
        <v>-2096950835.72492</v>
      </c>
      <c r="I242" s="39" t="n">
        <f aca="false">(('Business Case'!C11*$C242*'Business Case'!C12*$B242)-'Business Case'!C11*$C242*'Business Case'!C13*$D242-'Business Case'!C14*$E242)-MAX(0,(('Business Case'!C11*$C242*'Business Case'!C12*$B242)-'Business Case'!C11*$C242*'Business Case'!C13*$D242-'Business Case'!C14*$E242))*'Business Case'!$B$7-'Business Case'!$B$8*(('Business Case'!C11*$C242*'Business Case'!C12*$B242)-('Business Case'!B11*$C242*'Business Case'!B12*$B242))-'Business Case'!C15*$F242</f>
        <v>-10704347.420948</v>
      </c>
      <c r="J242" s="39" t="n">
        <f aca="false">(('Business Case'!D11*$C242*'Business Case'!D12*$B242)-'Business Case'!D11*$C242*'Business Case'!D13*$D242-'Business Case'!D14*$E242)-MAX(0,(('Business Case'!D11*$C242*'Business Case'!D12*$B242)-'Business Case'!D11*$C242*'Business Case'!D13*$D242-'Business Case'!D14*$E242))*'Business Case'!$B$7-'Business Case'!$B$8*(('Business Case'!D11*$C242*'Business Case'!D12*$B242)-('Business Case'!C11*$C242*'Business Case'!C12*$B242))-'Business Case'!D15*$F242</f>
        <v>289207277.928193</v>
      </c>
      <c r="K242" s="39" t="n">
        <f aca="false">(('Business Case'!E11*$C242*'Business Case'!E12*$B242)-'Business Case'!E11*$C242*'Business Case'!E13*$D242-'Business Case'!E14*$E242)-MAX(0,(('Business Case'!E11*$C242*'Business Case'!E12*$B242)-'Business Case'!E11*$C242*'Business Case'!E13*$D242-'Business Case'!E14*$E242))*'Business Case'!$B$7-'Business Case'!$B$8*(('Business Case'!E11*$C242*'Business Case'!E12*$B242)-('Business Case'!D11*$C242*'Business Case'!D12*$B242))-'Business Case'!E15*$F242</f>
        <v>641542674.170458</v>
      </c>
      <c r="L242" s="39" t="n">
        <f aca="false">(('Business Case'!F11*$C242*'Business Case'!F12*$B242)-'Business Case'!F11*$C242*'Business Case'!F13*$D242-'Business Case'!F14*$E242)-MAX(0,(('Business Case'!F11*$C242*'Business Case'!F12*$B242)-'Business Case'!F11*$C242*'Business Case'!F13*$D242-'Business Case'!F14*$E242))*'Business Case'!$B$7-'Business Case'!$B$8*(('Business Case'!F11*$C242*'Business Case'!F12*$B242)-('Business Case'!E11*$C242*'Business Case'!E12*$B242))-'Business Case'!F15*$F242</f>
        <v>777572632.017802</v>
      </c>
      <c r="M242" s="39" t="n">
        <f aca="false">(('Business Case'!G11*$C242*'Business Case'!G12*$B242)-'Business Case'!G11*$C242*'Business Case'!G13*$D242-'Business Case'!G14*$E242)-MAX(0,(('Business Case'!G11*$C242*'Business Case'!G12*$B242)-'Business Case'!G11*$C242*'Business Case'!G13*$D242-'Business Case'!G14*$E242))*'Business Case'!$B$7-'Business Case'!$B$8*(('Business Case'!G11*$C242*'Business Case'!G12*$B242)-('Business Case'!F11*$C242*'Business Case'!F12*$B242))-'Business Case'!G15*$F242+'Business Case'!$B$8*('Business Case'!G11*$C242*'Business Case'!G12*$B242)</f>
        <v>975899420.371439</v>
      </c>
      <c r="N242" s="39" t="n">
        <f aca="false">IF(COUNT('Business Case'!B11:G11)=0,"",H242+NPV(G242,I242:M242))</f>
        <v>-367233890.183586</v>
      </c>
      <c r="P242" s="40" t="n">
        <f aca="true">RAND()</f>
        <v>0.24322485425755</v>
      </c>
      <c r="Q242" s="40" t="n">
        <f aca="true">RAND()</f>
        <v>0.940085276680099</v>
      </c>
      <c r="R242" s="40" t="n">
        <f aca="true">RAND()</f>
        <v>0.299335364428921</v>
      </c>
      <c r="S242" s="40" t="n">
        <f aca="true">RAND()</f>
        <v>0.81479315102757</v>
      </c>
      <c r="T242" s="40" t="n">
        <f aca="true">RAND()</f>
        <v>0.458504570590522</v>
      </c>
      <c r="U242" s="40" t="n">
        <f aca="true">RAND()</f>
        <v>0.923530389389222</v>
      </c>
    </row>
    <row r="243" customFormat="false" ht="15" hidden="false" customHeight="false" outlineLevel="0" collapsed="false">
      <c r="A243" s="36" t="n">
        <v>163</v>
      </c>
      <c r="B243" s="37" t="n">
        <f aca="false">1+IF($G$6=$E$6,$F$6,IF(P243&lt;($F$6-$E$6)/($G$6-$E$6),$E$6+SQRT(P243*($G$6-$E$6)*($F$6-$E$6)),$G$6-SQRT((1-P243)*($G$6-$E$6)*($G$6-$F$6))))</f>
        <v>0.926446695735507</v>
      </c>
      <c r="C243" s="37" t="n">
        <f aca="false">1+IF($G$7=$E$7,$F$7,IF(Q243&lt;($F$7-$E$7)/($G$7-$E$7),$E$7+SQRT(Q243*($G$7-$E$7)*($F$7-$E$7)),$G$7-SQRT((1-Q243)*($G$7-$E$7)*($G$7-$F$7))))</f>
        <v>0.952226157261436</v>
      </c>
      <c r="D243" s="37" t="n">
        <f aca="false">1+IF($G$8=$E$8,$F$8,IF(R243&lt;($F$8-$E$8)/($G$8-$E$8),$E$8+SQRT(R243*($G$8-$E$8)*($F$8-$E$8)),$G$8-SQRT((1-R243)*($G$8-$E$8)*($G$8-$F$8))))</f>
        <v>1.03369535172239</v>
      </c>
      <c r="E243" s="37" t="n">
        <f aca="false">1+IF($G$9=$E$9,$F$9,IF(S243&lt;($F$9-$E$9)/($G$9-$E$9),$E$9+SQRT(S243*($G$9-$E$9)*($F$9-$E$9)),$G$9-SQRT((1-S243)*($G$9-$E$9)*($G$9-$F$9))))</f>
        <v>1.01786394601527</v>
      </c>
      <c r="F243" s="37" t="n">
        <f aca="false">1+IF($G$10=$E$10,$F$10,IF(T243&lt;($F$10-$E$10)/($G$10-$E$10),$E$10+SQRT(T243*($G$10-$E$10)*($F$10-$E$10)),$G$10-SQRT((1-T243)*($G$10-$E$10)*($G$10-$F$10))))</f>
        <v>1.0489892730712</v>
      </c>
      <c r="G243" s="38" t="n">
        <f aca="false">IF($G$11=$E$11,$F$11,IF(U243&lt;($F$11-$E$11)/($G$11-$E$11),$E$11+SQRT(U243*($G$11-$E$11)*($F$11-$E$11)),$G$11-SQRT((1-U243)*($G$11-$E$11)*($G$11-$F$11))))</f>
        <v>0.0958917509399321</v>
      </c>
      <c r="H243" s="39" t="n">
        <f aca="false">(('Business Case'!B11*$C243*'Business Case'!B12*$B243)-'Business Case'!B11*$C243*'Business Case'!B13*$D243-'Business Case'!B14*$E243)-MAX(0,(('Business Case'!B11*$C243*'Business Case'!B12*$B243)-'Business Case'!B11*$C243*'Business Case'!B13*$D243-'Business Case'!B14*$E243))*'Business Case'!$B$7-'Business Case'!$B$8*('Business Case'!B11*$C243*'Business Case'!B12*$B243)-'Business Case'!B15*$F243</f>
        <v>-2097978546.14239</v>
      </c>
      <c r="I243" s="39" t="n">
        <f aca="false">(('Business Case'!C11*$C243*'Business Case'!C12*$B243)-'Business Case'!C11*$C243*'Business Case'!C13*$D243-'Business Case'!C14*$E243)-MAX(0,(('Business Case'!C11*$C243*'Business Case'!C12*$B243)-'Business Case'!C11*$C243*'Business Case'!C13*$D243-'Business Case'!C14*$E243))*'Business Case'!$B$7-'Business Case'!$B$8*(('Business Case'!C11*$C243*'Business Case'!C12*$B243)-('Business Case'!B11*$C243*'Business Case'!B12*$B243))-'Business Case'!C15*$F243</f>
        <v>-76686127.5138058</v>
      </c>
      <c r="J243" s="39" t="n">
        <f aca="false">(('Business Case'!D11*$C243*'Business Case'!D12*$B243)-'Business Case'!D11*$C243*'Business Case'!D13*$D243-'Business Case'!D14*$E243)-MAX(0,(('Business Case'!D11*$C243*'Business Case'!D12*$B243)-'Business Case'!D11*$C243*'Business Case'!D13*$D243-'Business Case'!D14*$E243))*'Business Case'!$B$7-'Business Case'!$B$8*(('Business Case'!D11*$C243*'Business Case'!D12*$B243)-('Business Case'!C11*$C243*'Business Case'!C12*$B243))-'Business Case'!D15*$F243</f>
        <v>141999487.921926</v>
      </c>
      <c r="K243" s="39" t="n">
        <f aca="false">(('Business Case'!E11*$C243*'Business Case'!E12*$B243)-'Business Case'!E11*$C243*'Business Case'!E13*$D243-'Business Case'!E14*$E243)-MAX(0,(('Business Case'!E11*$C243*'Business Case'!E12*$B243)-'Business Case'!E11*$C243*'Business Case'!E13*$D243-'Business Case'!E14*$E243))*'Business Case'!$B$7-'Business Case'!$B$8*(('Business Case'!E11*$C243*'Business Case'!E12*$B243)-('Business Case'!D11*$C243*'Business Case'!D12*$B243))-'Business Case'!E15*$F243</f>
        <v>413134567.011217</v>
      </c>
      <c r="L243" s="39" t="n">
        <f aca="false">(('Business Case'!F11*$C243*'Business Case'!F12*$B243)-'Business Case'!F11*$C243*'Business Case'!F13*$D243-'Business Case'!F14*$E243)-MAX(0,(('Business Case'!F11*$C243*'Business Case'!F12*$B243)-'Business Case'!F11*$C243*'Business Case'!F13*$D243-'Business Case'!F14*$E243))*'Business Case'!$B$7-'Business Case'!$B$8*(('Business Case'!F11*$C243*'Business Case'!F12*$B243)-('Business Case'!E11*$C243*'Business Case'!E12*$B243))-'Business Case'!F15*$F243</f>
        <v>516518147.169158</v>
      </c>
      <c r="M243" s="39" t="n">
        <f aca="false">(('Business Case'!G11*$C243*'Business Case'!G12*$B243)-'Business Case'!G11*$C243*'Business Case'!G13*$D243-'Business Case'!G14*$E243)-MAX(0,(('Business Case'!G11*$C243*'Business Case'!G12*$B243)-'Business Case'!G11*$C243*'Business Case'!G13*$D243-'Business Case'!G14*$E243))*'Business Case'!$B$7-'Business Case'!$B$8*(('Business Case'!G11*$C243*'Business Case'!G12*$B243)-('Business Case'!F11*$C243*'Business Case'!F12*$B243))-'Business Case'!G15*$F243+'Business Case'!$B$8*('Business Case'!G11*$C243*'Business Case'!G12*$B243)</f>
        <v>684204209.738995</v>
      </c>
      <c r="N243" s="39" t="n">
        <f aca="false">IF(COUNT('Business Case'!B11:G11)=0,"",H243+NPV(G243,I243:M243))</f>
        <v>-944851307.476087</v>
      </c>
      <c r="P243" s="40" t="n">
        <f aca="true">RAND()</f>
        <v>0.0466285143550984</v>
      </c>
      <c r="Q243" s="40" t="n">
        <f aca="true">RAND()</f>
        <v>0.471244699310154</v>
      </c>
      <c r="R243" s="40" t="n">
        <f aca="true">RAND()</f>
        <v>0.70691290778548</v>
      </c>
      <c r="S243" s="40" t="n">
        <f aca="true">RAND()</f>
        <v>0.534401686329195</v>
      </c>
      <c r="T243" s="40" t="n">
        <f aca="true">RAND()</f>
        <v>0.461262502127384</v>
      </c>
      <c r="U243" s="40" t="n">
        <f aca="true">RAND()</f>
        <v>0.252547747936832</v>
      </c>
    </row>
    <row r="244" customFormat="false" ht="15" hidden="false" customHeight="false" outlineLevel="0" collapsed="false">
      <c r="A244" s="36" t="n">
        <v>164</v>
      </c>
      <c r="B244" s="37" t="n">
        <f aca="false">1+IF($G$6=$E$6,$F$6,IF(P244&lt;($F$6-$E$6)/($G$6-$E$6),$E$6+SQRT(P244*($G$6-$E$6)*($F$6-$E$6)),$G$6-SQRT((1-P244)*($G$6-$E$6)*($G$6-$F$6))))</f>
        <v>0.957752765476081</v>
      </c>
      <c r="C244" s="37" t="n">
        <f aca="false">1+IF($G$7=$E$7,$F$7,IF(Q244&lt;($F$7-$E$7)/($G$7-$E$7),$E$7+SQRT(Q244*($G$7-$E$7)*($F$7-$E$7)),$G$7-SQRT((1-Q244)*($G$7-$E$7)*($G$7-$F$7))))</f>
        <v>0.882205320241636</v>
      </c>
      <c r="D244" s="37" t="n">
        <f aca="false">1+IF($G$8=$E$8,$F$8,IF(R244&lt;($F$8-$E$8)/($G$8-$E$8),$E$8+SQRT(R244*($G$8-$E$8)*($F$8-$E$8)),$G$8-SQRT((1-R244)*($G$8-$E$8)*($G$8-$F$8))))</f>
        <v>1.01164447327393</v>
      </c>
      <c r="E244" s="37" t="n">
        <f aca="false">1+IF($G$9=$E$9,$F$9,IF(S244&lt;($F$9-$E$9)/($G$9-$E$9),$E$9+SQRT(S244*($G$9-$E$9)*($F$9-$E$9)),$G$9-SQRT((1-S244)*($G$9-$E$9)*($G$9-$F$9))))</f>
        <v>0.944708033931494</v>
      </c>
      <c r="F244" s="37" t="n">
        <f aca="false">1+IF($G$10=$E$10,$F$10,IF(T244&lt;($F$10-$E$10)/($G$10-$E$10),$E$10+SQRT(T244*($G$10-$E$10)*($F$10-$E$10)),$G$10-SQRT((1-T244)*($G$10-$E$10)*($G$10-$F$10))))</f>
        <v>1.16721762566266</v>
      </c>
      <c r="G244" s="38" t="n">
        <f aca="false">IF($G$11=$E$11,$F$11,IF(U244&lt;($F$11-$E$11)/($G$11-$E$11),$E$11+SQRT(U244*($G$11-$E$11)*($F$11-$E$11)),$G$11-SQRT((1-U244)*($G$11-$E$11)*($G$11-$F$11))))</f>
        <v>0.0945836800339481</v>
      </c>
      <c r="H244" s="39" t="n">
        <f aca="false">(('Business Case'!B11*$C244*'Business Case'!B12*$B244)-'Business Case'!B11*$C244*'Business Case'!B13*$D244-'Business Case'!B14*$E244)-MAX(0,(('Business Case'!B11*$C244*'Business Case'!B12*$B244)-'Business Case'!B11*$C244*'Business Case'!B13*$D244-'Business Case'!B14*$E244))*'Business Case'!$B$7-'Business Case'!$B$8*('Business Case'!B11*$C244*'Business Case'!B12*$B244)-'Business Case'!B15*$F244</f>
        <v>-2334435251.32533</v>
      </c>
      <c r="I244" s="39" t="n">
        <f aca="false">(('Business Case'!C11*$C244*'Business Case'!C12*$B244)-'Business Case'!C11*$C244*'Business Case'!C13*$D244-'Business Case'!C14*$E244)-MAX(0,(('Business Case'!C11*$C244*'Business Case'!C12*$B244)-'Business Case'!C11*$C244*'Business Case'!C13*$D244-'Business Case'!C14*$E244))*'Business Case'!$B$7-'Business Case'!$B$8*(('Business Case'!C11*$C244*'Business Case'!C12*$B244)-('Business Case'!B11*$C244*'Business Case'!B12*$B244))-'Business Case'!C15*$F244</f>
        <v>-59675800.9800802</v>
      </c>
      <c r="J244" s="39" t="n">
        <f aca="false">(('Business Case'!D11*$C244*'Business Case'!D12*$B244)-'Business Case'!D11*$C244*'Business Case'!D13*$D244-'Business Case'!D14*$E244)-MAX(0,(('Business Case'!D11*$C244*'Business Case'!D12*$B244)-'Business Case'!D11*$C244*'Business Case'!D13*$D244-'Business Case'!D14*$E244))*'Business Case'!$B$7-'Business Case'!$B$8*(('Business Case'!D11*$C244*'Business Case'!D12*$B244)-('Business Case'!C11*$C244*'Business Case'!C12*$B244))-'Business Case'!D15*$F244</f>
        <v>175509051.926851</v>
      </c>
      <c r="K244" s="39" t="n">
        <f aca="false">(('Business Case'!E11*$C244*'Business Case'!E12*$B244)-'Business Case'!E11*$C244*'Business Case'!E13*$D244-'Business Case'!E14*$E244)-MAX(0,(('Business Case'!E11*$C244*'Business Case'!E12*$B244)-'Business Case'!E11*$C244*'Business Case'!E13*$D244-'Business Case'!E14*$E244))*'Business Case'!$B$7-'Business Case'!$B$8*(('Business Case'!E11*$C244*'Business Case'!E12*$B244)-('Business Case'!D11*$C244*'Business Case'!D12*$B244))-'Business Case'!E15*$F244</f>
        <v>469054786.116915</v>
      </c>
      <c r="L244" s="39" t="n">
        <f aca="false">(('Business Case'!F11*$C244*'Business Case'!F12*$B244)-'Business Case'!F11*$C244*'Business Case'!F13*$D244-'Business Case'!F14*$E244)-MAX(0,(('Business Case'!F11*$C244*'Business Case'!F12*$B244)-'Business Case'!F11*$C244*'Business Case'!F13*$D244-'Business Case'!F14*$E244))*'Business Case'!$B$7-'Business Case'!$B$8*(('Business Case'!F11*$C244*'Business Case'!F12*$B244)-('Business Case'!E11*$C244*'Business Case'!E12*$B244))-'Business Case'!F15*$F244</f>
        <v>576650676.349683</v>
      </c>
      <c r="M244" s="39" t="n">
        <f aca="false">(('Business Case'!G11*$C244*'Business Case'!G12*$B244)-'Business Case'!G11*$C244*'Business Case'!G13*$D244-'Business Case'!G14*$E244)-MAX(0,(('Business Case'!G11*$C244*'Business Case'!G12*$B244)-'Business Case'!G11*$C244*'Business Case'!G13*$D244-'Business Case'!G14*$E244))*'Business Case'!$B$7-'Business Case'!$B$8*(('Business Case'!G11*$C244*'Business Case'!G12*$B244)-('Business Case'!F11*$C244*'Business Case'!F12*$B244))-'Business Case'!G15*$F244+'Business Case'!$B$8*('Business Case'!G11*$C244*'Business Case'!G12*$B244)</f>
        <v>737255842.300534</v>
      </c>
      <c r="N244" s="39" t="n">
        <f aca="false">IF(COUNT('Business Case'!B11:G11)=0,"",H244+NPV(G244,I244:M244))</f>
        <v>-1013870823.49084</v>
      </c>
      <c r="P244" s="40" t="n">
        <f aca="true">RAND()</f>
        <v>0.222358794675678</v>
      </c>
      <c r="Q244" s="40" t="n">
        <f aca="true">RAND()</f>
        <v>0.245916879439683</v>
      </c>
      <c r="R244" s="40" t="n">
        <f aca="true">RAND()</f>
        <v>0.479553393130563</v>
      </c>
      <c r="S244" s="40" t="n">
        <f aca="true">RAND()</f>
        <v>0.0799523319207861</v>
      </c>
      <c r="T244" s="40" t="n">
        <f aca="true">RAND()</f>
        <v>0.908627713320973</v>
      </c>
      <c r="U244" s="40" t="n">
        <f aca="true">RAND()</f>
        <v>0.212683723332577</v>
      </c>
    </row>
    <row r="245" customFormat="false" ht="15" hidden="false" customHeight="false" outlineLevel="0" collapsed="false">
      <c r="A245" s="36" t="n">
        <v>165</v>
      </c>
      <c r="B245" s="37" t="n">
        <f aca="false">1+IF($G$6=$E$6,$F$6,IF(P245&lt;($F$6-$E$6)/($G$6-$E$6),$E$6+SQRT(P245*($G$6-$E$6)*($F$6-$E$6)),$G$6-SQRT((1-P245)*($G$6-$E$6)*($G$6-$F$6))))</f>
        <v>1.02571075847984</v>
      </c>
      <c r="C245" s="37" t="n">
        <f aca="false">1+IF($G$7=$E$7,$F$7,IF(Q245&lt;($F$7-$E$7)/($G$7-$E$7),$E$7+SQRT(Q245*($G$7-$E$7)*($F$7-$E$7)),$G$7-SQRT((1-Q245)*($G$7-$E$7)*($G$7-$F$7))))</f>
        <v>0.942385826414029</v>
      </c>
      <c r="D245" s="37" t="n">
        <f aca="false">1+IF($G$8=$E$8,$F$8,IF(R245&lt;($F$8-$E$8)/($G$8-$E$8),$E$8+SQRT(R245*($G$8-$E$8)*($F$8-$E$8)),$G$8-SQRT((1-R245)*($G$8-$E$8)*($G$8-$F$8))))</f>
        <v>1.07606210307422</v>
      </c>
      <c r="E245" s="37" t="n">
        <f aca="false">1+IF($G$9=$E$9,$F$9,IF(S245&lt;($F$9-$E$9)/($G$9-$E$9),$E$9+SQRT(S245*($G$9-$E$9)*($F$9-$E$9)),$G$9-SQRT((1-S245)*($G$9-$E$9)*($G$9-$F$9))))</f>
        <v>1.00783718284042</v>
      </c>
      <c r="F245" s="37" t="n">
        <f aca="false">1+IF($G$10=$E$10,$F$10,IF(T245&lt;($F$10-$E$10)/($G$10-$E$10),$E$10+SQRT(T245*($G$10-$E$10)*($F$10-$E$10)),$G$10-SQRT((1-T245)*($G$10-$E$10)*($G$10-$F$10))))</f>
        <v>1.04590328077627</v>
      </c>
      <c r="G245" s="38" t="n">
        <f aca="false">IF($G$11=$E$11,$F$11,IF(U245&lt;($F$11-$E$11)/($G$11-$E$11),$E$11+SQRT(U245*($G$11-$E$11)*($F$11-$E$11)),$G$11-SQRT((1-U245)*($G$11-$E$11)*($G$11-$F$11))))</f>
        <v>0.0998282527785272</v>
      </c>
      <c r="H245" s="39" t="n">
        <f aca="false">(('Business Case'!B11*$C245*'Business Case'!B12*$B245)-'Business Case'!B11*$C245*'Business Case'!B13*$D245-'Business Case'!B14*$E245)-MAX(0,(('Business Case'!B11*$C245*'Business Case'!B12*$B245)-'Business Case'!B11*$C245*'Business Case'!B13*$D245-'Business Case'!B14*$E245))*'Business Case'!$B$7-'Business Case'!$B$8*('Business Case'!B11*$C245*'Business Case'!B12*$B245)-'Business Case'!B15*$F245</f>
        <v>-2091806561.55254</v>
      </c>
      <c r="I245" s="39" t="n">
        <f aca="false">(('Business Case'!C11*$C245*'Business Case'!C12*$B245)-'Business Case'!C11*$C245*'Business Case'!C13*$D245-'Business Case'!C14*$E245)-MAX(0,(('Business Case'!C11*$C245*'Business Case'!C12*$B245)-'Business Case'!C11*$C245*'Business Case'!C13*$D245-'Business Case'!C14*$E245))*'Business Case'!$B$7-'Business Case'!$B$8*(('Business Case'!C11*$C245*'Business Case'!C12*$B245)-('Business Case'!B11*$C245*'Business Case'!B12*$B245))-'Business Case'!C15*$F245</f>
        <v>-25407100.3417028</v>
      </c>
      <c r="J245" s="39" t="n">
        <f aca="false">(('Business Case'!D11*$C245*'Business Case'!D12*$B245)-'Business Case'!D11*$C245*'Business Case'!D13*$D245-'Business Case'!D14*$E245)-MAX(0,(('Business Case'!D11*$C245*'Business Case'!D12*$B245)-'Business Case'!D11*$C245*'Business Case'!D13*$D245-'Business Case'!D14*$E245))*'Business Case'!$B$7-'Business Case'!$B$8*(('Business Case'!D11*$C245*'Business Case'!D12*$B245)-('Business Case'!C11*$C245*'Business Case'!C12*$B245))-'Business Case'!D15*$F245</f>
        <v>247199910.950375</v>
      </c>
      <c r="K245" s="39" t="n">
        <f aca="false">(('Business Case'!E11*$C245*'Business Case'!E12*$B245)-'Business Case'!E11*$C245*'Business Case'!E13*$D245-'Business Case'!E14*$E245)-MAX(0,(('Business Case'!E11*$C245*'Business Case'!E12*$B245)-'Business Case'!E11*$C245*'Business Case'!E13*$D245-'Business Case'!E14*$E245))*'Business Case'!$B$7-'Business Case'!$B$8*(('Business Case'!E11*$C245*'Business Case'!E12*$B245)-('Business Case'!D11*$C245*'Business Case'!D12*$B245))-'Business Case'!E15*$F245</f>
        <v>572102086.281266</v>
      </c>
      <c r="L245" s="39" t="n">
        <f aca="false">(('Business Case'!F11*$C245*'Business Case'!F12*$B245)-'Business Case'!F11*$C245*'Business Case'!F13*$D245-'Business Case'!F14*$E245)-MAX(0,(('Business Case'!F11*$C245*'Business Case'!F12*$B245)-'Business Case'!F11*$C245*'Business Case'!F13*$D245-'Business Case'!F14*$E245))*'Business Case'!$B$7-'Business Case'!$B$8*(('Business Case'!F11*$C245*'Business Case'!F12*$B245)-('Business Case'!E11*$C245*'Business Case'!E12*$B245))-'Business Case'!F15*$F245</f>
        <v>696377314.149456</v>
      </c>
      <c r="M245" s="39" t="n">
        <f aca="false">(('Business Case'!G11*$C245*'Business Case'!G12*$B245)-'Business Case'!G11*$C245*'Business Case'!G13*$D245-'Business Case'!G14*$E245)-MAX(0,(('Business Case'!G11*$C245*'Business Case'!G12*$B245)-'Business Case'!G11*$C245*'Business Case'!G13*$D245-'Business Case'!G14*$E245))*'Business Case'!$B$7-'Business Case'!$B$8*(('Business Case'!G11*$C245*'Business Case'!G12*$B245)-('Business Case'!F11*$C245*'Business Case'!F12*$B245))-'Business Case'!G15*$F245+'Business Case'!$B$8*('Business Case'!G11*$C245*'Business Case'!G12*$B245)</f>
        <v>880111546.722357</v>
      </c>
      <c r="N245" s="39" t="n">
        <f aca="false">IF(COUNT('Business Case'!B11:G11)=0,"",H245+NPV(G245,I245:M245))</f>
        <v>-457677025.933105</v>
      </c>
      <c r="P245" s="40" t="n">
        <f aca="true">RAND()</f>
        <v>0.92133769951668</v>
      </c>
      <c r="Q245" s="40" t="n">
        <f aca="true">RAND()</f>
        <v>0.43519176923268</v>
      </c>
      <c r="R245" s="40" t="n">
        <f aca="true">RAND()</f>
        <v>0.961798472718049</v>
      </c>
      <c r="S245" s="40" t="n">
        <f aca="true">RAND()</f>
        <v>0.461059557793383</v>
      </c>
      <c r="T245" s="40" t="n">
        <f aca="true">RAND()</f>
        <v>0.444593722694793</v>
      </c>
      <c r="U245" s="40" t="n">
        <f aca="true">RAND()</f>
        <v>0.39315960824917</v>
      </c>
    </row>
    <row r="246" customFormat="false" ht="15" hidden="false" customHeight="false" outlineLevel="0" collapsed="false">
      <c r="A246" s="36" t="n">
        <v>166</v>
      </c>
      <c r="B246" s="37" t="n">
        <f aca="false">1+IF($G$6=$E$6,$F$6,IF(P246&lt;($F$6-$E$6)/($G$6-$E$6),$E$6+SQRT(P246*($G$6-$E$6)*($F$6-$E$6)),$G$6-SQRT((1-P246)*($G$6-$E$6)*($G$6-$F$6))))</f>
        <v>0.934402960727091</v>
      </c>
      <c r="C246" s="37" t="n">
        <f aca="false">1+IF($G$7=$E$7,$F$7,IF(Q246&lt;($F$7-$E$7)/($G$7-$E$7),$E$7+SQRT(Q246*($G$7-$E$7)*($F$7-$E$7)),$G$7-SQRT((1-Q246)*($G$7-$E$7)*($G$7-$F$7))))</f>
        <v>0.802928859831003</v>
      </c>
      <c r="D246" s="37" t="n">
        <f aca="false">1+IF($G$8=$E$8,$F$8,IF(R246&lt;($F$8-$E$8)/($G$8-$E$8),$E$8+SQRT(R246*($G$8-$E$8)*($F$8-$E$8)),$G$8-SQRT((1-R246)*($G$8-$E$8)*($G$8-$F$8))))</f>
        <v>0.969032796154674</v>
      </c>
      <c r="E246" s="37" t="n">
        <f aca="false">1+IF($G$9=$E$9,$F$9,IF(S246&lt;($F$9-$E$9)/($G$9-$E$9),$E$9+SQRT(S246*($G$9-$E$9)*($F$9-$E$9)),$G$9-SQRT((1-S246)*($G$9-$E$9)*($G$9-$F$9))))</f>
        <v>1.06751317114948</v>
      </c>
      <c r="F246" s="37" t="n">
        <f aca="false">1+IF($G$10=$E$10,$F$10,IF(T246&lt;($F$10-$E$10)/($G$10-$E$10),$E$10+SQRT(T246*($G$10-$E$10)*($F$10-$E$10)),$G$10-SQRT((1-T246)*($G$10-$E$10)*($G$10-$F$10))))</f>
        <v>0.991765980116033</v>
      </c>
      <c r="G246" s="38" t="n">
        <f aca="false">IF($G$11=$E$11,$F$11,IF(U246&lt;($F$11-$E$11)/($G$11-$E$11),$E$11+SQRT(U246*($G$11-$E$11)*($F$11-$E$11)),$G$11-SQRT((1-U246)*($G$11-$E$11)*($G$11-$F$11))))</f>
        <v>0.106893554641657</v>
      </c>
      <c r="H246" s="39" t="n">
        <f aca="false">(('Business Case'!B11*$C246*'Business Case'!B12*$B246)-'Business Case'!B11*$C246*'Business Case'!B13*$D246-'Business Case'!B14*$E246)-MAX(0,(('Business Case'!B11*$C246*'Business Case'!B12*$B246)-'Business Case'!B11*$C246*'Business Case'!B13*$D246-'Business Case'!B14*$E246))*'Business Case'!$B$7-'Business Case'!$B$8*('Business Case'!B11*$C246*'Business Case'!B12*$B246)-'Business Case'!B15*$F246</f>
        <v>-1983531960.23207</v>
      </c>
      <c r="I246" s="39" t="n">
        <f aca="false">(('Business Case'!C11*$C246*'Business Case'!C12*$B246)-'Business Case'!C11*$C246*'Business Case'!C13*$D246-'Business Case'!C14*$E246)-MAX(0,(('Business Case'!C11*$C246*'Business Case'!C12*$B246)-'Business Case'!C11*$C246*'Business Case'!C13*$D246-'Business Case'!C14*$E246))*'Business Case'!$B$7-'Business Case'!$B$8*(('Business Case'!C11*$C246*'Business Case'!C12*$B246)-('Business Case'!B11*$C246*'Business Case'!B12*$B246))-'Business Case'!C15*$F246</f>
        <v>-73660904.865195</v>
      </c>
      <c r="J246" s="39" t="n">
        <f aca="false">(('Business Case'!D11*$C246*'Business Case'!D12*$B246)-'Business Case'!D11*$C246*'Business Case'!D13*$D246-'Business Case'!D14*$E246)-MAX(0,(('Business Case'!D11*$C246*'Business Case'!D12*$B246)-'Business Case'!D11*$C246*'Business Case'!D13*$D246-'Business Case'!D14*$E246))*'Business Case'!$B$7-'Business Case'!$B$8*(('Business Case'!D11*$C246*'Business Case'!D12*$B246)-('Business Case'!C11*$C246*'Business Case'!C12*$B246))-'Business Case'!D15*$F246</f>
        <v>142548593.163773</v>
      </c>
      <c r="K246" s="39" t="n">
        <f aca="false">(('Business Case'!E11*$C246*'Business Case'!E12*$B246)-'Business Case'!E11*$C246*'Business Case'!E13*$D246-'Business Case'!E14*$E246)-MAX(0,(('Business Case'!E11*$C246*'Business Case'!E12*$B246)-'Business Case'!E11*$C246*'Business Case'!E13*$D246-'Business Case'!E14*$E246))*'Business Case'!$B$7-'Business Case'!$B$8*(('Business Case'!E11*$C246*'Business Case'!E12*$B246)-('Business Case'!D11*$C246*'Business Case'!D12*$B246))-'Business Case'!E15*$F246</f>
        <v>408346390.198542</v>
      </c>
      <c r="L246" s="39" t="n">
        <f aca="false">(('Business Case'!F11*$C246*'Business Case'!F12*$B246)-'Business Case'!F11*$C246*'Business Case'!F13*$D246-'Business Case'!F14*$E246)-MAX(0,(('Business Case'!F11*$C246*'Business Case'!F12*$B246)-'Business Case'!F11*$C246*'Business Case'!F13*$D246-'Business Case'!F14*$E246))*'Business Case'!$B$7-'Business Case'!$B$8*(('Business Case'!F11*$C246*'Business Case'!F12*$B246)-('Business Case'!E11*$C246*'Business Case'!E12*$B246))-'Business Case'!F15*$F246</f>
        <v>506345177.504934</v>
      </c>
      <c r="M246" s="39" t="n">
        <f aca="false">(('Business Case'!G11*$C246*'Business Case'!G12*$B246)-'Business Case'!G11*$C246*'Business Case'!G13*$D246-'Business Case'!G14*$E246)-MAX(0,(('Business Case'!G11*$C246*'Business Case'!G12*$B246)-'Business Case'!G11*$C246*'Business Case'!G13*$D246-'Business Case'!G14*$E246))*'Business Case'!$B$7-'Business Case'!$B$8*(('Business Case'!G11*$C246*'Business Case'!G12*$B246)-('Business Case'!F11*$C246*'Business Case'!F12*$B246))-'Business Case'!G15*$F246+'Business Case'!$B$8*('Business Case'!G11*$C246*'Business Case'!G12*$B246)</f>
        <v>648954427.970314</v>
      </c>
      <c r="N246" s="39" t="n">
        <f aca="false">IF(COUNT('Business Case'!B11:G11)=0,"",H246+NPV(G246,I246:M246))</f>
        <v>-904770375.652487</v>
      </c>
      <c r="P246" s="40" t="n">
        <f aca="true">RAND()</f>
        <v>0.0789042471193169</v>
      </c>
      <c r="Q246" s="40" t="n">
        <f aca="true">RAND()</f>
        <v>0.0784766680452611</v>
      </c>
      <c r="R246" s="40" t="n">
        <f aca="true">RAND()</f>
        <v>0.0482996439287148</v>
      </c>
      <c r="S246" s="40" t="n">
        <f aca="true">RAND()</f>
        <v>0.818557948431589</v>
      </c>
      <c r="T246" s="40" t="n">
        <f aca="true">RAND()</f>
        <v>0.116293139670193</v>
      </c>
      <c r="U246" s="40" t="n">
        <f aca="true">RAND()</f>
        <v>0.644061455267938</v>
      </c>
    </row>
    <row r="247" customFormat="false" ht="15" hidden="false" customHeight="false" outlineLevel="0" collapsed="false">
      <c r="A247" s="36" t="n">
        <v>167</v>
      </c>
      <c r="B247" s="37" t="n">
        <f aca="false">1+IF($G$6=$E$6,$F$6,IF(P247&lt;($F$6-$E$6)/($G$6-$E$6),$E$6+SQRT(P247*($G$6-$E$6)*($F$6-$E$6)),$G$6-SQRT((1-P247)*($G$6-$E$6)*($G$6-$F$6))))</f>
        <v>0.968171695286599</v>
      </c>
      <c r="C247" s="37" t="n">
        <f aca="false">1+IF($G$7=$E$7,$F$7,IF(Q247&lt;($F$7-$E$7)/($G$7-$E$7),$E$7+SQRT(Q247*($G$7-$E$7)*($F$7-$E$7)),$G$7-SQRT((1-Q247)*($G$7-$E$7)*($G$7-$F$7))))</f>
        <v>0.998658446116723</v>
      </c>
      <c r="D247" s="37" t="n">
        <f aca="false">1+IF($G$8=$E$8,$F$8,IF(R247&lt;($F$8-$E$8)/($G$8-$E$8),$E$8+SQRT(R247*($G$8-$E$8)*($F$8-$E$8)),$G$8-SQRT((1-R247)*($G$8-$E$8)*($G$8-$F$8))))</f>
        <v>1.00671097483809</v>
      </c>
      <c r="E247" s="37" t="n">
        <f aca="false">1+IF($G$9=$E$9,$F$9,IF(S247&lt;($F$9-$E$9)/($G$9-$E$9),$E$9+SQRT(S247*($G$9-$E$9)*($F$9-$E$9)),$G$9-SQRT((1-S247)*($G$9-$E$9)*($G$9-$F$9))))</f>
        <v>1.01758323100708</v>
      </c>
      <c r="F247" s="37" t="n">
        <f aca="false">1+IF($G$10=$E$10,$F$10,IF(T247&lt;($F$10-$E$10)/($G$10-$E$10),$E$10+SQRT(T247*($G$10-$E$10)*($F$10-$E$10)),$G$10-SQRT((1-T247)*($G$10-$E$10)*($G$10-$F$10))))</f>
        <v>0.989698484213788</v>
      </c>
      <c r="G247" s="38" t="n">
        <f aca="false">IF($G$11=$E$11,$F$11,IF(U247&lt;($F$11-$E$11)/($G$11-$E$11),$E$11+SQRT(U247*($G$11-$E$11)*($F$11-$E$11)),$G$11-SQRT((1-U247)*($G$11-$E$11)*($G$11-$F$11))))</f>
        <v>0.0942055657145333</v>
      </c>
      <c r="H247" s="39" t="n">
        <f aca="false">(('Business Case'!B11*$C247*'Business Case'!B12*$B247)-'Business Case'!B11*$C247*'Business Case'!B13*$D247-'Business Case'!B14*$E247)-MAX(0,(('Business Case'!B11*$C247*'Business Case'!B12*$B247)-'Business Case'!B11*$C247*'Business Case'!B13*$D247-'Business Case'!B14*$E247))*'Business Case'!$B$7-'Business Case'!$B$8*('Business Case'!B11*$C247*'Business Case'!B12*$B247)-'Business Case'!B15*$F247</f>
        <v>-1979396968.42757</v>
      </c>
      <c r="I247" s="39" t="n">
        <f aca="false">(('Business Case'!C11*$C247*'Business Case'!C12*$B247)-'Business Case'!C11*$C247*'Business Case'!C13*$D247-'Business Case'!C14*$E247)-MAX(0,(('Business Case'!C11*$C247*'Business Case'!C12*$B247)-'Business Case'!C11*$C247*'Business Case'!C13*$D247-'Business Case'!C14*$E247))*'Business Case'!$B$7-'Business Case'!$B$8*(('Business Case'!C11*$C247*'Business Case'!C12*$B247)-('Business Case'!B11*$C247*'Business Case'!B12*$B247))-'Business Case'!C15*$F247</f>
        <v>-16518505.5769246</v>
      </c>
      <c r="J247" s="39" t="n">
        <f aca="false">(('Business Case'!D11*$C247*'Business Case'!D12*$B247)-'Business Case'!D11*$C247*'Business Case'!D13*$D247-'Business Case'!D14*$E247)-MAX(0,(('Business Case'!D11*$C247*'Business Case'!D12*$B247)-'Business Case'!D11*$C247*'Business Case'!D13*$D247-'Business Case'!D14*$E247))*'Business Case'!$B$7-'Business Case'!$B$8*(('Business Case'!D11*$C247*'Business Case'!D12*$B247)-('Business Case'!C11*$C247*'Business Case'!C12*$B247))-'Business Case'!D15*$F247</f>
        <v>260755860.783244</v>
      </c>
      <c r="K247" s="39" t="n">
        <f aca="false">(('Business Case'!E11*$C247*'Business Case'!E12*$B247)-'Business Case'!E11*$C247*'Business Case'!E13*$D247-'Business Case'!E14*$E247)-MAX(0,(('Business Case'!E11*$C247*'Business Case'!E12*$B247)-'Business Case'!E11*$C247*'Business Case'!E13*$D247-'Business Case'!E14*$E247))*'Business Case'!$B$7-'Business Case'!$B$8*(('Business Case'!E11*$C247*'Business Case'!E12*$B247)-('Business Case'!D11*$C247*'Business Case'!D12*$B247))-'Business Case'!E15*$F247</f>
        <v>587515151.354101</v>
      </c>
      <c r="L247" s="39" t="n">
        <f aca="false">(('Business Case'!F11*$C247*'Business Case'!F12*$B247)-'Business Case'!F11*$C247*'Business Case'!F13*$D247-'Business Case'!F14*$E247)-MAX(0,(('Business Case'!F11*$C247*'Business Case'!F12*$B247)-'Business Case'!F11*$C247*'Business Case'!F13*$D247-'Business Case'!F14*$E247))*'Business Case'!$B$7-'Business Case'!$B$8*(('Business Case'!F11*$C247*'Business Case'!F12*$B247)-('Business Case'!E11*$C247*'Business Case'!E12*$B247))-'Business Case'!F15*$F247</f>
        <v>713355065.518495</v>
      </c>
      <c r="M247" s="39" t="n">
        <f aca="false">(('Business Case'!G11*$C247*'Business Case'!G12*$B247)-'Business Case'!G11*$C247*'Business Case'!G13*$D247-'Business Case'!G14*$E247)-MAX(0,(('Business Case'!G11*$C247*'Business Case'!G12*$B247)-'Business Case'!G11*$C247*'Business Case'!G13*$D247-'Business Case'!G14*$E247))*'Business Case'!$B$7-'Business Case'!$B$8*(('Business Case'!G11*$C247*'Business Case'!G12*$B247)-('Business Case'!F11*$C247*'Business Case'!F12*$B247))-'Business Case'!G15*$F247+'Business Case'!$B$8*('Business Case'!G11*$C247*'Business Case'!G12*$B247)</f>
        <v>897138255.095689</v>
      </c>
      <c r="N247" s="39" t="n">
        <f aca="false">IF(COUNT('Business Case'!B11:G11)=0,"",H247+NPV(G247,I247:M247))</f>
        <v>-258652737.634238</v>
      </c>
      <c r="P247" s="40" t="n">
        <f aca="true">RAND()</f>
        <v>0.309825335883258</v>
      </c>
      <c r="Q247" s="40" t="n">
        <f aca="true">RAND()</f>
        <v>0.660717536569301</v>
      </c>
      <c r="R247" s="40" t="n">
        <f aca="true">RAND()</f>
        <v>0.419810518956013</v>
      </c>
      <c r="S247" s="40" t="n">
        <f aca="true">RAND()</f>
        <v>0.53242131438602</v>
      </c>
      <c r="T247" s="40" t="n">
        <f aca="true">RAND()</f>
        <v>0.105064643258155</v>
      </c>
      <c r="U247" s="40" t="n">
        <f aca="true">RAND()</f>
        <v>0.201798097269923</v>
      </c>
    </row>
    <row r="248" customFormat="false" ht="15" hidden="false" customHeight="false" outlineLevel="0" collapsed="false">
      <c r="A248" s="36" t="n">
        <v>168</v>
      </c>
      <c r="B248" s="37" t="n">
        <f aca="false">1+IF($G$6=$E$6,$F$6,IF(P248&lt;($F$6-$E$6)/($G$6-$E$6),$E$6+SQRT(P248*($G$6-$E$6)*($F$6-$E$6)),$G$6-SQRT((1-P248)*($G$6-$E$6)*($G$6-$F$6))))</f>
        <v>0.970877498963178</v>
      </c>
      <c r="C248" s="37" t="n">
        <f aca="false">1+IF($G$7=$E$7,$F$7,IF(Q248&lt;($F$7-$E$7)/($G$7-$E$7),$E$7+SQRT(Q248*($G$7-$E$7)*($F$7-$E$7)),$G$7-SQRT((1-Q248)*($G$7-$E$7)*($G$7-$F$7))))</f>
        <v>1.01442402501116</v>
      </c>
      <c r="D248" s="37" t="n">
        <f aca="false">1+IF($G$8=$E$8,$F$8,IF(R248&lt;($F$8-$E$8)/($G$8-$E$8),$E$8+SQRT(R248*($G$8-$E$8)*($F$8-$E$8)),$G$8-SQRT((1-R248)*($G$8-$E$8)*($G$8-$F$8))))</f>
        <v>1.02899952632906</v>
      </c>
      <c r="E248" s="37" t="n">
        <f aca="false">1+IF($G$9=$E$9,$F$9,IF(S248&lt;($F$9-$E$9)/($G$9-$E$9),$E$9+SQRT(S248*($G$9-$E$9)*($F$9-$E$9)),$G$9-SQRT((1-S248)*($G$9-$E$9)*($G$9-$F$9))))</f>
        <v>1.01923692381896</v>
      </c>
      <c r="F248" s="37" t="n">
        <f aca="false">1+IF($G$10=$E$10,$F$10,IF(T248&lt;($F$10-$E$10)/($G$10-$E$10),$E$10+SQRT(T248*($G$10-$E$10)*($F$10-$E$10)),$G$10-SQRT((1-T248)*($G$10-$E$10)*($G$10-$F$10))))</f>
        <v>1.07386588201331</v>
      </c>
      <c r="G248" s="38" t="n">
        <f aca="false">IF($G$11=$E$11,$F$11,IF(U248&lt;($F$11-$E$11)/($G$11-$E$11),$E$11+SQRT(U248*($G$11-$E$11)*($F$11-$E$11)),$G$11-SQRT((1-U248)*($G$11-$E$11)*($G$11-$F$11))))</f>
        <v>0.0926938569738667</v>
      </c>
      <c r="H248" s="39" t="n">
        <f aca="false">(('Business Case'!B11*$C248*'Business Case'!B12*$B248)-'Business Case'!B11*$C248*'Business Case'!B13*$D248-'Business Case'!B14*$E248)-MAX(0,(('Business Case'!B11*$C248*'Business Case'!B12*$B248)-'Business Case'!B11*$C248*'Business Case'!B13*$D248-'Business Case'!B14*$E248))*'Business Case'!$B$7-'Business Case'!$B$8*('Business Case'!B11*$C248*'Business Case'!B12*$B248)-'Business Case'!B15*$F248</f>
        <v>-2147731764.02661</v>
      </c>
      <c r="I248" s="39" t="n">
        <f aca="false">(('Business Case'!C11*$C248*'Business Case'!C12*$B248)-'Business Case'!C11*$C248*'Business Case'!C13*$D248-'Business Case'!C14*$E248)-MAX(0,(('Business Case'!C11*$C248*'Business Case'!C12*$B248)-'Business Case'!C11*$C248*'Business Case'!C13*$D248-'Business Case'!C14*$E248))*'Business Case'!$B$7-'Business Case'!$B$8*(('Business Case'!C11*$C248*'Business Case'!C12*$B248)-('Business Case'!B11*$C248*'Business Case'!B12*$B248))-'Business Case'!C15*$F248</f>
        <v>-31053021.5905596</v>
      </c>
      <c r="J248" s="39" t="n">
        <f aca="false">(('Business Case'!D11*$C248*'Business Case'!D12*$B248)-'Business Case'!D11*$C248*'Business Case'!D13*$D248-'Business Case'!D14*$E248)-MAX(0,(('Business Case'!D11*$C248*'Business Case'!D12*$B248)-'Business Case'!D11*$C248*'Business Case'!D13*$D248-'Business Case'!D14*$E248))*'Business Case'!$B$7-'Business Case'!$B$8*(('Business Case'!D11*$C248*'Business Case'!D12*$B248)-('Business Case'!C11*$C248*'Business Case'!C12*$B248))-'Business Case'!D15*$F248</f>
        <v>241272290.488753</v>
      </c>
      <c r="K248" s="39" t="n">
        <f aca="false">(('Business Case'!E11*$C248*'Business Case'!E12*$B248)-'Business Case'!E11*$C248*'Business Case'!E13*$D248-'Business Case'!E14*$E248)-MAX(0,(('Business Case'!E11*$C248*'Business Case'!E12*$B248)-'Business Case'!E11*$C248*'Business Case'!E13*$D248-'Business Case'!E14*$E248))*'Business Case'!$B$7-'Business Case'!$B$8*(('Business Case'!E11*$C248*'Business Case'!E12*$B248)-('Business Case'!D11*$C248*'Business Case'!D12*$B248))-'Business Case'!E15*$F248</f>
        <v>567290896.668732</v>
      </c>
      <c r="L248" s="39" t="n">
        <f aca="false">(('Business Case'!F11*$C248*'Business Case'!F12*$B248)-'Business Case'!F11*$C248*'Business Case'!F13*$D248-'Business Case'!F14*$E248)-MAX(0,(('Business Case'!F11*$C248*'Business Case'!F12*$B248)-'Business Case'!F11*$C248*'Business Case'!F13*$D248-'Business Case'!F14*$E248))*'Business Case'!$B$7-'Business Case'!$B$8*(('Business Case'!F11*$C248*'Business Case'!F12*$B248)-('Business Case'!E11*$C248*'Business Case'!E12*$B248))-'Business Case'!F15*$F248</f>
        <v>692103503.962826</v>
      </c>
      <c r="M248" s="39" t="n">
        <f aca="false">(('Business Case'!G11*$C248*'Business Case'!G12*$B248)-'Business Case'!G11*$C248*'Business Case'!G13*$D248-'Business Case'!G14*$E248)-MAX(0,(('Business Case'!G11*$C248*'Business Case'!G12*$B248)-'Business Case'!G11*$C248*'Business Case'!G13*$D248-'Business Case'!G14*$E248))*'Business Case'!$B$7-'Business Case'!$B$8*(('Business Case'!G11*$C248*'Business Case'!G12*$B248)-('Business Case'!F11*$C248*'Business Case'!F12*$B248))-'Business Case'!G15*$F248+'Business Case'!$B$8*('Business Case'!G11*$C248*'Business Case'!G12*$B248)</f>
        <v>879309771.93494</v>
      </c>
      <c r="N248" s="39" t="n">
        <f aca="false">IF(COUNT('Business Case'!B11:G11)=0,"",H248+NPV(G248,I248:M248))</f>
        <v>-489288284.941121</v>
      </c>
      <c r="P248" s="40" t="n">
        <f aca="true">RAND()</f>
        <v>0.334907990618355</v>
      </c>
      <c r="Q248" s="40" t="n">
        <f aca="true">RAND()</f>
        <v>0.727691185271505</v>
      </c>
      <c r="R248" s="40" t="n">
        <f aca="true">RAND()</f>
        <v>0.663928849233523</v>
      </c>
      <c r="S248" s="40" t="n">
        <f aca="true">RAND()</f>
        <v>0.544027144204605</v>
      </c>
      <c r="T248" s="40" t="n">
        <f aca="true">RAND()</f>
        <v>0.586356966413986</v>
      </c>
      <c r="U248" s="40" t="n">
        <f aca="true">RAND()</f>
        <v>0.161134004872983</v>
      </c>
    </row>
    <row r="249" customFormat="false" ht="15" hidden="false" customHeight="false" outlineLevel="0" collapsed="false">
      <c r="A249" s="36" t="n">
        <v>169</v>
      </c>
      <c r="B249" s="37" t="n">
        <f aca="false">1+IF($G$6=$E$6,$F$6,IF(P249&lt;($F$6-$E$6)/($G$6-$E$6),$E$6+SQRT(P249*($G$6-$E$6)*($F$6-$E$6)),$G$6-SQRT((1-P249)*($G$6-$E$6)*($G$6-$F$6))))</f>
        <v>0.981429584534611</v>
      </c>
      <c r="C249" s="37" t="n">
        <f aca="false">1+IF($G$7=$E$7,$F$7,IF(Q249&lt;($F$7-$E$7)/($G$7-$E$7),$E$7+SQRT(Q249*($G$7-$E$7)*($F$7-$E$7)),$G$7-SQRT((1-Q249)*($G$7-$E$7)*($G$7-$F$7))))</f>
        <v>0.881505570642076</v>
      </c>
      <c r="D249" s="37" t="n">
        <f aca="false">1+IF($G$8=$E$8,$F$8,IF(R249&lt;($F$8-$E$8)/($G$8-$E$8),$E$8+SQRT(R249*($G$8-$E$8)*($F$8-$E$8)),$G$8-SQRT((1-R249)*($G$8-$E$8)*($G$8-$F$8))))</f>
        <v>0.989898287435793</v>
      </c>
      <c r="E249" s="37" t="n">
        <f aca="false">1+IF($G$9=$E$9,$F$9,IF(S249&lt;($F$9-$E$9)/($G$9-$E$9),$E$9+SQRT(S249*($G$9-$E$9)*($F$9-$E$9)),$G$9-SQRT((1-S249)*($G$9-$E$9)*($G$9-$F$9))))</f>
        <v>0.955902299261336</v>
      </c>
      <c r="F249" s="37" t="n">
        <f aca="false">1+IF($G$10=$E$10,$F$10,IF(T249&lt;($F$10-$E$10)/($G$10-$E$10),$E$10+SQRT(T249*($G$10-$E$10)*($F$10-$E$10)),$G$10-SQRT((1-T249)*($G$10-$E$10)*($G$10-$F$10))))</f>
        <v>1.02308393002919</v>
      </c>
      <c r="G249" s="38" t="n">
        <f aca="false">IF($G$11=$E$11,$F$11,IF(U249&lt;($F$11-$E$11)/($G$11-$E$11),$E$11+SQRT(U249*($G$11-$E$11)*($F$11-$E$11)),$G$11-SQRT((1-U249)*($G$11-$E$11)*($G$11-$F$11))))</f>
        <v>0.089684075322425</v>
      </c>
      <c r="H249" s="39" t="n">
        <f aca="false">(('Business Case'!B11*$C249*'Business Case'!B12*$B249)-'Business Case'!B11*$C249*'Business Case'!B13*$D249-'Business Case'!B14*$E249)-MAX(0,(('Business Case'!B11*$C249*'Business Case'!B12*$B249)-'Business Case'!B11*$C249*'Business Case'!B13*$D249-'Business Case'!B14*$E249))*'Business Case'!$B$7-'Business Case'!$B$8*('Business Case'!B11*$C249*'Business Case'!B12*$B249)-'Business Case'!B15*$F249</f>
        <v>-2046167860.05837</v>
      </c>
      <c r="I249" s="39" t="n">
        <f aca="false">(('Business Case'!C11*$C249*'Business Case'!C12*$B249)-'Business Case'!C11*$C249*'Business Case'!C13*$D249-'Business Case'!C14*$E249)-MAX(0,(('Business Case'!C11*$C249*'Business Case'!C12*$B249)-'Business Case'!C11*$C249*'Business Case'!C13*$D249-'Business Case'!C14*$E249))*'Business Case'!$B$7-'Business Case'!$B$8*(('Business Case'!C11*$C249*'Business Case'!C12*$B249)-('Business Case'!B11*$C249*'Business Case'!B12*$B249))-'Business Case'!C15*$F249</f>
        <v>-21179777.5969426</v>
      </c>
      <c r="J249" s="39" t="n">
        <f aca="false">(('Business Case'!D11*$C249*'Business Case'!D12*$B249)-'Business Case'!D11*$C249*'Business Case'!D13*$D249-'Business Case'!D14*$E249)-MAX(0,(('Business Case'!D11*$C249*'Business Case'!D12*$B249)-'Business Case'!D11*$C249*'Business Case'!D13*$D249-'Business Case'!D14*$E249))*'Business Case'!$B$7-'Business Case'!$B$8*(('Business Case'!D11*$C249*'Business Case'!D12*$B249)-('Business Case'!C11*$C249*'Business Case'!C12*$B249))-'Business Case'!D15*$F249</f>
        <v>240726776.650572</v>
      </c>
      <c r="K249" s="39" t="n">
        <f aca="false">(('Business Case'!E11*$C249*'Business Case'!E12*$B249)-'Business Case'!E11*$C249*'Business Case'!E13*$D249-'Business Case'!E14*$E249)-MAX(0,(('Business Case'!E11*$C249*'Business Case'!E12*$B249)-'Business Case'!E11*$C249*'Business Case'!E13*$D249-'Business Case'!E14*$E249))*'Business Case'!$B$7-'Business Case'!$B$8*(('Business Case'!E11*$C249*'Business Case'!E12*$B249)-('Business Case'!D11*$C249*'Business Case'!D12*$B249))-'Business Case'!E15*$F249</f>
        <v>553787527.399546</v>
      </c>
      <c r="L249" s="39" t="n">
        <f aca="false">(('Business Case'!F11*$C249*'Business Case'!F12*$B249)-'Business Case'!F11*$C249*'Business Case'!F13*$D249-'Business Case'!F14*$E249)-MAX(0,(('Business Case'!F11*$C249*'Business Case'!F12*$B249)-'Business Case'!F11*$C249*'Business Case'!F13*$D249-'Business Case'!F14*$E249))*'Business Case'!$B$7-'Business Case'!$B$8*(('Business Case'!F11*$C249*'Business Case'!F12*$B249)-('Business Case'!E11*$C249*'Business Case'!E12*$B249))-'Business Case'!F15*$F249</f>
        <v>670988800.073102</v>
      </c>
      <c r="M249" s="39" t="n">
        <f aca="false">(('Business Case'!G11*$C249*'Business Case'!G12*$B249)-'Business Case'!G11*$C249*'Business Case'!G13*$D249-'Business Case'!G14*$E249)-MAX(0,(('Business Case'!G11*$C249*'Business Case'!G12*$B249)-'Business Case'!G11*$C249*'Business Case'!G13*$D249-'Business Case'!G14*$E249))*'Business Case'!$B$7-'Business Case'!$B$8*(('Business Case'!G11*$C249*'Business Case'!G12*$B249)-('Business Case'!F11*$C249*'Business Case'!F12*$B249))-'Business Case'!G15*$F249+'Business Case'!$B$8*('Business Case'!G11*$C249*'Business Case'!G12*$B249)</f>
        <v>835433783.657217</v>
      </c>
      <c r="N249" s="39" t="n">
        <f aca="false">IF(COUNT('Business Case'!B11:G11)=0,"",H249+NPV(G249,I249:M249))</f>
        <v>-415215369.129312</v>
      </c>
      <c r="P249" s="40" t="n">
        <f aca="true">RAND()</f>
        <v>0.442051815831955</v>
      </c>
      <c r="Q249" s="40" t="n">
        <f aca="true">RAND()</f>
        <v>0.244031645734116</v>
      </c>
      <c r="R249" s="40" t="n">
        <f aca="true">RAND()</f>
        <v>0.212249778707893</v>
      </c>
      <c r="S249" s="40" t="n">
        <f aca="true">RAND()</f>
        <v>0.125002682508158</v>
      </c>
      <c r="T249" s="40" t="n">
        <f aca="true">RAND()</f>
        <v>0.313454629186682</v>
      </c>
      <c r="U249" s="40" t="n">
        <f aca="true">RAND()</f>
        <v>0.0937813148504006</v>
      </c>
    </row>
    <row r="250" customFormat="false" ht="15" hidden="false" customHeight="false" outlineLevel="0" collapsed="false">
      <c r="A250" s="36" t="n">
        <v>170</v>
      </c>
      <c r="B250" s="37" t="n">
        <f aca="false">1+IF($G$6=$E$6,$F$6,IF(P250&lt;($F$6-$E$6)/($G$6-$E$6),$E$6+SQRT(P250*($G$6-$E$6)*($F$6-$E$6)),$G$6-SQRT((1-P250)*($G$6-$E$6)*($G$6-$F$6))))</f>
        <v>0.940199920151321</v>
      </c>
      <c r="C250" s="37" t="n">
        <f aca="false">1+IF($G$7=$E$7,$F$7,IF(Q250&lt;($F$7-$E$7)/($G$7-$E$7),$E$7+SQRT(Q250*($G$7-$E$7)*($F$7-$E$7)),$G$7-SQRT((1-Q250)*($G$7-$E$7)*($G$7-$F$7))))</f>
        <v>0.938956164486407</v>
      </c>
      <c r="D250" s="37" t="n">
        <f aca="false">1+IF($G$8=$E$8,$F$8,IF(R250&lt;($F$8-$E$8)/($G$8-$E$8),$E$8+SQRT(R250*($G$8-$E$8)*($F$8-$E$8)),$G$8-SQRT((1-R250)*($G$8-$E$8)*($G$8-$F$8))))</f>
        <v>1.00510103954833</v>
      </c>
      <c r="E250" s="37" t="n">
        <f aca="false">1+IF($G$9=$E$9,$F$9,IF(S250&lt;($F$9-$E$9)/($G$9-$E$9),$E$9+SQRT(S250*($G$9-$E$9)*($F$9-$E$9)),$G$9-SQRT((1-S250)*($G$9-$E$9)*($G$9-$F$9))))</f>
        <v>1.03331272408175</v>
      </c>
      <c r="F250" s="37" t="n">
        <f aca="false">1+IF($G$10=$E$10,$F$10,IF(T250&lt;($F$10-$E$10)/($G$10-$E$10),$E$10+SQRT(T250*($G$10-$E$10)*($F$10-$E$10)),$G$10-SQRT((1-T250)*($G$10-$E$10)*($G$10-$F$10))))</f>
        <v>0.972946636901387</v>
      </c>
      <c r="G250" s="38" t="n">
        <f aca="false">IF($G$11=$E$11,$F$11,IF(U250&lt;($F$11-$E$11)/($G$11-$E$11),$E$11+SQRT(U250*($G$11-$E$11)*($F$11-$E$11)),$G$11-SQRT((1-U250)*($G$11-$E$11)*($G$11-$F$11))))</f>
        <v>0.107660558212578</v>
      </c>
      <c r="H250" s="39" t="n">
        <f aca="false">(('Business Case'!B11*$C250*'Business Case'!B12*$B250)-'Business Case'!B11*$C250*'Business Case'!B13*$D250-'Business Case'!B14*$E250)-MAX(0,(('Business Case'!B11*$C250*'Business Case'!B12*$B250)-'Business Case'!B11*$C250*'Business Case'!B13*$D250-'Business Case'!B14*$E250))*'Business Case'!$B$7-'Business Case'!$B$8*('Business Case'!B11*$C250*'Business Case'!B12*$B250)-'Business Case'!B15*$F250</f>
        <v>-1945893273.80277</v>
      </c>
      <c r="I250" s="39" t="n">
        <f aca="false">(('Business Case'!C11*$C250*'Business Case'!C12*$B250)-'Business Case'!C11*$C250*'Business Case'!C13*$D250-'Business Case'!C14*$E250)-MAX(0,(('Business Case'!C11*$C250*'Business Case'!C12*$B250)-'Business Case'!C11*$C250*'Business Case'!C13*$D250-'Business Case'!C14*$E250))*'Business Case'!$B$7-'Business Case'!$B$8*(('Business Case'!C11*$C250*'Business Case'!C12*$B250)-('Business Case'!B11*$C250*'Business Case'!B12*$B250))-'Business Case'!C15*$F250</f>
        <v>-50036686.7489985</v>
      </c>
      <c r="J250" s="39" t="n">
        <f aca="false">(('Business Case'!D11*$C250*'Business Case'!D12*$B250)-'Business Case'!D11*$C250*'Business Case'!D13*$D250-'Business Case'!D14*$E250)-MAX(0,(('Business Case'!D11*$C250*'Business Case'!D12*$B250)-'Business Case'!D11*$C250*'Business Case'!D13*$D250-'Business Case'!D14*$E250))*'Business Case'!$B$7-'Business Case'!$B$8*(('Business Case'!D11*$C250*'Business Case'!D12*$B250)-('Business Case'!C11*$C250*'Business Case'!C12*$B250))-'Business Case'!D15*$F250</f>
        <v>189923049.080363</v>
      </c>
      <c r="K250" s="39" t="n">
        <f aca="false">(('Business Case'!E11*$C250*'Business Case'!E12*$B250)-'Business Case'!E11*$C250*'Business Case'!E13*$D250-'Business Case'!E14*$E250)-MAX(0,(('Business Case'!E11*$C250*'Business Case'!E12*$B250)-'Business Case'!E11*$C250*'Business Case'!E13*$D250-'Business Case'!E14*$E250))*'Business Case'!$B$7-'Business Case'!$B$8*(('Business Case'!E11*$C250*'Business Case'!E12*$B250)-('Business Case'!D11*$C250*'Business Case'!D12*$B250))-'Business Case'!E15*$F250</f>
        <v>478530116.754794</v>
      </c>
      <c r="L250" s="39" t="n">
        <f aca="false">(('Business Case'!F11*$C250*'Business Case'!F12*$B250)-'Business Case'!F11*$C250*'Business Case'!F13*$D250-'Business Case'!F14*$E250)-MAX(0,(('Business Case'!F11*$C250*'Business Case'!F12*$B250)-'Business Case'!F11*$C250*'Business Case'!F13*$D250-'Business Case'!F14*$E250))*'Business Case'!$B$7-'Business Case'!$B$8*(('Business Case'!F11*$C250*'Business Case'!F12*$B250)-('Business Case'!E11*$C250*'Business Case'!E12*$B250))-'Business Case'!F15*$F250</f>
        <v>589026488.380446</v>
      </c>
      <c r="M250" s="39" t="n">
        <f aca="false">(('Business Case'!G11*$C250*'Business Case'!G12*$B250)-'Business Case'!G11*$C250*'Business Case'!G13*$D250-'Business Case'!G14*$E250)-MAX(0,(('Business Case'!G11*$C250*'Business Case'!G12*$B250)-'Business Case'!G11*$C250*'Business Case'!G13*$D250-'Business Case'!G14*$E250))*'Business Case'!$B$7-'Business Case'!$B$8*(('Business Case'!G11*$C250*'Business Case'!G12*$B250)-('Business Case'!F11*$C250*'Business Case'!F12*$B250))-'Business Case'!G15*$F250+'Business Case'!$B$8*('Business Case'!G11*$C250*'Business Case'!G12*$B250)</f>
        <v>756830349.967701</v>
      </c>
      <c r="N250" s="39" t="n">
        <f aca="false">IF(COUNT('Business Case'!B11:G11)=0,"",H250+NPV(G250,I250:M250))</f>
        <v>-638946654.447752</v>
      </c>
      <c r="P250" s="40" t="n">
        <f aca="true">RAND()</f>
        <v>0.107735572011503</v>
      </c>
      <c r="Q250" s="40" t="n">
        <f aca="true">RAND()</f>
        <v>0.422963322563367</v>
      </c>
      <c r="R250" s="40" t="n">
        <f aca="true">RAND()</f>
        <v>0.399612487012862</v>
      </c>
      <c r="S250" s="40" t="n">
        <f aca="true">RAND()</f>
        <v>0.636908790367422</v>
      </c>
      <c r="T250" s="40" t="n">
        <f aca="true">RAND()</f>
        <v>0.0351032096722742</v>
      </c>
      <c r="U250" s="40" t="n">
        <f aca="true">RAND()</f>
        <v>0.667299560417599</v>
      </c>
    </row>
    <row r="251" customFormat="false" ht="15" hidden="false" customHeight="false" outlineLevel="0" collapsed="false">
      <c r="A251" s="36" t="n">
        <v>171</v>
      </c>
      <c r="B251" s="37" t="n">
        <f aca="false">1+IF($G$6=$E$6,$F$6,IF(P251&lt;($F$6-$E$6)/($G$6-$E$6),$E$6+SQRT(P251*($G$6-$E$6)*($F$6-$E$6)),$G$6-SQRT((1-P251)*($G$6-$E$6)*($G$6-$F$6))))</f>
        <v>0.974262610749909</v>
      </c>
      <c r="C251" s="37" t="n">
        <f aca="false">1+IF($G$7=$E$7,$F$7,IF(Q251&lt;($F$7-$E$7)/($G$7-$E$7),$E$7+SQRT(Q251*($G$7-$E$7)*($F$7-$E$7)),$G$7-SQRT((1-Q251)*($G$7-$E$7)*($G$7-$F$7))))</f>
        <v>0.861747760313037</v>
      </c>
      <c r="D251" s="37" t="n">
        <f aca="false">1+IF($G$8=$E$8,$F$8,IF(R251&lt;($F$8-$E$8)/($G$8-$E$8),$E$8+SQRT(R251*($G$8-$E$8)*($F$8-$E$8)),$G$8-SQRT((1-R251)*($G$8-$E$8)*($G$8-$F$8))))</f>
        <v>1.02145717077748</v>
      </c>
      <c r="E251" s="37" t="n">
        <f aca="false">1+IF($G$9=$E$9,$F$9,IF(S251&lt;($F$9-$E$9)/($G$9-$E$9),$E$9+SQRT(S251*($G$9-$E$9)*($F$9-$E$9)),$G$9-SQRT((1-S251)*($G$9-$E$9)*($G$9-$F$9))))</f>
        <v>1.0233654070442</v>
      </c>
      <c r="F251" s="37" t="n">
        <f aca="false">1+IF($G$10=$E$10,$F$10,IF(T251&lt;($F$10-$E$10)/($G$10-$E$10),$E$10+SQRT(T251*($G$10-$E$10)*($F$10-$E$10)),$G$10-SQRT((1-T251)*($G$10-$E$10)*($G$10-$F$10))))</f>
        <v>1.15915274685342</v>
      </c>
      <c r="G251" s="38" t="n">
        <f aca="false">IF($G$11=$E$11,$F$11,IF(U251&lt;($F$11-$E$11)/($G$11-$E$11),$E$11+SQRT(U251*($G$11-$E$11)*($F$11-$E$11)),$G$11-SQRT((1-U251)*($G$11-$E$11)*($G$11-$F$11))))</f>
        <v>0.0871089114577761</v>
      </c>
      <c r="H251" s="39" t="n">
        <f aca="false">(('Business Case'!B11*$C251*'Business Case'!B12*$B251)-'Business Case'!B11*$C251*'Business Case'!B13*$D251-'Business Case'!B14*$E251)-MAX(0,(('Business Case'!B11*$C251*'Business Case'!B12*$B251)-'Business Case'!B11*$C251*'Business Case'!B13*$D251-'Business Case'!B14*$E251))*'Business Case'!$B$7-'Business Case'!$B$8*('Business Case'!B11*$C251*'Business Case'!B12*$B251)-'Business Case'!B15*$F251</f>
        <v>-2318305493.70685</v>
      </c>
      <c r="I251" s="39" t="n">
        <f aca="false">(('Business Case'!C11*$C251*'Business Case'!C12*$B251)-'Business Case'!C11*$C251*'Business Case'!C13*$D251-'Business Case'!C14*$E251)-MAX(0,(('Business Case'!C11*$C251*'Business Case'!C12*$B251)-'Business Case'!C11*$C251*'Business Case'!C13*$D251-'Business Case'!C14*$E251))*'Business Case'!$B$7-'Business Case'!$B$8*(('Business Case'!C11*$C251*'Business Case'!C12*$B251)-('Business Case'!B11*$C251*'Business Case'!B12*$B251))-'Business Case'!C15*$F251</f>
        <v>-67905578.6439334</v>
      </c>
      <c r="J251" s="39" t="n">
        <f aca="false">(('Business Case'!D11*$C251*'Business Case'!D12*$B251)-'Business Case'!D11*$C251*'Business Case'!D13*$D251-'Business Case'!D14*$E251)-MAX(0,(('Business Case'!D11*$C251*'Business Case'!D12*$B251)-'Business Case'!D11*$C251*'Business Case'!D13*$D251-'Business Case'!D14*$E251))*'Business Case'!$B$7-'Business Case'!$B$8*(('Business Case'!D11*$C251*'Business Case'!D12*$B251)-('Business Case'!C11*$C251*'Business Case'!C12*$B251))-'Business Case'!D15*$F251</f>
        <v>169149915.683582</v>
      </c>
      <c r="K251" s="39" t="n">
        <f aca="false">(('Business Case'!E11*$C251*'Business Case'!E12*$B251)-'Business Case'!E11*$C251*'Business Case'!E13*$D251-'Business Case'!E14*$E251)-MAX(0,(('Business Case'!E11*$C251*'Business Case'!E12*$B251)-'Business Case'!E11*$C251*'Business Case'!E13*$D251-'Business Case'!E14*$E251))*'Business Case'!$B$7-'Business Case'!$B$8*(('Business Case'!E11*$C251*'Business Case'!E12*$B251)-('Business Case'!D11*$C251*'Business Case'!D12*$B251))-'Business Case'!E15*$F251</f>
        <v>464163047.353768</v>
      </c>
      <c r="L251" s="39" t="n">
        <f aca="false">(('Business Case'!F11*$C251*'Business Case'!F12*$B251)-'Business Case'!F11*$C251*'Business Case'!F13*$D251-'Business Case'!F14*$E251)-MAX(0,(('Business Case'!F11*$C251*'Business Case'!F12*$B251)-'Business Case'!F11*$C251*'Business Case'!F13*$D251-'Business Case'!F14*$E251))*'Business Case'!$B$7-'Business Case'!$B$8*(('Business Case'!F11*$C251*'Business Case'!F12*$B251)-('Business Case'!E11*$C251*'Business Case'!E12*$B251))-'Business Case'!F15*$F251</f>
        <v>572197037.065887</v>
      </c>
      <c r="M251" s="39" t="n">
        <f aca="false">(('Business Case'!G11*$C251*'Business Case'!G12*$B251)-'Business Case'!G11*$C251*'Business Case'!G13*$D251-'Business Case'!G14*$E251)-MAX(0,(('Business Case'!G11*$C251*'Business Case'!G12*$B251)-'Business Case'!G11*$C251*'Business Case'!G13*$D251-'Business Case'!G14*$E251))*'Business Case'!$B$7-'Business Case'!$B$8*(('Business Case'!G11*$C251*'Business Case'!G12*$B251)-('Business Case'!F11*$C251*'Business Case'!F12*$B251))-'Business Case'!G15*$F251+'Business Case'!$B$8*('Business Case'!G11*$C251*'Business Case'!G12*$B251)</f>
        <v>731782240.882097</v>
      </c>
      <c r="N251" s="39" t="n">
        <f aca="false">IF(COUNT('Business Case'!B11:G11)=0,"",H251+NPV(G251,I251:M251))</f>
        <v>-984700962.801266</v>
      </c>
      <c r="P251" s="40" t="n">
        <f aca="true">RAND()</f>
        <v>0.367662357026162</v>
      </c>
      <c r="Q251" s="40" t="n">
        <f aca="true">RAND()</f>
        <v>0.193795096046545</v>
      </c>
      <c r="R251" s="40" t="n">
        <f aca="true">RAND()</f>
        <v>0.588734931848117</v>
      </c>
      <c r="S251" s="40" t="n">
        <f aca="true">RAND()</f>
        <v>0.572364796451168</v>
      </c>
      <c r="T251" s="40" t="n">
        <f aca="true">RAND()</f>
        <v>0.889957021276291</v>
      </c>
      <c r="U251" s="40" t="n">
        <f aca="true">RAND()</f>
        <v>0.0505366221145007</v>
      </c>
    </row>
    <row r="252" customFormat="false" ht="15" hidden="false" customHeight="false" outlineLevel="0" collapsed="false">
      <c r="A252" s="36" t="n">
        <v>172</v>
      </c>
      <c r="B252" s="37" t="n">
        <f aca="false">1+IF($G$6=$E$6,$F$6,IF(P252&lt;($F$6-$E$6)/($G$6-$E$6),$E$6+SQRT(P252*($G$6-$E$6)*($F$6-$E$6)),$G$6-SQRT((1-P252)*($G$6-$E$6)*($G$6-$F$6))))</f>
        <v>0.954076941041169</v>
      </c>
      <c r="C252" s="37" t="n">
        <f aca="false">1+IF($G$7=$E$7,$F$7,IF(Q252&lt;($F$7-$E$7)/($G$7-$E$7),$E$7+SQRT(Q252*($G$7-$E$7)*($F$7-$E$7)),$G$7-SQRT((1-Q252)*($G$7-$E$7)*($G$7-$F$7))))</f>
        <v>0.926532376321385</v>
      </c>
      <c r="D252" s="37" t="n">
        <f aca="false">1+IF($G$8=$E$8,$F$8,IF(R252&lt;($F$8-$E$8)/($G$8-$E$8),$E$8+SQRT(R252*($G$8-$E$8)*($F$8-$E$8)),$G$8-SQRT((1-R252)*($G$8-$E$8)*($G$8-$F$8))))</f>
        <v>1.00718535757406</v>
      </c>
      <c r="E252" s="37" t="n">
        <f aca="false">1+IF($G$9=$E$9,$F$9,IF(S252&lt;($F$9-$E$9)/($G$9-$E$9),$E$9+SQRT(S252*($G$9-$E$9)*($F$9-$E$9)),$G$9-SQRT((1-S252)*($G$9-$E$9)*($G$9-$F$9))))</f>
        <v>0.947253498589628</v>
      </c>
      <c r="F252" s="37" t="n">
        <f aca="false">1+IF($G$10=$E$10,$F$10,IF(T252&lt;($F$10-$E$10)/($G$10-$E$10),$E$10+SQRT(T252*($G$10-$E$10)*($F$10-$E$10)),$G$10-SQRT((1-T252)*($G$10-$E$10)*($G$10-$F$10))))</f>
        <v>1.04005276513434</v>
      </c>
      <c r="G252" s="38" t="n">
        <f aca="false">IF($G$11=$E$11,$F$11,IF(U252&lt;($F$11-$E$11)/($G$11-$E$11),$E$11+SQRT(U252*($G$11-$E$11)*($F$11-$E$11)),$G$11-SQRT((1-U252)*($G$11-$E$11)*($G$11-$F$11))))</f>
        <v>0.102552643883436</v>
      </c>
      <c r="H252" s="39" t="n">
        <f aca="false">(('Business Case'!B11*$C252*'Business Case'!B12*$B252)-'Business Case'!B11*$C252*'Business Case'!B13*$D252-'Business Case'!B14*$E252)-MAX(0,(('Business Case'!B11*$C252*'Business Case'!B12*$B252)-'Business Case'!B11*$C252*'Business Case'!B13*$D252-'Business Case'!B14*$E252))*'Business Case'!$B$7-'Business Case'!$B$8*('Business Case'!B11*$C252*'Business Case'!B12*$B252)-'Business Case'!B15*$F252</f>
        <v>-2080105530.26868</v>
      </c>
      <c r="I252" s="39" t="n">
        <f aca="false">(('Business Case'!C11*$C252*'Business Case'!C12*$B252)-'Business Case'!C11*$C252*'Business Case'!C13*$D252-'Business Case'!C14*$E252)-MAX(0,(('Business Case'!C11*$C252*'Business Case'!C12*$B252)-'Business Case'!C11*$C252*'Business Case'!C13*$D252-'Business Case'!C14*$E252))*'Business Case'!$B$7-'Business Case'!$B$8*(('Business Case'!C11*$C252*'Business Case'!C12*$B252)-('Business Case'!B11*$C252*'Business Case'!B12*$B252))-'Business Case'!C15*$F252</f>
        <v>-38203088.7027278</v>
      </c>
      <c r="J252" s="39" t="n">
        <f aca="false">(('Business Case'!D11*$C252*'Business Case'!D12*$B252)-'Business Case'!D11*$C252*'Business Case'!D13*$D252-'Business Case'!D14*$E252)-MAX(0,(('Business Case'!D11*$C252*'Business Case'!D12*$B252)-'Business Case'!D11*$C252*'Business Case'!D13*$D252-'Business Case'!D14*$E252))*'Business Case'!$B$7-'Business Case'!$B$8*(('Business Case'!D11*$C252*'Business Case'!D12*$B252)-('Business Case'!C11*$C252*'Business Case'!C12*$B252))-'Business Case'!D15*$F252</f>
        <v>208124234.418931</v>
      </c>
      <c r="K252" s="39" t="n">
        <f aca="false">(('Business Case'!E11*$C252*'Business Case'!E12*$B252)-'Business Case'!E11*$C252*'Business Case'!E13*$D252-'Business Case'!E14*$E252)-MAX(0,(('Business Case'!E11*$C252*'Business Case'!E12*$B252)-'Business Case'!E11*$C252*'Business Case'!E13*$D252-'Business Case'!E14*$E252))*'Business Case'!$B$7-'Business Case'!$B$8*(('Business Case'!E11*$C252*'Business Case'!E12*$B252)-('Business Case'!D11*$C252*'Business Case'!D12*$B252))-'Business Case'!E15*$F252</f>
        <v>506454195.797308</v>
      </c>
      <c r="L252" s="39" t="n">
        <f aca="false">(('Business Case'!F11*$C252*'Business Case'!F12*$B252)-'Business Case'!F11*$C252*'Business Case'!F13*$D252-'Business Case'!F14*$E252)-MAX(0,(('Business Case'!F11*$C252*'Business Case'!F12*$B252)-'Business Case'!F11*$C252*'Business Case'!F13*$D252-'Business Case'!F14*$E252))*'Business Case'!$B$7-'Business Case'!$B$8*(('Business Case'!F11*$C252*'Business Case'!F12*$B252)-('Business Case'!E11*$C252*'Business Case'!E12*$B252))-'Business Case'!F15*$F252</f>
        <v>619113762.045533</v>
      </c>
      <c r="M252" s="39" t="n">
        <f aca="false">(('Business Case'!G11*$C252*'Business Case'!G12*$B252)-'Business Case'!G11*$C252*'Business Case'!G13*$D252-'Business Case'!G14*$E252)-MAX(0,(('Business Case'!G11*$C252*'Business Case'!G12*$B252)-'Business Case'!G11*$C252*'Business Case'!G13*$D252-'Business Case'!G14*$E252))*'Business Case'!$B$7-'Business Case'!$B$8*(('Business Case'!G11*$C252*'Business Case'!G12*$B252)-('Business Case'!F11*$C252*'Business Case'!F12*$B252))-'Business Case'!G15*$F252+'Business Case'!$B$8*('Business Case'!G11*$C252*'Business Case'!G12*$B252)</f>
        <v>787141284.021063</v>
      </c>
      <c r="N252" s="39" t="n">
        <f aca="false">IF(COUNT('Business Case'!B11:G11)=0,"",H252+NPV(G252,I252:M252))</f>
        <v>-663595795.748668</v>
      </c>
      <c r="P252" s="40" t="n">
        <f aca="true">RAND()</f>
        <v>0.194954370158007</v>
      </c>
      <c r="Q252" s="40" t="n">
        <f aca="true">RAND()</f>
        <v>0.380125314976395</v>
      </c>
      <c r="R252" s="40" t="n">
        <f aca="true">RAND()</f>
        <v>0.425696143422947</v>
      </c>
      <c r="S252" s="40" t="n">
        <f aca="true">RAND()</f>
        <v>0.0893157251583976</v>
      </c>
      <c r="T252" s="40" t="n">
        <f aca="true">RAND()</f>
        <v>0.41229544763018</v>
      </c>
      <c r="U252" s="40" t="n">
        <f aca="true">RAND()</f>
        <v>0.497761761473678</v>
      </c>
    </row>
    <row r="253" customFormat="false" ht="15" hidden="false" customHeight="false" outlineLevel="0" collapsed="false">
      <c r="A253" s="36" t="n">
        <v>173</v>
      </c>
      <c r="B253" s="37" t="n">
        <f aca="false">1+IF($G$6=$E$6,$F$6,IF(P253&lt;($F$6-$E$6)/($G$6-$E$6),$E$6+SQRT(P253*($G$6-$E$6)*($F$6-$E$6)),$G$6-SQRT((1-P253)*($G$6-$E$6)*($G$6-$F$6))))</f>
        <v>0.911315223800204</v>
      </c>
      <c r="C253" s="37" t="n">
        <f aca="false">1+IF($G$7=$E$7,$F$7,IF(Q253&lt;($F$7-$E$7)/($G$7-$E$7),$E$7+SQRT(Q253*($G$7-$E$7)*($F$7-$E$7)),$G$7-SQRT((1-Q253)*($G$7-$E$7)*($G$7-$F$7))))</f>
        <v>0.838305903213502</v>
      </c>
      <c r="D253" s="37" t="n">
        <f aca="false">1+IF($G$8=$E$8,$F$8,IF(R253&lt;($F$8-$E$8)/($G$8-$E$8),$E$8+SQRT(R253*($G$8-$E$8)*($F$8-$E$8)),$G$8-SQRT((1-R253)*($G$8-$E$8)*($G$8-$F$8))))</f>
        <v>1.0066081358934</v>
      </c>
      <c r="E253" s="37" t="n">
        <f aca="false">1+IF($G$9=$E$9,$F$9,IF(S253&lt;($F$9-$E$9)/($G$9-$E$9),$E$9+SQRT(S253*($G$9-$E$9)*($F$9-$E$9)),$G$9-SQRT((1-S253)*($G$9-$E$9)*($G$9-$F$9))))</f>
        <v>1.01790727654205</v>
      </c>
      <c r="F253" s="37" t="n">
        <f aca="false">1+IF($G$10=$E$10,$F$10,IF(T253&lt;($F$10-$E$10)/($G$10-$E$10),$E$10+SQRT(T253*($G$10-$E$10)*($F$10-$E$10)),$G$10-SQRT((1-T253)*($G$10-$E$10)*($G$10-$F$10))))</f>
        <v>1.05940388820477</v>
      </c>
      <c r="G253" s="38" t="n">
        <f aca="false">IF($G$11=$E$11,$F$11,IF(U253&lt;($F$11-$E$11)/($G$11-$E$11),$E$11+SQRT(U253*($G$11-$E$11)*($F$11-$E$11)),$G$11-SQRT((1-U253)*($G$11-$E$11)*($G$11-$F$11))))</f>
        <v>0.126126324422777</v>
      </c>
      <c r="H253" s="39" t="n">
        <f aca="false">(('Business Case'!B11*$C253*'Business Case'!B12*$B253)-'Business Case'!B11*$C253*'Business Case'!B13*$D253-'Business Case'!B14*$E253)-MAX(0,(('Business Case'!B11*$C253*'Business Case'!B12*$B253)-'Business Case'!B11*$C253*'Business Case'!B13*$D253-'Business Case'!B14*$E253))*'Business Case'!$B$7-'Business Case'!$B$8*('Business Case'!B11*$C253*'Business Case'!B12*$B253)-'Business Case'!B15*$F253</f>
        <v>-2118807776.40953</v>
      </c>
      <c r="I253" s="39" t="n">
        <f aca="false">(('Business Case'!C11*$C253*'Business Case'!C12*$B253)-'Business Case'!C11*$C253*'Business Case'!C13*$D253-'Business Case'!C14*$E253)-MAX(0,(('Business Case'!C11*$C253*'Business Case'!C12*$B253)-'Business Case'!C11*$C253*'Business Case'!C13*$D253-'Business Case'!C14*$E253))*'Business Case'!$B$7-'Business Case'!$B$8*(('Business Case'!C11*$C253*'Business Case'!C12*$B253)-('Business Case'!B11*$C253*'Business Case'!B12*$B253))-'Business Case'!C15*$F253</f>
        <v>-96532940.0561345</v>
      </c>
      <c r="J253" s="39" t="n">
        <f aca="false">(('Business Case'!D11*$C253*'Business Case'!D12*$B253)-'Business Case'!D11*$C253*'Business Case'!D13*$D253-'Business Case'!D14*$E253)-MAX(0,(('Business Case'!D11*$C253*'Business Case'!D12*$B253)-'Business Case'!D11*$C253*'Business Case'!D13*$D253-'Business Case'!D14*$E253))*'Business Case'!$B$7-'Business Case'!$B$8*(('Business Case'!D11*$C253*'Business Case'!D12*$B253)-('Business Case'!C11*$C253*'Business Case'!C12*$B253))-'Business Case'!D15*$F253</f>
        <v>97224658.1370018</v>
      </c>
      <c r="K253" s="39" t="n">
        <f aca="false">(('Business Case'!E11*$C253*'Business Case'!E12*$B253)-'Business Case'!E11*$C253*'Business Case'!E13*$D253-'Business Case'!E14*$E253)-MAX(0,(('Business Case'!E11*$C253*'Business Case'!E12*$B253)-'Business Case'!E11*$C253*'Business Case'!E13*$D253-'Business Case'!E14*$E253))*'Business Case'!$B$7-'Business Case'!$B$8*(('Business Case'!E11*$C253*'Business Case'!E12*$B253)-('Business Case'!D11*$C253*'Business Case'!D12*$B253))-'Business Case'!E15*$F253</f>
        <v>343952450.740376</v>
      </c>
      <c r="L253" s="39" t="n">
        <f aca="false">(('Business Case'!F11*$C253*'Business Case'!F12*$B253)-'Business Case'!F11*$C253*'Business Case'!F13*$D253-'Business Case'!F14*$E253)-MAX(0,(('Business Case'!F11*$C253*'Business Case'!F12*$B253)-'Business Case'!F11*$C253*'Business Case'!F13*$D253-'Business Case'!F14*$E253))*'Business Case'!$B$7-'Business Case'!$B$8*(('Business Case'!F11*$C253*'Business Case'!F12*$B253)-('Business Case'!E11*$C253*'Business Case'!E12*$B253))-'Business Case'!F15*$F253</f>
        <v>434940806.607765</v>
      </c>
      <c r="M253" s="39" t="n">
        <f aca="false">(('Business Case'!G11*$C253*'Business Case'!G12*$B253)-'Business Case'!G11*$C253*'Business Case'!G13*$D253-'Business Case'!G14*$E253)-MAX(0,(('Business Case'!G11*$C253*'Business Case'!G12*$B253)-'Business Case'!G11*$C253*'Business Case'!G13*$D253-'Business Case'!G14*$E253))*'Business Case'!$B$7-'Business Case'!$B$8*(('Business Case'!G11*$C253*'Business Case'!G12*$B253)-('Business Case'!F11*$C253*'Business Case'!F12*$B253))-'Business Case'!G15*$F253+'Business Case'!$B$8*('Business Case'!G11*$C253*'Business Case'!G12*$B253)</f>
        <v>580154500.524318</v>
      </c>
      <c r="N253" s="39" t="n">
        <f aca="false">IF(COUNT('Business Case'!B11:G11)=0,"",H253+NPV(G253,I253:M253))</f>
        <v>-1296233968.08152</v>
      </c>
      <c r="P253" s="40" t="n">
        <f aca="true">RAND()</f>
        <v>0.00853561930991381</v>
      </c>
      <c r="Q253" s="40" t="n">
        <f aca="true">RAND()</f>
        <v>0.141692761953352</v>
      </c>
      <c r="R253" s="40" t="n">
        <f aca="true">RAND()</f>
        <v>0.418530647912933</v>
      </c>
      <c r="S253" s="40" t="n">
        <f aca="true">RAND()</f>
        <v>0.534706997585659</v>
      </c>
      <c r="T253" s="40" t="n">
        <f aca="true">RAND()</f>
        <v>0.515641628913847</v>
      </c>
      <c r="U253" s="40" t="n">
        <f aca="true">RAND()</f>
        <v>0.989996425014953</v>
      </c>
    </row>
    <row r="254" customFormat="false" ht="15" hidden="false" customHeight="false" outlineLevel="0" collapsed="false">
      <c r="A254" s="36" t="n">
        <v>174</v>
      </c>
      <c r="B254" s="37" t="n">
        <f aca="false">1+IF($G$6=$E$6,$F$6,IF(P254&lt;($F$6-$E$6)/($G$6-$E$6),$E$6+SQRT(P254*($G$6-$E$6)*($F$6-$E$6)),$G$6-SQRT((1-P254)*($G$6-$E$6)*($G$6-$F$6))))</f>
        <v>0.995525890467899</v>
      </c>
      <c r="C254" s="37" t="n">
        <f aca="false">1+IF($G$7=$E$7,$F$7,IF(Q254&lt;($F$7-$E$7)/($G$7-$E$7),$E$7+SQRT(Q254*($G$7-$E$7)*($F$7-$E$7)),$G$7-SQRT((1-Q254)*($G$7-$E$7)*($G$7-$F$7))))</f>
        <v>0.953276884230161</v>
      </c>
      <c r="D254" s="37" t="n">
        <f aca="false">1+IF($G$8=$E$8,$F$8,IF(R254&lt;($F$8-$E$8)/($G$8-$E$8),$E$8+SQRT(R254*($G$8-$E$8)*($F$8-$E$8)),$G$8-SQRT((1-R254)*($G$8-$E$8)*($G$8-$F$8))))</f>
        <v>0.961378992932642</v>
      </c>
      <c r="E254" s="37" t="n">
        <f aca="false">1+IF($G$9=$E$9,$F$9,IF(S254&lt;($F$9-$E$9)/($G$9-$E$9),$E$9+SQRT(S254*($G$9-$E$9)*($F$9-$E$9)),$G$9-SQRT((1-S254)*($G$9-$E$9)*($G$9-$F$9))))</f>
        <v>1.01286356973914</v>
      </c>
      <c r="F254" s="37" t="n">
        <f aca="false">1+IF($G$10=$E$10,$F$10,IF(T254&lt;($F$10-$E$10)/($G$10-$E$10),$E$10+SQRT(T254*($G$10-$E$10)*($F$10-$E$10)),$G$10-SQRT((1-T254)*($G$10-$E$10)*($G$10-$F$10))))</f>
        <v>0.98731174062386</v>
      </c>
      <c r="G254" s="38" t="n">
        <f aca="false">IF($G$11=$E$11,$F$11,IF(U254&lt;($F$11-$E$11)/($G$11-$E$11),$E$11+SQRT(U254*($G$11-$E$11)*($F$11-$E$11)),$G$11-SQRT((1-U254)*($G$11-$E$11)*($G$11-$F$11))))</f>
        <v>0.122794837443929</v>
      </c>
      <c r="H254" s="39" t="n">
        <f aca="false">(('Business Case'!B11*$C254*'Business Case'!B12*$B254)-'Business Case'!B11*$C254*'Business Case'!B13*$D254-'Business Case'!B14*$E254)-MAX(0,(('Business Case'!B11*$C254*'Business Case'!B12*$B254)-'Business Case'!B11*$C254*'Business Case'!B13*$D254-'Business Case'!B14*$E254))*'Business Case'!$B$7-'Business Case'!$B$8*('Business Case'!B11*$C254*'Business Case'!B12*$B254)-'Business Case'!B15*$F254</f>
        <v>-1974623481.24772</v>
      </c>
      <c r="I254" s="39" t="n">
        <f aca="false">(('Business Case'!C11*$C254*'Business Case'!C12*$B254)-'Business Case'!C11*$C254*'Business Case'!C13*$D254-'Business Case'!C14*$E254)-MAX(0,(('Business Case'!C11*$C254*'Business Case'!C12*$B254)-'Business Case'!C11*$C254*'Business Case'!C13*$D254-'Business Case'!C14*$E254))*'Business Case'!$B$7-'Business Case'!$B$8*(('Business Case'!C11*$C254*'Business Case'!C12*$B254)-('Business Case'!B11*$C254*'Business Case'!B12*$B254))-'Business Case'!C15*$F254</f>
        <v>16197469.1678335</v>
      </c>
      <c r="J254" s="39" t="n">
        <f aca="false">(('Business Case'!D11*$C254*'Business Case'!D12*$B254)-'Business Case'!D11*$C254*'Business Case'!D13*$D254-'Business Case'!D14*$E254)-MAX(0,(('Business Case'!D11*$C254*'Business Case'!D12*$B254)-'Business Case'!D11*$C254*'Business Case'!D13*$D254-'Business Case'!D14*$E254))*'Business Case'!$B$7-'Business Case'!$B$8*(('Business Case'!D11*$C254*'Business Case'!D12*$B254)-('Business Case'!C11*$C254*'Business Case'!C12*$B254))-'Business Case'!D15*$F254</f>
        <v>324352084.713769</v>
      </c>
      <c r="K254" s="39" t="n">
        <f aca="false">(('Business Case'!E11*$C254*'Business Case'!E12*$B254)-'Business Case'!E11*$C254*'Business Case'!E13*$D254-'Business Case'!E14*$E254)-MAX(0,(('Business Case'!E11*$C254*'Business Case'!E12*$B254)-'Business Case'!E11*$C254*'Business Case'!E13*$D254-'Business Case'!E14*$E254))*'Business Case'!$B$7-'Business Case'!$B$8*(('Business Case'!E11*$C254*'Business Case'!E12*$B254)-('Business Case'!D11*$C254*'Business Case'!D12*$B254))-'Business Case'!E15*$F254</f>
        <v>681872287.290898</v>
      </c>
      <c r="L254" s="39" t="n">
        <f aca="false">(('Business Case'!F11*$C254*'Business Case'!F12*$B254)-'Business Case'!F11*$C254*'Business Case'!F13*$D254-'Business Case'!F14*$E254)-MAX(0,(('Business Case'!F11*$C254*'Business Case'!F12*$B254)-'Business Case'!F11*$C254*'Business Case'!F13*$D254-'Business Case'!F14*$E254))*'Business Case'!$B$7-'Business Case'!$B$8*(('Business Case'!F11*$C254*'Business Case'!F12*$B254)-('Business Case'!E11*$C254*'Business Case'!E12*$B254))-'Business Case'!F15*$F254</f>
        <v>817388340.938751</v>
      </c>
      <c r="M254" s="39" t="n">
        <f aca="false">(('Business Case'!G11*$C254*'Business Case'!G12*$B254)-'Business Case'!G11*$C254*'Business Case'!G13*$D254-'Business Case'!G14*$E254)-MAX(0,(('Business Case'!G11*$C254*'Business Case'!G12*$B254)-'Business Case'!G11*$C254*'Business Case'!G13*$D254-'Business Case'!G14*$E254))*'Business Case'!$B$7-'Business Case'!$B$8*(('Business Case'!G11*$C254*'Business Case'!G12*$B254)-('Business Case'!F11*$C254*'Business Case'!F12*$B254))-'Business Case'!G15*$F254+'Business Case'!$B$8*('Business Case'!G11*$C254*'Business Case'!G12*$B254)</f>
        <v>997776507.501056</v>
      </c>
      <c r="N254" s="39" t="n">
        <f aca="false">IF(COUNT('Business Case'!B11:G11)=0,"",H254+NPV(G254,I254:M254))</f>
        <v>-147717768.916023</v>
      </c>
      <c r="P254" s="40" t="n">
        <f aca="true">RAND()</f>
        <v>0.608346383312339</v>
      </c>
      <c r="Q254" s="40" t="n">
        <f aca="true">RAND()</f>
        <v>0.475179111743248</v>
      </c>
      <c r="R254" s="40" t="n">
        <f aca="true">RAND()</f>
        <v>0.0172641973548155</v>
      </c>
      <c r="S254" s="40" t="n">
        <f aca="true">RAND()</f>
        <v>0.498495986541556</v>
      </c>
      <c r="T254" s="40" t="n">
        <f aca="true">RAND()</f>
        <v>0.0928110658921445</v>
      </c>
      <c r="U254" s="40" t="n">
        <f aca="true">RAND()</f>
        <v>0.965390421693726</v>
      </c>
    </row>
    <row r="255" customFormat="false" ht="15" hidden="false" customHeight="false" outlineLevel="0" collapsed="false">
      <c r="A255" s="36" t="n">
        <v>175</v>
      </c>
      <c r="B255" s="37" t="n">
        <f aca="false">1+IF($G$6=$E$6,$F$6,IF(P255&lt;($F$6-$E$6)/($G$6-$E$6),$E$6+SQRT(P255*($G$6-$E$6)*($F$6-$E$6)),$G$6-SQRT((1-P255)*($G$6-$E$6)*($G$6-$F$6))))</f>
        <v>1.02070131561456</v>
      </c>
      <c r="C255" s="37" t="n">
        <f aca="false">1+IF($G$7=$E$7,$F$7,IF(Q255&lt;($F$7-$E$7)/($G$7-$E$7),$E$7+SQRT(Q255*($G$7-$E$7)*($F$7-$E$7)),$G$7-SQRT((1-Q255)*($G$7-$E$7)*($G$7-$F$7))))</f>
        <v>0.882985681060361</v>
      </c>
      <c r="D255" s="37" t="n">
        <f aca="false">1+IF($G$8=$E$8,$F$8,IF(R255&lt;($F$8-$E$8)/($G$8-$E$8),$E$8+SQRT(R255*($G$8-$E$8)*($F$8-$E$8)),$G$8-SQRT((1-R255)*($G$8-$E$8)*($G$8-$F$8))))</f>
        <v>1.04835067598046</v>
      </c>
      <c r="E255" s="37" t="n">
        <f aca="false">1+IF($G$9=$E$9,$F$9,IF(S255&lt;($F$9-$E$9)/($G$9-$E$9),$E$9+SQRT(S255*($G$9-$E$9)*($F$9-$E$9)),$G$9-SQRT((1-S255)*($G$9-$E$9)*($G$9-$F$9))))</f>
        <v>1.00780454571109</v>
      </c>
      <c r="F255" s="37" t="n">
        <f aca="false">1+IF($G$10=$E$10,$F$10,IF(T255&lt;($F$10-$E$10)/($G$10-$E$10),$E$10+SQRT(T255*($G$10-$E$10)*($F$10-$E$10)),$G$10-SQRT((1-T255)*($G$10-$E$10)*($G$10-$F$10))))</f>
        <v>1.01866691872023</v>
      </c>
      <c r="G255" s="38" t="n">
        <f aca="false">IF($G$11=$E$11,$F$11,IF(U255&lt;($F$11-$E$11)/($G$11-$E$11),$E$11+SQRT(U255*($G$11-$E$11)*($F$11-$E$11)),$G$11-SQRT((1-U255)*($G$11-$E$11)*($G$11-$F$11))))</f>
        <v>0.0968756046677391</v>
      </c>
      <c r="H255" s="39" t="n">
        <f aca="false">(('Business Case'!B11*$C255*'Business Case'!B12*$B255)-'Business Case'!B11*$C255*'Business Case'!B13*$D255-'Business Case'!B14*$E255)-MAX(0,(('Business Case'!B11*$C255*'Business Case'!B12*$B255)-'Business Case'!B11*$C255*'Business Case'!B13*$D255-'Business Case'!B14*$E255))*'Business Case'!$B$7-'Business Case'!$B$8*('Business Case'!B11*$C255*'Business Case'!B12*$B255)-'Business Case'!B15*$F255</f>
        <v>-2037333837.44046</v>
      </c>
      <c r="I255" s="39" t="n">
        <f aca="false">(('Business Case'!C11*$C255*'Business Case'!C12*$B255)-'Business Case'!C11*$C255*'Business Case'!C13*$D255-'Business Case'!C14*$E255)-MAX(0,(('Business Case'!C11*$C255*'Business Case'!C12*$B255)-'Business Case'!C11*$C255*'Business Case'!C13*$D255-'Business Case'!C14*$E255))*'Business Case'!$B$7-'Business Case'!$B$8*(('Business Case'!C11*$C255*'Business Case'!C12*$B255)-('Business Case'!B11*$C255*'Business Case'!B12*$B255))-'Business Case'!C15*$F255</f>
        <v>-27570828.2882302</v>
      </c>
      <c r="J255" s="39" t="n">
        <f aca="false">(('Business Case'!D11*$C255*'Business Case'!D12*$B255)-'Business Case'!D11*$C255*'Business Case'!D13*$D255-'Business Case'!D14*$E255)-MAX(0,(('Business Case'!D11*$C255*'Business Case'!D12*$B255)-'Business Case'!D11*$C255*'Business Case'!D13*$D255-'Business Case'!D14*$E255))*'Business Case'!$B$7-'Business Case'!$B$8*(('Business Case'!D11*$C255*'Business Case'!D12*$B255)-('Business Case'!C11*$C255*'Business Case'!C12*$B255))-'Business Case'!D15*$F255</f>
        <v>236756400.961277</v>
      </c>
      <c r="K255" s="39" t="n">
        <f aca="false">(('Business Case'!E11*$C255*'Business Case'!E12*$B255)-'Business Case'!E11*$C255*'Business Case'!E13*$D255-'Business Case'!E14*$E255)-MAX(0,(('Business Case'!E11*$C255*'Business Case'!E12*$B255)-'Business Case'!E11*$C255*'Business Case'!E13*$D255-'Business Case'!E14*$E255))*'Business Case'!$B$7-'Business Case'!$B$8*(('Business Case'!E11*$C255*'Business Case'!E12*$B255)-('Business Case'!D11*$C255*'Business Case'!D12*$B255))-'Business Case'!E15*$F255</f>
        <v>552016976.146796</v>
      </c>
      <c r="L255" s="39" t="n">
        <f aca="false">(('Business Case'!F11*$C255*'Business Case'!F12*$B255)-'Business Case'!F11*$C255*'Business Case'!F13*$D255-'Business Case'!F14*$E255)-MAX(0,(('Business Case'!F11*$C255*'Business Case'!F12*$B255)-'Business Case'!F11*$C255*'Business Case'!F13*$D255-'Business Case'!F14*$E255))*'Business Case'!$B$7-'Business Case'!$B$8*(('Business Case'!F11*$C255*'Business Case'!F12*$B255)-('Business Case'!E11*$C255*'Business Case'!E12*$B255))-'Business Case'!F15*$F255</f>
        <v>671273758.740364</v>
      </c>
      <c r="M255" s="39" t="n">
        <f aca="false">(('Business Case'!G11*$C255*'Business Case'!G12*$B255)-'Business Case'!G11*$C255*'Business Case'!G13*$D255-'Business Case'!G14*$E255)-MAX(0,(('Business Case'!G11*$C255*'Business Case'!G12*$B255)-'Business Case'!G11*$C255*'Business Case'!G13*$D255-'Business Case'!G14*$E255))*'Business Case'!$B$7-'Business Case'!$B$8*(('Business Case'!G11*$C255*'Business Case'!G12*$B255)-('Business Case'!F11*$C255*'Business Case'!F12*$B255))-'Business Case'!G15*$F255+'Business Case'!$B$8*('Business Case'!G11*$C255*'Business Case'!G12*$B255)</f>
        <v>842586142.714225</v>
      </c>
      <c r="N255" s="39" t="n">
        <f aca="false">IF(COUNT('Business Case'!B11:G11)=0,"",H255+NPV(G255,I255:M255))</f>
        <v>-452985346.518371</v>
      </c>
      <c r="P255" s="40" t="n">
        <f aca="true">RAND()</f>
        <v>0.885544945770995</v>
      </c>
      <c r="Q255" s="40" t="n">
        <f aca="true">RAND()</f>
        <v>0.248027847949067</v>
      </c>
      <c r="R255" s="40" t="n">
        <f aca="true">RAND()</f>
        <v>0.82215648855498</v>
      </c>
      <c r="S255" s="40" t="n">
        <f aca="true">RAND()</f>
        <v>0.460812074121851</v>
      </c>
      <c r="T255" s="40" t="n">
        <f aca="true">RAND()</f>
        <v>0.286466740074755</v>
      </c>
      <c r="U255" s="40" t="n">
        <f aca="true">RAND()</f>
        <v>0.284786032901819</v>
      </c>
    </row>
    <row r="256" customFormat="false" ht="15" hidden="false" customHeight="false" outlineLevel="0" collapsed="false">
      <c r="A256" s="36" t="n">
        <v>176</v>
      </c>
      <c r="B256" s="37" t="n">
        <f aca="false">1+IF($G$6=$E$6,$F$6,IF(P256&lt;($F$6-$E$6)/($G$6-$E$6),$E$6+SQRT(P256*($G$6-$E$6)*($F$6-$E$6)),$G$6-SQRT((1-P256)*($G$6-$E$6)*($G$6-$F$6))))</f>
        <v>0.986788385572183</v>
      </c>
      <c r="C256" s="37" t="n">
        <f aca="false">1+IF($G$7=$E$7,$F$7,IF(Q256&lt;($F$7-$E$7)/($G$7-$E$7),$E$7+SQRT(Q256*($G$7-$E$7)*($F$7-$E$7)),$G$7-SQRT((1-Q256)*($G$7-$E$7)*($G$7-$F$7))))</f>
        <v>0.963678021025115</v>
      </c>
      <c r="D256" s="37" t="n">
        <f aca="false">1+IF($G$8=$E$8,$F$8,IF(R256&lt;($F$8-$E$8)/($G$8-$E$8),$E$8+SQRT(R256*($G$8-$E$8)*($F$8-$E$8)),$G$8-SQRT((1-R256)*($G$8-$E$8)*($G$8-$F$8))))</f>
        <v>1.0506715985687</v>
      </c>
      <c r="E256" s="37" t="n">
        <f aca="false">1+IF($G$9=$E$9,$F$9,IF(S256&lt;($F$9-$E$9)/($G$9-$E$9),$E$9+SQRT(S256*($G$9-$E$9)*($F$9-$E$9)),$G$9-SQRT((1-S256)*($G$9-$E$9)*($G$9-$F$9))))</f>
        <v>0.993289601492518</v>
      </c>
      <c r="F256" s="37" t="n">
        <f aca="false">1+IF($G$10=$E$10,$F$10,IF(T256&lt;($F$10-$E$10)/($G$10-$E$10),$E$10+SQRT(T256*($G$10-$E$10)*($F$10-$E$10)),$G$10-SQRT((1-T256)*($G$10-$E$10)*($G$10-$F$10))))</f>
        <v>1.03576687639659</v>
      </c>
      <c r="G256" s="38" t="n">
        <f aca="false">IF($G$11=$E$11,$F$11,IF(U256&lt;($F$11-$E$11)/($G$11-$E$11),$E$11+SQRT(U256*($G$11-$E$11)*($F$11-$E$11)),$G$11-SQRT((1-U256)*($G$11-$E$11)*($G$11-$F$11))))</f>
        <v>0.118707361793531</v>
      </c>
      <c r="H256" s="39" t="n">
        <f aca="false">(('Business Case'!B11*$C256*'Business Case'!B12*$B256)-'Business Case'!B11*$C256*'Business Case'!B13*$D256-'Business Case'!B14*$E256)-MAX(0,(('Business Case'!B11*$C256*'Business Case'!B12*$B256)-'Business Case'!B11*$C256*'Business Case'!B13*$D256-'Business Case'!B14*$E256))*'Business Case'!$B$7-'Business Case'!$B$8*('Business Case'!B11*$C256*'Business Case'!B12*$B256)-'Business Case'!B15*$F256</f>
        <v>-2071533752.79319</v>
      </c>
      <c r="I256" s="39" t="n">
        <f aca="false">(('Business Case'!C11*$C256*'Business Case'!C12*$B256)-'Business Case'!C11*$C256*'Business Case'!C13*$D256-'Business Case'!C14*$E256)-MAX(0,(('Business Case'!C11*$C256*'Business Case'!C12*$B256)-'Business Case'!C11*$C256*'Business Case'!C13*$D256-'Business Case'!C14*$E256))*'Business Case'!$B$7-'Business Case'!$B$8*(('Business Case'!C11*$C256*'Business Case'!C12*$B256)-('Business Case'!B11*$C256*'Business Case'!B12*$B256))-'Business Case'!C15*$F256</f>
        <v>-33549725.9854615</v>
      </c>
      <c r="J256" s="39" t="n">
        <f aca="false">(('Business Case'!D11*$C256*'Business Case'!D12*$B256)-'Business Case'!D11*$C256*'Business Case'!D13*$D256-'Business Case'!D14*$E256)-MAX(0,(('Business Case'!D11*$C256*'Business Case'!D12*$B256)-'Business Case'!D11*$C256*'Business Case'!D13*$D256-'Business Case'!D14*$E256))*'Business Case'!$B$7-'Business Case'!$B$8*(('Business Case'!D11*$C256*'Business Case'!D12*$B256)-('Business Case'!C11*$C256*'Business Case'!C12*$B256))-'Business Case'!D15*$F256</f>
        <v>227020072.082496</v>
      </c>
      <c r="K256" s="39" t="n">
        <f aca="false">(('Business Case'!E11*$C256*'Business Case'!E12*$B256)-'Business Case'!E11*$C256*'Business Case'!E13*$D256-'Business Case'!E14*$E256)-MAX(0,(('Business Case'!E11*$C256*'Business Case'!E12*$B256)-'Business Case'!E11*$C256*'Business Case'!E13*$D256-'Business Case'!E14*$E256))*'Business Case'!$B$7-'Business Case'!$B$8*(('Business Case'!E11*$C256*'Business Case'!E12*$B256)-('Business Case'!D11*$C256*'Business Case'!D12*$B256))-'Business Case'!E15*$F256</f>
        <v>539378213.970282</v>
      </c>
      <c r="L256" s="39" t="n">
        <f aca="false">(('Business Case'!F11*$C256*'Business Case'!F12*$B256)-'Business Case'!F11*$C256*'Business Case'!F13*$D256-'Business Case'!F14*$E256)-MAX(0,(('Business Case'!F11*$C256*'Business Case'!F12*$B256)-'Business Case'!F11*$C256*'Business Case'!F13*$D256-'Business Case'!F14*$E256))*'Business Case'!$B$7-'Business Case'!$B$8*(('Business Case'!F11*$C256*'Business Case'!F12*$B256)-('Business Case'!E11*$C256*'Business Case'!E12*$B256))-'Business Case'!F15*$F256</f>
        <v>659099516.713951</v>
      </c>
      <c r="M256" s="39" t="n">
        <f aca="false">(('Business Case'!G11*$C256*'Business Case'!G12*$B256)-'Business Case'!G11*$C256*'Business Case'!G13*$D256-'Business Case'!G14*$E256)-MAX(0,(('Business Case'!G11*$C256*'Business Case'!G12*$B256)-'Business Case'!G11*$C256*'Business Case'!G13*$D256-'Business Case'!G14*$E256))*'Business Case'!$B$7-'Business Case'!$B$8*(('Business Case'!G11*$C256*'Business Case'!G12*$B256)-('Business Case'!F11*$C256*'Business Case'!F12*$B256))-'Business Case'!G15*$F256+'Business Case'!$B$8*('Business Case'!G11*$C256*'Business Case'!G12*$B256)</f>
        <v>839855385.346203</v>
      </c>
      <c r="N256" s="39" t="n">
        <f aca="false">IF(COUNT('Business Case'!B11:G11)=0,"",H256+NPV(G256,I256:M256))</f>
        <v>-634749763.033461</v>
      </c>
      <c r="P256" s="40" t="n">
        <f aca="true">RAND()</f>
        <v>0.502148258015056</v>
      </c>
      <c r="Q256" s="40" t="n">
        <f aca="true">RAND()</f>
        <v>0.515008139049785</v>
      </c>
      <c r="R256" s="40" t="n">
        <f aca="true">RAND()</f>
        <v>0.837780587482163</v>
      </c>
      <c r="S256" s="40" t="n">
        <f aca="true">RAND()</f>
        <v>0.34811798986531</v>
      </c>
      <c r="T256" s="40" t="n">
        <f aca="true">RAND()</f>
        <v>0.388055583348365</v>
      </c>
      <c r="U256" s="40" t="n">
        <f aca="true">RAND()</f>
        <v>0.91498421489186</v>
      </c>
    </row>
    <row r="257" customFormat="false" ht="15" hidden="false" customHeight="false" outlineLevel="0" collapsed="false">
      <c r="A257" s="36" t="n">
        <v>177</v>
      </c>
      <c r="B257" s="37" t="n">
        <f aca="false">1+IF($G$6=$E$6,$F$6,IF(P257&lt;($F$6-$E$6)/($G$6-$E$6),$E$6+SQRT(P257*($G$6-$E$6)*($F$6-$E$6)),$G$6-SQRT((1-P257)*($G$6-$E$6)*($G$6-$F$6))))</f>
        <v>1.00970108139784</v>
      </c>
      <c r="C257" s="37" t="n">
        <f aca="false">1+IF($G$7=$E$7,$F$7,IF(Q257&lt;($F$7-$E$7)/($G$7-$E$7),$E$7+SQRT(Q257*($G$7-$E$7)*($F$7-$E$7)),$G$7-SQRT((1-Q257)*($G$7-$E$7)*($G$7-$F$7))))</f>
        <v>1.06138126099537</v>
      </c>
      <c r="D257" s="37" t="n">
        <f aca="false">1+IF($G$8=$E$8,$F$8,IF(R257&lt;($F$8-$E$8)/($G$8-$E$8),$E$8+SQRT(R257*($G$8-$E$8)*($F$8-$E$8)),$G$8-SQRT((1-R257)*($G$8-$E$8)*($G$8-$F$8))))</f>
        <v>1.00675584424107</v>
      </c>
      <c r="E257" s="37" t="n">
        <f aca="false">1+IF($G$9=$E$9,$F$9,IF(S257&lt;($F$9-$E$9)/($G$9-$E$9),$E$9+SQRT(S257*($G$9-$E$9)*($F$9-$E$9)),$G$9-SQRT((1-S257)*($G$9-$E$9)*($G$9-$F$9))))</f>
        <v>0.968996337513985</v>
      </c>
      <c r="F257" s="37" t="n">
        <f aca="false">1+IF($G$10=$E$10,$F$10,IF(T257&lt;($F$10-$E$10)/($G$10-$E$10),$E$10+SQRT(T257*($G$10-$E$10)*($F$10-$E$10)),$G$10-SQRT((1-T257)*($G$10-$E$10)*($G$10-$F$10))))</f>
        <v>1.14596657411007</v>
      </c>
      <c r="G257" s="38" t="n">
        <f aca="false">IF($G$11=$E$11,$F$11,IF(U257&lt;($F$11-$E$11)/($G$11-$E$11),$E$11+SQRT(U257*($G$11-$E$11)*($F$11-$E$11)),$G$11-SQRT((1-U257)*($G$11-$E$11)*($G$11-$F$11))))</f>
        <v>0.109167517399348</v>
      </c>
      <c r="H257" s="39" t="n">
        <f aca="false">(('Business Case'!B11*$C257*'Business Case'!B12*$B257)-'Business Case'!B11*$C257*'Business Case'!B13*$D257-'Business Case'!B14*$E257)-MAX(0,(('Business Case'!B11*$C257*'Business Case'!B12*$B257)-'Business Case'!B11*$C257*'Business Case'!B13*$D257-'Business Case'!B14*$E257))*'Business Case'!$B$7-'Business Case'!$B$8*('Business Case'!B11*$C257*'Business Case'!B12*$B257)-'Business Case'!B15*$F257</f>
        <v>-2291933148.22014</v>
      </c>
      <c r="I257" s="39" t="n">
        <f aca="false">(('Business Case'!C11*$C257*'Business Case'!C12*$B257)-'Business Case'!C11*$C257*'Business Case'!C13*$D257-'Business Case'!C14*$E257)-MAX(0,(('Business Case'!C11*$C257*'Business Case'!C12*$B257)-'Business Case'!C11*$C257*'Business Case'!C13*$D257-'Business Case'!C14*$E257))*'Business Case'!$B$7-'Business Case'!$B$8*(('Business Case'!C11*$C257*'Business Case'!C12*$B257)-('Business Case'!B11*$C257*'Business Case'!B12*$B257))-'Business Case'!C15*$F257</f>
        <v>22824539.5723716</v>
      </c>
      <c r="J257" s="39" t="n">
        <f aca="false">(('Business Case'!D11*$C257*'Business Case'!D12*$B257)-'Business Case'!D11*$C257*'Business Case'!D13*$D257-'Business Case'!D14*$E257)-MAX(0,(('Business Case'!D11*$C257*'Business Case'!D12*$B257)-'Business Case'!D11*$C257*'Business Case'!D13*$D257-'Business Case'!D14*$E257))*'Business Case'!$B$7-'Business Case'!$B$8*(('Business Case'!D11*$C257*'Business Case'!D12*$B257)-('Business Case'!C11*$C257*'Business Case'!C12*$B257))-'Business Case'!D15*$F257</f>
        <v>353592793.265245</v>
      </c>
      <c r="K257" s="39" t="n">
        <f aca="false">(('Business Case'!E11*$C257*'Business Case'!E12*$B257)-'Business Case'!E11*$C257*'Business Case'!E13*$D257-'Business Case'!E14*$E257)-MAX(0,(('Business Case'!E11*$C257*'Business Case'!E12*$B257)-'Business Case'!E11*$C257*'Business Case'!E13*$D257-'Business Case'!E14*$E257))*'Business Case'!$B$7-'Business Case'!$B$8*(('Business Case'!E11*$C257*'Business Case'!E12*$B257)-('Business Case'!D11*$C257*'Business Case'!D12*$B257))-'Business Case'!E15*$F257</f>
        <v>741659375.663622</v>
      </c>
      <c r="L257" s="39" t="n">
        <f aca="false">(('Business Case'!F11*$C257*'Business Case'!F12*$B257)-'Business Case'!F11*$C257*'Business Case'!F13*$D257-'Business Case'!F14*$E257)-MAX(0,(('Business Case'!F11*$C257*'Business Case'!F12*$B257)-'Business Case'!F11*$C257*'Business Case'!F13*$D257-'Business Case'!F14*$E257))*'Business Case'!$B$7-'Business Case'!$B$8*(('Business Case'!F11*$C257*'Business Case'!F12*$B257)-('Business Case'!E11*$C257*'Business Case'!E12*$B257))-'Business Case'!F15*$F257</f>
        <v>888952645.237917</v>
      </c>
      <c r="M257" s="39" t="n">
        <f aca="false">(('Business Case'!G11*$C257*'Business Case'!G12*$B257)-'Business Case'!G11*$C257*'Business Case'!G13*$D257-'Business Case'!G14*$E257)-MAX(0,(('Business Case'!G11*$C257*'Business Case'!G12*$B257)-'Business Case'!G11*$C257*'Business Case'!G13*$D257-'Business Case'!G14*$E257))*'Business Case'!$B$7-'Business Case'!$B$8*(('Business Case'!G11*$C257*'Business Case'!G12*$B257)-('Business Case'!F11*$C257*'Business Case'!F12*$B257))-'Business Case'!G15*$F257+'Business Case'!$B$8*('Business Case'!G11*$C257*'Business Case'!G12*$B257)</f>
        <v>1092657162.79294</v>
      </c>
      <c r="N257" s="39" t="n">
        <f aca="false">IF(COUNT('Business Case'!B11:G11)=0,"",H257+NPV(G257,I257:M257))</f>
        <v>-202206792.370782</v>
      </c>
      <c r="P257" s="40" t="n">
        <f aca="true">RAND()</f>
        <v>0.783466287932911</v>
      </c>
      <c r="Q257" s="40" t="n">
        <f aca="true">RAND()</f>
        <v>0.883655097736736</v>
      </c>
      <c r="R257" s="40" t="n">
        <f aca="true">RAND()</f>
        <v>0.420368494453598</v>
      </c>
      <c r="S257" s="40" t="n">
        <f aca="true">RAND()</f>
        <v>0.19041978361375</v>
      </c>
      <c r="T257" s="40" t="n">
        <f aca="true">RAND()</f>
        <v>0.855693950634726</v>
      </c>
      <c r="U257" s="40" t="n">
        <f aca="true">RAND()</f>
        <v>0.710671779129027</v>
      </c>
    </row>
    <row r="258" customFormat="false" ht="15" hidden="false" customHeight="false" outlineLevel="0" collapsed="false">
      <c r="A258" s="36" t="n">
        <v>178</v>
      </c>
      <c r="B258" s="37" t="n">
        <f aca="false">1+IF($G$6=$E$6,$F$6,IF(P258&lt;($F$6-$E$6)/($G$6-$E$6),$E$6+SQRT(P258*($G$6-$E$6)*($F$6-$E$6)),$G$6-SQRT((1-P258)*($G$6-$E$6)*($G$6-$F$6))))</f>
        <v>1.01565555281172</v>
      </c>
      <c r="C258" s="37" t="n">
        <f aca="false">1+IF($G$7=$E$7,$F$7,IF(Q258&lt;($F$7-$E$7)/($G$7-$E$7),$E$7+SQRT(Q258*($G$7-$E$7)*($F$7-$E$7)),$G$7-SQRT((1-Q258)*($G$7-$E$7)*($G$7-$F$7))))</f>
        <v>0.983619971420115</v>
      </c>
      <c r="D258" s="37" t="n">
        <f aca="false">1+IF($G$8=$E$8,$F$8,IF(R258&lt;($F$8-$E$8)/($G$8-$E$8),$E$8+SQRT(R258*($G$8-$E$8)*($F$8-$E$8)),$G$8-SQRT((1-R258)*($G$8-$E$8)*($G$8-$F$8))))</f>
        <v>1.06154212672618</v>
      </c>
      <c r="E258" s="37" t="n">
        <f aca="false">1+IF($G$9=$E$9,$F$9,IF(S258&lt;($F$9-$E$9)/($G$9-$E$9),$E$9+SQRT(S258*($G$9-$E$9)*($F$9-$E$9)),$G$9-SQRT((1-S258)*($G$9-$E$9)*($G$9-$F$9))))</f>
        <v>0.985462061556934</v>
      </c>
      <c r="F258" s="37" t="n">
        <f aca="false">1+IF($G$10=$E$10,$F$10,IF(T258&lt;($F$10-$E$10)/($G$10-$E$10),$E$10+SQRT(T258*($G$10-$E$10)*($F$10-$E$10)),$G$10-SQRT((1-T258)*($G$10-$E$10)*($G$10-$F$10))))</f>
        <v>1.01294556764852</v>
      </c>
      <c r="G258" s="38" t="n">
        <f aca="false">IF($G$11=$E$11,$F$11,IF(U258&lt;($F$11-$E$11)/($G$11-$E$11),$E$11+SQRT(U258*($G$11-$E$11)*($F$11-$E$11)),$G$11-SQRT((1-U258)*($G$11-$E$11)*($G$11-$F$11))))</f>
        <v>0.0914787138348199</v>
      </c>
      <c r="H258" s="39" t="n">
        <f aca="false">(('Business Case'!B11*$C258*'Business Case'!B12*$B258)-'Business Case'!B11*$C258*'Business Case'!B13*$D258-'Business Case'!B14*$E258)-MAX(0,(('Business Case'!B11*$C258*'Business Case'!B12*$B258)-'Business Case'!B11*$C258*'Business Case'!B13*$D258-'Business Case'!B14*$E258))*'Business Case'!$B$7-'Business Case'!$B$8*('Business Case'!B11*$C258*'Business Case'!B12*$B258)-'Business Case'!B15*$F258</f>
        <v>-2025891135.29705</v>
      </c>
      <c r="I258" s="39" t="n">
        <f aca="false">(('Business Case'!C11*$C258*'Business Case'!C12*$B258)-'Business Case'!C11*$C258*'Business Case'!C13*$D258-'Business Case'!C14*$E258)-MAX(0,(('Business Case'!C11*$C258*'Business Case'!C12*$B258)-'Business Case'!C11*$C258*'Business Case'!C13*$D258-'Business Case'!C14*$E258))*'Business Case'!$B$7-'Business Case'!$B$8*(('Business Case'!C11*$C258*'Business Case'!C12*$B258)-('Business Case'!B11*$C258*'Business Case'!B12*$B258))-'Business Case'!C15*$F258</f>
        <v>-9471184.94836746</v>
      </c>
      <c r="J258" s="39" t="n">
        <f aca="false">(('Business Case'!D11*$C258*'Business Case'!D12*$B258)-'Business Case'!D11*$C258*'Business Case'!D13*$D258-'Business Case'!D14*$E258)-MAX(0,(('Business Case'!D11*$C258*'Business Case'!D12*$B258)-'Business Case'!D11*$C258*'Business Case'!D13*$D258-'Business Case'!D14*$E258))*'Business Case'!$B$7-'Business Case'!$B$8*(('Business Case'!D11*$C258*'Business Case'!D12*$B258)-('Business Case'!C11*$C258*'Business Case'!C12*$B258))-'Business Case'!D15*$F258</f>
        <v>274274041.430907</v>
      </c>
      <c r="K258" s="39" t="n">
        <f aca="false">(('Business Case'!E11*$C258*'Business Case'!E12*$B258)-'Business Case'!E11*$C258*'Business Case'!E13*$D258-'Business Case'!E14*$E258)-MAX(0,(('Business Case'!E11*$C258*'Business Case'!E12*$B258)-'Business Case'!E11*$C258*'Business Case'!E13*$D258-'Business Case'!E14*$E258))*'Business Case'!$B$7-'Business Case'!$B$8*(('Business Case'!E11*$C258*'Business Case'!E12*$B258)-('Business Case'!D11*$C258*'Business Case'!D12*$B258))-'Business Case'!E15*$F258</f>
        <v>608666546.192607</v>
      </c>
      <c r="L258" s="39" t="n">
        <f aca="false">(('Business Case'!F11*$C258*'Business Case'!F12*$B258)-'Business Case'!F11*$C258*'Business Case'!F13*$D258-'Business Case'!F14*$E258)-MAX(0,(('Business Case'!F11*$C258*'Business Case'!F12*$B258)-'Business Case'!F11*$C258*'Business Case'!F13*$D258-'Business Case'!F14*$E258))*'Business Case'!$B$7-'Business Case'!$B$8*(('Business Case'!F11*$C258*'Business Case'!F12*$B258)-('Business Case'!E11*$C258*'Business Case'!E12*$B258))-'Business Case'!F15*$F258</f>
        <v>737774387.925294</v>
      </c>
      <c r="M258" s="39" t="n">
        <f aca="false">(('Business Case'!G11*$C258*'Business Case'!G12*$B258)-'Business Case'!G11*$C258*'Business Case'!G13*$D258-'Business Case'!G14*$E258)-MAX(0,(('Business Case'!G11*$C258*'Business Case'!G12*$B258)-'Business Case'!G11*$C258*'Business Case'!G13*$D258-'Business Case'!G14*$E258))*'Business Case'!$B$7-'Business Case'!$B$8*(('Business Case'!G11*$C258*'Business Case'!G12*$B258)-('Business Case'!F11*$C258*'Business Case'!F12*$B258))-'Business Case'!G15*$F258+'Business Case'!$B$8*('Business Case'!G11*$C258*'Business Case'!G12*$B258)</f>
        <v>927667935.759736</v>
      </c>
      <c r="N258" s="39" t="n">
        <f aca="false">IF(COUNT('Business Case'!B11:G11)=0,"",H258+NPV(G258,I258:M258))</f>
        <v>-217569227.365871</v>
      </c>
      <c r="P258" s="40" t="n">
        <f aca="true">RAND()</f>
        <v>0.842727859644191</v>
      </c>
      <c r="Q258" s="40" t="n">
        <f aca="true">RAND()</f>
        <v>0.595853986580346</v>
      </c>
      <c r="R258" s="40" t="n">
        <f aca="true">RAND()</f>
        <v>0.901399465550326</v>
      </c>
      <c r="S258" s="40" t="n">
        <f aca="true">RAND()</f>
        <v>0.292150558622449</v>
      </c>
      <c r="T258" s="40" t="n">
        <f aca="true">RAND()</f>
        <v>0.250735948033595</v>
      </c>
      <c r="U258" s="40" t="n">
        <f aca="true">RAND()</f>
        <v>0.131760871301686</v>
      </c>
    </row>
    <row r="259" customFormat="false" ht="15" hidden="false" customHeight="false" outlineLevel="0" collapsed="false">
      <c r="A259" s="36" t="n">
        <v>179</v>
      </c>
      <c r="B259" s="37" t="n">
        <f aca="false">1+IF($G$6=$E$6,$F$6,IF(P259&lt;($F$6-$E$6)/($G$6-$E$6),$E$6+SQRT(P259*($G$6-$E$6)*($F$6-$E$6)),$G$6-SQRT((1-P259)*($G$6-$E$6)*($G$6-$F$6))))</f>
        <v>0.989582097245618</v>
      </c>
      <c r="C259" s="37" t="n">
        <f aca="false">1+IF($G$7=$E$7,$F$7,IF(Q259&lt;($F$7-$E$7)/($G$7-$E$7),$E$7+SQRT(Q259*($G$7-$E$7)*($F$7-$E$7)),$G$7-SQRT((1-Q259)*($G$7-$E$7)*($G$7-$F$7))))</f>
        <v>0.821483827335903</v>
      </c>
      <c r="D259" s="37" t="n">
        <f aca="false">1+IF($G$8=$E$8,$F$8,IF(R259&lt;($F$8-$E$8)/($G$8-$E$8),$E$8+SQRT(R259*($G$8-$E$8)*($F$8-$E$8)),$G$8-SQRT((1-R259)*($G$8-$E$8)*($G$8-$F$8))))</f>
        <v>1.08483986819553</v>
      </c>
      <c r="E259" s="37" t="n">
        <f aca="false">1+IF($G$9=$E$9,$F$9,IF(S259&lt;($F$9-$E$9)/($G$9-$E$9),$E$9+SQRT(S259*($G$9-$E$9)*($F$9-$E$9)),$G$9-SQRT((1-S259)*($G$9-$E$9)*($G$9-$F$9))))</f>
        <v>0.97158894221728</v>
      </c>
      <c r="F259" s="37" t="n">
        <f aca="false">1+IF($G$10=$E$10,$F$10,IF(T259&lt;($F$10-$E$10)/($G$10-$E$10),$E$10+SQRT(T259*($G$10-$E$10)*($F$10-$E$10)),$G$10-SQRT((1-T259)*($G$10-$E$10)*($G$10-$F$10))))</f>
        <v>1.01167552293095</v>
      </c>
      <c r="G259" s="38" t="n">
        <f aca="false">IF($G$11=$E$11,$F$11,IF(U259&lt;($F$11-$E$11)/($G$11-$E$11),$E$11+SQRT(U259*($G$11-$E$11)*($F$11-$E$11)),$G$11-SQRT((1-U259)*($G$11-$E$11)*($G$11-$F$11))))</f>
        <v>0.105658806576629</v>
      </c>
      <c r="H259" s="39" t="n">
        <f aca="false">(('Business Case'!B11*$C259*'Business Case'!B12*$B259)-'Business Case'!B11*$C259*'Business Case'!B13*$D259-'Business Case'!B14*$E259)-MAX(0,(('Business Case'!B11*$C259*'Business Case'!B12*$B259)-'Business Case'!B11*$C259*'Business Case'!B13*$D259-'Business Case'!B14*$E259))*'Business Case'!$B$7-'Business Case'!$B$8*('Business Case'!B11*$C259*'Business Case'!B12*$B259)-'Business Case'!B15*$F259</f>
        <v>-2023351045.86189</v>
      </c>
      <c r="I259" s="39" t="n">
        <f aca="false">(('Business Case'!C11*$C259*'Business Case'!C12*$B259)-'Business Case'!C11*$C259*'Business Case'!C13*$D259-'Business Case'!C14*$E259)-MAX(0,(('Business Case'!C11*$C259*'Business Case'!C12*$B259)-'Business Case'!C11*$C259*'Business Case'!C13*$D259-'Business Case'!C14*$E259))*'Business Case'!$B$7-'Business Case'!$B$8*(('Business Case'!C11*$C259*'Business Case'!C12*$B259)-('Business Case'!B11*$C259*'Business Case'!B12*$B259))-'Business Case'!C15*$F259</f>
        <v>-71836947.9742798</v>
      </c>
      <c r="J259" s="39" t="n">
        <f aca="false">(('Business Case'!D11*$C259*'Business Case'!D12*$B259)-'Business Case'!D11*$C259*'Business Case'!D13*$D259-'Business Case'!D14*$E259)-MAX(0,(('Business Case'!D11*$C259*'Business Case'!D12*$B259)-'Business Case'!D11*$C259*'Business Case'!D13*$D259-'Business Case'!D14*$E259))*'Business Case'!$B$7-'Business Case'!$B$8*(('Business Case'!D11*$C259*'Business Case'!D12*$B259)-('Business Case'!C11*$C259*'Business Case'!C12*$B259))-'Business Case'!D15*$F259</f>
        <v>137795671.630477</v>
      </c>
      <c r="K259" s="39" t="n">
        <f aca="false">(('Business Case'!E11*$C259*'Business Case'!E12*$B259)-'Business Case'!E11*$C259*'Business Case'!E13*$D259-'Business Case'!E14*$E259)-MAX(0,(('Business Case'!E11*$C259*'Business Case'!E12*$B259)-'Business Case'!E11*$C259*'Business Case'!E13*$D259-'Business Case'!E14*$E259))*'Business Case'!$B$7-'Business Case'!$B$8*(('Business Case'!E11*$C259*'Business Case'!E12*$B259)-('Business Case'!D11*$C259*'Business Case'!D12*$B259))-'Business Case'!E15*$F259</f>
        <v>398012067.381781</v>
      </c>
      <c r="L259" s="39" t="n">
        <f aca="false">(('Business Case'!F11*$C259*'Business Case'!F12*$B259)-'Business Case'!F11*$C259*'Business Case'!F13*$D259-'Business Case'!F14*$E259)-MAX(0,(('Business Case'!F11*$C259*'Business Case'!F12*$B259)-'Business Case'!F11*$C259*'Business Case'!F13*$D259-'Business Case'!F14*$E259))*'Business Case'!$B$7-'Business Case'!$B$8*(('Business Case'!F11*$C259*'Business Case'!F12*$B259)-('Business Case'!E11*$C259*'Business Case'!E12*$B259))-'Business Case'!F15*$F259</f>
        <v>495984319.051796</v>
      </c>
      <c r="M259" s="39" t="n">
        <f aca="false">(('Business Case'!G11*$C259*'Business Case'!G12*$B259)-'Business Case'!G11*$C259*'Business Case'!G13*$D259-'Business Case'!G14*$E259)-MAX(0,(('Business Case'!G11*$C259*'Business Case'!G12*$B259)-'Business Case'!G11*$C259*'Business Case'!G13*$D259-'Business Case'!G14*$E259))*'Business Case'!$B$7-'Business Case'!$B$8*(('Business Case'!G11*$C259*'Business Case'!G12*$B259)-('Business Case'!F11*$C259*'Business Case'!F12*$B259))-'Business Case'!G15*$F259+'Business Case'!$B$8*('Business Case'!G11*$C259*'Business Case'!G12*$B259)</f>
        <v>650505233.961492</v>
      </c>
      <c r="N259" s="39" t="n">
        <f aca="false">IF(COUNT('Business Case'!B11:G11)=0,"",H259+NPV(G259,I259:M259))</f>
        <v>-955577252.286646</v>
      </c>
      <c r="P259" s="40" t="n">
        <f aca="true">RAND()</f>
        <v>0.534996809794894</v>
      </c>
      <c r="Q259" s="40" t="n">
        <f aca="true">RAND()</f>
        <v>0.10932089114207</v>
      </c>
      <c r="R259" s="40" t="n">
        <f aca="true">RAND()</f>
        <v>0.984678026911416</v>
      </c>
      <c r="S259" s="40" t="n">
        <f aca="true">RAND()</f>
        <v>0.20499906591156</v>
      </c>
      <c r="T259" s="40" t="n">
        <f aca="true">RAND()</f>
        <v>0.242685915063497</v>
      </c>
      <c r="U259" s="40" t="n">
        <f aca="true">RAND()</f>
        <v>0.605004201817361</v>
      </c>
    </row>
    <row r="260" customFormat="false" ht="15" hidden="false" customHeight="false" outlineLevel="0" collapsed="false">
      <c r="A260" s="36" t="n">
        <v>180</v>
      </c>
      <c r="B260" s="37" t="n">
        <f aca="false">1+IF($G$6=$E$6,$F$6,IF(P260&lt;($F$6-$E$6)/($G$6-$E$6),$E$6+SQRT(P260*($G$6-$E$6)*($F$6-$E$6)),$G$6-SQRT((1-P260)*($G$6-$E$6)*($G$6-$F$6))))</f>
        <v>0.989370206112383</v>
      </c>
      <c r="C260" s="37" t="n">
        <f aca="false">1+IF($G$7=$E$7,$F$7,IF(Q260&lt;($F$7-$E$7)/($G$7-$E$7),$E$7+SQRT(Q260*($G$7-$E$7)*($F$7-$E$7)),$G$7-SQRT((1-Q260)*($G$7-$E$7)*($G$7-$F$7))))</f>
        <v>0.960977925564928</v>
      </c>
      <c r="D260" s="37" t="n">
        <f aca="false">1+IF($G$8=$E$8,$F$8,IF(R260&lt;($F$8-$E$8)/($G$8-$E$8),$E$8+SQRT(R260*($G$8-$E$8)*($F$8-$E$8)),$G$8-SQRT((1-R260)*($G$8-$E$8)*($G$8-$F$8))))</f>
        <v>1.01952760771488</v>
      </c>
      <c r="E260" s="37" t="n">
        <f aca="false">1+IF($G$9=$E$9,$F$9,IF(S260&lt;($F$9-$E$9)/($G$9-$E$9),$E$9+SQRT(S260*($G$9-$E$9)*($F$9-$E$9)),$G$9-SQRT((1-S260)*($G$9-$E$9)*($G$9-$F$9))))</f>
        <v>1.06570524995361</v>
      </c>
      <c r="F260" s="37" t="n">
        <f aca="false">1+IF($G$10=$E$10,$F$10,IF(T260&lt;($F$10-$E$10)/($G$10-$E$10),$E$10+SQRT(T260*($G$10-$E$10)*($F$10-$E$10)),$G$10-SQRT((1-T260)*($G$10-$E$10)*($G$10-$F$10))))</f>
        <v>1.10124138472559</v>
      </c>
      <c r="G260" s="38" t="n">
        <f aca="false">IF($G$11=$E$11,$F$11,IF(U260&lt;($F$11-$E$11)/($G$11-$E$11),$E$11+SQRT(U260*($G$11-$E$11)*($F$11-$E$11)),$G$11-SQRT((1-U260)*($G$11-$E$11)*($G$11-$F$11))))</f>
        <v>0.0828454470617229</v>
      </c>
      <c r="H260" s="39" t="n">
        <f aca="false">(('Business Case'!B11*$C260*'Business Case'!B12*$B260)-'Business Case'!B11*$C260*'Business Case'!B13*$D260-'Business Case'!B14*$E260)-MAX(0,(('Business Case'!B11*$C260*'Business Case'!B12*$B260)-'Business Case'!B11*$C260*'Business Case'!B13*$D260-'Business Case'!B14*$E260))*'Business Case'!$B$7-'Business Case'!$B$8*('Business Case'!B11*$C260*'Business Case'!B12*$B260)-'Business Case'!B15*$F260</f>
        <v>-2202482769.45119</v>
      </c>
      <c r="I260" s="39" t="n">
        <f aca="false">(('Business Case'!C11*$C260*'Business Case'!C12*$B260)-'Business Case'!C11*$C260*'Business Case'!C13*$D260-'Business Case'!C14*$E260)-MAX(0,(('Business Case'!C11*$C260*'Business Case'!C12*$B260)-'Business Case'!C11*$C260*'Business Case'!C13*$D260-'Business Case'!C14*$E260))*'Business Case'!$B$7-'Business Case'!$B$8*(('Business Case'!C11*$C260*'Business Case'!C12*$B260)-('Business Case'!B11*$C260*'Business Case'!B12*$B260))-'Business Case'!C15*$F260</f>
        <v>-33761987.6047121</v>
      </c>
      <c r="J260" s="39" t="n">
        <f aca="false">(('Business Case'!D11*$C260*'Business Case'!D12*$B260)-'Business Case'!D11*$C260*'Business Case'!D13*$D260-'Business Case'!D14*$E260)-MAX(0,(('Business Case'!D11*$C260*'Business Case'!D12*$B260)-'Business Case'!D11*$C260*'Business Case'!D13*$D260-'Business Case'!D14*$E260))*'Business Case'!$B$7-'Business Case'!$B$8*(('Business Case'!D11*$C260*'Business Case'!D12*$B260)-('Business Case'!C11*$C260*'Business Case'!C12*$B260))-'Business Case'!D15*$F260</f>
        <v>243431000.008866</v>
      </c>
      <c r="K260" s="39" t="n">
        <f aca="false">(('Business Case'!E11*$C260*'Business Case'!E12*$B260)-'Business Case'!E11*$C260*'Business Case'!E13*$D260-'Business Case'!E14*$E260)-MAX(0,(('Business Case'!E11*$C260*'Business Case'!E12*$B260)-'Business Case'!E11*$C260*'Business Case'!E13*$D260-'Business Case'!E14*$E260))*'Business Case'!$B$7-'Business Case'!$B$8*(('Business Case'!E11*$C260*'Business Case'!E12*$B260)-('Business Case'!D11*$C260*'Business Case'!D12*$B260))-'Business Case'!E15*$F260</f>
        <v>575686056.858723</v>
      </c>
      <c r="L260" s="39" t="n">
        <f aca="false">(('Business Case'!F11*$C260*'Business Case'!F12*$B260)-'Business Case'!F11*$C260*'Business Case'!F13*$D260-'Business Case'!F14*$E260)-MAX(0,(('Business Case'!F11*$C260*'Business Case'!F12*$B260)-'Business Case'!F11*$C260*'Business Case'!F13*$D260-'Business Case'!F14*$E260))*'Business Case'!$B$7-'Business Case'!$B$8*(('Business Case'!F11*$C260*'Business Case'!F12*$B260)-('Business Case'!E11*$C260*'Business Case'!E12*$B260))-'Business Case'!F15*$F260</f>
        <v>700942086.198134</v>
      </c>
      <c r="M260" s="39" t="n">
        <f aca="false">(('Business Case'!G11*$C260*'Business Case'!G12*$B260)-'Business Case'!G11*$C260*'Business Case'!G13*$D260-'Business Case'!G14*$E260)-MAX(0,(('Business Case'!G11*$C260*'Business Case'!G12*$B260)-'Business Case'!G11*$C260*'Business Case'!G13*$D260-'Business Case'!G14*$E260))*'Business Case'!$B$7-'Business Case'!$B$8*(('Business Case'!G11*$C260*'Business Case'!G12*$B260)-('Business Case'!F11*$C260*'Business Case'!F12*$B260))-'Business Case'!G15*$F260+'Business Case'!$B$8*('Business Case'!G11*$C260*'Business Case'!G12*$B260)</f>
        <v>881663103.606665</v>
      </c>
      <c r="N260" s="39" t="n">
        <f aca="false">IF(COUNT('Business Case'!B11:G11)=0,"",H260+NPV(G260,I260:M260))</f>
        <v>-470627457.152326</v>
      </c>
      <c r="P260" s="40" t="n">
        <f aca="true">RAND()</f>
        <v>0.532468916037992</v>
      </c>
      <c r="Q260" s="40" t="n">
        <f aca="true">RAND()</f>
        <v>0.50451464912721</v>
      </c>
      <c r="R260" s="40" t="n">
        <f aca="true">RAND()</f>
        <v>0.56827960532732</v>
      </c>
      <c r="S260" s="40" t="n">
        <f aca="true">RAND()</f>
        <v>0.810517203056454</v>
      </c>
      <c r="T260" s="40" t="n">
        <f aca="true">RAND()</f>
        <v>0.70494499175522</v>
      </c>
      <c r="U260" s="40" t="n">
        <f aca="true">RAND()</f>
        <v>0.00809656898106733</v>
      </c>
    </row>
    <row r="261" customFormat="false" ht="15" hidden="false" customHeight="false" outlineLevel="0" collapsed="false">
      <c r="A261" s="36" t="n">
        <v>181</v>
      </c>
      <c r="B261" s="37" t="n">
        <f aca="false">1+IF($G$6=$E$6,$F$6,IF(P261&lt;($F$6-$E$6)/($G$6-$E$6),$E$6+SQRT(P261*($G$6-$E$6)*($F$6-$E$6)),$G$6-SQRT((1-P261)*($G$6-$E$6)*($G$6-$F$6))))</f>
        <v>0.96909418389861</v>
      </c>
      <c r="C261" s="37" t="n">
        <f aca="false">1+IF($G$7=$E$7,$F$7,IF(Q261&lt;($F$7-$E$7)/($G$7-$E$7),$E$7+SQRT(Q261*($G$7-$E$7)*($F$7-$E$7)),$G$7-SQRT((1-Q261)*($G$7-$E$7)*($G$7-$F$7))))</f>
        <v>1.10283114332584</v>
      </c>
      <c r="D261" s="37" t="n">
        <f aca="false">1+IF($G$8=$E$8,$F$8,IF(R261&lt;($F$8-$E$8)/($G$8-$E$8),$E$8+SQRT(R261*($G$8-$E$8)*($F$8-$E$8)),$G$8-SQRT((1-R261)*($G$8-$E$8)*($G$8-$F$8))))</f>
        <v>1.01869111657188</v>
      </c>
      <c r="E261" s="37" t="n">
        <f aca="false">1+IF($G$9=$E$9,$F$9,IF(S261&lt;($F$9-$E$9)/($G$9-$E$9),$E$9+SQRT(S261*($G$9-$E$9)*($F$9-$E$9)),$G$9-SQRT((1-S261)*($G$9-$E$9)*($G$9-$F$9))))</f>
        <v>0.976489761541352</v>
      </c>
      <c r="F261" s="37" t="n">
        <f aca="false">1+IF($G$10=$E$10,$F$10,IF(T261&lt;($F$10-$E$10)/($G$10-$E$10),$E$10+SQRT(T261*($G$10-$E$10)*($F$10-$E$10)),$G$10-SQRT((1-T261)*($G$10-$E$10)*($G$10-$F$10))))</f>
        <v>1.11164777275275</v>
      </c>
      <c r="G261" s="38" t="n">
        <f aca="false">IF($G$11=$E$11,$F$11,IF(U261&lt;($F$11-$E$11)/($G$11-$E$11),$E$11+SQRT(U261*($G$11-$E$11)*($F$11-$E$11)),$G$11-SQRT((1-U261)*($G$11-$E$11)*($G$11-$F$11))))</f>
        <v>0.0989583192776517</v>
      </c>
      <c r="H261" s="39" t="n">
        <f aca="false">(('Business Case'!B11*$C261*'Business Case'!B12*$B261)-'Business Case'!B11*$C261*'Business Case'!B13*$D261-'Business Case'!B14*$E261)-MAX(0,(('Business Case'!B11*$C261*'Business Case'!B12*$B261)-'Business Case'!B11*$C261*'Business Case'!B13*$D261-'Business Case'!B14*$E261))*'Business Case'!$B$7-'Business Case'!$B$8*('Business Case'!B11*$C261*'Business Case'!B12*$B261)-'Business Case'!B15*$F261</f>
        <v>-2223295545.5055</v>
      </c>
      <c r="I261" s="39" t="n">
        <f aca="false">(('Business Case'!C11*$C261*'Business Case'!C12*$B261)-'Business Case'!C11*$C261*'Business Case'!C13*$D261-'Business Case'!C14*$E261)-MAX(0,(('Business Case'!C11*$C261*'Business Case'!C12*$B261)-'Business Case'!C11*$C261*'Business Case'!C13*$D261-'Business Case'!C14*$E261))*'Business Case'!$B$7-'Business Case'!$B$8*(('Business Case'!C11*$C261*'Business Case'!C12*$B261)-('Business Case'!B11*$C261*'Business Case'!B12*$B261))-'Business Case'!C15*$F261</f>
        <v>-5158134.00950941</v>
      </c>
      <c r="J261" s="39" t="n">
        <f aca="false">(('Business Case'!D11*$C261*'Business Case'!D12*$B261)-'Business Case'!D11*$C261*'Business Case'!D13*$D261-'Business Case'!D14*$E261)-MAX(0,(('Business Case'!D11*$C261*'Business Case'!D12*$B261)-'Business Case'!D11*$C261*'Business Case'!D13*$D261-'Business Case'!D14*$E261))*'Business Case'!$B$7-'Business Case'!$B$8*(('Business Case'!D11*$C261*'Business Case'!D12*$B261)-('Business Case'!C11*$C261*'Business Case'!C12*$B261))-'Business Case'!D15*$F261</f>
        <v>295109210.62255</v>
      </c>
      <c r="K261" s="39" t="n">
        <f aca="false">(('Business Case'!E11*$C261*'Business Case'!E12*$B261)-'Business Case'!E11*$C261*'Business Case'!E13*$D261-'Business Case'!E14*$E261)-MAX(0,(('Business Case'!E11*$C261*'Business Case'!E12*$B261)-'Business Case'!E11*$C261*'Business Case'!E13*$D261-'Business Case'!E14*$E261))*'Business Case'!$B$7-'Business Case'!$B$8*(('Business Case'!E11*$C261*'Business Case'!E12*$B261)-('Business Case'!D11*$C261*'Business Case'!D12*$B261))-'Business Case'!E15*$F261</f>
        <v>650958943.892247</v>
      </c>
      <c r="L261" s="39" t="n">
        <f aca="false">(('Business Case'!F11*$C261*'Business Case'!F12*$B261)-'Business Case'!F11*$C261*'Business Case'!F13*$D261-'Business Case'!F14*$E261)-MAX(0,(('Business Case'!F11*$C261*'Business Case'!F12*$B261)-'Business Case'!F11*$C261*'Business Case'!F13*$D261-'Business Case'!F14*$E261))*'Business Case'!$B$7-'Business Case'!$B$8*(('Business Case'!F11*$C261*'Business Case'!F12*$B261)-('Business Case'!E11*$C261*'Business Case'!E12*$B261))-'Business Case'!F15*$F261</f>
        <v>787983963.619676</v>
      </c>
      <c r="M261" s="39" t="n">
        <f aca="false">(('Business Case'!G11*$C261*'Business Case'!G12*$B261)-'Business Case'!G11*$C261*'Business Case'!G13*$D261-'Business Case'!G14*$E261)-MAX(0,(('Business Case'!G11*$C261*'Business Case'!G12*$B261)-'Business Case'!G11*$C261*'Business Case'!G13*$D261-'Business Case'!G14*$E261))*'Business Case'!$B$7-'Business Case'!$B$8*(('Business Case'!G11*$C261*'Business Case'!G12*$B261)-('Business Case'!F11*$C261*'Business Case'!F12*$B261))-'Business Case'!G15*$F261+'Business Case'!$B$8*('Business Case'!G11*$C261*'Business Case'!G12*$B261)</f>
        <v>991131440.295093</v>
      </c>
      <c r="N261" s="39" t="n">
        <f aca="false">IF(COUNT('Business Case'!B11:G11)=0,"",H261+NPV(G261,I261:M261))</f>
        <v>-334583512.684716</v>
      </c>
      <c r="P261" s="40" t="n">
        <f aca="true">RAND()</f>
        <v>0.318267083240993</v>
      </c>
      <c r="Q261" s="40" t="n">
        <f aca="true">RAND()</f>
        <v>0.967038503111886</v>
      </c>
      <c r="R261" s="40" t="n">
        <f aca="true">RAND()</f>
        <v>0.559257698378192</v>
      </c>
      <c r="S261" s="40" t="n">
        <f aca="true">RAND()</f>
        <v>0.234027344826117</v>
      </c>
      <c r="T261" s="40" t="n">
        <f aca="true">RAND()</f>
        <v>0.744782149542997</v>
      </c>
      <c r="U261" s="40" t="n">
        <f aca="true">RAND()</f>
        <v>0.359417869833381</v>
      </c>
    </row>
    <row r="262" customFormat="false" ht="15" hidden="false" customHeight="false" outlineLevel="0" collapsed="false">
      <c r="A262" s="36" t="n">
        <v>182</v>
      </c>
      <c r="B262" s="37" t="n">
        <f aca="false">1+IF($G$6=$E$6,$F$6,IF(P262&lt;($F$6-$E$6)/($G$6-$E$6),$E$6+SQRT(P262*($G$6-$E$6)*($F$6-$E$6)),$G$6-SQRT((1-P262)*($G$6-$E$6)*($G$6-$F$6))))</f>
        <v>0.999690954693557</v>
      </c>
      <c r="C262" s="37" t="n">
        <f aca="false">1+IF($G$7=$E$7,$F$7,IF(Q262&lt;($F$7-$E$7)/($G$7-$E$7),$E$7+SQRT(Q262*($G$7-$E$7)*($F$7-$E$7)),$G$7-SQRT((1-Q262)*($G$7-$E$7)*($G$7-$F$7))))</f>
        <v>0.802489965732285</v>
      </c>
      <c r="D262" s="37" t="n">
        <f aca="false">1+IF($G$8=$E$8,$F$8,IF(R262&lt;($F$8-$E$8)/($G$8-$E$8),$E$8+SQRT(R262*($G$8-$E$8)*($F$8-$E$8)),$G$8-SQRT((1-R262)*($G$8-$E$8)*($G$8-$F$8))))</f>
        <v>1.00399902094485</v>
      </c>
      <c r="E262" s="37" t="n">
        <f aca="false">1+IF($G$9=$E$9,$F$9,IF(S262&lt;($F$9-$E$9)/($G$9-$E$9),$E$9+SQRT(S262*($G$9-$E$9)*($F$9-$E$9)),$G$9-SQRT((1-S262)*($G$9-$E$9)*($G$9-$F$9))))</f>
        <v>1.0437836860485</v>
      </c>
      <c r="F262" s="37" t="n">
        <f aca="false">1+IF($G$10=$E$10,$F$10,IF(T262&lt;($F$10-$E$10)/($G$10-$E$10),$E$10+SQRT(T262*($G$10-$E$10)*($F$10-$E$10)),$G$10-SQRT((1-T262)*($G$10-$E$10)*($G$10-$F$10))))</f>
        <v>1.03928691341081</v>
      </c>
      <c r="G262" s="38" t="n">
        <f aca="false">IF($G$11=$E$11,$F$11,IF(U262&lt;($F$11-$E$11)/($G$11-$E$11),$E$11+SQRT(U262*($G$11-$E$11)*($F$11-$E$11)),$G$11-SQRT((1-U262)*($G$11-$E$11)*($G$11-$F$11))))</f>
        <v>0.104561230585274</v>
      </c>
      <c r="H262" s="39" t="n">
        <f aca="false">(('Business Case'!B11*$C262*'Business Case'!B12*$B262)-'Business Case'!B11*$C262*'Business Case'!B13*$D262-'Business Case'!B14*$E262)-MAX(0,(('Business Case'!B11*$C262*'Business Case'!B12*$B262)-'Business Case'!B11*$C262*'Business Case'!B13*$D262-'Business Case'!B14*$E262))*'Business Case'!$B$7-'Business Case'!$B$8*('Business Case'!B11*$C262*'Business Case'!B12*$B262)-'Business Case'!B15*$F262</f>
        <v>-2078573826.82162</v>
      </c>
      <c r="I262" s="39" t="n">
        <f aca="false">(('Business Case'!C11*$C262*'Business Case'!C12*$B262)-'Business Case'!C11*$C262*'Business Case'!C13*$D262-'Business Case'!C14*$E262)-MAX(0,(('Business Case'!C11*$C262*'Business Case'!C12*$B262)-'Business Case'!C11*$C262*'Business Case'!C13*$D262-'Business Case'!C14*$E262))*'Business Case'!$B$7-'Business Case'!$B$8*(('Business Case'!C11*$C262*'Business Case'!C12*$B262)-('Business Case'!B11*$C262*'Business Case'!B12*$B262))-'Business Case'!C15*$F262</f>
        <v>-49302531.7661148</v>
      </c>
      <c r="J262" s="39" t="n">
        <f aca="false">(('Business Case'!D11*$C262*'Business Case'!D12*$B262)-'Business Case'!D11*$C262*'Business Case'!D13*$D262-'Business Case'!D14*$E262)-MAX(0,(('Business Case'!D11*$C262*'Business Case'!D12*$B262)-'Business Case'!D11*$C262*'Business Case'!D13*$D262-'Business Case'!D14*$E262))*'Business Case'!$B$7-'Business Case'!$B$8*(('Business Case'!D11*$C262*'Business Case'!D12*$B262)-('Business Case'!C11*$C262*'Business Case'!C12*$B262))-'Business Case'!D15*$F262</f>
        <v>195337891.170047</v>
      </c>
      <c r="K262" s="39" t="n">
        <f aca="false">(('Business Case'!E11*$C262*'Business Case'!E12*$B262)-'Business Case'!E11*$C262*'Business Case'!E13*$D262-'Business Case'!E14*$E262)-MAX(0,(('Business Case'!E11*$C262*'Business Case'!E12*$B262)-'Business Case'!E11*$C262*'Business Case'!E13*$D262-'Business Case'!E14*$E262))*'Business Case'!$B$7-'Business Case'!$B$8*(('Business Case'!E11*$C262*'Business Case'!E12*$B262)-('Business Case'!D11*$C262*'Business Case'!D12*$B262))-'Business Case'!E15*$F262</f>
        <v>491942659.776749</v>
      </c>
      <c r="L262" s="39" t="n">
        <f aca="false">(('Business Case'!F11*$C262*'Business Case'!F12*$B262)-'Business Case'!F11*$C262*'Business Case'!F13*$D262-'Business Case'!F14*$E262)-MAX(0,(('Business Case'!F11*$C262*'Business Case'!F12*$B262)-'Business Case'!F11*$C262*'Business Case'!F13*$D262-'Business Case'!F14*$E262))*'Business Case'!$B$7-'Business Case'!$B$8*(('Business Case'!F11*$C262*'Business Case'!F12*$B262)-('Business Case'!E11*$C262*'Business Case'!E12*$B262))-'Business Case'!F15*$F262</f>
        <v>601214949.55887</v>
      </c>
      <c r="M262" s="39" t="n">
        <f aca="false">(('Business Case'!G11*$C262*'Business Case'!G12*$B262)-'Business Case'!G11*$C262*'Business Case'!G13*$D262-'Business Case'!G14*$E262)-MAX(0,(('Business Case'!G11*$C262*'Business Case'!G12*$B262)-'Business Case'!G11*$C262*'Business Case'!G13*$D262-'Business Case'!G14*$E262))*'Business Case'!$B$7-'Business Case'!$B$8*(('Business Case'!G11*$C262*'Business Case'!G12*$B262)-('Business Case'!F11*$C262*'Business Case'!F12*$B262))-'Business Case'!G15*$F262+'Business Case'!$B$8*('Business Case'!G11*$C262*'Business Case'!G12*$B262)</f>
        <v>753705101.3109</v>
      </c>
      <c r="N262" s="39" t="n">
        <f aca="false">IF(COUNT('Business Case'!B11:G11)=0,"",H262+NPV(G262,I262:M262))</f>
        <v>-735754316.295285</v>
      </c>
      <c r="P262" s="40" t="n">
        <f aca="true">RAND()</f>
        <v>0.662552429847525</v>
      </c>
      <c r="Q262" s="40" t="n">
        <f aca="true">RAND()</f>
        <v>0.0778088375985545</v>
      </c>
      <c r="R262" s="40" t="n">
        <f aca="true">RAND()</f>
        <v>0.385587468030158</v>
      </c>
      <c r="S262" s="40" t="n">
        <f aca="true">RAND()</f>
        <v>0.699149190681488</v>
      </c>
      <c r="T262" s="40" t="n">
        <f aca="true">RAND()</f>
        <v>0.407999935200759</v>
      </c>
      <c r="U262" s="40" t="n">
        <f aca="true">RAND()</f>
        <v>0.568579340442949</v>
      </c>
    </row>
    <row r="263" customFormat="false" ht="15" hidden="false" customHeight="false" outlineLevel="0" collapsed="false">
      <c r="A263" s="36" t="n">
        <v>183</v>
      </c>
      <c r="B263" s="37" t="n">
        <f aca="false">1+IF($G$6=$E$6,$F$6,IF(P263&lt;($F$6-$E$6)/($G$6-$E$6),$E$6+SQRT(P263*($G$6-$E$6)*($F$6-$E$6)),$G$6-SQRT((1-P263)*($G$6-$E$6)*($G$6-$F$6))))</f>
        <v>1.02070253112487</v>
      </c>
      <c r="C263" s="37" t="n">
        <f aca="false">1+IF($G$7=$E$7,$F$7,IF(Q263&lt;($F$7-$E$7)/($G$7-$E$7),$E$7+SQRT(Q263*($G$7-$E$7)*($F$7-$E$7)),$G$7-SQRT((1-Q263)*($G$7-$E$7)*($G$7-$F$7))))</f>
        <v>1.01729100432153</v>
      </c>
      <c r="D263" s="37" t="n">
        <f aca="false">1+IF($G$8=$E$8,$F$8,IF(R263&lt;($F$8-$E$8)/($G$8-$E$8),$E$8+SQRT(R263*($G$8-$E$8)*($F$8-$E$8)),$G$8-SQRT((1-R263)*($G$8-$E$8)*($G$8-$F$8))))</f>
        <v>1.02340933023231</v>
      </c>
      <c r="E263" s="37" t="n">
        <f aca="false">1+IF($G$9=$E$9,$F$9,IF(S263&lt;($F$9-$E$9)/($G$9-$E$9),$E$9+SQRT(S263*($G$9-$E$9)*($F$9-$E$9)),$G$9-SQRT((1-S263)*($G$9-$E$9)*($G$9-$F$9))))</f>
        <v>0.990671479236302</v>
      </c>
      <c r="F263" s="37" t="n">
        <f aca="false">1+IF($G$10=$E$10,$F$10,IF(T263&lt;($F$10-$E$10)/($G$10-$E$10),$E$10+SQRT(T263*($G$10-$E$10)*($F$10-$E$10)),$G$10-SQRT((1-T263)*($G$10-$E$10)*($G$10-$F$10))))</f>
        <v>1.02541681927251</v>
      </c>
      <c r="G263" s="38" t="n">
        <f aca="false">IF($G$11=$E$11,$F$11,IF(U263&lt;($F$11-$E$11)/($G$11-$E$11),$E$11+SQRT(U263*($G$11-$E$11)*($F$11-$E$11)),$G$11-SQRT((1-U263)*($G$11-$E$11)*($G$11-$F$11))))</f>
        <v>0.11947981976649</v>
      </c>
      <c r="H263" s="39" t="n">
        <f aca="false">(('Business Case'!B11*$C263*'Business Case'!B12*$B263)-'Business Case'!B11*$C263*'Business Case'!B13*$D263-'Business Case'!B14*$E263)-MAX(0,(('Business Case'!B11*$C263*'Business Case'!B12*$B263)-'Business Case'!B11*$C263*'Business Case'!B13*$D263-'Business Case'!B14*$E263))*'Business Case'!$B$7-'Business Case'!$B$8*('Business Case'!B11*$C263*'Business Case'!B12*$B263)-'Business Case'!B15*$F263</f>
        <v>-2050833638.54502</v>
      </c>
      <c r="I263" s="39" t="n">
        <f aca="false">(('Business Case'!C11*$C263*'Business Case'!C12*$B263)-'Business Case'!C11*$C263*'Business Case'!C13*$D263-'Business Case'!C14*$E263)-MAX(0,(('Business Case'!C11*$C263*'Business Case'!C12*$B263)-'Business Case'!C11*$C263*'Business Case'!C13*$D263-'Business Case'!C14*$E263))*'Business Case'!$B$7-'Business Case'!$B$8*(('Business Case'!C11*$C263*'Business Case'!C12*$B263)-('Business Case'!B11*$C263*'Business Case'!B12*$B263))-'Business Case'!C15*$F263</f>
        <v>20278808.5280256</v>
      </c>
      <c r="J263" s="39" t="n">
        <f aca="false">(('Business Case'!D11*$C263*'Business Case'!D12*$B263)-'Business Case'!D11*$C263*'Business Case'!D13*$D263-'Business Case'!D14*$E263)-MAX(0,(('Business Case'!D11*$C263*'Business Case'!D12*$B263)-'Business Case'!D11*$C263*'Business Case'!D13*$D263-'Business Case'!D14*$E263))*'Business Case'!$B$7-'Business Case'!$B$8*(('Business Case'!D11*$C263*'Business Case'!D12*$B263)-('Business Case'!C11*$C263*'Business Case'!C12*$B263))-'Business Case'!D15*$F263</f>
        <v>337800925.246305</v>
      </c>
      <c r="K263" s="39" t="n">
        <f aca="false">(('Business Case'!E11*$C263*'Business Case'!E12*$B263)-'Business Case'!E11*$C263*'Business Case'!E13*$D263-'Business Case'!E14*$E263)-MAX(0,(('Business Case'!E11*$C263*'Business Case'!E12*$B263)-'Business Case'!E11*$C263*'Business Case'!E13*$D263-'Business Case'!E14*$E263))*'Business Case'!$B$7-'Business Case'!$B$8*(('Business Case'!E11*$C263*'Business Case'!E12*$B263)-('Business Case'!D11*$C263*'Business Case'!D12*$B263))-'Business Case'!E15*$F263</f>
        <v>706593882.928209</v>
      </c>
      <c r="L263" s="39" t="n">
        <f aca="false">(('Business Case'!F11*$C263*'Business Case'!F12*$B263)-'Business Case'!F11*$C263*'Business Case'!F13*$D263-'Business Case'!F14*$E263)-MAX(0,(('Business Case'!F11*$C263*'Business Case'!F12*$B263)-'Business Case'!F11*$C263*'Business Case'!F13*$D263-'Business Case'!F14*$E263))*'Business Case'!$B$7-'Business Case'!$B$8*(('Business Case'!F11*$C263*'Business Case'!F12*$B263)-('Business Case'!E11*$C263*'Business Case'!E12*$B263))-'Business Case'!F15*$F263</f>
        <v>848320016.444703</v>
      </c>
      <c r="M263" s="39" t="n">
        <f aca="false">(('Business Case'!G11*$C263*'Business Case'!G12*$B263)-'Business Case'!G11*$C263*'Business Case'!G13*$D263-'Business Case'!G14*$E263)-MAX(0,(('Business Case'!G11*$C263*'Business Case'!G12*$B263)-'Business Case'!G11*$C263*'Business Case'!G13*$D263-'Business Case'!G14*$E263))*'Business Case'!$B$7-'Business Case'!$B$8*(('Business Case'!G11*$C263*'Business Case'!G12*$B263)-('Business Case'!F11*$C263*'Business Case'!F12*$B263))-'Business Case'!G15*$F263+'Business Case'!$B$8*('Business Case'!G11*$C263*'Business Case'!G12*$B263)</f>
        <v>1045689870.13524</v>
      </c>
      <c r="N263" s="39" t="n">
        <f aca="false">IF(COUNT('Business Case'!B11:G11)=0,"",H263+NPV(G263,I263:M263))</f>
        <v>-124677226.265793</v>
      </c>
      <c r="P263" s="40" t="n">
        <f aca="true">RAND()</f>
        <v>0.885554442334736</v>
      </c>
      <c r="Q263" s="40" t="n">
        <f aca="true">RAND()</f>
        <v>0.739086258755749</v>
      </c>
      <c r="R263" s="40" t="n">
        <f aca="true">RAND()</f>
        <v>0.608924620302406</v>
      </c>
      <c r="S263" s="40" t="n">
        <f aca="true">RAND()</f>
        <v>0.328852685875967</v>
      </c>
      <c r="T263" s="40" t="n">
        <f aca="true">RAND()</f>
        <v>0.327498599124312</v>
      </c>
      <c r="U263" s="40" t="n">
        <f aca="true">RAND()</f>
        <v>0.926217205236314</v>
      </c>
    </row>
    <row r="264" customFormat="false" ht="15" hidden="false" customHeight="false" outlineLevel="0" collapsed="false">
      <c r="A264" s="36" t="n">
        <v>184</v>
      </c>
      <c r="B264" s="37" t="n">
        <f aca="false">1+IF($G$6=$E$6,$F$6,IF(P264&lt;($F$6-$E$6)/($G$6-$E$6),$E$6+SQRT(P264*($G$6-$E$6)*($F$6-$E$6)),$G$6-SQRT((1-P264)*($G$6-$E$6)*($G$6-$F$6))))</f>
        <v>0.9952470581844</v>
      </c>
      <c r="C264" s="37" t="n">
        <f aca="false">1+IF($G$7=$E$7,$F$7,IF(Q264&lt;($F$7-$E$7)/($G$7-$E$7),$E$7+SQRT(Q264*($G$7-$E$7)*($F$7-$E$7)),$G$7-SQRT((1-Q264)*($G$7-$E$7)*($G$7-$F$7))))</f>
        <v>0.798565332654787</v>
      </c>
      <c r="D264" s="37" t="n">
        <f aca="false">1+IF($G$8=$E$8,$F$8,IF(R264&lt;($F$8-$E$8)/($G$8-$E$8),$E$8+SQRT(R264*($G$8-$E$8)*($F$8-$E$8)),$G$8-SQRT((1-R264)*($G$8-$E$8)*($G$8-$F$8))))</f>
        <v>1.04450755573969</v>
      </c>
      <c r="E264" s="37" t="n">
        <f aca="false">1+IF($G$9=$E$9,$F$9,IF(S264&lt;($F$9-$E$9)/($G$9-$E$9),$E$9+SQRT(S264*($G$9-$E$9)*($F$9-$E$9)),$G$9-SQRT((1-S264)*($G$9-$E$9)*($G$9-$F$9))))</f>
        <v>0.968372899721346</v>
      </c>
      <c r="F264" s="37" t="n">
        <f aca="false">1+IF($G$10=$E$10,$F$10,IF(T264&lt;($F$10-$E$10)/($G$10-$E$10),$E$10+SQRT(T264*($G$10-$E$10)*($F$10-$E$10)),$G$10-SQRT((1-T264)*($G$10-$E$10)*($G$10-$F$10))))</f>
        <v>1.06984764798981</v>
      </c>
      <c r="G264" s="38" t="n">
        <f aca="false">IF($G$11=$E$11,$F$11,IF(U264&lt;($F$11-$E$11)/($G$11-$E$11),$E$11+SQRT(U264*($G$11-$E$11)*($F$11-$E$11)),$G$11-SQRT((1-U264)*($G$11-$E$11)*($G$11-$F$11))))</f>
        <v>0.106386012550261</v>
      </c>
      <c r="H264" s="39" t="n">
        <f aca="false">(('Business Case'!B11*$C264*'Business Case'!B12*$B264)-'Business Case'!B11*$C264*'Business Case'!B13*$D264-'Business Case'!B14*$E264)-MAX(0,(('Business Case'!B11*$C264*'Business Case'!B12*$B264)-'Business Case'!B11*$C264*'Business Case'!B13*$D264-'Business Case'!B14*$E264))*'Business Case'!$B$7-'Business Case'!$B$8*('Business Case'!B11*$C264*'Business Case'!B12*$B264)-'Business Case'!B15*$F264</f>
        <v>-2139695295.97963</v>
      </c>
      <c r="I264" s="39" t="n">
        <f aca="false">(('Business Case'!C11*$C264*'Business Case'!C12*$B264)-'Business Case'!C11*$C264*'Business Case'!C13*$D264-'Business Case'!C14*$E264)-MAX(0,(('Business Case'!C11*$C264*'Business Case'!C12*$B264)-'Business Case'!C11*$C264*'Business Case'!C13*$D264-'Business Case'!C14*$E264))*'Business Case'!$B$7-'Business Case'!$B$8*(('Business Case'!C11*$C264*'Business Case'!C12*$B264)-('Business Case'!B11*$C264*'Business Case'!B12*$B264))-'Business Case'!C15*$F264</f>
        <v>-61910892.9465514</v>
      </c>
      <c r="J264" s="39" t="n">
        <f aca="false">(('Business Case'!D11*$C264*'Business Case'!D12*$B264)-'Business Case'!D11*$C264*'Business Case'!D13*$D264-'Business Case'!D14*$E264)-MAX(0,(('Business Case'!D11*$C264*'Business Case'!D12*$B264)-'Business Case'!D11*$C264*'Business Case'!D13*$D264-'Business Case'!D14*$E264))*'Business Case'!$B$7-'Business Case'!$B$8*(('Business Case'!D11*$C264*'Business Case'!D12*$B264)-('Business Case'!C11*$C264*'Business Case'!C12*$B264))-'Business Case'!D15*$F264</f>
        <v>162066471.579381</v>
      </c>
      <c r="K264" s="39" t="n">
        <f aca="false">(('Business Case'!E11*$C264*'Business Case'!E12*$B264)-'Business Case'!E11*$C264*'Business Case'!E13*$D264-'Business Case'!E14*$E264)-MAX(0,(('Business Case'!E11*$C264*'Business Case'!E12*$B264)-'Business Case'!E11*$C264*'Business Case'!E13*$D264-'Business Case'!E14*$E264))*'Business Case'!$B$7-'Business Case'!$B$8*(('Business Case'!E11*$C264*'Business Case'!E12*$B264)-('Business Case'!D11*$C264*'Business Case'!D12*$B264))-'Business Case'!E15*$F264</f>
        <v>439536218.504804</v>
      </c>
      <c r="L264" s="39" t="n">
        <f aca="false">(('Business Case'!F11*$C264*'Business Case'!F12*$B264)-'Business Case'!F11*$C264*'Business Case'!F13*$D264-'Business Case'!F14*$E264)-MAX(0,(('Business Case'!F11*$C264*'Business Case'!F12*$B264)-'Business Case'!F11*$C264*'Business Case'!F13*$D264-'Business Case'!F14*$E264))*'Business Case'!$B$7-'Business Case'!$B$8*(('Business Case'!F11*$C264*'Business Case'!F12*$B264)-('Business Case'!E11*$C264*'Business Case'!E12*$B264))-'Business Case'!F15*$F264</f>
        <v>541662584.235532</v>
      </c>
      <c r="M264" s="39" t="n">
        <f aca="false">(('Business Case'!G11*$C264*'Business Case'!G12*$B264)-'Business Case'!G11*$C264*'Business Case'!G13*$D264-'Business Case'!G14*$E264)-MAX(0,(('Business Case'!G11*$C264*'Business Case'!G12*$B264)-'Business Case'!G11*$C264*'Business Case'!G13*$D264-'Business Case'!G14*$E264))*'Business Case'!$B$7-'Business Case'!$B$8*(('Business Case'!G11*$C264*'Business Case'!G12*$B264)-('Business Case'!F11*$C264*'Business Case'!F12*$B264))-'Business Case'!G15*$F264+'Business Case'!$B$8*('Business Case'!G11*$C264*'Business Case'!G12*$B264)</f>
        <v>692732427.456997</v>
      </c>
      <c r="N264" s="39" t="n">
        <f aca="false">IF(COUNT('Business Case'!B11:G11)=0,"",H264+NPV(G264,I264:M264))</f>
        <v>-959354617.76461</v>
      </c>
      <c r="P264" s="40" t="n">
        <f aca="true">RAND()</f>
        <v>0.604800139518832</v>
      </c>
      <c r="Q264" s="40" t="n">
        <f aca="true">RAND()</f>
        <v>0.0719638874173987</v>
      </c>
      <c r="R264" s="40" t="n">
        <f aca="true">RAND()</f>
        <v>0.794705908667748</v>
      </c>
      <c r="S264" s="40" t="n">
        <f aca="true">RAND()</f>
        <v>0.186994136652212</v>
      </c>
      <c r="T264" s="40" t="n">
        <f aca="true">RAND()</f>
        <v>0.567268400869306</v>
      </c>
      <c r="U264" s="40" t="n">
        <f aca="true">RAND()</f>
        <v>0.628253064482374</v>
      </c>
    </row>
    <row r="265" customFormat="false" ht="15" hidden="false" customHeight="false" outlineLevel="0" collapsed="false">
      <c r="A265" s="36" t="n">
        <v>185</v>
      </c>
      <c r="B265" s="37" t="n">
        <f aca="false">1+IF($G$6=$E$6,$F$6,IF(P265&lt;($F$6-$E$6)/($G$6-$E$6),$E$6+SQRT(P265*($G$6-$E$6)*($F$6-$E$6)),$G$6-SQRT((1-P265)*($G$6-$E$6)*($G$6-$F$6))))</f>
        <v>0.979427528509904</v>
      </c>
      <c r="C265" s="37" t="n">
        <f aca="false">1+IF($G$7=$E$7,$F$7,IF(Q265&lt;($F$7-$E$7)/($G$7-$E$7),$E$7+SQRT(Q265*($G$7-$E$7)*($F$7-$E$7)),$G$7-SQRT((1-Q265)*($G$7-$E$7)*($G$7-$F$7))))</f>
        <v>0.82834105735736</v>
      </c>
      <c r="D265" s="37" t="n">
        <f aca="false">1+IF($G$8=$E$8,$F$8,IF(R265&lt;($F$8-$E$8)/($G$8-$E$8),$E$8+SQRT(R265*($G$8-$E$8)*($F$8-$E$8)),$G$8-SQRT((1-R265)*($G$8-$E$8)*($G$8-$F$8))))</f>
        <v>0.971371552628099</v>
      </c>
      <c r="E265" s="37" t="n">
        <f aca="false">1+IF($G$9=$E$9,$F$9,IF(S265&lt;($F$9-$E$9)/($G$9-$E$9),$E$9+SQRT(S265*($G$9-$E$9)*($F$9-$E$9)),$G$9-SQRT((1-S265)*($G$9-$E$9)*($G$9-$F$9))))</f>
        <v>1.13193343259392</v>
      </c>
      <c r="F265" s="37" t="n">
        <f aca="false">1+IF($G$10=$E$10,$F$10,IF(T265&lt;($F$10-$E$10)/($G$10-$E$10),$E$10+SQRT(T265*($G$10-$E$10)*($F$10-$E$10)),$G$10-SQRT((1-T265)*($G$10-$E$10)*($G$10-$F$10))))</f>
        <v>1.05329394861279</v>
      </c>
      <c r="G265" s="38" t="n">
        <f aca="false">IF($G$11=$E$11,$F$11,IF(U265&lt;($F$11-$E$11)/($G$11-$E$11),$E$11+SQRT(U265*($G$11-$E$11)*($F$11-$E$11)),$G$11-SQRT((1-U265)*($G$11-$E$11)*($G$11-$F$11))))</f>
        <v>0.0988051014362534</v>
      </c>
      <c r="H265" s="39" t="n">
        <f aca="false">(('Business Case'!B11*$C265*'Business Case'!B12*$B265)-'Business Case'!B11*$C265*'Business Case'!B13*$D265-'Business Case'!B14*$E265)-MAX(0,(('Business Case'!B11*$C265*'Business Case'!B12*$B265)-'Business Case'!B11*$C265*'Business Case'!B13*$D265-'Business Case'!B14*$E265))*'Business Case'!$B$7-'Business Case'!$B$8*('Business Case'!B11*$C265*'Business Case'!B12*$B265)-'Business Case'!B15*$F265</f>
        <v>-2106587897.22557</v>
      </c>
      <c r="I265" s="39" t="n">
        <f aca="false">(('Business Case'!C11*$C265*'Business Case'!C12*$B265)-'Business Case'!C11*$C265*'Business Case'!C13*$D265-'Business Case'!C14*$E265)-MAX(0,(('Business Case'!C11*$C265*'Business Case'!C12*$B265)-'Business Case'!C11*$C265*'Business Case'!C13*$D265-'Business Case'!C14*$E265))*'Business Case'!$B$7-'Business Case'!$B$8*(('Business Case'!C11*$C265*'Business Case'!C12*$B265)-('Business Case'!B11*$C265*'Business Case'!B12*$B265))-'Business Case'!C15*$F265</f>
        <v>-55739603.4604913</v>
      </c>
      <c r="J265" s="39" t="n">
        <f aca="false">(('Business Case'!D11*$C265*'Business Case'!D12*$B265)-'Business Case'!D11*$C265*'Business Case'!D13*$D265-'Business Case'!D14*$E265)-MAX(0,(('Business Case'!D11*$C265*'Business Case'!D12*$B265)-'Business Case'!D11*$C265*'Business Case'!D13*$D265-'Business Case'!D14*$E265))*'Business Case'!$B$7-'Business Case'!$B$8*(('Business Case'!D11*$C265*'Business Case'!D12*$B265)-('Business Case'!C11*$C265*'Business Case'!C12*$B265))-'Business Case'!D15*$F265</f>
        <v>196868915.847302</v>
      </c>
      <c r="K265" s="39" t="n">
        <f aca="false">(('Business Case'!E11*$C265*'Business Case'!E12*$B265)-'Business Case'!E11*$C265*'Business Case'!E13*$D265-'Business Case'!E14*$E265)-MAX(0,(('Business Case'!E11*$C265*'Business Case'!E12*$B265)-'Business Case'!E11*$C265*'Business Case'!E13*$D265-'Business Case'!E14*$E265))*'Business Case'!$B$7-'Business Case'!$B$8*(('Business Case'!E11*$C265*'Business Case'!E12*$B265)-('Business Case'!D11*$C265*'Business Case'!D12*$B265))-'Business Case'!E15*$F265</f>
        <v>502142132.585735</v>
      </c>
      <c r="L265" s="39" t="n">
        <f aca="false">(('Business Case'!F11*$C265*'Business Case'!F12*$B265)-'Business Case'!F11*$C265*'Business Case'!F13*$D265-'Business Case'!F14*$E265)-MAX(0,(('Business Case'!F11*$C265*'Business Case'!F12*$B265)-'Business Case'!F11*$C265*'Business Case'!F13*$D265-'Business Case'!F14*$E265))*'Business Case'!$B$7-'Business Case'!$B$8*(('Business Case'!F11*$C265*'Business Case'!F12*$B265)-('Business Case'!E11*$C265*'Business Case'!E12*$B265))-'Business Case'!F15*$F265</f>
        <v>614383501.549766</v>
      </c>
      <c r="M265" s="39" t="n">
        <f aca="false">(('Business Case'!G11*$C265*'Business Case'!G12*$B265)-'Business Case'!G11*$C265*'Business Case'!G13*$D265-'Business Case'!G14*$E265)-MAX(0,(('Business Case'!G11*$C265*'Business Case'!G12*$B265)-'Business Case'!G11*$C265*'Business Case'!G13*$D265-'Business Case'!G14*$E265))*'Business Case'!$B$7-'Business Case'!$B$8*(('Business Case'!G11*$C265*'Business Case'!G12*$B265)-('Business Case'!F11*$C265*'Business Case'!F12*$B265))-'Business Case'!G15*$F265+'Business Case'!$B$8*('Business Case'!G11*$C265*'Business Case'!G12*$B265)</f>
        <v>768595412.120983</v>
      </c>
      <c r="N265" s="39" t="n">
        <f aca="false">IF(COUNT('Business Case'!B11:G11)=0,"",H265+NPV(G265,I265:M265))</f>
        <v>-714462503.513806</v>
      </c>
      <c r="P265" s="40" t="n">
        <f aca="true">RAND()</f>
        <v>0.420582152346104</v>
      </c>
      <c r="Q265" s="40" t="n">
        <f aca="true">RAND()</f>
        <v>0.122010570397075</v>
      </c>
      <c r="R265" s="40" t="n">
        <f aca="true">RAND()</f>
        <v>0.060899101564746</v>
      </c>
      <c r="S265" s="40" t="n">
        <f aca="true">RAND()</f>
        <v>0.99129597712431</v>
      </c>
      <c r="T265" s="40" t="n">
        <f aca="true">RAND()</f>
        <v>0.48408972463535</v>
      </c>
      <c r="U265" s="40" t="n">
        <f aca="true">RAND()</f>
        <v>0.35363184002778</v>
      </c>
    </row>
    <row r="266" customFormat="false" ht="15" hidden="false" customHeight="false" outlineLevel="0" collapsed="false">
      <c r="A266" s="36" t="n">
        <v>186</v>
      </c>
      <c r="B266" s="37" t="n">
        <f aca="false">1+IF($G$6=$E$6,$F$6,IF(P266&lt;($F$6-$E$6)/($G$6-$E$6),$E$6+SQRT(P266*($G$6-$E$6)*($F$6-$E$6)),$G$6-SQRT((1-P266)*($G$6-$E$6)*($G$6-$F$6))))</f>
        <v>0.999885529380963</v>
      </c>
      <c r="C266" s="37" t="n">
        <f aca="false">1+IF($G$7=$E$7,$F$7,IF(Q266&lt;($F$7-$E$7)/($G$7-$E$7),$E$7+SQRT(Q266*($G$7-$E$7)*($F$7-$E$7)),$G$7-SQRT((1-Q266)*($G$7-$E$7)*($G$7-$F$7))))</f>
        <v>0.971308348691124</v>
      </c>
      <c r="D266" s="37" t="n">
        <f aca="false">1+IF($G$8=$E$8,$F$8,IF(R266&lt;($F$8-$E$8)/($G$8-$E$8),$E$8+SQRT(R266*($G$8-$E$8)*($F$8-$E$8)),$G$8-SQRT((1-R266)*($G$8-$E$8)*($G$8-$F$8))))</f>
        <v>1.01159906943164</v>
      </c>
      <c r="E266" s="37" t="n">
        <f aca="false">1+IF($G$9=$E$9,$F$9,IF(S266&lt;($F$9-$E$9)/($G$9-$E$9),$E$9+SQRT(S266*($G$9-$E$9)*($F$9-$E$9)),$G$9-SQRT((1-S266)*($G$9-$E$9)*($G$9-$F$9))))</f>
        <v>0.94639592888179</v>
      </c>
      <c r="F266" s="37" t="n">
        <f aca="false">1+IF($G$10=$E$10,$F$10,IF(T266&lt;($F$10-$E$10)/($G$10-$E$10),$E$10+SQRT(T266*($G$10-$E$10)*($F$10-$E$10)),$G$10-SQRT((1-T266)*($G$10-$E$10)*($G$10-$F$10))))</f>
        <v>1.03864403821022</v>
      </c>
      <c r="G266" s="38" t="n">
        <f aca="false">IF($G$11=$E$11,$F$11,IF(U266&lt;($F$11-$E$11)/($G$11-$E$11),$E$11+SQRT(U266*($G$11-$E$11)*($F$11-$E$11)),$G$11-SQRT((1-U266)*($G$11-$E$11)*($G$11-$F$11))))</f>
        <v>0.0923556988567998</v>
      </c>
      <c r="H266" s="39" t="n">
        <f aca="false">(('Business Case'!B11*$C266*'Business Case'!B12*$B266)-'Business Case'!B11*$C266*'Business Case'!B13*$D266-'Business Case'!B14*$E266)-MAX(0,(('Business Case'!B11*$C266*'Business Case'!B12*$B266)-'Business Case'!B11*$C266*'Business Case'!B13*$D266-'Business Case'!B14*$E266))*'Business Case'!$B$7-'Business Case'!$B$8*('Business Case'!B11*$C266*'Business Case'!B12*$B266)-'Business Case'!B15*$F266</f>
        <v>-2077288076.42044</v>
      </c>
      <c r="I266" s="39" t="n">
        <f aca="false">(('Business Case'!C11*$C266*'Business Case'!C12*$B266)-'Business Case'!C11*$C266*'Business Case'!C13*$D266-'Business Case'!C14*$E266)-MAX(0,(('Business Case'!C11*$C266*'Business Case'!C12*$B266)-'Business Case'!C11*$C266*'Business Case'!C13*$D266-'Business Case'!C14*$E266))*'Business Case'!$B$7-'Business Case'!$B$8*(('Business Case'!C11*$C266*'Business Case'!C12*$B266)-('Business Case'!B11*$C266*'Business Case'!B12*$B266))-'Business Case'!C15*$F266</f>
        <v>3692036.08841065</v>
      </c>
      <c r="J266" s="39" t="n">
        <f aca="false">(('Business Case'!D11*$C266*'Business Case'!D12*$B266)-'Business Case'!D11*$C266*'Business Case'!D13*$D266-'Business Case'!D14*$E266)-MAX(0,(('Business Case'!D11*$C266*'Business Case'!D12*$B266)-'Business Case'!D11*$C266*'Business Case'!D13*$D266-'Business Case'!D14*$E266))*'Business Case'!$B$7-'Business Case'!$B$8*(('Business Case'!D11*$C266*'Business Case'!D12*$B266)-('Business Case'!C11*$C266*'Business Case'!C12*$B266))-'Business Case'!D15*$F266</f>
        <v>296172837.984851</v>
      </c>
      <c r="K266" s="39" t="n">
        <f aca="false">(('Business Case'!E11*$C266*'Business Case'!E12*$B266)-'Business Case'!E11*$C266*'Business Case'!E13*$D266-'Business Case'!E14*$E266)-MAX(0,(('Business Case'!E11*$C266*'Business Case'!E12*$B266)-'Business Case'!E11*$C266*'Business Case'!E13*$D266-'Business Case'!E14*$E266))*'Business Case'!$B$7-'Business Case'!$B$8*(('Business Case'!E11*$C266*'Business Case'!E12*$B266)-('Business Case'!D11*$C266*'Business Case'!D12*$B266))-'Business Case'!E15*$F266</f>
        <v>640585841.791803</v>
      </c>
      <c r="L266" s="39" t="n">
        <f aca="false">(('Business Case'!F11*$C266*'Business Case'!F12*$B266)-'Business Case'!F11*$C266*'Business Case'!F13*$D266-'Business Case'!F14*$E266)-MAX(0,(('Business Case'!F11*$C266*'Business Case'!F12*$B266)-'Business Case'!F11*$C266*'Business Case'!F13*$D266-'Business Case'!F14*$E266))*'Business Case'!$B$7-'Business Case'!$B$8*(('Business Case'!F11*$C266*'Business Case'!F12*$B266)-('Business Case'!E11*$C266*'Business Case'!E12*$B266))-'Business Case'!F15*$F266</f>
        <v>771644016.357294</v>
      </c>
      <c r="M266" s="39" t="n">
        <f aca="false">(('Business Case'!G11*$C266*'Business Case'!G12*$B266)-'Business Case'!G11*$C266*'Business Case'!G13*$D266-'Business Case'!G14*$E266)-MAX(0,(('Business Case'!G11*$C266*'Business Case'!G12*$B266)-'Business Case'!G11*$C266*'Business Case'!G13*$D266-'Business Case'!G14*$E266))*'Business Case'!$B$7-'Business Case'!$B$8*(('Business Case'!G11*$C266*'Business Case'!G12*$B266)-('Business Case'!F11*$C266*'Business Case'!F12*$B266))-'Business Case'!G15*$F266+'Business Case'!$B$8*('Business Case'!G11*$C266*'Business Case'!G12*$B266)</f>
        <v>956249172.990691</v>
      </c>
      <c r="N266" s="39" t="n">
        <f aca="false">IF(COUNT('Business Case'!B11:G11)=0,"",H266+NPV(G266,I266:M266))</f>
        <v>-177467304.390287</v>
      </c>
      <c r="P266" s="40" t="n">
        <f aca="true">RAND()</f>
        <v>0.665141265314352</v>
      </c>
      <c r="Q266" s="40" t="n">
        <f aca="true">RAND()</f>
        <v>0.545246074588922</v>
      </c>
      <c r="R266" s="40" t="n">
        <f aca="true">RAND()</f>
        <v>0.479018364976517</v>
      </c>
      <c r="S266" s="40" t="n">
        <f aca="true">RAND()</f>
        <v>0.0861032886721645</v>
      </c>
      <c r="T266" s="40" t="n">
        <f aca="true">RAND()</f>
        <v>0.404382098878888</v>
      </c>
      <c r="U266" s="40" t="n">
        <f aca="true">RAND()</f>
        <v>0.152663294239924</v>
      </c>
    </row>
    <row r="267" customFormat="false" ht="15" hidden="false" customHeight="false" outlineLevel="0" collapsed="false">
      <c r="A267" s="36" t="n">
        <v>187</v>
      </c>
      <c r="B267" s="37" t="n">
        <f aca="false">1+IF($G$6=$E$6,$F$6,IF(P267&lt;($F$6-$E$6)/($G$6-$E$6),$E$6+SQRT(P267*($G$6-$E$6)*($F$6-$E$6)),$G$6-SQRT((1-P267)*($G$6-$E$6)*($G$6-$F$6))))</f>
        <v>1.00326986609558</v>
      </c>
      <c r="C267" s="37" t="n">
        <f aca="false">1+IF($G$7=$E$7,$F$7,IF(Q267&lt;($F$7-$E$7)/($G$7-$E$7),$E$7+SQRT(Q267*($G$7-$E$7)*($F$7-$E$7)),$G$7-SQRT((1-Q267)*($G$7-$E$7)*($G$7-$F$7))))</f>
        <v>0.905487861725462</v>
      </c>
      <c r="D267" s="37" t="n">
        <f aca="false">1+IF($G$8=$E$8,$F$8,IF(R267&lt;($F$8-$E$8)/($G$8-$E$8),$E$8+SQRT(R267*($G$8-$E$8)*($F$8-$E$8)),$G$8-SQRT((1-R267)*($G$8-$E$8)*($G$8-$F$8))))</f>
        <v>0.972098851900993</v>
      </c>
      <c r="E267" s="37" t="n">
        <f aca="false">1+IF($G$9=$E$9,$F$9,IF(S267&lt;($F$9-$E$9)/($G$9-$E$9),$E$9+SQRT(S267*($G$9-$E$9)*($F$9-$E$9)),$G$9-SQRT((1-S267)*($G$9-$E$9)*($G$9-$F$9))))</f>
        <v>1.07252739803287</v>
      </c>
      <c r="F267" s="37" t="n">
        <f aca="false">1+IF($G$10=$E$10,$F$10,IF(T267&lt;($F$10-$E$10)/($G$10-$E$10),$E$10+SQRT(T267*($G$10-$E$10)*($F$10-$E$10)),$G$10-SQRT((1-T267)*($G$10-$E$10)*($G$10-$F$10))))</f>
        <v>1.01777852313425</v>
      </c>
      <c r="G267" s="38" t="n">
        <f aca="false">IF($G$11=$E$11,$F$11,IF(U267&lt;($F$11-$E$11)/($G$11-$E$11),$E$11+SQRT(U267*($G$11-$E$11)*($F$11-$E$11)),$G$11-SQRT((1-U267)*($G$11-$E$11)*($G$11-$F$11))))</f>
        <v>0.104544697331113</v>
      </c>
      <c r="H267" s="39" t="n">
        <f aca="false">(('Business Case'!B11*$C267*'Business Case'!B12*$B267)-'Business Case'!B11*$C267*'Business Case'!B13*$D267-'Business Case'!B14*$E267)-MAX(0,(('Business Case'!B11*$C267*'Business Case'!B12*$B267)-'Business Case'!B11*$C267*'Business Case'!B13*$D267-'Business Case'!B14*$E267))*'Business Case'!$B$7-'Business Case'!$B$8*('Business Case'!B11*$C267*'Business Case'!B12*$B267)-'Business Case'!B15*$F267</f>
        <v>-2035557046.26851</v>
      </c>
      <c r="I267" s="39" t="n">
        <f aca="false">(('Business Case'!C11*$C267*'Business Case'!C12*$B267)-'Business Case'!C11*$C267*'Business Case'!C13*$D267-'Business Case'!C14*$E267)-MAX(0,(('Business Case'!C11*$C267*'Business Case'!C12*$B267)-'Business Case'!C11*$C267*'Business Case'!C13*$D267-'Business Case'!C14*$E267))*'Business Case'!$B$7-'Business Case'!$B$8*(('Business Case'!C11*$C267*'Business Case'!C12*$B267)-('Business Case'!B11*$C267*'Business Case'!B12*$B267))-'Business Case'!C15*$F267</f>
        <v>-7904468.25136536</v>
      </c>
      <c r="J267" s="39" t="n">
        <f aca="false">(('Business Case'!D11*$C267*'Business Case'!D12*$B267)-'Business Case'!D11*$C267*'Business Case'!D13*$D267-'Business Case'!D14*$E267)-MAX(0,(('Business Case'!D11*$C267*'Business Case'!D12*$B267)-'Business Case'!D11*$C267*'Business Case'!D13*$D267-'Business Case'!D14*$E267))*'Business Case'!$B$7-'Business Case'!$B$8*(('Business Case'!D11*$C267*'Business Case'!D12*$B267)-('Business Case'!C11*$C267*'Business Case'!C12*$B267))-'Business Case'!D15*$F267</f>
        <v>285576291.682036</v>
      </c>
      <c r="K267" s="39" t="n">
        <f aca="false">(('Business Case'!E11*$C267*'Business Case'!E12*$B267)-'Business Case'!E11*$C267*'Business Case'!E13*$D267-'Business Case'!E14*$E267)-MAX(0,(('Business Case'!E11*$C267*'Business Case'!E12*$B267)-'Business Case'!E11*$C267*'Business Case'!E13*$D267-'Business Case'!E14*$E267))*'Business Case'!$B$7-'Business Case'!$B$8*(('Business Case'!E11*$C267*'Business Case'!E12*$B267)-('Business Case'!D11*$C267*'Business Case'!D12*$B267))-'Business Case'!E15*$F267</f>
        <v>629945977.772151</v>
      </c>
      <c r="L267" s="39" t="n">
        <f aca="false">(('Business Case'!F11*$C267*'Business Case'!F12*$B267)-'Business Case'!F11*$C267*'Business Case'!F13*$D267-'Business Case'!F14*$E267)-MAX(0,(('Business Case'!F11*$C267*'Business Case'!F12*$B267)-'Business Case'!F11*$C267*'Business Case'!F13*$D267-'Business Case'!F14*$E267))*'Business Case'!$B$7-'Business Case'!$B$8*(('Business Case'!F11*$C267*'Business Case'!F12*$B267)-('Business Case'!E11*$C267*'Business Case'!E12*$B267))-'Business Case'!F15*$F267</f>
        <v>759168884.330663</v>
      </c>
      <c r="M267" s="39" t="n">
        <f aca="false">(('Business Case'!G11*$C267*'Business Case'!G12*$B267)-'Business Case'!G11*$C267*'Business Case'!G13*$D267-'Business Case'!G14*$E267)-MAX(0,(('Business Case'!G11*$C267*'Business Case'!G12*$B267)-'Business Case'!G11*$C267*'Business Case'!G13*$D267-'Business Case'!G14*$E267))*'Business Case'!$B$7-'Business Case'!$B$8*(('Business Case'!G11*$C267*'Business Case'!G12*$B267)-('Business Case'!F11*$C267*'Business Case'!F12*$B267))-'Business Case'!G15*$F267+'Business Case'!$B$8*('Business Case'!G11*$C267*'Business Case'!G12*$B267)</f>
        <v>931846810.524576</v>
      </c>
      <c r="N267" s="39" t="n">
        <f aca="false">IF(COUNT('Business Case'!B11:G11)=0,"",H267+NPV(G267,I267:M267))</f>
        <v>-264329610.541052</v>
      </c>
      <c r="P267" s="40" t="n">
        <f aca="true">RAND()</f>
        <v>0.708839278036686</v>
      </c>
      <c r="Q267" s="40" t="n">
        <f aca="true">RAND()</f>
        <v>0.312779713455575</v>
      </c>
      <c r="R267" s="40" t="n">
        <f aca="true">RAND()</f>
        <v>0.0651145673789367</v>
      </c>
      <c r="S267" s="40" t="n">
        <f aca="true">RAND()</f>
        <v>0.83994655851847</v>
      </c>
      <c r="T267" s="40" t="n">
        <f aca="true">RAND()</f>
        <v>0.28097580909723</v>
      </c>
      <c r="U267" s="40" t="n">
        <f aca="true">RAND()</f>
        <v>0.568018377356889</v>
      </c>
    </row>
    <row r="268" customFormat="false" ht="15" hidden="false" customHeight="false" outlineLevel="0" collapsed="false">
      <c r="A268" s="36" t="n">
        <v>188</v>
      </c>
      <c r="B268" s="37" t="n">
        <f aca="false">1+IF($G$6=$E$6,$F$6,IF(P268&lt;($F$6-$E$6)/($G$6-$E$6),$E$6+SQRT(P268*($G$6-$E$6)*($F$6-$E$6)),$G$6-SQRT((1-P268)*($G$6-$E$6)*($G$6-$F$6))))</f>
        <v>0.996401416308805</v>
      </c>
      <c r="C268" s="37" t="n">
        <f aca="false">1+IF($G$7=$E$7,$F$7,IF(Q268&lt;($F$7-$E$7)/($G$7-$E$7),$E$7+SQRT(Q268*($G$7-$E$7)*($F$7-$E$7)),$G$7-SQRT((1-Q268)*($G$7-$E$7)*($G$7-$F$7))))</f>
        <v>0.820675938956883</v>
      </c>
      <c r="D268" s="37" t="n">
        <f aca="false">1+IF($G$8=$E$8,$F$8,IF(R268&lt;($F$8-$E$8)/($G$8-$E$8),$E$8+SQRT(R268*($G$8-$E$8)*($F$8-$E$8)),$G$8-SQRT((1-R268)*($G$8-$E$8)*($G$8-$F$8))))</f>
        <v>0.987282324532226</v>
      </c>
      <c r="E268" s="37" t="n">
        <f aca="false">1+IF($G$9=$E$9,$F$9,IF(S268&lt;($F$9-$E$9)/($G$9-$E$9),$E$9+SQRT(S268*($G$9-$E$9)*($F$9-$E$9)),$G$9-SQRT((1-S268)*($G$9-$E$9)*($G$9-$F$9))))</f>
        <v>1.14499487051815</v>
      </c>
      <c r="F268" s="37" t="n">
        <f aca="false">1+IF($G$10=$E$10,$F$10,IF(T268&lt;($F$10-$E$10)/($G$10-$E$10),$E$10+SQRT(T268*($G$10-$E$10)*($F$10-$E$10)),$G$10-SQRT((1-T268)*($G$10-$E$10)*($G$10-$F$10))))</f>
        <v>1.11960939886959</v>
      </c>
      <c r="G268" s="38" t="n">
        <f aca="false">IF($G$11=$E$11,$F$11,IF(U268&lt;($F$11-$E$11)/($G$11-$E$11),$E$11+SQRT(U268*($G$11-$E$11)*($F$11-$E$11)),$G$11-SQRT((1-U268)*($G$11-$E$11)*($G$11-$F$11))))</f>
        <v>0.11143426991921</v>
      </c>
      <c r="H268" s="39" t="n">
        <f aca="false">(('Business Case'!B11*$C268*'Business Case'!B12*$B268)-'Business Case'!B11*$C268*'Business Case'!B13*$D268-'Business Case'!B14*$E268)-MAX(0,(('Business Case'!B11*$C268*'Business Case'!B12*$B268)-'Business Case'!B11*$C268*'Business Case'!B13*$D268-'Business Case'!B14*$E268))*'Business Case'!$B$7-'Business Case'!$B$8*('Business Case'!B11*$C268*'Business Case'!B12*$B268)-'Business Case'!B15*$F268</f>
        <v>-2239218797.73918</v>
      </c>
      <c r="I268" s="39" t="n">
        <f aca="false">(('Business Case'!C11*$C268*'Business Case'!C12*$B268)-'Business Case'!C11*$C268*'Business Case'!C13*$D268-'Business Case'!C14*$E268)-MAX(0,(('Business Case'!C11*$C268*'Business Case'!C12*$B268)-'Business Case'!C11*$C268*'Business Case'!C13*$D268-'Business Case'!C14*$E268))*'Business Case'!$B$7-'Business Case'!$B$8*(('Business Case'!C11*$C268*'Business Case'!C12*$B268)-('Business Case'!B11*$C268*'Business Case'!B12*$B268))-'Business Case'!C15*$F268</f>
        <v>-62173683.9578907</v>
      </c>
      <c r="J268" s="39" t="n">
        <f aca="false">(('Business Case'!D11*$C268*'Business Case'!D12*$B268)-'Business Case'!D11*$C268*'Business Case'!D13*$D268-'Business Case'!D14*$E268)-MAX(0,(('Business Case'!D11*$C268*'Business Case'!D12*$B268)-'Business Case'!D11*$C268*'Business Case'!D13*$D268-'Business Case'!D14*$E268))*'Business Case'!$B$7-'Business Case'!$B$8*(('Business Case'!D11*$C268*'Business Case'!D12*$B268)-('Business Case'!C11*$C268*'Business Case'!C12*$B268))-'Business Case'!D15*$F268</f>
        <v>192822585.663167</v>
      </c>
      <c r="K268" s="39" t="n">
        <f aca="false">(('Business Case'!E11*$C268*'Business Case'!E12*$B268)-'Business Case'!E11*$C268*'Business Case'!E13*$D268-'Business Case'!E14*$E268)-MAX(0,(('Business Case'!E11*$C268*'Business Case'!E12*$B268)-'Business Case'!E11*$C268*'Business Case'!E13*$D268-'Business Case'!E14*$E268))*'Business Case'!$B$7-'Business Case'!$B$8*(('Business Case'!E11*$C268*'Business Case'!E12*$B268)-('Business Case'!D11*$C268*'Business Case'!D12*$B268))-'Business Case'!E15*$F268</f>
        <v>503799325.227704</v>
      </c>
      <c r="L268" s="39" t="n">
        <f aca="false">(('Business Case'!F11*$C268*'Business Case'!F12*$B268)-'Business Case'!F11*$C268*'Business Case'!F13*$D268-'Business Case'!F14*$E268)-MAX(0,(('Business Case'!F11*$C268*'Business Case'!F12*$B268)-'Business Case'!F11*$C268*'Business Case'!F13*$D268-'Business Case'!F14*$E268))*'Business Case'!$B$7-'Business Case'!$B$8*(('Business Case'!F11*$C268*'Business Case'!F12*$B268)-('Business Case'!E11*$C268*'Business Case'!E12*$B268))-'Business Case'!F15*$F268</f>
        <v>617058577.17093</v>
      </c>
      <c r="M268" s="39" t="n">
        <f aca="false">(('Business Case'!G11*$C268*'Business Case'!G12*$B268)-'Business Case'!G11*$C268*'Business Case'!G13*$D268-'Business Case'!G14*$E268)-MAX(0,(('Business Case'!G11*$C268*'Business Case'!G12*$B268)-'Business Case'!G11*$C268*'Business Case'!G13*$D268-'Business Case'!G14*$E268))*'Business Case'!$B$7-'Business Case'!$B$8*(('Business Case'!G11*$C268*'Business Case'!G12*$B268)-('Business Case'!F11*$C268*'Business Case'!F12*$B268))-'Business Case'!G15*$F268+'Business Case'!$B$8*('Business Case'!G11*$C268*'Business Case'!G12*$B268)</f>
        <v>772491301.88673</v>
      </c>
      <c r="N268" s="39" t="n">
        <f aca="false">IF(COUNT('Business Case'!B11:G11)=0,"",H268+NPV(G268,I268:M268))</f>
        <v>-912246809.068309</v>
      </c>
      <c r="P268" s="40" t="n">
        <f aca="true">RAND()</f>
        <v>0.61954887108957</v>
      </c>
      <c r="Q268" s="40" t="n">
        <f aca="true">RAND()</f>
        <v>0.107871720319447</v>
      </c>
      <c r="R268" s="40" t="n">
        <f aca="true">RAND()</f>
        <v>0.185329563003499</v>
      </c>
      <c r="S268" s="40" t="n">
        <f aca="true">RAND()</f>
        <v>0.999331964769864</v>
      </c>
      <c r="T268" s="40" t="n">
        <f aca="true">RAND()</f>
        <v>0.773310548491338</v>
      </c>
      <c r="U268" s="40" t="n">
        <f aca="true">RAND()</f>
        <v>0.770209111044823</v>
      </c>
    </row>
    <row r="269" customFormat="false" ht="15" hidden="false" customHeight="false" outlineLevel="0" collapsed="false">
      <c r="A269" s="36" t="n">
        <v>189</v>
      </c>
      <c r="B269" s="37" t="n">
        <f aca="false">1+IF($G$6=$E$6,$F$6,IF(P269&lt;($F$6-$E$6)/($G$6-$E$6),$E$6+SQRT(P269*($G$6-$E$6)*($F$6-$E$6)),$G$6-SQRT((1-P269)*($G$6-$E$6)*($G$6-$F$6))))</f>
        <v>1.01172858095421</v>
      </c>
      <c r="C269" s="37" t="n">
        <f aca="false">1+IF($G$7=$E$7,$F$7,IF(Q269&lt;($F$7-$E$7)/($G$7-$E$7),$E$7+SQRT(Q269*($G$7-$E$7)*($F$7-$E$7)),$G$7-SQRT((1-Q269)*($G$7-$E$7)*($G$7-$F$7))))</f>
        <v>1.05260894882438</v>
      </c>
      <c r="D269" s="37" t="n">
        <f aca="false">1+IF($G$8=$E$8,$F$8,IF(R269&lt;($F$8-$E$8)/($G$8-$E$8),$E$8+SQRT(R269*($G$8-$E$8)*($F$8-$E$8)),$G$8-SQRT((1-R269)*($G$8-$E$8)*($G$8-$F$8))))</f>
        <v>1.05285149361007</v>
      </c>
      <c r="E269" s="37" t="n">
        <f aca="false">1+IF($G$9=$E$9,$F$9,IF(S269&lt;($F$9-$E$9)/($G$9-$E$9),$E$9+SQRT(S269*($G$9-$E$9)*($F$9-$E$9)),$G$9-SQRT((1-S269)*($G$9-$E$9)*($G$9-$F$9))))</f>
        <v>1.11082701478435</v>
      </c>
      <c r="F269" s="37" t="n">
        <f aca="false">1+IF($G$10=$E$10,$F$10,IF(T269&lt;($F$10-$E$10)/($G$10-$E$10),$E$10+SQRT(T269*($G$10-$E$10)*($F$10-$E$10)),$G$10-SQRT((1-T269)*($G$10-$E$10)*($G$10-$F$10))))</f>
        <v>1.10450005316277</v>
      </c>
      <c r="G269" s="38" t="n">
        <f aca="false">IF($G$11=$E$11,$F$11,IF(U269&lt;($F$11-$E$11)/($G$11-$E$11),$E$11+SQRT(U269*($G$11-$E$11)*($F$11-$E$11)),$G$11-SQRT((1-U269)*($G$11-$E$11)*($G$11-$F$11))))</f>
        <v>0.0861369388174817</v>
      </c>
      <c r="H269" s="39" t="n">
        <f aca="false">(('Business Case'!B11*$C269*'Business Case'!B12*$B269)-'Business Case'!B11*$C269*'Business Case'!B13*$D269-'Business Case'!B14*$E269)-MAX(0,(('Business Case'!B11*$C269*'Business Case'!B12*$B269)-'Business Case'!B11*$C269*'Business Case'!B13*$D269-'Business Case'!B14*$E269))*'Business Case'!$B$7-'Business Case'!$B$8*('Business Case'!B11*$C269*'Business Case'!B12*$B269)-'Business Case'!B15*$F269</f>
        <v>-2209000106.32554</v>
      </c>
      <c r="I269" s="39" t="n">
        <f aca="false">(('Business Case'!C11*$C269*'Business Case'!C12*$B269)-'Business Case'!C11*$C269*'Business Case'!C13*$D269-'Business Case'!C14*$E269)-MAX(0,(('Business Case'!C11*$C269*'Business Case'!C12*$B269)-'Business Case'!C11*$C269*'Business Case'!C13*$D269-'Business Case'!C14*$E269))*'Business Case'!$B$7-'Business Case'!$B$8*(('Business Case'!C11*$C269*'Business Case'!C12*$B269)-('Business Case'!B11*$C269*'Business Case'!B12*$B269))-'Business Case'!C15*$F269</f>
        <v>-18673074.8569036</v>
      </c>
      <c r="J269" s="39" t="n">
        <f aca="false">(('Business Case'!D11*$C269*'Business Case'!D12*$B269)-'Business Case'!D11*$C269*'Business Case'!D13*$D269-'Business Case'!D14*$E269)-MAX(0,(('Business Case'!D11*$C269*'Business Case'!D12*$B269)-'Business Case'!D11*$C269*'Business Case'!D13*$D269-'Business Case'!D14*$E269))*'Business Case'!$B$7-'Business Case'!$B$8*(('Business Case'!D11*$C269*'Business Case'!D12*$B269)-('Business Case'!C11*$C269*'Business Case'!C12*$B269))-'Business Case'!D15*$F269</f>
        <v>286270701.396387</v>
      </c>
      <c r="K269" s="39" t="n">
        <f aca="false">(('Business Case'!E11*$C269*'Business Case'!E12*$B269)-'Business Case'!E11*$C269*'Business Case'!E13*$D269-'Business Case'!E14*$E269)-MAX(0,(('Business Case'!E11*$C269*'Business Case'!E12*$B269)-'Business Case'!E11*$C269*'Business Case'!E13*$D269-'Business Case'!E14*$E269))*'Business Case'!$B$7-'Business Case'!$B$8*(('Business Case'!E11*$C269*'Business Case'!E12*$B269)-('Business Case'!D11*$C269*'Business Case'!D12*$B269))-'Business Case'!E15*$F269</f>
        <v>646439480.307816</v>
      </c>
      <c r="L269" s="39" t="n">
        <f aca="false">(('Business Case'!F11*$C269*'Business Case'!F12*$B269)-'Business Case'!F11*$C269*'Business Case'!F13*$D269-'Business Case'!F14*$E269)-MAX(0,(('Business Case'!F11*$C269*'Business Case'!F12*$B269)-'Business Case'!F11*$C269*'Business Case'!F13*$D269-'Business Case'!F14*$E269))*'Business Case'!$B$7-'Business Case'!$B$8*(('Business Case'!F11*$C269*'Business Case'!F12*$B269)-('Business Case'!E11*$C269*'Business Case'!E12*$B269))-'Business Case'!F15*$F269</f>
        <v>784892235.253302</v>
      </c>
      <c r="M269" s="39" t="n">
        <f aca="false">(('Business Case'!G11*$C269*'Business Case'!G12*$B269)-'Business Case'!G11*$C269*'Business Case'!G13*$D269-'Business Case'!G14*$E269)-MAX(0,(('Business Case'!G11*$C269*'Business Case'!G12*$B269)-'Business Case'!G11*$C269*'Business Case'!G13*$D269-'Business Case'!G14*$E269))*'Business Case'!$B$7-'Business Case'!$B$8*(('Business Case'!G11*$C269*'Business Case'!G12*$B269)-('Business Case'!F11*$C269*'Business Case'!F12*$B269))-'Business Case'!G15*$F269+'Business Case'!$B$8*('Business Case'!G11*$C269*'Business Case'!G12*$B269)</f>
        <v>987318797.65577</v>
      </c>
      <c r="N269" s="39" t="n">
        <f aca="false">IF(COUNT('Business Case'!B11:G11)=0,"",H269+NPV(G269,I269:M269))</f>
        <v>-261839126.41109</v>
      </c>
      <c r="P269" s="40" t="n">
        <f aca="true">RAND()</f>
        <v>0.804706464562844</v>
      </c>
      <c r="Q269" s="40" t="n">
        <f aca="true">RAND()</f>
        <v>0.859481231865307</v>
      </c>
      <c r="R269" s="40" t="n">
        <f aca="true">RAND()</f>
        <v>0.851801223013261</v>
      </c>
      <c r="S269" s="40" t="n">
        <f aca="true">RAND()</f>
        <v>0.959079392781193</v>
      </c>
      <c r="T269" s="40" t="n">
        <f aca="true">RAND()</f>
        <v>0.717730206271509</v>
      </c>
      <c r="U269" s="40" t="n">
        <f aca="true">RAND()</f>
        <v>0.0376620180495137</v>
      </c>
    </row>
    <row r="270" customFormat="false" ht="15" hidden="false" customHeight="false" outlineLevel="0" collapsed="false">
      <c r="A270" s="36" t="n">
        <v>190</v>
      </c>
      <c r="B270" s="37" t="n">
        <f aca="false">1+IF($G$6=$E$6,$F$6,IF(P270&lt;($F$6-$E$6)/($G$6-$E$6),$E$6+SQRT(P270*($G$6-$E$6)*($F$6-$E$6)),$G$6-SQRT((1-P270)*($G$6-$E$6)*($G$6-$F$6))))</f>
        <v>1.0057862689672</v>
      </c>
      <c r="C270" s="37" t="n">
        <f aca="false">1+IF($G$7=$E$7,$F$7,IF(Q270&lt;($F$7-$E$7)/($G$7-$E$7),$E$7+SQRT(Q270*($G$7-$E$7)*($F$7-$E$7)),$G$7-SQRT((1-Q270)*($G$7-$E$7)*($G$7-$F$7))))</f>
        <v>1.07823231286255</v>
      </c>
      <c r="D270" s="37" t="n">
        <f aca="false">1+IF($G$8=$E$8,$F$8,IF(R270&lt;($F$8-$E$8)/($G$8-$E$8),$E$8+SQRT(R270*($G$8-$E$8)*($F$8-$E$8)),$G$8-SQRT((1-R270)*($G$8-$E$8)*($G$8-$F$8))))</f>
        <v>1.01853645525413</v>
      </c>
      <c r="E270" s="37" t="n">
        <f aca="false">1+IF($G$9=$E$9,$F$9,IF(S270&lt;($F$9-$E$9)/($G$9-$E$9),$E$9+SQRT(S270*($G$9-$E$9)*($F$9-$E$9)),$G$9-SQRT((1-S270)*($G$9-$E$9)*($G$9-$F$9))))</f>
        <v>1.01813562331514</v>
      </c>
      <c r="F270" s="37" t="n">
        <f aca="false">1+IF($G$10=$E$10,$F$10,IF(T270&lt;($F$10-$E$10)/($G$10-$E$10),$E$10+SQRT(T270*($G$10-$E$10)*($F$10-$E$10)),$G$10-SQRT((1-T270)*($G$10-$E$10)*($G$10-$F$10))))</f>
        <v>0.961497437707055</v>
      </c>
      <c r="G270" s="38" t="n">
        <f aca="false">IF($G$11=$E$11,$F$11,IF(U270&lt;($F$11-$E$11)/($G$11-$E$11),$E$11+SQRT(U270*($G$11-$E$11)*($F$11-$E$11)),$G$11-SQRT((1-U270)*($G$11-$E$11)*($G$11-$F$11))))</f>
        <v>0.0997433058452031</v>
      </c>
      <c r="H270" s="39" t="n">
        <f aca="false">(('Business Case'!B11*$C270*'Business Case'!B12*$B270)-'Business Case'!B11*$C270*'Business Case'!B13*$D270-'Business Case'!B14*$E270)-MAX(0,(('Business Case'!B11*$C270*'Business Case'!B12*$B270)-'Business Case'!B11*$C270*'Business Case'!B13*$D270-'Business Case'!B14*$E270))*'Business Case'!$B$7-'Business Case'!$B$8*('Business Case'!B11*$C270*'Business Case'!B12*$B270)-'Business Case'!B15*$F270</f>
        <v>-1922994875.41411</v>
      </c>
      <c r="I270" s="39" t="n">
        <f aca="false">(('Business Case'!C11*$C270*'Business Case'!C12*$B270)-'Business Case'!C11*$C270*'Business Case'!C13*$D270-'Business Case'!C14*$E270)-MAX(0,(('Business Case'!C11*$C270*'Business Case'!C12*$B270)-'Business Case'!C11*$C270*'Business Case'!C13*$D270-'Business Case'!C14*$E270))*'Business Case'!$B$7-'Business Case'!$B$8*(('Business Case'!C11*$C270*'Business Case'!C12*$B270)-('Business Case'!B11*$C270*'Business Case'!B12*$B270))-'Business Case'!C15*$F270</f>
        <v>28912192.0931395</v>
      </c>
      <c r="J270" s="39" t="n">
        <f aca="false">(('Business Case'!D11*$C270*'Business Case'!D12*$B270)-'Business Case'!D11*$C270*'Business Case'!D13*$D270-'Business Case'!D14*$E270)-MAX(0,(('Business Case'!D11*$C270*'Business Case'!D12*$B270)-'Business Case'!D11*$C270*'Business Case'!D13*$D270-'Business Case'!D14*$E270))*'Business Case'!$B$7-'Business Case'!$B$8*(('Business Case'!D11*$C270*'Business Case'!D12*$B270)-('Business Case'!C11*$C270*'Business Case'!C12*$B270))-'Business Case'!D15*$F270</f>
        <v>354972003.453355</v>
      </c>
      <c r="K270" s="39" t="n">
        <f aca="false">(('Business Case'!E11*$C270*'Business Case'!E12*$B270)-'Business Case'!E11*$C270*'Business Case'!E13*$D270-'Business Case'!E14*$E270)-MAX(0,(('Business Case'!E11*$C270*'Business Case'!E12*$B270)-'Business Case'!E11*$C270*'Business Case'!E13*$D270-'Business Case'!E14*$E270))*'Business Case'!$B$7-'Business Case'!$B$8*(('Business Case'!E11*$C270*'Business Case'!E12*$B270)-('Business Case'!D11*$C270*'Business Case'!D12*$B270))-'Business Case'!E15*$F270</f>
        <v>729106686.698923</v>
      </c>
      <c r="L270" s="39" t="n">
        <f aca="false">(('Business Case'!F11*$C270*'Business Case'!F12*$B270)-'Business Case'!F11*$C270*'Business Case'!F13*$D270-'Business Case'!F14*$E270)-MAX(0,(('Business Case'!F11*$C270*'Business Case'!F12*$B270)-'Business Case'!F11*$C270*'Business Case'!F13*$D270-'Business Case'!F14*$E270))*'Business Case'!$B$7-'Business Case'!$B$8*(('Business Case'!F11*$C270*'Business Case'!F12*$B270)-('Business Case'!E11*$C270*'Business Case'!E12*$B270))-'Business Case'!F15*$F270</f>
        <v>875272617.059634</v>
      </c>
      <c r="M270" s="39" t="n">
        <f aca="false">(('Business Case'!G11*$C270*'Business Case'!G12*$B270)-'Business Case'!G11*$C270*'Business Case'!G13*$D270-'Business Case'!G14*$E270)-MAX(0,(('Business Case'!G11*$C270*'Business Case'!G12*$B270)-'Business Case'!G11*$C270*'Business Case'!G13*$D270-'Business Case'!G14*$E270))*'Business Case'!$B$7-'Business Case'!$B$8*(('Business Case'!G11*$C270*'Business Case'!G12*$B270)-('Business Case'!F11*$C270*'Business Case'!F12*$B270))-'Business Case'!G15*$F270+'Business Case'!$B$8*('Business Case'!G11*$C270*'Business Case'!G12*$B270)</f>
        <v>1081408913.21648</v>
      </c>
      <c r="N270" s="39" t="n">
        <f aca="false">IF(COUNT('Business Case'!B11:G11)=0,"",H270+NPV(G270,I270:M270))</f>
        <v>215604841.86951</v>
      </c>
      <c r="P270" s="40" t="n">
        <f aca="true">RAND()</f>
        <v>0.739352798421247</v>
      </c>
      <c r="Q270" s="40" t="n">
        <f aca="true">RAND()</f>
        <v>0.923694801228755</v>
      </c>
      <c r="R270" s="40" t="n">
        <f aca="true">RAND()</f>
        <v>0.557579391829139</v>
      </c>
      <c r="S270" s="40" t="n">
        <f aca="true">RAND()</f>
        <v>0.536314297640366</v>
      </c>
      <c r="T270" s="40" t="n">
        <f aca="true">RAND()</f>
        <v>0.00881273825517388</v>
      </c>
      <c r="U270" s="40" t="n">
        <f aca="true">RAND()</f>
        <v>0.38979812569723</v>
      </c>
    </row>
    <row r="271" customFormat="false" ht="15" hidden="false" customHeight="false" outlineLevel="0" collapsed="false">
      <c r="A271" s="36" t="n">
        <v>191</v>
      </c>
      <c r="B271" s="37" t="n">
        <f aca="false">1+IF($G$6=$E$6,$F$6,IF(P271&lt;($F$6-$E$6)/($G$6-$E$6),$E$6+SQRT(P271*($G$6-$E$6)*($F$6-$E$6)),$G$6-SQRT((1-P271)*($G$6-$E$6)*($G$6-$F$6))))</f>
        <v>0.947126481802752</v>
      </c>
      <c r="C271" s="37" t="n">
        <f aca="false">1+IF($G$7=$E$7,$F$7,IF(Q271&lt;($F$7-$E$7)/($G$7-$E$7),$E$7+SQRT(Q271*($G$7-$E$7)*($F$7-$E$7)),$G$7-SQRT((1-Q271)*($G$7-$E$7)*($G$7-$F$7))))</f>
        <v>1.02660063092297</v>
      </c>
      <c r="D271" s="37" t="n">
        <f aca="false">1+IF($G$8=$E$8,$F$8,IF(R271&lt;($F$8-$E$8)/($G$8-$E$8),$E$8+SQRT(R271*($G$8-$E$8)*($F$8-$E$8)),$G$8-SQRT((1-R271)*($G$8-$E$8)*($G$8-$F$8))))</f>
        <v>0.974325674398027</v>
      </c>
      <c r="E271" s="37" t="n">
        <f aca="false">1+IF($G$9=$E$9,$F$9,IF(S271&lt;($F$9-$E$9)/($G$9-$E$9),$E$9+SQRT(S271*($G$9-$E$9)*($F$9-$E$9)),$G$9-SQRT((1-S271)*($G$9-$E$9)*($G$9-$F$9))))</f>
        <v>0.974999947228562</v>
      </c>
      <c r="F271" s="37" t="n">
        <f aca="false">1+IF($G$10=$E$10,$F$10,IF(T271&lt;($F$10-$E$10)/($G$10-$E$10),$E$10+SQRT(T271*($G$10-$E$10)*($F$10-$E$10)),$G$10-SQRT((1-T271)*($G$10-$E$10)*($G$10-$F$10))))</f>
        <v>0.983233007678833</v>
      </c>
      <c r="G271" s="38" t="n">
        <f aca="false">IF($G$11=$E$11,$F$11,IF(U271&lt;($F$11-$E$11)/($G$11-$E$11),$E$11+SQRT(U271*($G$11-$E$11)*($F$11-$E$11)),$G$11-SQRT((1-U271)*($G$11-$E$11)*($G$11-$F$11))))</f>
        <v>0.121814058952253</v>
      </c>
      <c r="H271" s="39" t="n">
        <f aca="false">(('Business Case'!B11*$C271*'Business Case'!B12*$B271)-'Business Case'!B11*$C271*'Business Case'!B13*$D271-'Business Case'!B14*$E271)-MAX(0,(('Business Case'!B11*$C271*'Business Case'!B12*$B271)-'Business Case'!B11*$C271*'Business Case'!B13*$D271-'Business Case'!B14*$E271))*'Business Case'!$B$7-'Business Case'!$B$8*('Business Case'!B11*$C271*'Business Case'!B12*$B271)-'Business Case'!B15*$F271</f>
        <v>-1966466015.35767</v>
      </c>
      <c r="I271" s="39" t="n">
        <f aca="false">(('Business Case'!C11*$C271*'Business Case'!C12*$B271)-'Business Case'!C11*$C271*'Business Case'!C13*$D271-'Business Case'!C14*$E271)-MAX(0,(('Business Case'!C11*$C271*'Business Case'!C12*$B271)-'Business Case'!C11*$C271*'Business Case'!C13*$D271-'Business Case'!C14*$E271))*'Business Case'!$B$7-'Business Case'!$B$8*(('Business Case'!C11*$C271*'Business Case'!C12*$B271)-('Business Case'!B11*$C271*'Business Case'!B12*$B271))-'Business Case'!C15*$F271</f>
        <v>-3017357.88050941</v>
      </c>
      <c r="J271" s="39" t="n">
        <f aca="false">(('Business Case'!D11*$C271*'Business Case'!D12*$B271)-'Business Case'!D11*$C271*'Business Case'!D13*$D271-'Business Case'!D14*$E271)-MAX(0,(('Business Case'!D11*$C271*'Business Case'!D12*$B271)-'Business Case'!D11*$C271*'Business Case'!D13*$D271-'Business Case'!D14*$E271))*'Business Case'!$B$7-'Business Case'!$B$8*(('Business Case'!D11*$C271*'Business Case'!D12*$B271)-('Business Case'!C11*$C271*'Business Case'!C12*$B271))-'Business Case'!D15*$F271</f>
        <v>281338679.676454</v>
      </c>
      <c r="K271" s="39" t="n">
        <f aca="false">(('Business Case'!E11*$C271*'Business Case'!E12*$B271)-'Business Case'!E11*$C271*'Business Case'!E13*$D271-'Business Case'!E14*$E271)-MAX(0,(('Business Case'!E11*$C271*'Business Case'!E12*$B271)-'Business Case'!E11*$C271*'Business Case'!E13*$D271-'Business Case'!E14*$E271))*'Business Case'!$B$7-'Business Case'!$B$8*(('Business Case'!E11*$C271*'Business Case'!E12*$B271)-('Business Case'!D11*$C271*'Business Case'!D12*$B271))-'Business Case'!E15*$F271</f>
        <v>614856367.617359</v>
      </c>
      <c r="L271" s="39" t="n">
        <f aca="false">(('Business Case'!F11*$C271*'Business Case'!F12*$B271)-'Business Case'!F11*$C271*'Business Case'!F13*$D271-'Business Case'!F14*$E271)-MAX(0,(('Business Case'!F11*$C271*'Business Case'!F12*$B271)-'Business Case'!F11*$C271*'Business Case'!F13*$D271-'Business Case'!F14*$E271))*'Business Case'!$B$7-'Business Case'!$B$8*(('Business Case'!F11*$C271*'Business Case'!F12*$B271)-('Business Case'!E11*$C271*'Business Case'!E12*$B271))-'Business Case'!F15*$F271</f>
        <v>743245114.918805</v>
      </c>
      <c r="M271" s="39" t="n">
        <f aca="false">(('Business Case'!G11*$C271*'Business Case'!G12*$B271)-'Business Case'!G11*$C271*'Business Case'!G13*$D271-'Business Case'!G14*$E271)-MAX(0,(('Business Case'!G11*$C271*'Business Case'!G12*$B271)-'Business Case'!G11*$C271*'Business Case'!G13*$D271-'Business Case'!G14*$E271))*'Business Case'!$B$7-'Business Case'!$B$8*(('Business Case'!G11*$C271*'Business Case'!G12*$B271)-('Business Case'!F11*$C271*'Business Case'!F12*$B271))-'Business Case'!G15*$F271+'Business Case'!$B$8*('Business Case'!G11*$C271*'Business Case'!G12*$B271)</f>
        <v>928063822.888993</v>
      </c>
      <c r="N271" s="39" t="n">
        <f aca="false">IF(COUNT('Business Case'!B11:G11)=0,"",H271+NPV(G271,I271:M271))</f>
        <v>-318413995.214986</v>
      </c>
      <c r="P271" s="40" t="n">
        <f aca="true">RAND()</f>
        <v>0.148060352473676</v>
      </c>
      <c r="Q271" s="40" t="n">
        <f aca="true">RAND()</f>
        <v>0.774408825353931</v>
      </c>
      <c r="R271" s="40" t="n">
        <f aca="true">RAND()</f>
        <v>0.0788984579891747</v>
      </c>
      <c r="S271" s="40" t="n">
        <f aca="true">RAND()</f>
        <v>0.224999683371485</v>
      </c>
      <c r="T271" s="40" t="n">
        <f aca="true">RAND()</f>
        <v>0.0736288532920924</v>
      </c>
      <c r="U271" s="40" t="n">
        <f aca="true">RAND()</f>
        <v>0.955326912775208</v>
      </c>
    </row>
    <row r="272" customFormat="false" ht="15" hidden="false" customHeight="false" outlineLevel="0" collapsed="false">
      <c r="A272" s="36" t="n">
        <v>192</v>
      </c>
      <c r="B272" s="37" t="n">
        <f aca="false">1+IF($G$6=$E$6,$F$6,IF(P272&lt;($F$6-$E$6)/($G$6-$E$6),$E$6+SQRT(P272*($G$6-$E$6)*($F$6-$E$6)),$G$6-SQRT((1-P272)*($G$6-$E$6)*($G$6-$F$6))))</f>
        <v>0.93740733971666</v>
      </c>
      <c r="C272" s="37" t="n">
        <f aca="false">1+IF($G$7=$E$7,$F$7,IF(Q272&lt;($F$7-$E$7)/($G$7-$E$7),$E$7+SQRT(Q272*($G$7-$E$7)*($F$7-$E$7)),$G$7-SQRT((1-Q272)*($G$7-$E$7)*($G$7-$F$7))))</f>
        <v>0.974959833957383</v>
      </c>
      <c r="D272" s="37" t="n">
        <f aca="false">1+IF($G$8=$E$8,$F$8,IF(R272&lt;($F$8-$E$8)/($G$8-$E$8),$E$8+SQRT(R272*($G$8-$E$8)*($F$8-$E$8)),$G$8-SQRT((1-R272)*($G$8-$E$8)*($G$8-$F$8))))</f>
        <v>1.07821677905485</v>
      </c>
      <c r="E272" s="37" t="n">
        <f aca="false">1+IF($G$9=$E$9,$F$9,IF(S272&lt;($F$9-$E$9)/($G$9-$E$9),$E$9+SQRT(S272*($G$9-$E$9)*($F$9-$E$9)),$G$9-SQRT((1-S272)*($G$9-$E$9)*($G$9-$F$9))))</f>
        <v>1.05937180197277</v>
      </c>
      <c r="F272" s="37" t="n">
        <f aca="false">1+IF($G$10=$E$10,$F$10,IF(T272&lt;($F$10-$E$10)/($G$10-$E$10),$E$10+SQRT(T272*($G$10-$E$10)*($F$10-$E$10)),$G$10-SQRT((1-T272)*($G$10-$E$10)*($G$10-$F$10))))</f>
        <v>1.07636509104793</v>
      </c>
      <c r="G272" s="38" t="n">
        <f aca="false">IF($G$11=$E$11,$F$11,IF(U272&lt;($F$11-$E$11)/($G$11-$E$11),$E$11+SQRT(U272*($G$11-$E$11)*($F$11-$E$11)),$G$11-SQRT((1-U272)*($G$11-$E$11)*($G$11-$F$11))))</f>
        <v>0.0955504869837309</v>
      </c>
      <c r="H272" s="39" t="n">
        <f aca="false">(('Business Case'!B11*$C272*'Business Case'!B12*$B272)-'Business Case'!B11*$C272*'Business Case'!B13*$D272-'Business Case'!B14*$E272)-MAX(0,(('Business Case'!B11*$C272*'Business Case'!B12*$B272)-'Business Case'!B11*$C272*'Business Case'!B13*$D272-'Business Case'!B14*$E272))*'Business Case'!$B$7-'Business Case'!$B$8*('Business Case'!B11*$C272*'Business Case'!B12*$B272)-'Business Case'!B15*$F272</f>
        <v>-2152730182.09587</v>
      </c>
      <c r="I272" s="39" t="n">
        <f aca="false">(('Business Case'!C11*$C272*'Business Case'!C12*$B272)-'Business Case'!C11*$C272*'Business Case'!C13*$D272-'Business Case'!C14*$E272)-MAX(0,(('Business Case'!C11*$C272*'Business Case'!C12*$B272)-'Business Case'!C11*$C272*'Business Case'!C13*$D272-'Business Case'!C14*$E272))*'Business Case'!$B$7-'Business Case'!$B$8*(('Business Case'!C11*$C272*'Business Case'!C12*$B272)-('Business Case'!B11*$C272*'Business Case'!B12*$B272))-'Business Case'!C15*$F272</f>
        <v>-95218926.874187</v>
      </c>
      <c r="J272" s="39" t="n">
        <f aca="false">(('Business Case'!D11*$C272*'Business Case'!D12*$B272)-'Business Case'!D11*$C272*'Business Case'!D13*$D272-'Business Case'!D14*$E272)-MAX(0,(('Business Case'!D11*$C272*'Business Case'!D12*$B272)-'Business Case'!D11*$C272*'Business Case'!D13*$D272-'Business Case'!D14*$E272))*'Business Case'!$B$7-'Business Case'!$B$8*(('Business Case'!D11*$C272*'Business Case'!D12*$B272)-('Business Case'!C11*$C272*'Business Case'!C12*$B272))-'Business Case'!D15*$F272</f>
        <v>115219690.298853</v>
      </c>
      <c r="K272" s="39" t="n">
        <f aca="false">(('Business Case'!E11*$C272*'Business Case'!E12*$B272)-'Business Case'!E11*$C272*'Business Case'!E13*$D272-'Business Case'!E14*$E272)-MAX(0,(('Business Case'!E11*$C272*'Business Case'!E12*$B272)-'Business Case'!E11*$C272*'Business Case'!E13*$D272-'Business Case'!E14*$E272))*'Business Case'!$B$7-'Business Case'!$B$8*(('Business Case'!E11*$C272*'Business Case'!E12*$B272)-('Business Case'!D11*$C272*'Business Case'!D12*$B272))-'Business Case'!E15*$F272</f>
        <v>379476562.024291</v>
      </c>
      <c r="L272" s="39" t="n">
        <f aca="false">(('Business Case'!F11*$C272*'Business Case'!F12*$B272)-'Business Case'!F11*$C272*'Business Case'!F13*$D272-'Business Case'!F14*$E272)-MAX(0,(('Business Case'!F11*$C272*'Business Case'!F12*$B272)-'Business Case'!F11*$C272*'Business Case'!F13*$D272-'Business Case'!F14*$E272))*'Business Case'!$B$7-'Business Case'!$B$8*(('Business Case'!F11*$C272*'Business Case'!F12*$B272)-('Business Case'!E11*$C272*'Business Case'!E12*$B272))-'Business Case'!F15*$F272</f>
        <v>481208344.216574</v>
      </c>
      <c r="M272" s="39" t="n">
        <f aca="false">(('Business Case'!G11*$C272*'Business Case'!G12*$B272)-'Business Case'!G11*$C272*'Business Case'!G13*$D272-'Business Case'!G14*$E272)-MAX(0,(('Business Case'!G11*$C272*'Business Case'!G12*$B272)-'Business Case'!G11*$C272*'Business Case'!G13*$D272-'Business Case'!G14*$E272))*'Business Case'!$B$7-'Business Case'!$B$8*(('Business Case'!G11*$C272*'Business Case'!G12*$B272)-('Business Case'!F11*$C272*'Business Case'!F12*$B272))-'Business Case'!G15*$F272+'Business Case'!$B$8*('Business Case'!G11*$C272*'Business Case'!G12*$B272)</f>
        <v>654929014.790228</v>
      </c>
      <c r="N272" s="39" t="n">
        <f aca="false">IF(COUNT('Business Case'!B11:G11)=0,"",H272+NPV(G272,I272:M272))</f>
        <v>-1106023387.556</v>
      </c>
      <c r="P272" s="40" t="n">
        <f aca="true">RAND()</f>
        <v>0.0932872709785058</v>
      </c>
      <c r="Q272" s="40" t="n">
        <f aca="true">RAND()</f>
        <v>0.560021557702751</v>
      </c>
      <c r="R272" s="40" t="n">
        <f aca="true">RAND()</f>
        <v>0.968366085683649</v>
      </c>
      <c r="S272" s="40" t="n">
        <f aca="true">RAND()</f>
        <v>0.780974125929008</v>
      </c>
      <c r="T272" s="40" t="n">
        <f aca="true">RAND()</f>
        <v>0.598012245242762</v>
      </c>
      <c r="U272" s="40" t="n">
        <f aca="true">RAND()</f>
        <v>0.241817645431183</v>
      </c>
    </row>
    <row r="273" customFormat="false" ht="15" hidden="false" customHeight="false" outlineLevel="0" collapsed="false">
      <c r="A273" s="36" t="n">
        <v>193</v>
      </c>
      <c r="B273" s="37" t="n">
        <f aca="false">1+IF($G$6=$E$6,$F$6,IF(P273&lt;($F$6-$E$6)/($G$6-$E$6),$E$6+SQRT(P273*($G$6-$E$6)*($F$6-$E$6)),$G$6-SQRT((1-P273)*($G$6-$E$6)*($G$6-$F$6))))</f>
        <v>1.0315817470146</v>
      </c>
      <c r="C273" s="37" t="n">
        <f aca="false">1+IF($G$7=$E$7,$F$7,IF(Q273&lt;($F$7-$E$7)/($G$7-$E$7),$E$7+SQRT(Q273*($G$7-$E$7)*($F$7-$E$7)),$G$7-SQRT((1-Q273)*($G$7-$E$7)*($G$7-$F$7))))</f>
        <v>0.926487145565542</v>
      </c>
      <c r="D273" s="37" t="n">
        <f aca="false">1+IF($G$8=$E$8,$F$8,IF(R273&lt;($F$8-$E$8)/($G$8-$E$8),$E$8+SQRT(R273*($G$8-$E$8)*($F$8-$E$8)),$G$8-SQRT((1-R273)*($G$8-$E$8)*($G$8-$F$8))))</f>
        <v>1.03945006150878</v>
      </c>
      <c r="E273" s="37" t="n">
        <f aca="false">1+IF($G$9=$E$9,$F$9,IF(S273&lt;($F$9-$E$9)/($G$9-$E$9),$E$9+SQRT(S273*($G$9-$E$9)*($F$9-$E$9)),$G$9-SQRT((1-S273)*($G$9-$E$9)*($G$9-$F$9))))</f>
        <v>1.09595633906362</v>
      </c>
      <c r="F273" s="37" t="n">
        <f aca="false">1+IF($G$10=$E$10,$F$10,IF(T273&lt;($F$10-$E$10)/($G$10-$E$10),$E$10+SQRT(T273*($G$10-$E$10)*($F$10-$E$10)),$G$10-SQRT((1-T273)*($G$10-$E$10)*($G$10-$F$10))))</f>
        <v>1.10834729114206</v>
      </c>
      <c r="G273" s="38" t="n">
        <f aca="false">IF($G$11=$E$11,$F$11,IF(U273&lt;($F$11-$E$11)/($G$11-$E$11),$E$11+SQRT(U273*($G$11-$E$11)*($F$11-$E$11)),$G$11-SQRT((1-U273)*($G$11-$E$11)*($G$11-$F$11))))</f>
        <v>0.0971281906864107</v>
      </c>
      <c r="H273" s="39" t="n">
        <f aca="false">(('Business Case'!B11*$C273*'Business Case'!B12*$B273)-'Business Case'!B11*$C273*'Business Case'!B13*$D273-'Business Case'!B14*$E273)-MAX(0,(('Business Case'!B11*$C273*'Business Case'!B12*$B273)-'Business Case'!B11*$C273*'Business Case'!B13*$D273-'Business Case'!B14*$E273))*'Business Case'!$B$7-'Business Case'!$B$8*('Business Case'!B11*$C273*'Business Case'!B12*$B273)-'Business Case'!B15*$F273</f>
        <v>-2216694582.28412</v>
      </c>
      <c r="I273" s="39" t="n">
        <f aca="false">(('Business Case'!C11*$C273*'Business Case'!C12*$B273)-'Business Case'!C11*$C273*'Business Case'!C13*$D273-'Business Case'!C14*$E273)-MAX(0,(('Business Case'!C11*$C273*'Business Case'!C12*$B273)-'Business Case'!C11*$C273*'Business Case'!C13*$D273-'Business Case'!C14*$E273))*'Business Case'!$B$7-'Business Case'!$B$8*(('Business Case'!C11*$C273*'Business Case'!C12*$B273)-('Business Case'!B11*$C273*'Business Case'!B12*$B273))-'Business Case'!C15*$F273</f>
        <v>-26397825.8340552</v>
      </c>
      <c r="J273" s="39" t="n">
        <f aca="false">(('Business Case'!D11*$C273*'Business Case'!D12*$B273)-'Business Case'!D11*$C273*'Business Case'!D13*$D273-'Business Case'!D14*$E273)-MAX(0,(('Business Case'!D11*$C273*'Business Case'!D12*$B273)-'Business Case'!D11*$C273*'Business Case'!D13*$D273-'Business Case'!D14*$E273))*'Business Case'!$B$7-'Business Case'!$B$8*(('Business Case'!D11*$C273*'Business Case'!D12*$B273)-('Business Case'!C11*$C273*'Business Case'!C12*$B273))-'Business Case'!D15*$F273</f>
        <v>263430005.171301</v>
      </c>
      <c r="K273" s="39" t="n">
        <f aca="false">(('Business Case'!E11*$C273*'Business Case'!E12*$B273)-'Business Case'!E11*$C273*'Business Case'!E13*$D273-'Business Case'!E14*$E273)-MAX(0,(('Business Case'!E11*$C273*'Business Case'!E12*$B273)-'Business Case'!E11*$C273*'Business Case'!E13*$D273-'Business Case'!E14*$E273))*'Business Case'!$B$7-'Business Case'!$B$8*(('Business Case'!E11*$C273*'Business Case'!E12*$B273)-('Business Case'!D11*$C273*'Business Case'!D12*$B273))-'Business Case'!E15*$F273</f>
        <v>608675200.733761</v>
      </c>
      <c r="L273" s="39" t="n">
        <f aca="false">(('Business Case'!F11*$C273*'Business Case'!F12*$B273)-'Business Case'!F11*$C273*'Business Case'!F13*$D273-'Business Case'!F14*$E273)-MAX(0,(('Business Case'!F11*$C273*'Business Case'!F12*$B273)-'Business Case'!F11*$C273*'Business Case'!F13*$D273-'Business Case'!F14*$E273))*'Business Case'!$B$7-'Business Case'!$B$8*(('Business Case'!F11*$C273*'Business Case'!F12*$B273)-('Business Case'!E11*$C273*'Business Case'!E12*$B273))-'Business Case'!F15*$F273</f>
        <v>738315101.942452</v>
      </c>
      <c r="M273" s="39" t="n">
        <f aca="false">(('Business Case'!G11*$C273*'Business Case'!G12*$B273)-'Business Case'!G11*$C273*'Business Case'!G13*$D273-'Business Case'!G14*$E273)-MAX(0,(('Business Case'!G11*$C273*'Business Case'!G12*$B273)-'Business Case'!G11*$C273*'Business Case'!G13*$D273-'Business Case'!G14*$E273))*'Business Case'!$B$7-'Business Case'!$B$8*(('Business Case'!G11*$C273*'Business Case'!G12*$B273)-('Business Case'!F11*$C273*'Business Case'!F12*$B273))-'Business Case'!G15*$F273+'Business Case'!$B$8*('Business Case'!G11*$C273*'Business Case'!G12*$B273)</f>
        <v>919983535.080433</v>
      </c>
      <c r="N273" s="39" t="n">
        <f aca="false">IF(COUNT('Business Case'!B11:G11)=0,"",H273+NPV(G273,I273:M273))</f>
        <v>-472663482.31498</v>
      </c>
      <c r="P273" s="40" t="n">
        <f aca="true">RAND()</f>
        <v>0.95476906092878</v>
      </c>
      <c r="Q273" s="40" t="n">
        <f aca="true">RAND()</f>
        <v>0.379973534121683</v>
      </c>
      <c r="R273" s="40" t="n">
        <f aca="true">RAND()</f>
        <v>0.755580329913971</v>
      </c>
      <c r="S273" s="40" t="n">
        <f aca="true">RAND()</f>
        <v>0.922114205669173</v>
      </c>
      <c r="T273" s="40" t="n">
        <f aca="true">RAND()</f>
        <v>0.732460134309442</v>
      </c>
      <c r="U273" s="40" t="n">
        <f aca="true">RAND()</f>
        <v>0.293374916190045</v>
      </c>
    </row>
    <row r="274" customFormat="false" ht="15" hidden="false" customHeight="false" outlineLevel="0" collapsed="false">
      <c r="A274" s="36" t="n">
        <v>194</v>
      </c>
      <c r="B274" s="37" t="n">
        <f aca="false">1+IF($G$6=$E$6,$F$6,IF(P274&lt;($F$6-$E$6)/($G$6-$E$6),$E$6+SQRT(P274*($G$6-$E$6)*($F$6-$E$6)),$G$6-SQRT((1-P274)*($G$6-$E$6)*($G$6-$F$6))))</f>
        <v>0.977873181314282</v>
      </c>
      <c r="C274" s="37" t="n">
        <f aca="false">1+IF($G$7=$E$7,$F$7,IF(Q274&lt;($F$7-$E$7)/($G$7-$E$7),$E$7+SQRT(Q274*($G$7-$E$7)*($F$7-$E$7)),$G$7-SQRT((1-Q274)*($G$7-$E$7)*($G$7-$F$7))))</f>
        <v>0.907166227393417</v>
      </c>
      <c r="D274" s="37" t="n">
        <f aca="false">1+IF($G$8=$E$8,$F$8,IF(R274&lt;($F$8-$E$8)/($G$8-$E$8),$E$8+SQRT(R274*($G$8-$E$8)*($F$8-$E$8)),$G$8-SQRT((1-R274)*($G$8-$E$8)*($G$8-$F$8))))</f>
        <v>1.01184552505376</v>
      </c>
      <c r="E274" s="37" t="n">
        <f aca="false">1+IF($G$9=$E$9,$F$9,IF(S274&lt;($F$9-$E$9)/($G$9-$E$9),$E$9+SQRT(S274*($G$9-$E$9)*($F$9-$E$9)),$G$9-SQRT((1-S274)*($G$9-$E$9)*($G$9-$F$9))))</f>
        <v>1.01179422659272</v>
      </c>
      <c r="F274" s="37" t="n">
        <f aca="false">1+IF($G$10=$E$10,$F$10,IF(T274&lt;($F$10-$E$10)/($G$10-$E$10),$E$10+SQRT(T274*($G$10-$E$10)*($F$10-$E$10)),$G$10-SQRT((1-T274)*($G$10-$E$10)*($G$10-$F$10))))</f>
        <v>0.968207559028994</v>
      </c>
      <c r="G274" s="38" t="n">
        <f aca="false">IF($G$11=$E$11,$F$11,IF(U274&lt;($F$11-$E$11)/($G$11-$E$11),$E$11+SQRT(U274*($G$11-$E$11)*($F$11-$E$11)),$G$11-SQRT((1-U274)*($G$11-$E$11)*($G$11-$F$11))))</f>
        <v>0.121606464007801</v>
      </c>
      <c r="H274" s="39" t="n">
        <f aca="false">(('Business Case'!B11*$C274*'Business Case'!B12*$B274)-'Business Case'!B11*$C274*'Business Case'!B13*$D274-'Business Case'!B14*$E274)-MAX(0,(('Business Case'!B11*$C274*'Business Case'!B12*$B274)-'Business Case'!B11*$C274*'Business Case'!B13*$D274-'Business Case'!B14*$E274))*'Business Case'!$B$7-'Business Case'!$B$8*('Business Case'!B11*$C274*'Business Case'!B12*$B274)-'Business Case'!B15*$F274</f>
        <v>-1936415118.05799</v>
      </c>
      <c r="I274" s="39" t="n">
        <f aca="false">(('Business Case'!C11*$C274*'Business Case'!C12*$B274)-'Business Case'!C11*$C274*'Business Case'!C13*$D274-'Business Case'!C14*$E274)-MAX(0,(('Business Case'!C11*$C274*'Business Case'!C12*$B274)-'Business Case'!C11*$C274*'Business Case'!C13*$D274-'Business Case'!C14*$E274))*'Business Case'!$B$7-'Business Case'!$B$8*(('Business Case'!C11*$C274*'Business Case'!C12*$B274)-('Business Case'!B11*$C274*'Business Case'!B12*$B274))-'Business Case'!C15*$F274</f>
        <v>-29988911.6530952</v>
      </c>
      <c r="J274" s="39" t="n">
        <f aca="false">(('Business Case'!D11*$C274*'Business Case'!D12*$B274)-'Business Case'!D11*$C274*'Business Case'!D13*$D274-'Business Case'!D14*$E274)-MAX(0,(('Business Case'!D11*$C274*'Business Case'!D12*$B274)-'Business Case'!D11*$C274*'Business Case'!D13*$D274-'Business Case'!D14*$E274))*'Business Case'!$B$7-'Business Case'!$B$8*(('Business Case'!D11*$C274*'Business Case'!D12*$B274)-('Business Case'!C11*$C274*'Business Case'!C12*$B274))-'Business Case'!D15*$F274</f>
        <v>226706999.941859</v>
      </c>
      <c r="K274" s="39" t="n">
        <f aca="false">(('Business Case'!E11*$C274*'Business Case'!E12*$B274)-'Business Case'!E11*$C274*'Business Case'!E13*$D274-'Business Case'!E14*$E274)-MAX(0,(('Business Case'!E11*$C274*'Business Case'!E12*$B274)-'Business Case'!E11*$C274*'Business Case'!E13*$D274-'Business Case'!E14*$E274))*'Business Case'!$B$7-'Business Case'!$B$8*(('Business Case'!E11*$C274*'Business Case'!E12*$B274)-('Business Case'!D11*$C274*'Business Case'!D12*$B274))-'Business Case'!E15*$F274</f>
        <v>531813289.488264</v>
      </c>
      <c r="L274" s="39" t="n">
        <f aca="false">(('Business Case'!F11*$C274*'Business Case'!F12*$B274)-'Business Case'!F11*$C274*'Business Case'!F13*$D274-'Business Case'!F14*$E274)-MAX(0,(('Business Case'!F11*$C274*'Business Case'!F12*$B274)-'Business Case'!F11*$C274*'Business Case'!F13*$D274-'Business Case'!F14*$E274))*'Business Case'!$B$7-'Business Case'!$B$8*(('Business Case'!F11*$C274*'Business Case'!F12*$B274)-('Business Case'!E11*$C274*'Business Case'!E12*$B274))-'Business Case'!F15*$F274</f>
        <v>648036545.569026</v>
      </c>
      <c r="M274" s="39" t="n">
        <f aca="false">(('Business Case'!G11*$C274*'Business Case'!G12*$B274)-'Business Case'!G11*$C274*'Business Case'!G13*$D274-'Business Case'!G14*$E274)-MAX(0,(('Business Case'!G11*$C274*'Business Case'!G12*$B274)-'Business Case'!G11*$C274*'Business Case'!G13*$D274-'Business Case'!G14*$E274))*'Business Case'!$B$7-'Business Case'!$B$8*(('Business Case'!G11*$C274*'Business Case'!G12*$B274)-('Business Case'!F11*$C274*'Business Case'!F12*$B274))-'Business Case'!G15*$F274+'Business Case'!$B$8*('Business Case'!G11*$C274*'Business Case'!G12*$B274)</f>
        <v>816655282.755802</v>
      </c>
      <c r="N274" s="39" t="n">
        <f aca="false">IF(COUNT('Business Case'!B11:G11)=0,"",H274+NPV(G274,I274:M274))</f>
        <v>-536462886.853031</v>
      </c>
      <c r="P274" s="40" t="n">
        <f aca="true">RAND()</f>
        <v>0.404282157867132</v>
      </c>
      <c r="Q274" s="40" t="n">
        <f aca="true">RAND()</f>
        <v>0.3179099686846</v>
      </c>
      <c r="R274" s="40" t="n">
        <f aca="true">RAND()</f>
        <v>0.481919236463541</v>
      </c>
      <c r="S274" s="40" t="n">
        <f aca="true">RAND()</f>
        <v>0.490644378583871</v>
      </c>
      <c r="T274" s="40" t="n">
        <f aca="true">RAND()</f>
        <v>0.02210101371962</v>
      </c>
      <c r="U274" s="40" t="n">
        <f aca="true">RAND()</f>
        <v>0.953032369031772</v>
      </c>
    </row>
    <row r="275" customFormat="false" ht="15" hidden="false" customHeight="false" outlineLevel="0" collapsed="false">
      <c r="A275" s="36" t="n">
        <v>195</v>
      </c>
      <c r="B275" s="37" t="n">
        <f aca="false">1+IF($G$6=$E$6,$F$6,IF(P275&lt;($F$6-$E$6)/($G$6-$E$6),$E$6+SQRT(P275*($G$6-$E$6)*($F$6-$E$6)),$G$6-SQRT((1-P275)*($G$6-$E$6)*($G$6-$F$6))))</f>
        <v>1.00559817540514</v>
      </c>
      <c r="C275" s="37" t="n">
        <f aca="false">1+IF($G$7=$E$7,$F$7,IF(Q275&lt;($F$7-$E$7)/($G$7-$E$7),$E$7+SQRT(Q275*($G$7-$E$7)*($F$7-$E$7)),$G$7-SQRT((1-Q275)*($G$7-$E$7)*($G$7-$F$7))))</f>
        <v>1.07821193045044</v>
      </c>
      <c r="D275" s="37" t="n">
        <f aca="false">1+IF($G$8=$E$8,$F$8,IF(R275&lt;($F$8-$E$8)/($G$8-$E$8),$E$8+SQRT(R275*($G$8-$E$8)*($F$8-$E$8)),$G$8-SQRT((1-R275)*($G$8-$E$8)*($G$8-$F$8))))</f>
        <v>1.05604593630299</v>
      </c>
      <c r="E275" s="37" t="n">
        <f aca="false">1+IF($G$9=$E$9,$F$9,IF(S275&lt;($F$9-$E$9)/($G$9-$E$9),$E$9+SQRT(S275*($G$9-$E$9)*($F$9-$E$9)),$G$9-SQRT((1-S275)*($G$9-$E$9)*($G$9-$F$9))))</f>
        <v>1.04819064238097</v>
      </c>
      <c r="F275" s="37" t="n">
        <f aca="false">1+IF($G$10=$E$10,$F$10,IF(T275&lt;($F$10-$E$10)/($G$10-$E$10),$E$10+SQRT(T275*($G$10-$E$10)*($F$10-$E$10)),$G$10-SQRT((1-T275)*($G$10-$E$10)*($G$10-$F$10))))</f>
        <v>1.06393302053395</v>
      </c>
      <c r="G275" s="38" t="n">
        <f aca="false">IF($G$11=$E$11,$F$11,IF(U275&lt;($F$11-$E$11)/($G$11-$E$11),$E$11+SQRT(U275*($G$11-$E$11)*($F$11-$E$11)),$G$11-SQRT((1-U275)*($G$11-$E$11)*($G$11-$F$11))))</f>
        <v>0.096148775531481</v>
      </c>
      <c r="H275" s="39" t="n">
        <f aca="false">(('Business Case'!B11*$C275*'Business Case'!B12*$B275)-'Business Case'!B11*$C275*'Business Case'!B13*$D275-'Business Case'!B14*$E275)-MAX(0,(('Business Case'!B11*$C275*'Business Case'!B12*$B275)-'Business Case'!B11*$C275*'Business Case'!B13*$D275-'Business Case'!B14*$E275))*'Business Case'!$B$7-'Business Case'!$B$8*('Business Case'!B11*$C275*'Business Case'!B12*$B275)-'Business Case'!B15*$F275</f>
        <v>-2127866041.0679</v>
      </c>
      <c r="I275" s="39" t="n">
        <f aca="false">(('Business Case'!C11*$C275*'Business Case'!C12*$B275)-'Business Case'!C11*$C275*'Business Case'!C13*$D275-'Business Case'!C14*$E275)-MAX(0,(('Business Case'!C11*$C275*'Business Case'!C12*$B275)-'Business Case'!C11*$C275*'Business Case'!C13*$D275-'Business Case'!C14*$E275))*'Business Case'!$B$7-'Business Case'!$B$8*(('Business Case'!C11*$C275*'Business Case'!C12*$B275)-('Business Case'!B11*$C275*'Business Case'!B12*$B275))-'Business Case'!C15*$F275</f>
        <v>-6469556.69357285</v>
      </c>
      <c r="J275" s="39" t="n">
        <f aca="false">(('Business Case'!D11*$C275*'Business Case'!D12*$B275)-'Business Case'!D11*$C275*'Business Case'!D13*$D275-'Business Case'!D14*$E275)-MAX(0,(('Business Case'!D11*$C275*'Business Case'!D12*$B275)-'Business Case'!D11*$C275*'Business Case'!D13*$D275-'Business Case'!D14*$E275))*'Business Case'!$B$7-'Business Case'!$B$8*(('Business Case'!D11*$C275*'Business Case'!D12*$B275)-('Business Case'!C11*$C275*'Business Case'!C12*$B275))-'Business Case'!D15*$F275</f>
        <v>298714311.738802</v>
      </c>
      <c r="K275" s="39" t="n">
        <f aca="false">(('Business Case'!E11*$C275*'Business Case'!E12*$B275)-'Business Case'!E11*$C275*'Business Case'!E13*$D275-'Business Case'!E14*$E275)-MAX(0,(('Business Case'!E11*$C275*'Business Case'!E12*$B275)-'Business Case'!E11*$C275*'Business Case'!E13*$D275-'Business Case'!E14*$E275))*'Business Case'!$B$7-'Business Case'!$B$8*(('Business Case'!E11*$C275*'Business Case'!E12*$B275)-('Business Case'!D11*$C275*'Business Case'!D12*$B275))-'Business Case'!E15*$F275</f>
        <v>657094831.197873</v>
      </c>
      <c r="L275" s="39" t="n">
        <f aca="false">(('Business Case'!F11*$C275*'Business Case'!F12*$B275)-'Business Case'!F11*$C275*'Business Case'!F13*$D275-'Business Case'!F14*$E275)-MAX(0,(('Business Case'!F11*$C275*'Business Case'!F12*$B275)-'Business Case'!F11*$C275*'Business Case'!F13*$D275-'Business Case'!F14*$E275))*'Business Case'!$B$7-'Business Case'!$B$8*(('Business Case'!F11*$C275*'Business Case'!F12*$B275)-('Business Case'!E11*$C275*'Business Case'!E12*$B275))-'Business Case'!F15*$F275</f>
        <v>796294396.492651</v>
      </c>
      <c r="M275" s="39" t="n">
        <f aca="false">(('Business Case'!G11*$C275*'Business Case'!G12*$B275)-'Business Case'!G11*$C275*'Business Case'!G13*$D275-'Business Case'!G14*$E275)-MAX(0,(('Business Case'!G11*$C275*'Business Case'!G12*$B275)-'Business Case'!G11*$C275*'Business Case'!G13*$D275-'Business Case'!G14*$E275))*'Business Case'!$B$7-'Business Case'!$B$8*(('Business Case'!G11*$C275*'Business Case'!G12*$B275)-('Business Case'!F11*$C275*'Business Case'!F12*$B275))-'Business Case'!G15*$F275+'Business Case'!$B$8*('Business Case'!G11*$C275*'Business Case'!G12*$B275)</f>
        <v>1002388246.82124</v>
      </c>
      <c r="N275" s="39" t="n">
        <f aca="false">IF(COUNT('Business Case'!B11:G11)=0,"",H275+NPV(G275,I275:M275))</f>
        <v>-201273263.137642</v>
      </c>
      <c r="P275" s="40" t="n">
        <f aca="true">RAND()</f>
        <v>0.737130396352955</v>
      </c>
      <c r="Q275" s="40" t="n">
        <f aca="true">RAND()</f>
        <v>0.923651452894037</v>
      </c>
      <c r="R275" s="40" t="n">
        <f aca="true">RAND()</f>
        <v>0.871202685634634</v>
      </c>
      <c r="S275" s="40" t="n">
        <f aca="true">RAND()</f>
        <v>0.723596125365321</v>
      </c>
      <c r="T275" s="40" t="n">
        <f aca="true">RAND()</f>
        <v>0.538387722031734</v>
      </c>
      <c r="U275" s="40" t="n">
        <f aca="true">RAND()</f>
        <v>0.260782951166159</v>
      </c>
    </row>
    <row r="276" customFormat="false" ht="15" hidden="false" customHeight="false" outlineLevel="0" collapsed="false">
      <c r="A276" s="36" t="n">
        <v>196</v>
      </c>
      <c r="B276" s="37" t="n">
        <f aca="false">1+IF($G$6=$E$6,$F$6,IF(P276&lt;($F$6-$E$6)/($G$6-$E$6),$E$6+SQRT(P276*($G$6-$E$6)*($F$6-$E$6)),$G$6-SQRT((1-P276)*($G$6-$E$6)*($G$6-$F$6))))</f>
        <v>0.997888239896241</v>
      </c>
      <c r="C276" s="37" t="n">
        <f aca="false">1+IF($G$7=$E$7,$F$7,IF(Q276&lt;($F$7-$E$7)/($G$7-$E$7),$E$7+SQRT(Q276*($G$7-$E$7)*($F$7-$E$7)),$G$7-SQRT((1-Q276)*($G$7-$E$7)*($G$7-$F$7))))</f>
        <v>0.920018032207724</v>
      </c>
      <c r="D276" s="37" t="n">
        <f aca="false">1+IF($G$8=$E$8,$F$8,IF(R276&lt;($F$8-$E$8)/($G$8-$E$8),$E$8+SQRT(R276*($G$8-$E$8)*($F$8-$E$8)),$G$8-SQRT((1-R276)*($G$8-$E$8)*($G$8-$F$8))))</f>
        <v>1.03805810547229</v>
      </c>
      <c r="E276" s="37" t="n">
        <f aca="false">1+IF($G$9=$E$9,$F$9,IF(S276&lt;($F$9-$E$9)/($G$9-$E$9),$E$9+SQRT(S276*($G$9-$E$9)*($F$9-$E$9)),$G$9-SQRT((1-S276)*($G$9-$E$9)*($G$9-$F$9))))</f>
        <v>1.07406907740396</v>
      </c>
      <c r="F276" s="37" t="n">
        <f aca="false">1+IF($G$10=$E$10,$F$10,IF(T276&lt;($F$10-$E$10)/($G$10-$E$10),$E$10+SQRT(T276*($G$10-$E$10)*($F$10-$E$10)),$G$10-SQRT((1-T276)*($G$10-$E$10)*($G$10-$F$10))))</f>
        <v>1.09910844689154</v>
      </c>
      <c r="G276" s="38" t="n">
        <f aca="false">IF($G$11=$E$11,$F$11,IF(U276&lt;($F$11-$E$11)/($G$11-$E$11),$E$11+SQRT(U276*($G$11-$E$11)*($F$11-$E$11)),$G$11-SQRT((1-U276)*($G$11-$E$11)*($G$11-$F$11))))</f>
        <v>0.106892843170002</v>
      </c>
      <c r="H276" s="39" t="n">
        <f aca="false">(('Business Case'!B11*$C276*'Business Case'!B12*$B276)-'Business Case'!B11*$C276*'Business Case'!B13*$D276-'Business Case'!B14*$E276)-MAX(0,(('Business Case'!B11*$C276*'Business Case'!B12*$B276)-'Business Case'!B11*$C276*'Business Case'!B13*$D276-'Business Case'!B14*$E276))*'Business Case'!$B$7-'Business Case'!$B$8*('Business Case'!B11*$C276*'Business Case'!B12*$B276)-'Business Case'!B15*$F276</f>
        <v>-2198216893.78308</v>
      </c>
      <c r="I276" s="39" t="n">
        <f aca="false">(('Business Case'!C11*$C276*'Business Case'!C12*$B276)-'Business Case'!C11*$C276*'Business Case'!C13*$D276-'Business Case'!C14*$E276)-MAX(0,(('Business Case'!C11*$C276*'Business Case'!C12*$B276)-'Business Case'!C11*$C276*'Business Case'!C13*$D276-'Business Case'!C14*$E276))*'Business Case'!$B$7-'Business Case'!$B$8*(('Business Case'!C11*$C276*'Business Case'!C12*$B276)-('Business Case'!B11*$C276*'Business Case'!B12*$B276))-'Business Case'!C15*$F276</f>
        <v>-47166886.2479272</v>
      </c>
      <c r="J276" s="39" t="n">
        <f aca="false">(('Business Case'!D11*$C276*'Business Case'!D12*$B276)-'Business Case'!D11*$C276*'Business Case'!D13*$D276-'Business Case'!D14*$E276)-MAX(0,(('Business Case'!D11*$C276*'Business Case'!D12*$B276)-'Business Case'!D11*$C276*'Business Case'!D13*$D276-'Business Case'!D14*$E276))*'Business Case'!$B$7-'Business Case'!$B$8*(('Business Case'!D11*$C276*'Business Case'!D12*$B276)-('Business Case'!C11*$C276*'Business Case'!C12*$B276))-'Business Case'!D15*$F276</f>
        <v>215902712.063463</v>
      </c>
      <c r="K276" s="39" t="n">
        <f aca="false">(('Business Case'!E11*$C276*'Business Case'!E12*$B276)-'Business Case'!E11*$C276*'Business Case'!E13*$D276-'Business Case'!E14*$E276)-MAX(0,(('Business Case'!E11*$C276*'Business Case'!E12*$B276)-'Business Case'!E11*$C276*'Business Case'!E13*$D276-'Business Case'!E14*$E276))*'Business Case'!$B$7-'Business Case'!$B$8*(('Business Case'!E11*$C276*'Business Case'!E12*$B276)-('Business Case'!D11*$C276*'Business Case'!D12*$B276))-'Business Case'!E15*$F276</f>
        <v>533927732.719429</v>
      </c>
      <c r="L276" s="39" t="n">
        <f aca="false">(('Business Case'!F11*$C276*'Business Case'!F12*$B276)-'Business Case'!F11*$C276*'Business Case'!F13*$D276-'Business Case'!F14*$E276)-MAX(0,(('Business Case'!F11*$C276*'Business Case'!F12*$B276)-'Business Case'!F11*$C276*'Business Case'!F13*$D276-'Business Case'!F14*$E276))*'Business Case'!$B$7-'Business Case'!$B$8*(('Business Case'!F11*$C276*'Business Case'!F12*$B276)-('Business Case'!E11*$C276*'Business Case'!E12*$B276))-'Business Case'!F15*$F276</f>
        <v>653346276.865439</v>
      </c>
      <c r="M276" s="39" t="n">
        <f aca="false">(('Business Case'!G11*$C276*'Business Case'!G12*$B276)-'Business Case'!G11*$C276*'Business Case'!G13*$D276-'Business Case'!G14*$E276)-MAX(0,(('Business Case'!G11*$C276*'Business Case'!G12*$B276)-'Business Case'!G11*$C276*'Business Case'!G13*$D276-'Business Case'!G14*$E276))*'Business Case'!$B$7-'Business Case'!$B$8*(('Business Case'!G11*$C276*'Business Case'!G12*$B276)-('Business Case'!F11*$C276*'Business Case'!F12*$B276))-'Business Case'!G15*$F276+'Business Case'!$B$8*('Business Case'!G11*$C276*'Business Case'!G12*$B276)</f>
        <v>827854006.097614</v>
      </c>
      <c r="N276" s="39" t="n">
        <f aca="false">IF(COUNT('Business Case'!B11:G11)=0,"",H276+NPV(G276,I276:M276))</f>
        <v>-737454243.961673</v>
      </c>
      <c r="P276" s="40" t="n">
        <f aca="true">RAND()</f>
        <v>0.638807167332264</v>
      </c>
      <c r="Q276" s="40" t="n">
        <f aca="true">RAND()</f>
        <v>0.358577292567105</v>
      </c>
      <c r="R276" s="40" t="n">
        <f aca="true">RAND()</f>
        <v>0.74421344682119</v>
      </c>
      <c r="S276" s="40" t="n">
        <f aca="true">RAND()</f>
        <v>0.846253199832366</v>
      </c>
      <c r="T276" s="40" t="n">
        <f aca="true">RAND()</f>
        <v>0.696423189340219</v>
      </c>
      <c r="U276" s="40" t="n">
        <f aca="true">RAND()</f>
        <v>0.644039535489264</v>
      </c>
    </row>
    <row r="277" customFormat="false" ht="15" hidden="false" customHeight="false" outlineLevel="0" collapsed="false">
      <c r="A277" s="36" t="n">
        <v>197</v>
      </c>
      <c r="B277" s="37" t="n">
        <f aca="false">1+IF($G$6=$E$6,$F$6,IF(P277&lt;($F$6-$E$6)/($G$6-$E$6),$E$6+SQRT(P277*($G$6-$E$6)*($F$6-$E$6)),$G$6-SQRT((1-P277)*($G$6-$E$6)*($G$6-$F$6))))</f>
        <v>0.910427325137731</v>
      </c>
      <c r="C277" s="37" t="n">
        <f aca="false">1+IF($G$7=$E$7,$F$7,IF(Q277&lt;($F$7-$E$7)/($G$7-$E$7),$E$7+SQRT(Q277*($G$7-$E$7)*($F$7-$E$7)),$G$7-SQRT((1-Q277)*($G$7-$E$7)*($G$7-$F$7))))</f>
        <v>0.790339411652154</v>
      </c>
      <c r="D277" s="37" t="n">
        <f aca="false">1+IF($G$8=$E$8,$F$8,IF(R277&lt;($F$8-$E$8)/($G$8-$E$8),$E$8+SQRT(R277*($G$8-$E$8)*($F$8-$E$8)),$G$8-SQRT((1-R277)*($G$8-$E$8)*($G$8-$F$8))))</f>
        <v>0.997651179469635</v>
      </c>
      <c r="E277" s="37" t="n">
        <f aca="false">1+IF($G$9=$E$9,$F$9,IF(S277&lt;($F$9-$E$9)/($G$9-$E$9),$E$9+SQRT(S277*($G$9-$E$9)*($F$9-$E$9)),$G$9-SQRT((1-S277)*($G$9-$E$9)*($G$9-$F$9))))</f>
        <v>0.940420263984291</v>
      </c>
      <c r="F277" s="37" t="n">
        <f aca="false">1+IF($G$10=$E$10,$F$10,IF(T277&lt;($F$10-$E$10)/($G$10-$E$10),$E$10+SQRT(T277*($G$10-$E$10)*($F$10-$E$10)),$G$10-SQRT((1-T277)*($G$10-$E$10)*($G$10-$F$10))))</f>
        <v>1.05672765528461</v>
      </c>
      <c r="G277" s="38" t="n">
        <f aca="false">IF($G$11=$E$11,$F$11,IF(U277&lt;($F$11-$E$11)/($G$11-$E$11),$E$11+SQRT(U277*($G$11-$E$11)*($F$11-$E$11)),$G$11-SQRT((1-U277)*($G$11-$E$11)*($G$11-$F$11))))</f>
        <v>0.111795529485637</v>
      </c>
      <c r="H277" s="39" t="n">
        <f aca="false">(('Business Case'!B11*$C277*'Business Case'!B12*$B277)-'Business Case'!B11*$C277*'Business Case'!B13*$D277-'Business Case'!B14*$E277)-MAX(0,(('Business Case'!B11*$C277*'Business Case'!B12*$B277)-'Business Case'!B11*$C277*'Business Case'!B13*$D277-'Business Case'!B14*$E277))*'Business Case'!$B$7-'Business Case'!$B$8*('Business Case'!B11*$C277*'Business Case'!B12*$B277)-'Business Case'!B15*$F277</f>
        <v>-2113455310.56923</v>
      </c>
      <c r="I277" s="39" t="n">
        <f aca="false">(('Business Case'!C11*$C277*'Business Case'!C12*$B277)-'Business Case'!C11*$C277*'Business Case'!C13*$D277-'Business Case'!C14*$E277)-MAX(0,(('Business Case'!C11*$C277*'Business Case'!C12*$B277)-'Business Case'!C11*$C277*'Business Case'!C13*$D277-'Business Case'!C14*$E277))*'Business Case'!$B$7-'Business Case'!$B$8*(('Business Case'!C11*$C277*'Business Case'!C12*$B277)-('Business Case'!B11*$C277*'Business Case'!B12*$B277))-'Business Case'!C15*$F277</f>
        <v>-90981593.7590169</v>
      </c>
      <c r="J277" s="39" t="n">
        <f aca="false">(('Business Case'!D11*$C277*'Business Case'!D12*$B277)-'Business Case'!D11*$C277*'Business Case'!D13*$D277-'Business Case'!D14*$E277)-MAX(0,(('Business Case'!D11*$C277*'Business Case'!D12*$B277)-'Business Case'!D11*$C277*'Business Case'!D13*$D277-'Business Case'!D14*$E277))*'Business Case'!$B$7-'Business Case'!$B$8*(('Business Case'!D11*$C277*'Business Case'!D12*$B277)-('Business Case'!C11*$C277*'Business Case'!C12*$B277))-'Business Case'!D15*$F277</f>
        <v>94738635.1116262</v>
      </c>
      <c r="K277" s="39" t="n">
        <f aca="false">(('Business Case'!E11*$C277*'Business Case'!E12*$B277)-'Business Case'!E11*$C277*'Business Case'!E13*$D277-'Business Case'!E14*$E277)-MAX(0,(('Business Case'!E11*$C277*'Business Case'!E12*$B277)-'Business Case'!E11*$C277*'Business Case'!E13*$D277-'Business Case'!E14*$E277))*'Business Case'!$B$7-'Business Case'!$B$8*(('Business Case'!E11*$C277*'Business Case'!E12*$B277)-('Business Case'!D11*$C277*'Business Case'!D12*$B277))-'Business Case'!E15*$F277</f>
        <v>333295246.7465</v>
      </c>
      <c r="L277" s="39" t="n">
        <f aca="false">(('Business Case'!F11*$C277*'Business Case'!F12*$B277)-'Business Case'!F11*$C277*'Business Case'!F13*$D277-'Business Case'!F14*$E277)-MAX(0,(('Business Case'!F11*$C277*'Business Case'!F12*$B277)-'Business Case'!F11*$C277*'Business Case'!F13*$D277-'Business Case'!F14*$E277))*'Business Case'!$B$7-'Business Case'!$B$8*(('Business Case'!F11*$C277*'Business Case'!F12*$B277)-('Business Case'!E11*$C277*'Business Case'!E12*$B277))-'Business Case'!F15*$F277</f>
        <v>420069520.078469</v>
      </c>
      <c r="M277" s="39" t="n">
        <f aca="false">(('Business Case'!G11*$C277*'Business Case'!G12*$B277)-'Business Case'!G11*$C277*'Business Case'!G13*$D277-'Business Case'!G14*$E277)-MAX(0,(('Business Case'!G11*$C277*'Business Case'!G12*$B277)-'Business Case'!G11*$C277*'Business Case'!G13*$D277-'Business Case'!G14*$E277))*'Business Case'!$B$7-'Business Case'!$B$8*(('Business Case'!G11*$C277*'Business Case'!G12*$B277)-('Business Case'!F11*$C277*'Business Case'!F12*$B277))-'Business Case'!G15*$F277+'Business Case'!$B$8*('Business Case'!G11*$C277*'Business Case'!G12*$B277)</f>
        <v>556840937.141455</v>
      </c>
      <c r="N277" s="39" t="n">
        <f aca="false">IF(COUNT('Business Case'!B11:G11)=0,"",H277+NPV(G277,I277:M277))</f>
        <v>-1273392936.33484</v>
      </c>
      <c r="P277" s="40" t="n">
        <f aca="true">RAND()</f>
        <v>0.00724860730186326</v>
      </c>
      <c r="Q277" s="40" t="n">
        <f aca="true">RAND()</f>
        <v>0.0604534022048697</v>
      </c>
      <c r="R277" s="40" t="n">
        <f aca="true">RAND()</f>
        <v>0.302751320646312</v>
      </c>
      <c r="S277" s="40" t="n">
        <f aca="true">RAND()</f>
        <v>0.0653519096223911</v>
      </c>
      <c r="T277" s="40" t="n">
        <f aca="true">RAND()</f>
        <v>0.501944010242888</v>
      </c>
      <c r="U277" s="40" t="n">
        <f aca="true">RAND()</f>
        <v>0.779064835527789</v>
      </c>
    </row>
    <row r="278" customFormat="false" ht="15" hidden="false" customHeight="false" outlineLevel="0" collapsed="false">
      <c r="A278" s="36" t="n">
        <v>198</v>
      </c>
      <c r="B278" s="37" t="n">
        <f aca="false">1+IF($G$6=$E$6,$F$6,IF(P278&lt;($F$6-$E$6)/($G$6-$E$6),$E$6+SQRT(P278*($G$6-$E$6)*($F$6-$E$6)),$G$6-SQRT((1-P278)*($G$6-$E$6)*($G$6-$F$6))))</f>
        <v>0.968389277510701</v>
      </c>
      <c r="C278" s="37" t="n">
        <f aca="false">1+IF($G$7=$E$7,$F$7,IF(Q278&lt;($F$7-$E$7)/($G$7-$E$7),$E$7+SQRT(Q278*($G$7-$E$7)*($F$7-$E$7)),$G$7-SQRT((1-Q278)*($G$7-$E$7)*($G$7-$F$7))))</f>
        <v>1.06431145601676</v>
      </c>
      <c r="D278" s="37" t="n">
        <f aca="false">1+IF($G$8=$E$8,$F$8,IF(R278&lt;($F$8-$E$8)/($G$8-$E$8),$E$8+SQRT(R278*($G$8-$E$8)*($F$8-$E$8)),$G$8-SQRT((1-R278)*($G$8-$E$8)*($G$8-$F$8))))</f>
        <v>0.981348369834653</v>
      </c>
      <c r="E278" s="37" t="n">
        <f aca="false">1+IF($G$9=$E$9,$F$9,IF(S278&lt;($F$9-$E$9)/($G$9-$E$9),$E$9+SQRT(S278*($G$9-$E$9)*($F$9-$E$9)),$G$9-SQRT((1-S278)*($G$9-$E$9)*($G$9-$F$9))))</f>
        <v>0.954541397273022</v>
      </c>
      <c r="F278" s="37" t="n">
        <f aca="false">1+IF($G$10=$E$10,$F$10,IF(T278&lt;($F$10-$E$10)/($G$10-$E$10),$E$10+SQRT(T278*($G$10-$E$10)*($F$10-$E$10)),$G$10-SQRT((1-T278)*($G$10-$E$10)*($G$10-$F$10))))</f>
        <v>1.01129251137652</v>
      </c>
      <c r="G278" s="38" t="n">
        <f aca="false">IF($G$11=$E$11,$F$11,IF(U278&lt;($F$11-$E$11)/($G$11-$E$11),$E$11+SQRT(U278*($G$11-$E$11)*($F$11-$E$11)),$G$11-SQRT((1-U278)*($G$11-$E$11)*($G$11-$F$11))))</f>
        <v>0.104699559395069</v>
      </c>
      <c r="H278" s="39" t="n">
        <f aca="false">(('Business Case'!B11*$C278*'Business Case'!B12*$B278)-'Business Case'!B11*$C278*'Business Case'!B13*$D278-'Business Case'!B14*$E278)-MAX(0,(('Business Case'!B11*$C278*'Business Case'!B12*$B278)-'Business Case'!B11*$C278*'Business Case'!B13*$D278-'Business Case'!B14*$E278))*'Business Case'!$B$7-'Business Case'!$B$8*('Business Case'!B11*$C278*'Business Case'!B12*$B278)-'Business Case'!B15*$F278</f>
        <v>-2022585022.75303</v>
      </c>
      <c r="I278" s="39" t="n">
        <f aca="false">(('Business Case'!C11*$C278*'Business Case'!C12*$B278)-'Business Case'!C11*$C278*'Business Case'!C13*$D278-'Business Case'!C14*$E278)-MAX(0,(('Business Case'!C11*$C278*'Business Case'!C12*$B278)-'Business Case'!C11*$C278*'Business Case'!C13*$D278-'Business Case'!C14*$E278))*'Business Case'!$B$7-'Business Case'!$B$8*(('Business Case'!C11*$C278*'Business Case'!C12*$B278)-('Business Case'!B11*$C278*'Business Case'!B12*$B278))-'Business Case'!C15*$F278</f>
        <v>19216158.0844425</v>
      </c>
      <c r="J278" s="39" t="n">
        <f aca="false">(('Business Case'!D11*$C278*'Business Case'!D12*$B278)-'Business Case'!D11*$C278*'Business Case'!D13*$D278-'Business Case'!D14*$E278)-MAX(0,(('Business Case'!D11*$C278*'Business Case'!D12*$B278)-'Business Case'!D11*$C278*'Business Case'!D13*$D278-'Business Case'!D14*$E278))*'Business Case'!$B$7-'Business Case'!$B$8*(('Business Case'!D11*$C278*'Business Case'!D12*$B278)-('Business Case'!C11*$C278*'Business Case'!C12*$B278))-'Business Case'!D15*$F278</f>
        <v>328727172.851249</v>
      </c>
      <c r="K278" s="39" t="n">
        <f aca="false">(('Business Case'!E11*$C278*'Business Case'!E12*$B278)-'Business Case'!E11*$C278*'Business Case'!E13*$D278-'Business Case'!E14*$E278)-MAX(0,(('Business Case'!E11*$C278*'Business Case'!E12*$B278)-'Business Case'!E11*$C278*'Business Case'!E13*$D278-'Business Case'!E14*$E278))*'Business Case'!$B$7-'Business Case'!$B$8*(('Business Case'!E11*$C278*'Business Case'!E12*$B278)-('Business Case'!D11*$C278*'Business Case'!D12*$B278))-'Business Case'!E15*$F278</f>
        <v>688802813.18688</v>
      </c>
      <c r="L278" s="39" t="n">
        <f aca="false">(('Business Case'!F11*$C278*'Business Case'!F12*$B278)-'Business Case'!F11*$C278*'Business Case'!F13*$D278-'Business Case'!F14*$E278)-MAX(0,(('Business Case'!F11*$C278*'Business Case'!F12*$B278)-'Business Case'!F11*$C278*'Business Case'!F13*$D278-'Business Case'!F14*$E278))*'Business Case'!$B$7-'Business Case'!$B$8*(('Business Case'!F11*$C278*'Business Case'!F12*$B278)-('Business Case'!E11*$C278*'Business Case'!E12*$B278))-'Business Case'!F15*$F278</f>
        <v>827593030.677475</v>
      </c>
      <c r="M278" s="39" t="n">
        <f aca="false">(('Business Case'!G11*$C278*'Business Case'!G12*$B278)-'Business Case'!G11*$C278*'Business Case'!G13*$D278-'Business Case'!G14*$E278)-MAX(0,(('Business Case'!G11*$C278*'Business Case'!G12*$B278)-'Business Case'!G11*$C278*'Business Case'!G13*$D278-'Business Case'!G14*$E278))*'Business Case'!$B$7-'Business Case'!$B$8*(('Business Case'!G11*$C278*'Business Case'!G12*$B278)-('Business Case'!F11*$C278*'Business Case'!F12*$B278))-'Business Case'!G15*$F278+'Business Case'!$B$8*('Business Case'!G11*$C278*'Business Case'!G12*$B278)</f>
        <v>1023502366.46993</v>
      </c>
      <c r="N278" s="39" t="n">
        <f aca="false">IF(COUNT('Business Case'!B11:G11)=0,"",H278+NPV(G278,I278:M278))</f>
        <v>-47079480.5400255</v>
      </c>
      <c r="P278" s="40" t="n">
        <f aca="true">RAND()</f>
        <v>0.311806218562381</v>
      </c>
      <c r="Q278" s="40" t="n">
        <f aca="true">RAND()</f>
        <v>0.891221828593063</v>
      </c>
      <c r="R278" s="40" t="n">
        <f aca="true">RAND()</f>
        <v>0.131029372172026</v>
      </c>
      <c r="S278" s="40" t="n">
        <f aca="true">RAND()</f>
        <v>0.118990560659744</v>
      </c>
      <c r="T278" s="40" t="n">
        <f aca="true">RAND()</f>
        <v>0.24024979833426</v>
      </c>
      <c r="U278" s="40" t="n">
        <f aca="true">RAND()</f>
        <v>0.573258470130904</v>
      </c>
    </row>
    <row r="279" customFormat="false" ht="15" hidden="false" customHeight="false" outlineLevel="0" collapsed="false">
      <c r="A279" s="36" t="n">
        <v>199</v>
      </c>
      <c r="B279" s="37" t="n">
        <f aca="false">1+IF($G$6=$E$6,$F$6,IF(P279&lt;($F$6-$E$6)/($G$6-$E$6),$E$6+SQRT(P279*($G$6-$E$6)*($F$6-$E$6)),$G$6-SQRT((1-P279)*($G$6-$E$6)*($G$6-$F$6))))</f>
        <v>1.02118727114235</v>
      </c>
      <c r="C279" s="37" t="n">
        <f aca="false">1+IF($G$7=$E$7,$F$7,IF(Q279&lt;($F$7-$E$7)/($G$7-$E$7),$E$7+SQRT(Q279*($G$7-$E$7)*($F$7-$E$7)),$G$7-SQRT((1-Q279)*($G$7-$E$7)*($G$7-$F$7))))</f>
        <v>0.832982725989635</v>
      </c>
      <c r="D279" s="37" t="n">
        <f aca="false">1+IF($G$8=$E$8,$F$8,IF(R279&lt;($F$8-$E$8)/($G$8-$E$8),$E$8+SQRT(R279*($G$8-$E$8)*($F$8-$E$8)),$G$8-SQRT((1-R279)*($G$8-$E$8)*($G$8-$F$8))))</f>
        <v>1.03310849107244</v>
      </c>
      <c r="E279" s="37" t="n">
        <f aca="false">1+IF($G$9=$E$9,$F$9,IF(S279&lt;($F$9-$E$9)/($G$9-$E$9),$E$9+SQRT(S279*($G$9-$E$9)*($F$9-$E$9)),$G$9-SQRT((1-S279)*($G$9-$E$9)*($G$9-$F$9))))</f>
        <v>0.985508287518062</v>
      </c>
      <c r="F279" s="37" t="n">
        <f aca="false">1+IF($G$10=$E$10,$F$10,IF(T279&lt;($F$10-$E$10)/($G$10-$E$10),$E$10+SQRT(T279*($G$10-$E$10)*($F$10-$E$10)),$G$10-SQRT((1-T279)*($G$10-$E$10)*($G$10-$F$10))))</f>
        <v>0.99902082694224</v>
      </c>
      <c r="G279" s="38" t="n">
        <f aca="false">IF($G$11=$E$11,$F$11,IF(U279&lt;($F$11-$E$11)/($G$11-$E$11),$E$11+SQRT(U279*($G$11-$E$11)*($F$11-$E$11)),$G$11-SQRT((1-U279)*($G$11-$E$11)*($G$11-$F$11))))</f>
        <v>0.0974820345251686</v>
      </c>
      <c r="H279" s="39" t="n">
        <f aca="false">(('Business Case'!B11*$C279*'Business Case'!B12*$B279)-'Business Case'!B11*$C279*'Business Case'!B13*$D279-'Business Case'!B14*$E279)-MAX(0,(('Business Case'!B11*$C279*'Business Case'!B12*$B279)-'Business Case'!B11*$C279*'Business Case'!B13*$D279-'Business Case'!B14*$E279))*'Business Case'!$B$7-'Business Case'!$B$8*('Business Case'!B11*$C279*'Business Case'!B12*$B279)-'Business Case'!B15*$F279</f>
        <v>-1998041653.88448</v>
      </c>
      <c r="I279" s="39" t="n">
        <f aca="false">(('Business Case'!C11*$C279*'Business Case'!C12*$B279)-'Business Case'!C11*$C279*'Business Case'!C13*$D279-'Business Case'!C14*$E279)-MAX(0,(('Business Case'!C11*$C279*'Business Case'!C12*$B279)-'Business Case'!C11*$C279*'Business Case'!C13*$D279-'Business Case'!C14*$E279))*'Business Case'!$B$7-'Business Case'!$B$8*(('Business Case'!C11*$C279*'Business Case'!C12*$B279)-('Business Case'!B11*$C279*'Business Case'!B12*$B279))-'Business Case'!C15*$F279</f>
        <v>-27948420.9630411</v>
      </c>
      <c r="J279" s="39" t="n">
        <f aca="false">(('Business Case'!D11*$C279*'Business Case'!D12*$B279)-'Business Case'!D11*$C279*'Business Case'!D13*$D279-'Business Case'!D14*$E279)-MAX(0,(('Business Case'!D11*$C279*'Business Case'!D12*$B279)-'Business Case'!D11*$C279*'Business Case'!D13*$D279-'Business Case'!D14*$E279))*'Business Case'!$B$7-'Business Case'!$B$8*(('Business Case'!D11*$C279*'Business Case'!D12*$B279)-('Business Case'!C11*$C279*'Business Case'!C12*$B279))-'Business Case'!D15*$F279</f>
        <v>228241248.79294</v>
      </c>
      <c r="K279" s="39" t="n">
        <f aca="false">(('Business Case'!E11*$C279*'Business Case'!E12*$B279)-'Business Case'!E11*$C279*'Business Case'!E13*$D279-'Business Case'!E14*$E279)-MAX(0,(('Business Case'!E11*$C279*'Business Case'!E12*$B279)-'Business Case'!E11*$C279*'Business Case'!E13*$D279-'Business Case'!E14*$E279))*'Business Case'!$B$7-'Business Case'!$B$8*(('Business Case'!E11*$C279*'Business Case'!E12*$B279)-('Business Case'!D11*$C279*'Business Case'!D12*$B279))-'Business Case'!E15*$F279</f>
        <v>534381959.896033</v>
      </c>
      <c r="L279" s="39" t="n">
        <f aca="false">(('Business Case'!F11*$C279*'Business Case'!F12*$B279)-'Business Case'!F11*$C279*'Business Case'!F13*$D279-'Business Case'!F14*$E279)-MAX(0,(('Business Case'!F11*$C279*'Business Case'!F12*$B279)-'Business Case'!F11*$C279*'Business Case'!F13*$D279-'Business Case'!F14*$E279))*'Business Case'!$B$7-'Business Case'!$B$8*(('Business Case'!F11*$C279*'Business Case'!F12*$B279)-('Business Case'!E11*$C279*'Business Case'!E12*$B279))-'Business Case'!F15*$F279</f>
        <v>649176336.174513</v>
      </c>
      <c r="M279" s="39" t="n">
        <f aca="false">(('Business Case'!G11*$C279*'Business Case'!G12*$B279)-'Business Case'!G11*$C279*'Business Case'!G13*$D279-'Business Case'!G14*$E279)-MAX(0,(('Business Case'!G11*$C279*'Business Case'!G12*$B279)-'Business Case'!G11*$C279*'Business Case'!G13*$D279-'Business Case'!G14*$E279))*'Business Case'!$B$7-'Business Case'!$B$8*(('Business Case'!G11*$C279*'Business Case'!G12*$B279)-('Business Case'!F11*$C279*'Business Case'!F12*$B279))-'Business Case'!G15*$F279+'Business Case'!$B$8*('Business Case'!G11*$C279*'Business Case'!G12*$B279)</f>
        <v>810864344.486855</v>
      </c>
      <c r="N279" s="39" t="n">
        <f aca="false">IF(COUNT('Business Case'!B11:G11)=0,"",H279+NPV(G279,I279:M279))</f>
        <v>-472988474.951833</v>
      </c>
      <c r="P279" s="40" t="n">
        <f aca="true">RAND()</f>
        <v>0.889310220770044</v>
      </c>
      <c r="Q279" s="40" t="n">
        <f aca="true">RAND()</f>
        <v>0.130995595641737</v>
      </c>
      <c r="R279" s="40" t="n">
        <f aca="true">RAND()</f>
        <v>0.7017017355596</v>
      </c>
      <c r="S279" s="40" t="n">
        <f aca="true">RAND()</f>
        <v>0.292466689370864</v>
      </c>
      <c r="T279" s="40" t="n">
        <f aca="true">RAND()</f>
        <v>0.160202764940068</v>
      </c>
      <c r="U279" s="40" t="n">
        <f aca="true">RAND()</f>
        <v>0.305621531139188</v>
      </c>
    </row>
    <row r="280" customFormat="false" ht="15" hidden="false" customHeight="false" outlineLevel="0" collapsed="false">
      <c r="A280" s="36" t="n">
        <v>200</v>
      </c>
      <c r="B280" s="37" t="n">
        <f aca="false">1+IF($G$6=$E$6,$F$6,IF(P280&lt;($F$6-$E$6)/($G$6-$E$6),$E$6+SQRT(P280*($G$6-$E$6)*($F$6-$E$6)),$G$6-SQRT((1-P280)*($G$6-$E$6)*($G$6-$F$6))))</f>
        <v>1.0312181242532</v>
      </c>
      <c r="C280" s="37" t="n">
        <f aca="false">1+IF($G$7=$E$7,$F$7,IF(Q280&lt;($F$7-$E$7)/($G$7-$E$7),$E$7+SQRT(Q280*($G$7-$E$7)*($F$7-$E$7)),$G$7-SQRT((1-Q280)*($G$7-$E$7)*($G$7-$F$7))))</f>
        <v>1.01102520172917</v>
      </c>
      <c r="D280" s="37" t="n">
        <f aca="false">1+IF($G$8=$E$8,$F$8,IF(R280&lt;($F$8-$E$8)/($G$8-$E$8),$E$8+SQRT(R280*($G$8-$E$8)*($F$8-$E$8)),$G$8-SQRT((1-R280)*($G$8-$E$8)*($G$8-$F$8))))</f>
        <v>1.07627424666916</v>
      </c>
      <c r="E280" s="37" t="n">
        <f aca="false">1+IF($G$9=$E$9,$F$9,IF(S280&lt;($F$9-$E$9)/($G$9-$E$9),$E$9+SQRT(S280*($G$9-$E$9)*($F$9-$E$9)),$G$9-SQRT((1-S280)*($G$9-$E$9)*($G$9-$F$9))))</f>
        <v>1.10225966393605</v>
      </c>
      <c r="F280" s="37" t="n">
        <f aca="false">1+IF($G$10=$E$10,$F$10,IF(T280&lt;($F$10-$E$10)/($G$10-$E$10),$E$10+SQRT(T280*($G$10-$E$10)*($F$10-$E$10)),$G$10-SQRT((1-T280)*($G$10-$E$10)*($G$10-$F$10))))</f>
        <v>1.02301287046754</v>
      </c>
      <c r="G280" s="38" t="n">
        <f aca="false">IF($G$11=$E$11,$F$11,IF(U280&lt;($F$11-$E$11)/($G$11-$E$11),$E$11+SQRT(U280*($G$11-$E$11)*($F$11-$E$11)),$G$11-SQRT((1-U280)*($G$11-$E$11)*($G$11-$F$11))))</f>
        <v>0.120223056468562</v>
      </c>
      <c r="H280" s="39" t="n">
        <f aca="false">(('Business Case'!B11*$C280*'Business Case'!B12*$B280)-'Business Case'!B11*$C280*'Business Case'!B13*$D280-'Business Case'!B14*$E280)-MAX(0,(('Business Case'!B11*$C280*'Business Case'!B12*$B280)-'Business Case'!B11*$C280*'Business Case'!B13*$D280-'Business Case'!B14*$E280))*'Business Case'!$B$7-'Business Case'!$B$8*('Business Case'!B11*$C280*'Business Case'!B12*$B280)-'Business Case'!B15*$F280</f>
        <v>-2046025740.93508</v>
      </c>
      <c r="I280" s="39" t="n">
        <f aca="false">(('Business Case'!C11*$C280*'Business Case'!C12*$B280)-'Business Case'!C11*$C280*'Business Case'!C13*$D280-'Business Case'!C14*$E280)-MAX(0,(('Business Case'!C11*$C280*'Business Case'!C12*$B280)-'Business Case'!C11*$C280*'Business Case'!C13*$D280-'Business Case'!C14*$E280))*'Business Case'!$B$7-'Business Case'!$B$8*(('Business Case'!C11*$C280*'Business Case'!C12*$B280)-('Business Case'!B11*$C280*'Business Case'!B12*$B280))-'Business Case'!C15*$F280</f>
        <v>-16176936.2696191</v>
      </c>
      <c r="J280" s="39" t="n">
        <f aca="false">(('Business Case'!D11*$C280*'Business Case'!D12*$B280)-'Business Case'!D11*$C280*'Business Case'!D13*$D280-'Business Case'!D14*$E280)-MAX(0,(('Business Case'!D11*$C280*'Business Case'!D12*$B280)-'Business Case'!D11*$C280*'Business Case'!D13*$D280-'Business Case'!D14*$E280))*'Business Case'!$B$7-'Business Case'!$B$8*(('Business Case'!D11*$C280*'Business Case'!D12*$B280)-('Business Case'!C11*$C280*'Business Case'!C12*$B280))-'Business Case'!D15*$F280</f>
        <v>280736475.346479</v>
      </c>
      <c r="K280" s="39" t="n">
        <f aca="false">(('Business Case'!E11*$C280*'Business Case'!E12*$B280)-'Business Case'!E11*$C280*'Business Case'!E13*$D280-'Business Case'!E14*$E280)-MAX(0,(('Business Case'!E11*$C280*'Business Case'!E12*$B280)-'Business Case'!E11*$C280*'Business Case'!E13*$D280-'Business Case'!E14*$E280))*'Business Case'!$B$7-'Business Case'!$B$8*(('Business Case'!E11*$C280*'Business Case'!E12*$B280)-('Business Case'!D11*$C280*'Business Case'!D12*$B280))-'Business Case'!E15*$F280</f>
        <v>628800530.485953</v>
      </c>
      <c r="L280" s="39" t="n">
        <f aca="false">(('Business Case'!F11*$C280*'Business Case'!F12*$B280)-'Business Case'!F11*$C280*'Business Case'!F13*$D280-'Business Case'!F14*$E280)-MAX(0,(('Business Case'!F11*$C280*'Business Case'!F12*$B280)-'Business Case'!F11*$C280*'Business Case'!F13*$D280-'Business Case'!F14*$E280))*'Business Case'!$B$7-'Business Case'!$B$8*(('Business Case'!F11*$C280*'Business Case'!F12*$B280)-('Business Case'!E11*$C280*'Business Case'!E12*$B280))-'Business Case'!F15*$F280</f>
        <v>763803492.109491</v>
      </c>
      <c r="M280" s="39" t="n">
        <f aca="false">(('Business Case'!G11*$C280*'Business Case'!G12*$B280)-'Business Case'!G11*$C280*'Business Case'!G13*$D280-'Business Case'!G14*$E280)-MAX(0,(('Business Case'!G11*$C280*'Business Case'!G12*$B280)-'Business Case'!G11*$C280*'Business Case'!G13*$D280-'Business Case'!G14*$E280))*'Business Case'!$B$7-'Business Case'!$B$8*(('Business Case'!G11*$C280*'Business Case'!G12*$B280)-('Business Case'!F11*$C280*'Business Case'!F12*$B280))-'Business Case'!G15*$F280+'Business Case'!$B$8*('Business Case'!G11*$C280*'Business Case'!G12*$B280)</f>
        <v>961978526.409433</v>
      </c>
      <c r="N280" s="39" t="n">
        <f aca="false">IF(COUNT('Business Case'!B11:G11)=0,"",H280+NPV(G280,I280:M280))</f>
        <v>-359120132.266466</v>
      </c>
      <c r="P280" s="40" t="n">
        <f aca="true">RAND()</f>
        <v>0.952965485790895</v>
      </c>
      <c r="Q280" s="40" t="n">
        <f aca="true">RAND()</f>
        <v>0.713866747341946</v>
      </c>
      <c r="R280" s="40" t="n">
        <f aca="true">RAND()</f>
        <v>0.962472575258927</v>
      </c>
      <c r="S280" s="40" t="n">
        <f aca="true">RAND()</f>
        <v>0.939222941666692</v>
      </c>
      <c r="T280" s="40" t="n">
        <f aca="true">RAND()</f>
        <v>0.313024573688184</v>
      </c>
      <c r="U280" s="40" t="n">
        <f aca="true">RAND()</f>
        <v>0.936274250122046</v>
      </c>
    </row>
    <row r="281" customFormat="false" ht="15" hidden="false" customHeight="false" outlineLevel="0" collapsed="false">
      <c r="A281" s="36" t="n">
        <v>201</v>
      </c>
      <c r="B281" s="37" t="n">
        <f aca="false">1+IF($G$6=$E$6,$F$6,IF(P281&lt;($F$6-$E$6)/($G$6-$E$6),$E$6+SQRT(P281*($G$6-$E$6)*($F$6-$E$6)),$G$6-SQRT((1-P281)*($G$6-$E$6)*($G$6-$F$6))))</f>
        <v>0.958389145001048</v>
      </c>
      <c r="C281" s="37" t="n">
        <f aca="false">1+IF($G$7=$E$7,$F$7,IF(Q281&lt;($F$7-$E$7)/($G$7-$E$7),$E$7+SQRT(Q281*($G$7-$E$7)*($F$7-$E$7)),$G$7-SQRT((1-Q281)*($G$7-$E$7)*($G$7-$F$7))))</f>
        <v>0.896408876131312</v>
      </c>
      <c r="D281" s="37" t="n">
        <f aca="false">1+IF($G$8=$E$8,$F$8,IF(R281&lt;($F$8-$E$8)/($G$8-$E$8),$E$8+SQRT(R281*($G$8-$E$8)*($F$8-$E$8)),$G$8-SQRT((1-R281)*($G$8-$E$8)*($G$8-$F$8))))</f>
        <v>1.02903743735991</v>
      </c>
      <c r="E281" s="37" t="n">
        <f aca="false">1+IF($G$9=$E$9,$F$9,IF(S281&lt;($F$9-$E$9)/($G$9-$E$9),$E$9+SQRT(S281*($G$9-$E$9)*($F$9-$E$9)),$G$9-SQRT((1-S281)*($G$9-$E$9)*($G$9-$F$9))))</f>
        <v>1.01576797867561</v>
      </c>
      <c r="F281" s="37" t="n">
        <f aca="false">1+IF($G$10=$E$10,$F$10,IF(T281&lt;($F$10-$E$10)/($G$10-$E$10),$E$10+SQRT(T281*($G$10-$E$10)*($F$10-$E$10)),$G$10-SQRT((1-T281)*($G$10-$E$10)*($G$10-$F$10))))</f>
        <v>1.08573177222303</v>
      </c>
      <c r="G281" s="38" t="n">
        <f aca="false">IF($G$11=$E$11,$F$11,IF(U281&lt;($F$11-$E$11)/($G$11-$E$11),$E$11+SQRT(U281*($G$11-$E$11)*($F$11-$E$11)),$G$11-SQRT((1-U281)*($G$11-$E$11)*($G$11-$F$11))))</f>
        <v>0.0880057272119279</v>
      </c>
      <c r="H281" s="39" t="n">
        <f aca="false">(('Business Case'!B11*$C281*'Business Case'!B12*$B281)-'Business Case'!B11*$C281*'Business Case'!B13*$D281-'Business Case'!B14*$E281)-MAX(0,(('Business Case'!B11*$C281*'Business Case'!B12*$B281)-'Business Case'!B11*$C281*'Business Case'!B13*$D281-'Business Case'!B14*$E281))*'Business Case'!$B$7-'Business Case'!$B$8*('Business Case'!B11*$C281*'Business Case'!B12*$B281)-'Business Case'!B15*$F281</f>
        <v>-2171463544.44605</v>
      </c>
      <c r="I281" s="39" t="n">
        <f aca="false">(('Business Case'!C11*$C281*'Business Case'!C12*$B281)-'Business Case'!C11*$C281*'Business Case'!C13*$D281-'Business Case'!C14*$E281)-MAX(0,(('Business Case'!C11*$C281*'Business Case'!C12*$B281)-'Business Case'!C11*$C281*'Business Case'!C13*$D281-'Business Case'!C14*$E281))*'Business Case'!$B$7-'Business Case'!$B$8*(('Business Case'!C11*$C281*'Business Case'!C12*$B281)-('Business Case'!B11*$C281*'Business Case'!B12*$B281))-'Business Case'!C15*$F281</f>
        <v>-66094434.0258266</v>
      </c>
      <c r="J281" s="39" t="n">
        <f aca="false">(('Business Case'!D11*$C281*'Business Case'!D12*$B281)-'Business Case'!D11*$C281*'Business Case'!D13*$D281-'Business Case'!D14*$E281)-MAX(0,(('Business Case'!D11*$C281*'Business Case'!D12*$B281)-'Business Case'!D11*$C281*'Business Case'!D13*$D281-'Business Case'!D14*$E281))*'Business Case'!$B$7-'Business Case'!$B$8*(('Business Case'!D11*$C281*'Business Case'!D12*$B281)-('Business Case'!C11*$C281*'Business Case'!C12*$B281))-'Business Case'!D15*$F281</f>
        <v>165362702.263579</v>
      </c>
      <c r="K281" s="39" t="n">
        <f aca="false">(('Business Case'!E11*$C281*'Business Case'!E12*$B281)-'Business Case'!E11*$C281*'Business Case'!E13*$D281-'Business Case'!E14*$E281)-MAX(0,(('Business Case'!E11*$C281*'Business Case'!E12*$B281)-'Business Case'!E11*$C281*'Business Case'!E13*$D281-'Business Case'!E14*$E281))*'Business Case'!$B$7-'Business Case'!$B$8*(('Business Case'!E11*$C281*'Business Case'!E12*$B281)-('Business Case'!D11*$C281*'Business Case'!D12*$B281))-'Business Case'!E15*$F281</f>
        <v>451106427.164135</v>
      </c>
      <c r="L281" s="39" t="n">
        <f aca="false">(('Business Case'!F11*$C281*'Business Case'!F12*$B281)-'Business Case'!F11*$C281*'Business Case'!F13*$D281-'Business Case'!F14*$E281)-MAX(0,(('Business Case'!F11*$C281*'Business Case'!F12*$B281)-'Business Case'!F11*$C281*'Business Case'!F13*$D281-'Business Case'!F14*$E281))*'Business Case'!$B$7-'Business Case'!$B$8*(('Business Case'!F11*$C281*'Business Case'!F12*$B281)-('Business Case'!E11*$C281*'Business Case'!E12*$B281))-'Business Case'!F15*$F281</f>
        <v>557949596.944108</v>
      </c>
      <c r="M281" s="39" t="n">
        <f aca="false">(('Business Case'!G11*$C281*'Business Case'!G12*$B281)-'Business Case'!G11*$C281*'Business Case'!G13*$D281-'Business Case'!G14*$E281)-MAX(0,(('Business Case'!G11*$C281*'Business Case'!G12*$B281)-'Business Case'!G11*$C281*'Business Case'!G13*$D281-'Business Case'!G14*$E281))*'Business Case'!$B$7-'Business Case'!$B$8*(('Business Case'!G11*$C281*'Business Case'!G12*$B281)-('Business Case'!F11*$C281*'Business Case'!F12*$B281))-'Business Case'!G15*$F281+'Business Case'!$B$8*('Business Case'!G11*$C281*'Business Case'!G12*$B281)</f>
        <v>721248947.536717</v>
      </c>
      <c r="N281" s="39" t="n">
        <f aca="false">IF(COUNT('Business Case'!B11:G11)=0,"",H281+NPV(G281,I281:M281))</f>
        <v>-871016910.156613</v>
      </c>
      <c r="P281" s="40" t="n">
        <f aca="true">RAND()</f>
        <v>0.227286150263561</v>
      </c>
      <c r="Q281" s="40" t="n">
        <f aca="true">RAND()</f>
        <v>0.285751456467889</v>
      </c>
      <c r="R281" s="40" t="n">
        <f aca="true">RAND()</f>
        <v>0.66428764690343</v>
      </c>
      <c r="S281" s="40" t="n">
        <f aca="true">RAND()</f>
        <v>0.519513718697851</v>
      </c>
      <c r="T281" s="40" t="n">
        <f aca="true">RAND()</f>
        <v>0.640212657906833</v>
      </c>
      <c r="U281" s="40" t="n">
        <f aca="true">RAND()</f>
        <v>0.064091668191802</v>
      </c>
    </row>
    <row r="282" customFormat="false" ht="15" hidden="false" customHeight="false" outlineLevel="0" collapsed="false">
      <c r="A282" s="36" t="n">
        <v>202</v>
      </c>
      <c r="B282" s="37" t="n">
        <f aca="false">1+IF($G$6=$E$6,$F$6,IF(P282&lt;($F$6-$E$6)/($G$6-$E$6),$E$6+SQRT(P282*($G$6-$E$6)*($F$6-$E$6)),$G$6-SQRT((1-P282)*($G$6-$E$6)*($G$6-$F$6))))</f>
        <v>1.02555347273431</v>
      </c>
      <c r="C282" s="37" t="n">
        <f aca="false">1+IF($G$7=$E$7,$F$7,IF(Q282&lt;($F$7-$E$7)/($G$7-$E$7),$E$7+SQRT(Q282*($G$7-$E$7)*($F$7-$E$7)),$G$7-SQRT((1-Q282)*($G$7-$E$7)*($G$7-$F$7))))</f>
        <v>1.1028659068567</v>
      </c>
      <c r="D282" s="37" t="n">
        <f aca="false">1+IF($G$8=$E$8,$F$8,IF(R282&lt;($F$8-$E$8)/($G$8-$E$8),$E$8+SQRT(R282*($G$8-$E$8)*($F$8-$E$8)),$G$8-SQRT((1-R282)*($G$8-$E$8)*($G$8-$F$8))))</f>
        <v>1.08058082911165</v>
      </c>
      <c r="E282" s="37" t="n">
        <f aca="false">1+IF($G$9=$E$9,$F$9,IF(S282&lt;($F$9-$E$9)/($G$9-$E$9),$E$9+SQRT(S282*($G$9-$E$9)*($F$9-$E$9)),$G$9-SQRT((1-S282)*($G$9-$E$9)*($G$9-$F$9))))</f>
        <v>0.995500835507461</v>
      </c>
      <c r="F282" s="37" t="n">
        <f aca="false">1+IF($G$10=$E$10,$F$10,IF(T282&lt;($F$10-$E$10)/($G$10-$E$10),$E$10+SQRT(T282*($G$10-$E$10)*($F$10-$E$10)),$G$10-SQRT((1-T282)*($G$10-$E$10)*($G$10-$F$10))))</f>
        <v>1.04368626135273</v>
      </c>
      <c r="G282" s="38" t="n">
        <f aca="false">IF($G$11=$E$11,$F$11,IF(U282&lt;($F$11-$E$11)/($G$11-$E$11),$E$11+SQRT(U282*($G$11-$E$11)*($F$11-$E$11)),$G$11-SQRT((1-U282)*($G$11-$E$11)*($G$11-$F$11))))</f>
        <v>0.107418915250068</v>
      </c>
      <c r="H282" s="39" t="n">
        <f aca="false">(('Business Case'!B11*$C282*'Business Case'!B12*$B282)-'Business Case'!B11*$C282*'Business Case'!B13*$D282-'Business Case'!B14*$E282)-MAX(0,(('Business Case'!B11*$C282*'Business Case'!B12*$B282)-'Business Case'!B11*$C282*'Business Case'!B13*$D282-'Business Case'!B14*$E282))*'Business Case'!$B$7-'Business Case'!$B$8*('Business Case'!B11*$C282*'Business Case'!B12*$B282)-'Business Case'!B15*$F282</f>
        <v>-2087372522.70545</v>
      </c>
      <c r="I282" s="39" t="n">
        <f aca="false">(('Business Case'!C11*$C282*'Business Case'!C12*$B282)-'Business Case'!C11*$C282*'Business Case'!C13*$D282-'Business Case'!C14*$E282)-MAX(0,(('Business Case'!C11*$C282*'Business Case'!C12*$B282)-'Business Case'!C11*$C282*'Business Case'!C13*$D282-'Business Case'!C14*$E282))*'Business Case'!$B$7-'Business Case'!$B$8*(('Business Case'!C11*$C282*'Business Case'!C12*$B282)-('Business Case'!B11*$C282*'Business Case'!B12*$B282))-'Business Case'!C15*$F282</f>
        <v>11773975.8408963</v>
      </c>
      <c r="J282" s="39" t="n">
        <f aca="false">(('Business Case'!D11*$C282*'Business Case'!D12*$B282)-'Business Case'!D11*$C282*'Business Case'!D13*$D282-'Business Case'!D14*$E282)-MAX(0,(('Business Case'!D11*$C282*'Business Case'!D12*$B282)-'Business Case'!D11*$C282*'Business Case'!D13*$D282-'Business Case'!D14*$E282))*'Business Case'!$B$7-'Business Case'!$B$8*(('Business Case'!D11*$C282*'Business Case'!D12*$B282)-('Business Case'!C11*$C282*'Business Case'!C12*$B282))-'Business Case'!D15*$F282</f>
        <v>328110322.910841</v>
      </c>
      <c r="K282" s="39" t="n">
        <f aca="false">(('Business Case'!E11*$C282*'Business Case'!E12*$B282)-'Business Case'!E11*$C282*'Business Case'!E13*$D282-'Business Case'!E14*$E282)-MAX(0,(('Business Case'!E11*$C282*'Business Case'!E12*$B282)-'Business Case'!E11*$C282*'Business Case'!E13*$D282-'Business Case'!E14*$E282))*'Business Case'!$B$7-'Business Case'!$B$8*(('Business Case'!E11*$C282*'Business Case'!E12*$B282)-('Business Case'!D11*$C282*'Business Case'!D12*$B282))-'Business Case'!E15*$F282</f>
        <v>696630983.048422</v>
      </c>
      <c r="L282" s="39" t="n">
        <f aca="false">(('Business Case'!F11*$C282*'Business Case'!F12*$B282)-'Business Case'!F11*$C282*'Business Case'!F13*$D282-'Business Case'!F14*$E282)-MAX(0,(('Business Case'!F11*$C282*'Business Case'!F12*$B282)-'Business Case'!F11*$C282*'Business Case'!F13*$D282-'Business Case'!F14*$E282))*'Business Case'!$B$7-'Business Case'!$B$8*(('Business Case'!F11*$C282*'Business Case'!F12*$B282)-('Business Case'!E11*$C282*'Business Case'!E12*$B282))-'Business Case'!F15*$F282</f>
        <v>841165449.594814</v>
      </c>
      <c r="M282" s="39" t="n">
        <f aca="false">(('Business Case'!G11*$C282*'Business Case'!G12*$B282)-'Business Case'!G11*$C282*'Business Case'!G13*$D282-'Business Case'!G14*$E282)-MAX(0,(('Business Case'!G11*$C282*'Business Case'!G12*$B282)-'Business Case'!G11*$C282*'Business Case'!G13*$D282-'Business Case'!G14*$E282))*'Business Case'!$B$7-'Business Case'!$B$8*(('Business Case'!G11*$C282*'Business Case'!G12*$B282)-('Business Case'!F11*$C282*'Business Case'!F12*$B282))-'Business Case'!G15*$F282+'Business Case'!$B$8*('Business Case'!G11*$C282*'Business Case'!G12*$B282)</f>
        <v>1056155045.97174</v>
      </c>
      <c r="N282" s="39" t="n">
        <f aca="false">IF(COUNT('Business Case'!B11:G11)=0,"",H282+NPV(G282,I282:M282))</f>
        <v>-102855037.964414</v>
      </c>
      <c r="P282" s="40" t="n">
        <f aca="true">RAND()</f>
        <v>0.920315640619743</v>
      </c>
      <c r="Q282" s="40" t="n">
        <f aca="true">RAND()</f>
        <v>0.967087070571245</v>
      </c>
      <c r="R282" s="40" t="n">
        <f aca="true">RAND()</f>
        <v>0.974859720133925</v>
      </c>
      <c r="S282" s="40" t="n">
        <f aca="true">RAND()</f>
        <v>0.364816383304921</v>
      </c>
      <c r="T282" s="40" t="n">
        <f aca="true">RAND()</f>
        <v>0.432461883271793</v>
      </c>
      <c r="U282" s="40" t="n">
        <f aca="true">RAND()</f>
        <v>0.660063074344262</v>
      </c>
    </row>
    <row r="283" customFormat="false" ht="15" hidden="false" customHeight="false" outlineLevel="0" collapsed="false">
      <c r="A283" s="36" t="n">
        <v>203</v>
      </c>
      <c r="B283" s="37" t="n">
        <f aca="false">1+IF($G$6=$E$6,$F$6,IF(P283&lt;($F$6-$E$6)/($G$6-$E$6),$E$6+SQRT(P283*($G$6-$E$6)*($F$6-$E$6)),$G$6-SQRT((1-P283)*($G$6-$E$6)*($G$6-$F$6))))</f>
        <v>0.942495847336937</v>
      </c>
      <c r="C283" s="37" t="n">
        <f aca="false">1+IF($G$7=$E$7,$F$7,IF(Q283&lt;($F$7-$E$7)/($G$7-$E$7),$E$7+SQRT(Q283*($G$7-$E$7)*($F$7-$E$7)),$G$7-SQRT((1-Q283)*($G$7-$E$7)*($G$7-$F$7))))</f>
        <v>0.977467164457884</v>
      </c>
      <c r="D283" s="37" t="n">
        <f aca="false">1+IF($G$8=$E$8,$F$8,IF(R283&lt;($F$8-$E$8)/($G$8-$E$8),$E$8+SQRT(R283*($G$8-$E$8)*($F$8-$E$8)),$G$8-SQRT((1-R283)*($G$8-$E$8)*($G$8-$F$8))))</f>
        <v>0.954659174945343</v>
      </c>
      <c r="E283" s="37" t="n">
        <f aca="false">1+IF($G$9=$E$9,$F$9,IF(S283&lt;($F$9-$E$9)/($G$9-$E$9),$E$9+SQRT(S283*($G$9-$E$9)*($F$9-$E$9)),$G$9-SQRT((1-S283)*($G$9-$E$9)*($G$9-$F$9))))</f>
        <v>0.972807455927066</v>
      </c>
      <c r="F283" s="37" t="n">
        <f aca="false">1+IF($G$10=$E$10,$F$10,IF(T283&lt;($F$10-$E$10)/($G$10-$E$10),$E$10+SQRT(T283*($G$10-$E$10)*($F$10-$E$10)),$G$10-SQRT((1-T283)*($G$10-$E$10)*($G$10-$F$10))))</f>
        <v>1.13270316804675</v>
      </c>
      <c r="G283" s="38" t="n">
        <f aca="false">IF($G$11=$E$11,$F$11,IF(U283&lt;($F$11-$E$11)/($G$11-$E$11),$E$11+SQRT(U283*($G$11-$E$11)*($F$11-$E$11)),$G$11-SQRT((1-U283)*($G$11-$E$11)*($G$11-$F$11))))</f>
        <v>0.108908333717967</v>
      </c>
      <c r="H283" s="39" t="n">
        <f aca="false">(('Business Case'!B11*$C283*'Business Case'!B12*$B283)-'Business Case'!B11*$C283*'Business Case'!B13*$D283-'Business Case'!B14*$E283)-MAX(0,(('Business Case'!B11*$C283*'Business Case'!B12*$B283)-'Business Case'!B11*$C283*'Business Case'!B13*$D283-'Business Case'!B14*$E283))*'Business Case'!$B$7-'Business Case'!$B$8*('Business Case'!B11*$C283*'Business Case'!B12*$B283)-'Business Case'!B15*$F283</f>
        <v>-2265406336.09351</v>
      </c>
      <c r="I283" s="39" t="n">
        <f aca="false">(('Business Case'!C11*$C283*'Business Case'!C12*$B283)-'Business Case'!C11*$C283*'Business Case'!C13*$D283-'Business Case'!C14*$E283)-MAX(0,(('Business Case'!C11*$C283*'Business Case'!C12*$B283)-'Business Case'!C11*$C283*'Business Case'!C13*$D283-'Business Case'!C14*$E283))*'Business Case'!$B$7-'Business Case'!$B$8*(('Business Case'!C11*$C283*'Business Case'!C12*$B283)-('Business Case'!B11*$C283*'Business Case'!B12*$B283))-'Business Case'!C15*$F283</f>
        <v>-22481471.3138561</v>
      </c>
      <c r="J283" s="39" t="n">
        <f aca="false">(('Business Case'!D11*$C283*'Business Case'!D12*$B283)-'Business Case'!D11*$C283*'Business Case'!D13*$D283-'Business Case'!D14*$E283)-MAX(0,(('Business Case'!D11*$C283*'Business Case'!D12*$B283)-'Business Case'!D11*$C283*'Business Case'!D13*$D283-'Business Case'!D14*$E283))*'Business Case'!$B$7-'Business Case'!$B$8*(('Business Case'!D11*$C283*'Business Case'!D12*$B283)-('Business Case'!C11*$C283*'Business Case'!C12*$B283))-'Business Case'!D15*$F283</f>
        <v>254398647.668154</v>
      </c>
      <c r="K283" s="39" t="n">
        <f aca="false">(('Business Case'!E11*$C283*'Business Case'!E12*$B283)-'Business Case'!E11*$C283*'Business Case'!E13*$D283-'Business Case'!E14*$E283)-MAX(0,(('Business Case'!E11*$C283*'Business Case'!E12*$B283)-'Business Case'!E11*$C283*'Business Case'!E13*$D283-'Business Case'!E14*$E283))*'Business Case'!$B$7-'Business Case'!$B$8*(('Business Case'!E11*$C283*'Business Case'!E12*$B283)-('Business Case'!D11*$C283*'Business Case'!D12*$B283))-'Business Case'!E15*$F283</f>
        <v>587913925.052502</v>
      </c>
      <c r="L283" s="39" t="n">
        <f aca="false">(('Business Case'!F11*$C283*'Business Case'!F12*$B283)-'Business Case'!F11*$C283*'Business Case'!F13*$D283-'Business Case'!F14*$E283)-MAX(0,(('Business Case'!F11*$C283*'Business Case'!F12*$B283)-'Business Case'!F11*$C283*'Business Case'!F13*$D283-'Business Case'!F14*$E283))*'Business Case'!$B$7-'Business Case'!$B$8*(('Business Case'!F11*$C283*'Business Case'!F12*$B283)-('Business Case'!E11*$C283*'Business Case'!E12*$B283))-'Business Case'!F15*$F283</f>
        <v>712046000.218747</v>
      </c>
      <c r="M283" s="39" t="n">
        <f aca="false">(('Business Case'!G11*$C283*'Business Case'!G12*$B283)-'Business Case'!G11*$C283*'Business Case'!G13*$D283-'Business Case'!G14*$E283)-MAX(0,(('Business Case'!G11*$C283*'Business Case'!G12*$B283)-'Business Case'!G11*$C283*'Business Case'!G13*$D283-'Business Case'!G14*$E283))*'Business Case'!$B$7-'Business Case'!$B$8*(('Business Case'!G11*$C283*'Business Case'!G12*$B283)-('Business Case'!F11*$C283*'Business Case'!F12*$B283))-'Business Case'!G15*$F283+'Business Case'!$B$8*('Business Case'!G11*$C283*'Business Case'!G12*$B283)</f>
        <v>887158862.166076</v>
      </c>
      <c r="N283" s="39" t="n">
        <f aca="false">IF(COUNT('Business Case'!B11:G11)=0,"",H283+NPV(G283,I283:M283))</f>
        <v>-647670337.569279</v>
      </c>
      <c r="P283" s="40" t="n">
        <f aca="true">RAND()</f>
        <v>0.120393136058948</v>
      </c>
      <c r="Q283" s="40" t="n">
        <f aca="true">RAND()</f>
        <v>0.570281684091101</v>
      </c>
      <c r="R283" s="40" t="n">
        <f aca="true">RAND()</f>
        <v>0.00289438815617526</v>
      </c>
      <c r="S283" s="40" t="n">
        <f aca="true">RAND()</f>
        <v>0.212037025542866</v>
      </c>
      <c r="T283" s="40" t="n">
        <f aca="true">RAND()</f>
        <v>0.816552709516427</v>
      </c>
      <c r="U283" s="40" t="n">
        <f aca="true">RAND()</f>
        <v>0.703427742298243</v>
      </c>
    </row>
    <row r="284" customFormat="false" ht="15" hidden="false" customHeight="false" outlineLevel="0" collapsed="false">
      <c r="A284" s="36" t="n">
        <v>204</v>
      </c>
      <c r="B284" s="37" t="n">
        <f aca="false">1+IF($G$6=$E$6,$F$6,IF(P284&lt;($F$6-$E$6)/($G$6-$E$6),$E$6+SQRT(P284*($G$6-$E$6)*($F$6-$E$6)),$G$6-SQRT((1-P284)*($G$6-$E$6)*($G$6-$F$6))))</f>
        <v>0.979315058791368</v>
      </c>
      <c r="C284" s="37" t="n">
        <f aca="false">1+IF($G$7=$E$7,$F$7,IF(Q284&lt;($F$7-$E$7)/($G$7-$E$7),$E$7+SQRT(Q284*($G$7-$E$7)*($F$7-$E$7)),$G$7-SQRT((1-Q284)*($G$7-$E$7)*($G$7-$F$7))))</f>
        <v>0.810777745550243</v>
      </c>
      <c r="D284" s="37" t="n">
        <f aca="false">1+IF($G$8=$E$8,$F$8,IF(R284&lt;($F$8-$E$8)/($G$8-$E$8),$E$8+SQRT(R284*($G$8-$E$8)*($F$8-$E$8)),$G$8-SQRT((1-R284)*($G$8-$E$8)*($G$8-$F$8))))</f>
        <v>1.00122556365678</v>
      </c>
      <c r="E284" s="37" t="n">
        <f aca="false">1+IF($G$9=$E$9,$F$9,IF(S284&lt;($F$9-$E$9)/($G$9-$E$9),$E$9+SQRT(S284*($G$9-$E$9)*($F$9-$E$9)),$G$9-SQRT((1-S284)*($G$9-$E$9)*($G$9-$F$9))))</f>
        <v>1.10099922401804</v>
      </c>
      <c r="F284" s="37" t="n">
        <f aca="false">1+IF($G$10=$E$10,$F$10,IF(T284&lt;($F$10-$E$10)/($G$10-$E$10),$E$10+SQRT(T284*($G$10-$E$10)*($F$10-$E$10)),$G$10-SQRT((1-T284)*($G$10-$E$10)*($G$10-$F$10))))</f>
        <v>1.08998168057505</v>
      </c>
      <c r="G284" s="38" t="n">
        <f aca="false">IF($G$11=$E$11,$F$11,IF(U284&lt;($F$11-$E$11)/($G$11-$E$11),$E$11+SQRT(U284*($G$11-$E$11)*($F$11-$E$11)),$G$11-SQRT((1-U284)*($G$11-$E$11)*($G$11-$F$11))))</f>
        <v>0.103829601192975</v>
      </c>
      <c r="H284" s="39" t="n">
        <f aca="false">(('Business Case'!B11*$C284*'Business Case'!B12*$B284)-'Business Case'!B11*$C284*'Business Case'!B13*$D284-'Business Case'!B14*$E284)-MAX(0,(('Business Case'!B11*$C284*'Business Case'!B12*$B284)-'Business Case'!B11*$C284*'Business Case'!B13*$D284-'Business Case'!B14*$E284))*'Business Case'!$B$7-'Business Case'!$B$8*('Business Case'!B11*$C284*'Business Case'!B12*$B284)-'Business Case'!B15*$F284</f>
        <v>-2179963361.1501</v>
      </c>
      <c r="I284" s="39" t="n">
        <f aca="false">(('Business Case'!C11*$C284*'Business Case'!C12*$B284)-'Business Case'!C11*$C284*'Business Case'!C13*$D284-'Business Case'!C14*$E284)-MAX(0,(('Business Case'!C11*$C284*'Business Case'!C12*$B284)-'Business Case'!C11*$C284*'Business Case'!C13*$D284-'Business Case'!C14*$E284))*'Business Case'!$B$7-'Business Case'!$B$8*(('Business Case'!C11*$C284*'Business Case'!C12*$B284)-('Business Case'!B11*$C284*'Business Case'!B12*$B284))-'Business Case'!C15*$F284</f>
        <v>-71934807.7108278</v>
      </c>
      <c r="J284" s="39" t="n">
        <f aca="false">(('Business Case'!D11*$C284*'Business Case'!D12*$B284)-'Business Case'!D11*$C284*'Business Case'!D13*$D284-'Business Case'!D14*$E284)-MAX(0,(('Business Case'!D11*$C284*'Business Case'!D12*$B284)-'Business Case'!D11*$C284*'Business Case'!D13*$D284-'Business Case'!D14*$E284))*'Business Case'!$B$7-'Business Case'!$B$8*(('Business Case'!D11*$C284*'Business Case'!D12*$B284)-('Business Case'!C11*$C284*'Business Case'!C12*$B284))-'Business Case'!D15*$F284</f>
        <v>162851957.682941</v>
      </c>
      <c r="K284" s="39" t="n">
        <f aca="false">(('Business Case'!E11*$C284*'Business Case'!E12*$B284)-'Business Case'!E11*$C284*'Business Case'!E13*$D284-'Business Case'!E14*$E284)-MAX(0,(('Business Case'!E11*$C284*'Business Case'!E12*$B284)-'Business Case'!E11*$C284*'Business Case'!E13*$D284-'Business Case'!E14*$E284))*'Business Case'!$B$7-'Business Case'!$B$8*(('Business Case'!E11*$C284*'Business Case'!E12*$B284)-('Business Case'!D11*$C284*'Business Case'!D12*$B284))-'Business Case'!E15*$F284</f>
        <v>452137807.105462</v>
      </c>
      <c r="L284" s="39" t="n">
        <f aca="false">(('Business Case'!F11*$C284*'Business Case'!F12*$B284)-'Business Case'!F11*$C284*'Business Case'!F13*$D284-'Business Case'!F14*$E284)-MAX(0,(('Business Case'!F11*$C284*'Business Case'!F12*$B284)-'Business Case'!F11*$C284*'Business Case'!F13*$D284-'Business Case'!F14*$E284))*'Business Case'!$B$7-'Business Case'!$B$8*(('Business Case'!F11*$C284*'Business Case'!F12*$B284)-('Business Case'!E11*$C284*'Business Case'!E12*$B284))-'Business Case'!F15*$F284</f>
        <v>557840939.164535</v>
      </c>
      <c r="M284" s="39" t="n">
        <f aca="false">(('Business Case'!G11*$C284*'Business Case'!G12*$B284)-'Business Case'!G11*$C284*'Business Case'!G13*$D284-'Business Case'!G14*$E284)-MAX(0,(('Business Case'!G11*$C284*'Business Case'!G12*$B284)-'Business Case'!G11*$C284*'Business Case'!G13*$D284-'Business Case'!G14*$E284))*'Business Case'!$B$7-'Business Case'!$B$8*(('Business Case'!G11*$C284*'Business Case'!G12*$B284)-('Business Case'!F11*$C284*'Business Case'!F12*$B284))-'Business Case'!G15*$F284+'Business Case'!$B$8*('Business Case'!G11*$C284*'Business Case'!G12*$B284)</f>
        <v>708765762.26753</v>
      </c>
      <c r="N284" s="39" t="n">
        <f aca="false">IF(COUNT('Business Case'!B11:G11)=0,"",H284+NPV(G284,I284:M284))</f>
        <v>-967041940.358581</v>
      </c>
      <c r="P284" s="40" t="n">
        <f aca="true">RAND()</f>
        <v>0.419391903405207</v>
      </c>
      <c r="Q284" s="40" t="n">
        <f aca="true">RAND()</f>
        <v>0.0909015474755137</v>
      </c>
      <c r="R284" s="40" t="n">
        <f aca="true">RAND()</f>
        <v>0.349574048338601</v>
      </c>
      <c r="S284" s="40" t="n">
        <f aca="true">RAND()</f>
        <v>0.935971305417758</v>
      </c>
      <c r="T284" s="40" t="n">
        <f aca="true">RAND()</f>
        <v>0.658588499312188</v>
      </c>
      <c r="U284" s="40" t="n">
        <f aca="true">RAND()</f>
        <v>0.543406817520847</v>
      </c>
    </row>
    <row r="285" customFormat="false" ht="15" hidden="false" customHeight="false" outlineLevel="0" collapsed="false">
      <c r="A285" s="36" t="n">
        <v>205</v>
      </c>
      <c r="B285" s="37" t="n">
        <f aca="false">1+IF($G$6=$E$6,$F$6,IF(P285&lt;($F$6-$E$6)/($G$6-$E$6),$E$6+SQRT(P285*($G$6-$E$6)*($F$6-$E$6)),$G$6-SQRT((1-P285)*($G$6-$E$6)*($G$6-$F$6))))</f>
        <v>1.01562776871772</v>
      </c>
      <c r="C285" s="37" t="n">
        <f aca="false">1+IF($G$7=$E$7,$F$7,IF(Q285&lt;($F$7-$E$7)/($G$7-$E$7),$E$7+SQRT(Q285*($G$7-$E$7)*($F$7-$E$7)),$G$7-SQRT((1-Q285)*($G$7-$E$7)*($G$7-$F$7))))</f>
        <v>0.803802070386279</v>
      </c>
      <c r="D285" s="37" t="n">
        <f aca="false">1+IF($G$8=$E$8,$F$8,IF(R285&lt;($F$8-$E$8)/($G$8-$E$8),$E$8+SQRT(R285*($G$8-$E$8)*($F$8-$E$8)),$G$8-SQRT((1-R285)*($G$8-$E$8)*($G$8-$F$8))))</f>
        <v>1.01709537357073</v>
      </c>
      <c r="E285" s="37" t="n">
        <f aca="false">1+IF($G$9=$E$9,$F$9,IF(S285&lt;($F$9-$E$9)/($G$9-$E$9),$E$9+SQRT(S285*($G$9-$E$9)*($F$9-$E$9)),$G$9-SQRT((1-S285)*($G$9-$E$9)*($G$9-$F$9))))</f>
        <v>1.10270107379986</v>
      </c>
      <c r="F285" s="37" t="n">
        <f aca="false">1+IF($G$10=$E$10,$F$10,IF(T285&lt;($F$10-$E$10)/($G$10-$E$10),$E$10+SQRT(T285*($G$10-$E$10)*($F$10-$E$10)),$G$10-SQRT((1-T285)*($G$10-$E$10)*($G$10-$F$10))))</f>
        <v>1.13382829220375</v>
      </c>
      <c r="G285" s="38" t="n">
        <f aca="false">IF($G$11=$E$11,$F$11,IF(U285&lt;($F$11-$E$11)/($G$11-$E$11),$E$11+SQRT(U285*($G$11-$E$11)*($F$11-$E$11)),$G$11-SQRT((1-U285)*($G$11-$E$11)*($G$11-$F$11))))</f>
        <v>0.1013109113109</v>
      </c>
      <c r="H285" s="39" t="n">
        <f aca="false">(('Business Case'!B11*$C285*'Business Case'!B12*$B285)-'Business Case'!B11*$C285*'Business Case'!B13*$D285-'Business Case'!B14*$E285)-MAX(0,(('Business Case'!B11*$C285*'Business Case'!B12*$B285)-'Business Case'!B11*$C285*'Business Case'!B13*$D285-'Business Case'!B14*$E285))*'Business Case'!$B$7-'Business Case'!$B$8*('Business Case'!B11*$C285*'Business Case'!B12*$B285)-'Business Case'!B15*$F285</f>
        <v>-2267656584.4075</v>
      </c>
      <c r="I285" s="39" t="n">
        <f aca="false">(('Business Case'!C11*$C285*'Business Case'!C12*$B285)-'Business Case'!C11*$C285*'Business Case'!C13*$D285-'Business Case'!C14*$E285)-MAX(0,(('Business Case'!C11*$C285*'Business Case'!C12*$B285)-'Business Case'!C11*$C285*'Business Case'!C13*$D285-'Business Case'!C14*$E285))*'Business Case'!$B$7-'Business Case'!$B$8*(('Business Case'!C11*$C285*'Business Case'!C12*$B285)-('Business Case'!B11*$C285*'Business Case'!B12*$B285))-'Business Case'!C15*$F285</f>
        <v>-62363365.6162534</v>
      </c>
      <c r="J285" s="39" t="n">
        <f aca="false">(('Business Case'!D11*$C285*'Business Case'!D12*$B285)-'Business Case'!D11*$C285*'Business Case'!D13*$D285-'Business Case'!D14*$E285)-MAX(0,(('Business Case'!D11*$C285*'Business Case'!D12*$B285)-'Business Case'!D11*$C285*'Business Case'!D13*$D285-'Business Case'!D14*$E285))*'Business Case'!$B$7-'Business Case'!$B$8*(('Business Case'!D11*$C285*'Business Case'!D12*$B285)-('Business Case'!C11*$C285*'Business Case'!C12*$B285))-'Business Case'!D15*$F285</f>
        <v>187780485.05802</v>
      </c>
      <c r="K285" s="39" t="n">
        <f aca="false">(('Business Case'!E11*$C285*'Business Case'!E12*$B285)-'Business Case'!E11*$C285*'Business Case'!E13*$D285-'Business Case'!E14*$E285)-MAX(0,(('Business Case'!E11*$C285*'Business Case'!E12*$B285)-'Business Case'!E11*$C285*'Business Case'!E13*$D285-'Business Case'!E14*$E285))*'Business Case'!$B$7-'Business Case'!$B$8*(('Business Case'!E11*$C285*'Business Case'!E12*$B285)-('Business Case'!D11*$C285*'Business Case'!D12*$B285))-'Business Case'!E15*$F285</f>
        <v>494615750.34248</v>
      </c>
      <c r="L285" s="39" t="n">
        <f aca="false">(('Business Case'!F11*$C285*'Business Case'!F12*$B285)-'Business Case'!F11*$C285*'Business Case'!F13*$D285-'Business Case'!F14*$E285)-MAX(0,(('Business Case'!F11*$C285*'Business Case'!F12*$B285)-'Business Case'!F11*$C285*'Business Case'!F13*$D285-'Business Case'!F14*$E285))*'Business Case'!$B$7-'Business Case'!$B$8*(('Business Case'!F11*$C285*'Business Case'!F12*$B285)-('Business Case'!E11*$C285*'Business Case'!E12*$B285))-'Business Case'!F15*$F285</f>
        <v>606210563.484445</v>
      </c>
      <c r="M285" s="39" t="n">
        <f aca="false">(('Business Case'!G11*$C285*'Business Case'!G12*$B285)-'Business Case'!G11*$C285*'Business Case'!G13*$D285-'Business Case'!G14*$E285)-MAX(0,(('Business Case'!G11*$C285*'Business Case'!G12*$B285)-'Business Case'!G11*$C285*'Business Case'!G13*$D285-'Business Case'!G14*$E285))*'Business Case'!$B$7-'Business Case'!$B$8*(('Business Case'!G11*$C285*'Business Case'!G12*$B285)-('Business Case'!F11*$C285*'Business Case'!F12*$B285))-'Business Case'!G15*$F285+'Business Case'!$B$8*('Business Case'!G11*$C285*'Business Case'!G12*$B285)</f>
        <v>761384976.195752</v>
      </c>
      <c r="N285" s="39" t="n">
        <f aca="false">IF(COUNT('Business Case'!B11:G11)=0,"",H285+NPV(G285,I285:M285))</f>
        <v>-917139853.589387</v>
      </c>
      <c r="P285" s="40" t="n">
        <f aca="true">RAND()</f>
        <v>0.842473295556963</v>
      </c>
      <c r="Q285" s="40" t="n">
        <f aca="true">RAND()</f>
        <v>0.0798138504924297</v>
      </c>
      <c r="R285" s="40" t="n">
        <f aca="true">RAND()</f>
        <v>0.541788194441565</v>
      </c>
      <c r="S285" s="40" t="n">
        <f aca="true">RAND()</f>
        <v>0.940341642141702</v>
      </c>
      <c r="T285" s="40" t="n">
        <f aca="true">RAND()</f>
        <v>0.820055124102701</v>
      </c>
      <c r="U285" s="40" t="n">
        <f aca="true">RAND()</f>
        <v>0.4512907934593</v>
      </c>
    </row>
    <row r="286" customFormat="false" ht="15" hidden="false" customHeight="false" outlineLevel="0" collapsed="false">
      <c r="A286" s="36" t="n">
        <v>206</v>
      </c>
      <c r="B286" s="37" t="n">
        <f aca="false">1+IF($G$6=$E$6,$F$6,IF(P286&lt;($F$6-$E$6)/($G$6-$E$6),$E$6+SQRT(P286*($G$6-$E$6)*($F$6-$E$6)),$G$6-SQRT((1-P286)*($G$6-$E$6)*($G$6-$F$6))))</f>
        <v>1.0355617676161</v>
      </c>
      <c r="C286" s="37" t="n">
        <f aca="false">1+IF($G$7=$E$7,$F$7,IF(Q286&lt;($F$7-$E$7)/($G$7-$E$7),$E$7+SQRT(Q286*($G$7-$E$7)*($F$7-$E$7)),$G$7-SQRT((1-Q286)*($G$7-$E$7)*($G$7-$F$7))))</f>
        <v>0.946028414700731</v>
      </c>
      <c r="D286" s="37" t="n">
        <f aca="false">1+IF($G$8=$E$8,$F$8,IF(R286&lt;($F$8-$E$8)/($G$8-$E$8),$E$8+SQRT(R286*($G$8-$E$8)*($F$8-$E$8)),$G$8-SQRT((1-R286)*($G$8-$E$8)*($G$8-$F$8))))</f>
        <v>0.998423613081025</v>
      </c>
      <c r="E286" s="37" t="n">
        <f aca="false">1+IF($G$9=$E$9,$F$9,IF(S286&lt;($F$9-$E$9)/($G$9-$E$9),$E$9+SQRT(S286*($G$9-$E$9)*($F$9-$E$9)),$G$9-SQRT((1-S286)*($G$9-$E$9)*($G$9-$F$9))))</f>
        <v>1.05543907891948</v>
      </c>
      <c r="F286" s="37" t="n">
        <f aca="false">1+IF($G$10=$E$10,$F$10,IF(T286&lt;($F$10-$E$10)/($G$10-$E$10),$E$10+SQRT(T286*($G$10-$E$10)*($F$10-$E$10)),$G$10-SQRT((1-T286)*($G$10-$E$10)*($G$10-$F$10))))</f>
        <v>0.989158650403314</v>
      </c>
      <c r="G286" s="38" t="n">
        <f aca="false">IF($G$11=$E$11,$F$11,IF(U286&lt;($F$11-$E$11)/($G$11-$E$11),$E$11+SQRT(U286*($G$11-$E$11)*($F$11-$E$11)),$G$11-SQRT((1-U286)*($G$11-$E$11)*($G$11-$F$11))))</f>
        <v>0.0874687511186322</v>
      </c>
      <c r="H286" s="39" t="n">
        <f aca="false">(('Business Case'!B11*$C286*'Business Case'!B12*$B286)-'Business Case'!B11*$C286*'Business Case'!B13*$D286-'Business Case'!B14*$E286)-MAX(0,(('Business Case'!B11*$C286*'Business Case'!B12*$B286)-'Business Case'!B11*$C286*'Business Case'!B13*$D286-'Business Case'!B14*$E286))*'Business Case'!$B$7-'Business Case'!$B$8*('Business Case'!B11*$C286*'Business Case'!B12*$B286)-'Business Case'!B15*$F286</f>
        <v>-1978317300.80663</v>
      </c>
      <c r="I286" s="39" t="n">
        <f aca="false">(('Business Case'!C11*$C286*'Business Case'!C12*$B286)-'Business Case'!C11*$C286*'Business Case'!C13*$D286-'Business Case'!C14*$E286)-MAX(0,(('Business Case'!C11*$C286*'Business Case'!C12*$B286)-'Business Case'!C11*$C286*'Business Case'!C13*$D286-'Business Case'!C14*$E286))*'Business Case'!$B$7-'Business Case'!$B$8*(('Business Case'!C11*$C286*'Business Case'!C12*$B286)-('Business Case'!B11*$C286*'Business Case'!B12*$B286))-'Business Case'!C15*$F286</f>
        <v>19108092.8905824</v>
      </c>
      <c r="J286" s="39" t="n">
        <f aca="false">(('Business Case'!D11*$C286*'Business Case'!D12*$B286)-'Business Case'!D11*$C286*'Business Case'!D13*$D286-'Business Case'!D14*$E286)-MAX(0,(('Business Case'!D11*$C286*'Business Case'!D12*$B286)-'Business Case'!D11*$C286*'Business Case'!D13*$D286-'Business Case'!D14*$E286))*'Business Case'!$B$7-'Business Case'!$B$8*(('Business Case'!D11*$C286*'Business Case'!D12*$B286)-('Business Case'!C11*$C286*'Business Case'!C12*$B286))-'Business Case'!D15*$F286</f>
        <v>338001625.088484</v>
      </c>
      <c r="K286" s="39" t="n">
        <f aca="false">(('Business Case'!E11*$C286*'Business Case'!E12*$B286)-'Business Case'!E11*$C286*'Business Case'!E13*$D286-'Business Case'!E14*$E286)-MAX(0,(('Business Case'!E11*$C286*'Business Case'!E12*$B286)-'Business Case'!E11*$C286*'Business Case'!E13*$D286-'Business Case'!E14*$E286))*'Business Case'!$B$7-'Business Case'!$B$8*(('Business Case'!E11*$C286*'Business Case'!E12*$B286)-('Business Case'!D11*$C286*'Business Case'!D12*$B286))-'Business Case'!E15*$F286</f>
        <v>706353089.806551</v>
      </c>
      <c r="L286" s="39" t="n">
        <f aca="false">(('Business Case'!F11*$C286*'Business Case'!F12*$B286)-'Business Case'!F11*$C286*'Business Case'!F13*$D286-'Business Case'!F14*$E286)-MAX(0,(('Business Case'!F11*$C286*'Business Case'!F12*$B286)-'Business Case'!F11*$C286*'Business Case'!F13*$D286-'Business Case'!F14*$E286))*'Business Case'!$B$7-'Business Case'!$B$8*(('Business Case'!F11*$C286*'Business Case'!F12*$B286)-('Business Case'!E11*$C286*'Business Case'!E12*$B286))-'Business Case'!F15*$F286</f>
        <v>846508358.702277</v>
      </c>
      <c r="M286" s="39" t="n">
        <f aca="false">(('Business Case'!G11*$C286*'Business Case'!G12*$B286)-'Business Case'!G11*$C286*'Business Case'!G13*$D286-'Business Case'!G14*$E286)-MAX(0,(('Business Case'!G11*$C286*'Business Case'!G12*$B286)-'Business Case'!G11*$C286*'Business Case'!G13*$D286-'Business Case'!G14*$E286))*'Business Case'!$B$7-'Business Case'!$B$8*(('Business Case'!G11*$C286*'Business Case'!G12*$B286)-('Business Case'!F11*$C286*'Business Case'!F12*$B286))-'Business Case'!G15*$F286+'Business Case'!$B$8*('Business Case'!G11*$C286*'Business Case'!G12*$B286)</f>
        <v>1032724195.26595</v>
      </c>
      <c r="N286" s="39" t="n">
        <f aca="false">IF(COUNT('Business Case'!B11:G11)=0,"",H286+NPV(G286,I286:M286))</f>
        <v>158659560.278683</v>
      </c>
      <c r="P286" s="40" t="n">
        <f aca="true">RAND()</f>
        <v>0.972204992750469</v>
      </c>
      <c r="Q286" s="40" t="n">
        <f aca="true">RAND()</f>
        <v>0.44837022844559</v>
      </c>
      <c r="R286" s="40" t="n">
        <f aca="true">RAND()</f>
        <v>0.312646173842775</v>
      </c>
      <c r="S286" s="40" t="n">
        <f aca="true">RAND()</f>
        <v>0.761552858784109</v>
      </c>
      <c r="T286" s="40" t="n">
        <f aca="true">RAND()</f>
        <v>0.102226660093932</v>
      </c>
      <c r="U286" s="40" t="n">
        <f aca="true">RAND()</f>
        <v>0.0557822432720693</v>
      </c>
    </row>
    <row r="287" customFormat="false" ht="15" hidden="false" customHeight="false" outlineLevel="0" collapsed="false">
      <c r="A287" s="36" t="n">
        <v>207</v>
      </c>
      <c r="B287" s="37" t="n">
        <f aca="false">1+IF($G$6=$E$6,$F$6,IF(P287&lt;($F$6-$E$6)/($G$6-$E$6),$E$6+SQRT(P287*($G$6-$E$6)*($F$6-$E$6)),$G$6-SQRT((1-P287)*($G$6-$E$6)*($G$6-$F$6))))</f>
        <v>0.991103692303548</v>
      </c>
      <c r="C287" s="37" t="n">
        <f aca="false">1+IF($G$7=$E$7,$F$7,IF(Q287&lt;($F$7-$E$7)/($G$7-$E$7),$E$7+SQRT(Q287*($G$7-$E$7)*($F$7-$E$7)),$G$7-SQRT((1-Q287)*($G$7-$E$7)*($G$7-$F$7))))</f>
        <v>1.04515141202367</v>
      </c>
      <c r="D287" s="37" t="n">
        <f aca="false">1+IF($G$8=$E$8,$F$8,IF(R287&lt;($F$8-$E$8)/($G$8-$E$8),$E$8+SQRT(R287*($G$8-$E$8)*($F$8-$E$8)),$G$8-SQRT((1-R287)*($G$8-$E$8)*($G$8-$F$8))))</f>
        <v>1.04725517050435</v>
      </c>
      <c r="E287" s="37" t="n">
        <f aca="false">1+IF($G$9=$E$9,$F$9,IF(S287&lt;($F$9-$E$9)/($G$9-$E$9),$E$9+SQRT(S287*($G$9-$E$9)*($F$9-$E$9)),$G$9-SQRT((1-S287)*($G$9-$E$9)*($G$9-$F$9))))</f>
        <v>1.02371449637368</v>
      </c>
      <c r="F287" s="37" t="n">
        <f aca="false">1+IF($G$10=$E$10,$F$10,IF(T287&lt;($F$10-$E$10)/($G$10-$E$10),$E$10+SQRT(T287*($G$10-$E$10)*($F$10-$E$10)),$G$10-SQRT((1-T287)*($G$10-$E$10)*($G$10-$F$10))))</f>
        <v>1.09490602601654</v>
      </c>
      <c r="G287" s="38" t="n">
        <f aca="false">IF($G$11=$E$11,$F$11,IF(U287&lt;($F$11-$E$11)/($G$11-$E$11),$E$11+SQRT(U287*($G$11-$E$11)*($F$11-$E$11)),$G$11-SQRT((1-U287)*($G$11-$E$11)*($G$11-$F$11))))</f>
        <v>0.0959270458956693</v>
      </c>
      <c r="H287" s="39" t="n">
        <f aca="false">(('Business Case'!B11*$C287*'Business Case'!B12*$B287)-'Business Case'!B11*$C287*'Business Case'!B13*$D287-'Business Case'!B14*$E287)-MAX(0,(('Business Case'!B11*$C287*'Business Case'!B12*$B287)-'Business Case'!B11*$C287*'Business Case'!B13*$D287-'Business Case'!B14*$E287))*'Business Case'!$B$7-'Business Case'!$B$8*('Business Case'!B11*$C287*'Business Case'!B12*$B287)-'Business Case'!B15*$F287</f>
        <v>-2189812052.03307</v>
      </c>
      <c r="I287" s="39" t="n">
        <f aca="false">(('Business Case'!C11*$C287*'Business Case'!C12*$B287)-'Business Case'!C11*$C287*'Business Case'!C13*$D287-'Business Case'!C14*$E287)-MAX(0,(('Business Case'!C11*$C287*'Business Case'!C12*$B287)-'Business Case'!C11*$C287*'Business Case'!C13*$D287-'Business Case'!C14*$E287))*'Business Case'!$B$7-'Business Case'!$B$8*(('Business Case'!C11*$C287*'Business Case'!C12*$B287)-('Business Case'!B11*$C287*'Business Case'!B12*$B287))-'Business Case'!C15*$F287</f>
        <v>-20639939.7136721</v>
      </c>
      <c r="J287" s="39" t="n">
        <f aca="false">(('Business Case'!D11*$C287*'Business Case'!D12*$B287)-'Business Case'!D11*$C287*'Business Case'!D13*$D287-'Business Case'!D14*$E287)-MAX(0,(('Business Case'!D11*$C287*'Business Case'!D12*$B287)-'Business Case'!D11*$C287*'Business Case'!D13*$D287-'Business Case'!D14*$E287))*'Business Case'!$B$7-'Business Case'!$B$8*(('Business Case'!D11*$C287*'Business Case'!D12*$B287)-('Business Case'!C11*$C287*'Business Case'!C12*$B287))-'Business Case'!D15*$F287</f>
        <v>267481566.031483</v>
      </c>
      <c r="K287" s="39" t="n">
        <f aca="false">(('Business Case'!E11*$C287*'Business Case'!E12*$B287)-'Business Case'!E11*$C287*'Business Case'!E13*$D287-'Business Case'!E14*$E287)-MAX(0,(('Business Case'!E11*$C287*'Business Case'!E12*$B287)-'Business Case'!E11*$C287*'Business Case'!E13*$D287-'Business Case'!E14*$E287))*'Business Case'!$B$7-'Business Case'!$B$8*(('Business Case'!E11*$C287*'Business Case'!E12*$B287)-('Business Case'!D11*$C287*'Business Case'!D12*$B287))-'Business Case'!E15*$F287</f>
        <v>610348373.077465</v>
      </c>
      <c r="L287" s="39" t="n">
        <f aca="false">(('Business Case'!F11*$C287*'Business Case'!F12*$B287)-'Business Case'!F11*$C287*'Business Case'!F13*$D287-'Business Case'!F14*$E287)-MAX(0,(('Business Case'!F11*$C287*'Business Case'!F12*$B287)-'Business Case'!F11*$C287*'Business Case'!F13*$D287-'Business Case'!F14*$E287))*'Business Case'!$B$7-'Business Case'!$B$8*(('Business Case'!F11*$C287*'Business Case'!F12*$B287)-('Business Case'!E11*$C287*'Business Case'!E12*$B287))-'Business Case'!F15*$F287</f>
        <v>742187969.307742</v>
      </c>
      <c r="M287" s="39" t="n">
        <f aca="false">(('Business Case'!G11*$C287*'Business Case'!G12*$B287)-'Business Case'!G11*$C287*'Business Case'!G13*$D287-'Business Case'!G14*$E287)-MAX(0,(('Business Case'!G11*$C287*'Business Case'!G12*$B287)-'Business Case'!G11*$C287*'Business Case'!G13*$D287-'Business Case'!G14*$E287))*'Business Case'!$B$7-'Business Case'!$B$8*(('Business Case'!G11*$C287*'Business Case'!G12*$B287)-('Business Case'!F11*$C287*'Business Case'!F12*$B287))-'Business Case'!G15*$F287+'Business Case'!$B$8*('Business Case'!G11*$C287*'Business Case'!G12*$B287)</f>
        <v>939082988.041476</v>
      </c>
      <c r="N287" s="39" t="n">
        <f aca="false">IF(COUNT('Business Case'!B11:G11)=0,"",H287+NPV(G287,I287:M287))</f>
        <v>-413729547.905255</v>
      </c>
      <c r="P287" s="40" t="n">
        <f aca="true">RAND()</f>
        <v>0.553325516755973</v>
      </c>
      <c r="Q287" s="40" t="n">
        <f aca="true">RAND()</f>
        <v>0.837137386657337</v>
      </c>
      <c r="R287" s="40" t="n">
        <f aca="true">RAND()</f>
        <v>0.814532197431686</v>
      </c>
      <c r="S287" s="40" t="n">
        <f aca="true">RAND()</f>
        <v>0.574719241969228</v>
      </c>
      <c r="T287" s="40" t="n">
        <f aca="true">RAND()</f>
        <v>0.679278123120227</v>
      </c>
      <c r="U287" s="40" t="n">
        <f aca="true">RAND()</f>
        <v>0.253670790962757</v>
      </c>
    </row>
    <row r="288" customFormat="false" ht="15" hidden="false" customHeight="false" outlineLevel="0" collapsed="false">
      <c r="A288" s="36" t="n">
        <v>208</v>
      </c>
      <c r="B288" s="37" t="n">
        <f aca="false">1+IF($G$6=$E$6,$F$6,IF(P288&lt;($F$6-$E$6)/($G$6-$E$6),$E$6+SQRT(P288*($G$6-$E$6)*($F$6-$E$6)),$G$6-SQRT((1-P288)*($G$6-$E$6)*($G$6-$F$6))))</f>
        <v>0.99354804584645</v>
      </c>
      <c r="C288" s="37" t="n">
        <f aca="false">1+IF($G$7=$E$7,$F$7,IF(Q288&lt;($F$7-$E$7)/($G$7-$E$7),$E$7+SQRT(Q288*($G$7-$E$7)*($F$7-$E$7)),$G$7-SQRT((1-Q288)*($G$7-$E$7)*($G$7-$F$7))))</f>
        <v>0.956248016925906</v>
      </c>
      <c r="D288" s="37" t="n">
        <f aca="false">1+IF($G$8=$E$8,$F$8,IF(R288&lt;($F$8-$E$8)/($G$8-$E$8),$E$8+SQRT(R288*($G$8-$E$8)*($F$8-$E$8)),$G$8-SQRT((1-R288)*($G$8-$E$8)*($G$8-$F$8))))</f>
        <v>0.998827278861539</v>
      </c>
      <c r="E288" s="37" t="n">
        <f aca="false">1+IF($G$9=$E$9,$F$9,IF(S288&lt;($F$9-$E$9)/($G$9-$E$9),$E$9+SQRT(S288*($G$9-$E$9)*($F$9-$E$9)),$G$9-SQRT((1-S288)*($G$9-$E$9)*($G$9-$F$9))))</f>
        <v>1.00355085825499</v>
      </c>
      <c r="F288" s="37" t="n">
        <f aca="false">1+IF($G$10=$E$10,$F$10,IF(T288&lt;($F$10-$E$10)/($G$10-$E$10),$E$10+SQRT(T288*($G$10-$E$10)*($F$10-$E$10)),$G$10-SQRT((1-T288)*($G$10-$E$10)*($G$10-$F$10))))</f>
        <v>1.11217949563375</v>
      </c>
      <c r="G288" s="38" t="n">
        <f aca="false">IF($G$11=$E$11,$F$11,IF(U288&lt;($F$11-$E$11)/($G$11-$E$11),$E$11+SQRT(U288*($G$11-$E$11)*($F$11-$E$11)),$G$11-SQRT((1-U288)*($G$11-$E$11)*($G$11-$F$11))))</f>
        <v>0.105907228751504</v>
      </c>
      <c r="H288" s="39" t="n">
        <f aca="false">(('Business Case'!B11*$C288*'Business Case'!B12*$B288)-'Business Case'!B11*$C288*'Business Case'!B13*$D288-'Business Case'!B14*$E288)-MAX(0,(('Business Case'!B11*$C288*'Business Case'!B12*$B288)-'Business Case'!B11*$C288*'Business Case'!B13*$D288-'Business Case'!B14*$E288))*'Business Case'!$B$7-'Business Case'!$B$8*('Business Case'!B11*$C288*'Business Case'!B12*$B288)-'Business Case'!B15*$F288</f>
        <v>-2224358991.2675</v>
      </c>
      <c r="I288" s="39" t="n">
        <f aca="false">(('Business Case'!C11*$C288*'Business Case'!C12*$B288)-'Business Case'!C11*$C288*'Business Case'!C13*$D288-'Business Case'!C14*$E288)-MAX(0,(('Business Case'!C11*$C288*'Business Case'!C12*$B288)-'Business Case'!C11*$C288*'Business Case'!C13*$D288-'Business Case'!C14*$E288))*'Business Case'!$B$7-'Business Case'!$B$8*(('Business Case'!C11*$C288*'Business Case'!C12*$B288)-('Business Case'!B11*$C288*'Business Case'!B12*$B288))-'Business Case'!C15*$F288</f>
        <v>-13940781.5428725</v>
      </c>
      <c r="J288" s="39" t="n">
        <f aca="false">(('Business Case'!D11*$C288*'Business Case'!D12*$B288)-'Business Case'!D11*$C288*'Business Case'!D13*$D288-'Business Case'!D14*$E288)-MAX(0,(('Business Case'!D11*$C288*'Business Case'!D12*$B288)-'Business Case'!D11*$C288*'Business Case'!D13*$D288-'Business Case'!D14*$E288))*'Business Case'!$B$7-'Business Case'!$B$8*(('Business Case'!D11*$C288*'Business Case'!D12*$B288)-('Business Case'!C11*$C288*'Business Case'!C12*$B288))-'Business Case'!D15*$F288</f>
        <v>275293380.110906</v>
      </c>
      <c r="K288" s="39" t="n">
        <f aca="false">(('Business Case'!E11*$C288*'Business Case'!E12*$B288)-'Business Case'!E11*$C288*'Business Case'!E13*$D288-'Business Case'!E14*$E288)-MAX(0,(('Business Case'!E11*$C288*'Business Case'!E12*$B288)-'Business Case'!E11*$C288*'Business Case'!E13*$D288-'Business Case'!E14*$E288))*'Business Case'!$B$7-'Business Case'!$B$8*(('Business Case'!E11*$C288*'Business Case'!E12*$B288)-('Business Case'!D11*$C288*'Business Case'!D12*$B288))-'Business Case'!E15*$F288</f>
        <v>620136516.546372</v>
      </c>
      <c r="L288" s="39" t="n">
        <f aca="false">(('Business Case'!F11*$C288*'Business Case'!F12*$B288)-'Business Case'!F11*$C288*'Business Case'!F13*$D288-'Business Case'!F14*$E288)-MAX(0,(('Business Case'!F11*$C288*'Business Case'!F12*$B288)-'Business Case'!F11*$C288*'Business Case'!F13*$D288-'Business Case'!F14*$E288))*'Business Case'!$B$7-'Business Case'!$B$8*(('Business Case'!F11*$C288*'Business Case'!F12*$B288)-('Business Case'!E11*$C288*'Business Case'!E12*$B288))-'Business Case'!F15*$F288</f>
        <v>749382611.490576</v>
      </c>
      <c r="M288" s="39" t="n">
        <f aca="false">(('Business Case'!G11*$C288*'Business Case'!G12*$B288)-'Business Case'!G11*$C288*'Business Case'!G13*$D288-'Business Case'!G14*$E288)-MAX(0,(('Business Case'!G11*$C288*'Business Case'!G12*$B288)-'Business Case'!G11*$C288*'Business Case'!G13*$D288-'Business Case'!G14*$E288))*'Business Case'!$B$7-'Business Case'!$B$8*(('Business Case'!G11*$C288*'Business Case'!G12*$B288)-('Business Case'!F11*$C288*'Business Case'!F12*$B288))-'Business Case'!G15*$F288+'Business Case'!$B$8*('Business Case'!G11*$C288*'Business Case'!G12*$B288)</f>
        <v>929973503.985104</v>
      </c>
      <c r="N288" s="39" t="n">
        <f aca="false">IF(COUNT('Business Case'!B11:G11)=0,"",H288+NPV(G288,I288:M288))</f>
        <v>-490210253.363436</v>
      </c>
      <c r="P288" s="40" t="n">
        <f aca="true">RAND()</f>
        <v>0.583415792112633</v>
      </c>
      <c r="Q288" s="40" t="n">
        <f aca="true">RAND()</f>
        <v>0.486392934655257</v>
      </c>
      <c r="R288" s="40" t="n">
        <f aca="true">RAND()</f>
        <v>0.317880421469659</v>
      </c>
      <c r="S288" s="40" t="n">
        <f aca="true">RAND()</f>
        <v>0.42807063685732</v>
      </c>
      <c r="T288" s="40" t="n">
        <f aca="true">RAND()</f>
        <v>0.746740114349766</v>
      </c>
      <c r="U288" s="40" t="n">
        <f aca="true">RAND()</f>
        <v>0.61302558237843</v>
      </c>
    </row>
    <row r="289" customFormat="false" ht="15" hidden="false" customHeight="false" outlineLevel="0" collapsed="false">
      <c r="A289" s="36" t="n">
        <v>209</v>
      </c>
      <c r="B289" s="37" t="n">
        <f aca="false">1+IF($G$6=$E$6,$F$6,IF(P289&lt;($F$6-$E$6)/($G$6-$E$6),$E$6+SQRT(P289*($G$6-$E$6)*($F$6-$E$6)),$G$6-SQRT((1-P289)*($G$6-$E$6)*($G$6-$F$6))))</f>
        <v>0.974901601860235</v>
      </c>
      <c r="C289" s="37" t="n">
        <f aca="false">1+IF($G$7=$E$7,$F$7,IF(Q289&lt;($F$7-$E$7)/($G$7-$E$7),$E$7+SQRT(Q289*($G$7-$E$7)*($F$7-$E$7)),$G$7-SQRT((1-Q289)*($G$7-$E$7)*($G$7-$F$7))))</f>
        <v>1.04575019221875</v>
      </c>
      <c r="D289" s="37" t="n">
        <f aca="false">1+IF($G$8=$E$8,$F$8,IF(R289&lt;($F$8-$E$8)/($G$8-$E$8),$E$8+SQRT(R289*($G$8-$E$8)*($F$8-$E$8)),$G$8-SQRT((1-R289)*($G$8-$E$8)*($G$8-$F$8))))</f>
        <v>1.05676477220084</v>
      </c>
      <c r="E289" s="37" t="n">
        <f aca="false">1+IF($G$9=$E$9,$F$9,IF(S289&lt;($F$9-$E$9)/($G$9-$E$9),$E$9+SQRT(S289*($G$9-$E$9)*($F$9-$E$9)),$G$9-SQRT((1-S289)*($G$9-$E$9)*($G$9-$F$9))))</f>
        <v>1.0664746585733</v>
      </c>
      <c r="F289" s="37" t="n">
        <f aca="false">1+IF($G$10=$E$10,$F$10,IF(T289&lt;($F$10-$E$10)/($G$10-$E$10),$E$10+SQRT(T289*($G$10-$E$10)*($F$10-$E$10)),$G$10-SQRT((1-T289)*($G$10-$E$10)*($G$10-$F$10))))</f>
        <v>1.18114491872175</v>
      </c>
      <c r="G289" s="38" t="n">
        <f aca="false">IF($G$11=$E$11,$F$11,IF(U289&lt;($F$11-$E$11)/($G$11-$E$11),$E$11+SQRT(U289*($G$11-$E$11)*($F$11-$E$11)),$G$11-SQRT((1-U289)*($G$11-$E$11)*($G$11-$F$11))))</f>
        <v>0.120231944715835</v>
      </c>
      <c r="H289" s="39" t="n">
        <f aca="false">(('Business Case'!B11*$C289*'Business Case'!B12*$B289)-'Business Case'!B11*$C289*'Business Case'!B13*$D289-'Business Case'!B14*$E289)-MAX(0,(('Business Case'!B11*$C289*'Business Case'!B12*$B289)-'Business Case'!B11*$C289*'Business Case'!B13*$D289-'Business Case'!B14*$E289))*'Business Case'!$B$7-'Business Case'!$B$8*('Business Case'!B11*$C289*'Business Case'!B12*$B289)-'Business Case'!B15*$F289</f>
        <v>-2362289837.4435</v>
      </c>
      <c r="I289" s="39" t="n">
        <f aca="false">(('Business Case'!C11*$C289*'Business Case'!C12*$B289)-'Business Case'!C11*$C289*'Business Case'!C13*$D289-'Business Case'!C14*$E289)-MAX(0,(('Business Case'!C11*$C289*'Business Case'!C12*$B289)-'Business Case'!C11*$C289*'Business Case'!C13*$D289-'Business Case'!C14*$E289))*'Business Case'!$B$7-'Business Case'!$B$8*(('Business Case'!C11*$C289*'Business Case'!C12*$B289)-('Business Case'!B11*$C289*'Business Case'!B12*$B289))-'Business Case'!C15*$F289</f>
        <v>-53300366.6439625</v>
      </c>
      <c r="J289" s="39" t="n">
        <f aca="false">(('Business Case'!D11*$C289*'Business Case'!D12*$B289)-'Business Case'!D11*$C289*'Business Case'!D13*$D289-'Business Case'!D14*$E289)-MAX(0,(('Business Case'!D11*$C289*'Business Case'!D12*$B289)-'Business Case'!D11*$C289*'Business Case'!D13*$D289-'Business Case'!D14*$E289))*'Business Case'!$B$7-'Business Case'!$B$8*(('Business Case'!D11*$C289*'Business Case'!D12*$B289)-('Business Case'!C11*$C289*'Business Case'!C12*$B289))-'Business Case'!D15*$F289</f>
        <v>216017518.419432</v>
      </c>
      <c r="K289" s="39" t="n">
        <f aca="false">(('Business Case'!E11*$C289*'Business Case'!E12*$B289)-'Business Case'!E11*$C289*'Business Case'!E13*$D289-'Business Case'!E14*$E289)-MAX(0,(('Business Case'!E11*$C289*'Business Case'!E12*$B289)-'Business Case'!E11*$C289*'Business Case'!E13*$D289-'Business Case'!E14*$E289))*'Business Case'!$B$7-'Business Case'!$B$8*(('Business Case'!E11*$C289*'Business Case'!E12*$B289)-('Business Case'!D11*$C289*'Business Case'!D12*$B289))-'Business Case'!E15*$F289</f>
        <v>544392649.418914</v>
      </c>
      <c r="L289" s="39" t="n">
        <f aca="false">(('Business Case'!F11*$C289*'Business Case'!F12*$B289)-'Business Case'!F11*$C289*'Business Case'!F13*$D289-'Business Case'!F14*$E289)-MAX(0,(('Business Case'!F11*$C289*'Business Case'!F12*$B289)-'Business Case'!F11*$C289*'Business Case'!F13*$D289-'Business Case'!F14*$E289))*'Business Case'!$B$7-'Business Case'!$B$8*(('Business Case'!F11*$C289*'Business Case'!F12*$B289)-('Business Case'!E11*$C289*'Business Case'!E12*$B289))-'Business Case'!F15*$F289</f>
        <v>669399320.030751</v>
      </c>
      <c r="M289" s="39" t="n">
        <f aca="false">(('Business Case'!G11*$C289*'Business Case'!G12*$B289)-'Business Case'!G11*$C289*'Business Case'!G13*$D289-'Business Case'!G14*$E289)-MAX(0,(('Business Case'!G11*$C289*'Business Case'!G12*$B289)-'Business Case'!G11*$C289*'Business Case'!G13*$D289-'Business Case'!G14*$E289))*'Business Case'!$B$7-'Business Case'!$B$8*(('Business Case'!G11*$C289*'Business Case'!G12*$B289)-('Business Case'!F11*$C289*'Business Case'!F12*$B289))-'Business Case'!G15*$F289+'Business Case'!$B$8*('Business Case'!G11*$C289*'Business Case'!G12*$B289)</f>
        <v>863186552.446299</v>
      </c>
      <c r="N289" s="39" t="n">
        <f aca="false">IF(COUNT('Business Case'!B11:G11)=0,"",H289+NPV(G289,I289:M289))</f>
        <v>-936134233.974723</v>
      </c>
      <c r="P289" s="40" t="n">
        <f aca="true">RAND()</f>
        <v>0.374016664081947</v>
      </c>
      <c r="Q289" s="40" t="n">
        <f aca="true">RAND()</f>
        <v>0.838992260408488</v>
      </c>
      <c r="R289" s="40" t="n">
        <f aca="true">RAND()</f>
        <v>0.875381005143634</v>
      </c>
      <c r="S289" s="40" t="n">
        <f aca="true">RAND()</f>
        <v>0.813960462388088</v>
      </c>
      <c r="T289" s="40" t="n">
        <f aca="true">RAND()</f>
        <v>0.936786370428872</v>
      </c>
      <c r="U289" s="40" t="n">
        <f aca="true">RAND()</f>
        <v>0.936390063976996</v>
      </c>
    </row>
    <row r="290" customFormat="false" ht="15" hidden="false" customHeight="false" outlineLevel="0" collapsed="false">
      <c r="A290" s="36" t="n">
        <v>210</v>
      </c>
      <c r="B290" s="37" t="n">
        <f aca="false">1+IF($G$6=$E$6,$F$6,IF(P290&lt;($F$6-$E$6)/($G$6-$E$6),$E$6+SQRT(P290*($G$6-$E$6)*($F$6-$E$6)),$G$6-SQRT((1-P290)*($G$6-$E$6)*($G$6-$F$6))))</f>
        <v>1.02664826599019</v>
      </c>
      <c r="C290" s="37" t="n">
        <f aca="false">1+IF($G$7=$E$7,$F$7,IF(Q290&lt;($F$7-$E$7)/($G$7-$E$7),$E$7+SQRT(Q290*($G$7-$E$7)*($F$7-$E$7)),$G$7-SQRT((1-Q290)*($G$7-$E$7)*($G$7-$F$7))))</f>
        <v>1.11723955529037</v>
      </c>
      <c r="D290" s="37" t="n">
        <f aca="false">1+IF($G$8=$E$8,$F$8,IF(R290&lt;($F$8-$E$8)/($G$8-$E$8),$E$8+SQRT(R290*($G$8-$E$8)*($F$8-$E$8)),$G$8-SQRT((1-R290)*($G$8-$E$8)*($G$8-$F$8))))</f>
        <v>1.0327380731281</v>
      </c>
      <c r="E290" s="37" t="n">
        <f aca="false">1+IF($G$9=$E$9,$F$9,IF(S290&lt;($F$9-$E$9)/($G$9-$E$9),$E$9+SQRT(S290*($G$9-$E$9)*($F$9-$E$9)),$G$9-SQRT((1-S290)*($G$9-$E$9)*($G$9-$F$9))))</f>
        <v>1.12293944763414</v>
      </c>
      <c r="F290" s="37" t="n">
        <f aca="false">1+IF($G$10=$E$10,$F$10,IF(T290&lt;($F$10-$E$10)/($G$10-$E$10),$E$10+SQRT(T290*($G$10-$E$10)*($F$10-$E$10)),$G$10-SQRT((1-T290)*($G$10-$E$10)*($G$10-$F$10))))</f>
        <v>1.01749693563693</v>
      </c>
      <c r="G290" s="38" t="n">
        <f aca="false">IF($G$11=$E$11,$F$11,IF(U290&lt;($F$11-$E$11)/($G$11-$E$11),$E$11+SQRT(U290*($G$11-$E$11)*($F$11-$E$11)),$G$11-SQRT((1-U290)*($G$11-$E$11)*($G$11-$F$11))))</f>
        <v>0.118629762258228</v>
      </c>
      <c r="H290" s="39" t="n">
        <f aca="false">(('Business Case'!B11*$C290*'Business Case'!B12*$B290)-'Business Case'!B11*$C290*'Business Case'!B13*$D290-'Business Case'!B14*$E290)-MAX(0,(('Business Case'!B11*$C290*'Business Case'!B12*$B290)-'Business Case'!B11*$C290*'Business Case'!B13*$D290-'Business Case'!B14*$E290))*'Business Case'!$B$7-'Business Case'!$B$8*('Business Case'!B11*$C290*'Business Case'!B12*$B290)-'Business Case'!B15*$F290</f>
        <v>-2034993871.27387</v>
      </c>
      <c r="I290" s="39" t="n">
        <f aca="false">(('Business Case'!C11*$C290*'Business Case'!C12*$B290)-'Business Case'!C11*$C290*'Business Case'!C13*$D290-'Business Case'!C14*$E290)-MAX(0,(('Business Case'!C11*$C290*'Business Case'!C12*$B290)-'Business Case'!C11*$C290*'Business Case'!C13*$D290-'Business Case'!C14*$E290))*'Business Case'!$B$7-'Business Case'!$B$8*(('Business Case'!C11*$C290*'Business Case'!C12*$B290)-('Business Case'!B11*$C290*'Business Case'!B12*$B290))-'Business Case'!C15*$F290</f>
        <v>27931270.3488696</v>
      </c>
      <c r="J290" s="39" t="n">
        <f aca="false">(('Business Case'!D11*$C290*'Business Case'!D12*$B290)-'Business Case'!D11*$C290*'Business Case'!D13*$D290-'Business Case'!D14*$E290)-MAX(0,(('Business Case'!D11*$C290*'Business Case'!D12*$B290)-'Business Case'!D11*$C290*'Business Case'!D13*$D290-'Business Case'!D14*$E290))*'Business Case'!$B$7-'Business Case'!$B$8*(('Business Case'!D11*$C290*'Business Case'!D12*$B290)-('Business Case'!C11*$C290*'Business Case'!C12*$B290))-'Business Case'!D15*$F290</f>
        <v>376755328.497661</v>
      </c>
      <c r="K290" s="39" t="n">
        <f aca="false">(('Business Case'!E11*$C290*'Business Case'!E12*$B290)-'Business Case'!E11*$C290*'Business Case'!E13*$D290-'Business Case'!E14*$E290)-MAX(0,(('Business Case'!E11*$C290*'Business Case'!E12*$B290)-'Business Case'!E11*$C290*'Business Case'!E13*$D290-'Business Case'!E14*$E290))*'Business Case'!$B$7-'Business Case'!$B$8*(('Business Case'!E11*$C290*'Business Case'!E12*$B290)-('Business Case'!D11*$C290*'Business Case'!D12*$B290))-'Business Case'!E15*$F290</f>
        <v>776454233.428298</v>
      </c>
      <c r="L290" s="39" t="n">
        <f aca="false">(('Business Case'!F11*$C290*'Business Case'!F12*$B290)-'Business Case'!F11*$C290*'Business Case'!F13*$D290-'Business Case'!F14*$E290)-MAX(0,(('Business Case'!F11*$C290*'Business Case'!F12*$B290)-'Business Case'!F11*$C290*'Business Case'!F13*$D290-'Business Case'!F14*$E290))*'Business Case'!$B$7-'Business Case'!$B$8*(('Business Case'!F11*$C290*'Business Case'!F12*$B290)-('Business Case'!E11*$C290*'Business Case'!E12*$B290))-'Business Case'!F15*$F290</f>
        <v>932369655.999664</v>
      </c>
      <c r="M290" s="39" t="n">
        <f aca="false">(('Business Case'!G11*$C290*'Business Case'!G12*$B290)-'Business Case'!G11*$C290*'Business Case'!G13*$D290-'Business Case'!G14*$E290)-MAX(0,(('Business Case'!G11*$C290*'Business Case'!G12*$B290)-'Business Case'!G11*$C290*'Business Case'!G13*$D290-'Business Case'!G14*$E290))*'Business Case'!$B$7-'Business Case'!$B$8*(('Business Case'!G11*$C290*'Business Case'!G12*$B290)-('Business Case'!F11*$C290*'Business Case'!F12*$B290))-'Business Case'!G15*$F290+'Business Case'!$B$8*('Business Case'!G11*$C290*'Business Case'!G12*$B290)</f>
        <v>1150393706.86939</v>
      </c>
      <c r="N290" s="39" t="n">
        <f aca="false">IF(COUNT('Business Case'!B11:G11)=0,"",H290+NPV(G290,I290:M290))</f>
        <v>97975198.3954177</v>
      </c>
      <c r="P290" s="40" t="n">
        <f aca="true">RAND()</f>
        <v>0.927292869164692</v>
      </c>
      <c r="Q290" s="40" t="n">
        <f aca="true">RAND()</f>
        <v>0.984100048332251</v>
      </c>
      <c r="R290" s="40" t="n">
        <f aca="true">RAND()</f>
        <v>0.698388879565242</v>
      </c>
      <c r="S290" s="40" t="n">
        <f aca="true">RAND()</f>
        <v>0.980472706817458</v>
      </c>
      <c r="T290" s="40" t="n">
        <f aca="true">RAND()</f>
        <v>0.279231000823784</v>
      </c>
      <c r="U290" s="40" t="n">
        <f aca="true">RAND()</f>
        <v>0.913811795797061</v>
      </c>
    </row>
    <row r="291" customFormat="false" ht="15" hidden="false" customHeight="false" outlineLevel="0" collapsed="false">
      <c r="A291" s="36" t="n">
        <v>211</v>
      </c>
      <c r="B291" s="37" t="n">
        <f aca="false">1+IF($G$6=$E$6,$F$6,IF(P291&lt;($F$6-$E$6)/($G$6-$E$6),$E$6+SQRT(P291*($G$6-$E$6)*($F$6-$E$6)),$G$6-SQRT((1-P291)*($G$6-$E$6)*($G$6-$F$6))))</f>
        <v>1.02099733753941</v>
      </c>
      <c r="C291" s="37" t="n">
        <f aca="false">1+IF($G$7=$E$7,$F$7,IF(Q291&lt;($F$7-$E$7)/($G$7-$E$7),$E$7+SQRT(Q291*($G$7-$E$7)*($F$7-$E$7)),$G$7-SQRT((1-Q291)*($G$7-$E$7)*($G$7-$F$7))))</f>
        <v>0.797940899895127</v>
      </c>
      <c r="D291" s="37" t="n">
        <f aca="false">1+IF($G$8=$E$8,$F$8,IF(R291&lt;($F$8-$E$8)/($G$8-$E$8),$E$8+SQRT(R291*($G$8-$E$8)*($F$8-$E$8)),$G$8-SQRT((1-R291)*($G$8-$E$8)*($G$8-$F$8))))</f>
        <v>0.986723999719003</v>
      </c>
      <c r="E291" s="37" t="n">
        <f aca="false">1+IF($G$9=$E$9,$F$9,IF(S291&lt;($F$9-$E$9)/($G$9-$E$9),$E$9+SQRT(S291*($G$9-$E$9)*($F$9-$E$9)),$G$9-SQRT((1-S291)*($G$9-$E$9)*($G$9-$F$9))))</f>
        <v>1.01951219235522</v>
      </c>
      <c r="F291" s="37" t="n">
        <f aca="false">1+IF($G$10=$E$10,$F$10,IF(T291&lt;($F$10-$E$10)/($G$10-$E$10),$E$10+SQRT(T291*($G$10-$E$10)*($F$10-$E$10)),$G$10-SQRT((1-T291)*($G$10-$E$10)*($G$10-$F$10))))</f>
        <v>1.00282171236098</v>
      </c>
      <c r="G291" s="38" t="n">
        <f aca="false">IF($G$11=$E$11,$F$11,IF(U291&lt;($F$11-$E$11)/($G$11-$E$11),$E$11+SQRT(U291*($G$11-$E$11)*($F$11-$E$11)),$G$11-SQRT((1-U291)*($G$11-$E$11)*($G$11-$F$11))))</f>
        <v>0.113084968801576</v>
      </c>
      <c r="H291" s="39" t="n">
        <f aca="false">(('Business Case'!B11*$C291*'Business Case'!B12*$B291)-'Business Case'!B11*$C291*'Business Case'!B13*$D291-'Business Case'!B14*$E291)-MAX(0,(('Business Case'!B11*$C291*'Business Case'!B12*$B291)-'Business Case'!B11*$C291*'Business Case'!B13*$D291-'Business Case'!B14*$E291))*'Business Case'!$B$7-'Business Case'!$B$8*('Business Case'!B11*$C291*'Business Case'!B12*$B291)-'Business Case'!B15*$F291</f>
        <v>-2005643424.72197</v>
      </c>
      <c r="I291" s="39" t="n">
        <f aca="false">(('Business Case'!C11*$C291*'Business Case'!C12*$B291)-'Business Case'!C11*$C291*'Business Case'!C13*$D291-'Business Case'!C14*$E291)-MAX(0,(('Business Case'!C11*$C291*'Business Case'!C12*$B291)-'Business Case'!C11*$C291*'Business Case'!C13*$D291-'Business Case'!C14*$E291))*'Business Case'!$B$7-'Business Case'!$B$8*(('Business Case'!C11*$C291*'Business Case'!C12*$B291)-('Business Case'!B11*$C291*'Business Case'!B12*$B291))-'Business Case'!C15*$F291</f>
        <v>-23255220.3942476</v>
      </c>
      <c r="J291" s="39" t="n">
        <f aca="false">(('Business Case'!D11*$C291*'Business Case'!D12*$B291)-'Business Case'!D11*$C291*'Business Case'!D13*$D291-'Business Case'!D14*$E291)-MAX(0,(('Business Case'!D11*$C291*'Business Case'!D12*$B291)-'Business Case'!D11*$C291*'Business Case'!D13*$D291-'Business Case'!D14*$E291))*'Business Case'!$B$7-'Business Case'!$B$8*(('Business Case'!D11*$C291*'Business Case'!D12*$B291)-('Business Case'!C11*$C291*'Business Case'!C12*$B291))-'Business Case'!D15*$F291</f>
        <v>240980180.698977</v>
      </c>
      <c r="K291" s="39" t="n">
        <f aca="false">(('Business Case'!E11*$C291*'Business Case'!E12*$B291)-'Business Case'!E11*$C291*'Business Case'!E13*$D291-'Business Case'!E14*$E291)-MAX(0,(('Business Case'!E11*$C291*'Business Case'!E12*$B291)-'Business Case'!E11*$C291*'Business Case'!E13*$D291-'Business Case'!E14*$E291))*'Business Case'!$B$7-'Business Case'!$B$8*(('Business Case'!E11*$C291*'Business Case'!E12*$B291)-('Business Case'!D11*$C291*'Business Case'!D12*$B291))-'Business Case'!E15*$F291</f>
        <v>555356667.41025</v>
      </c>
      <c r="L291" s="39" t="n">
        <f aca="false">(('Business Case'!F11*$C291*'Business Case'!F12*$B291)-'Business Case'!F11*$C291*'Business Case'!F13*$D291-'Business Case'!F14*$E291)-MAX(0,(('Business Case'!F11*$C291*'Business Case'!F12*$B291)-'Business Case'!F11*$C291*'Business Case'!F13*$D291-'Business Case'!F14*$E291))*'Business Case'!$B$7-'Business Case'!$B$8*(('Business Case'!F11*$C291*'Business Case'!F12*$B291)-('Business Case'!E11*$C291*'Business Case'!E12*$B291))-'Business Case'!F15*$F291</f>
        <v>671591012.106966</v>
      </c>
      <c r="M291" s="39" t="n">
        <f aca="false">(('Business Case'!G11*$C291*'Business Case'!G12*$B291)-'Business Case'!G11*$C291*'Business Case'!G13*$D291-'Business Case'!G14*$E291)-MAX(0,(('Business Case'!G11*$C291*'Business Case'!G12*$B291)-'Business Case'!G11*$C291*'Business Case'!G13*$D291-'Business Case'!G14*$E291))*'Business Case'!$B$7-'Business Case'!$B$8*(('Business Case'!G11*$C291*'Business Case'!G12*$B291)-('Business Case'!F11*$C291*'Business Case'!F12*$B291))-'Business Case'!G15*$F291+'Business Case'!$B$8*('Business Case'!G11*$C291*'Business Case'!G12*$B291)</f>
        <v>826448339.267988</v>
      </c>
      <c r="N291" s="39" t="n">
        <f aca="false">IF(COUNT('Business Case'!B11:G11)=0,"",H291+NPV(G291,I291:M291))</f>
        <v>-508117261.844337</v>
      </c>
      <c r="P291" s="40" t="n">
        <f aca="true">RAND()</f>
        <v>0.887846076026279</v>
      </c>
      <c r="Q291" s="40" t="n">
        <f aca="true">RAND()</f>
        <v>0.0710549620167947</v>
      </c>
      <c r="R291" s="40" t="n">
        <f aca="true">RAND()</f>
        <v>0.179820287381506</v>
      </c>
      <c r="S291" s="40" t="n">
        <f aca="true">RAND()</f>
        <v>0.545944854828266</v>
      </c>
      <c r="T291" s="40" t="n">
        <f aca="true">RAND()</f>
        <v>0.185371921597922</v>
      </c>
      <c r="U291" s="40" t="n">
        <f aca="true">RAND()</f>
        <v>0.809254479704225</v>
      </c>
    </row>
    <row r="292" customFormat="false" ht="15" hidden="false" customHeight="false" outlineLevel="0" collapsed="false">
      <c r="A292" s="36" t="n">
        <v>212</v>
      </c>
      <c r="B292" s="37" t="n">
        <f aca="false">1+IF($G$6=$E$6,$F$6,IF(P292&lt;($F$6-$E$6)/($G$6-$E$6),$E$6+SQRT(P292*($G$6-$E$6)*($F$6-$E$6)),$G$6-SQRT((1-P292)*($G$6-$E$6)*($G$6-$F$6))))</f>
        <v>1.02065981801926</v>
      </c>
      <c r="C292" s="37" t="n">
        <f aca="false">1+IF($G$7=$E$7,$F$7,IF(Q292&lt;($F$7-$E$7)/($G$7-$E$7),$E$7+SQRT(Q292*($G$7-$E$7)*($F$7-$E$7)),$G$7-SQRT((1-Q292)*($G$7-$E$7)*($G$7-$F$7))))</f>
        <v>0.831273703722266</v>
      </c>
      <c r="D292" s="37" t="n">
        <f aca="false">1+IF($G$8=$E$8,$F$8,IF(R292&lt;($F$8-$E$8)/($G$8-$E$8),$E$8+SQRT(R292*($G$8-$E$8)*($F$8-$E$8)),$G$8-SQRT((1-R292)*($G$8-$E$8)*($G$8-$F$8))))</f>
        <v>1.03367611949034</v>
      </c>
      <c r="E292" s="37" t="n">
        <f aca="false">1+IF($G$9=$E$9,$F$9,IF(S292&lt;($F$9-$E$9)/($G$9-$E$9),$E$9+SQRT(S292*($G$9-$E$9)*($F$9-$E$9)),$G$9-SQRT((1-S292)*($G$9-$E$9)*($G$9-$F$9))))</f>
        <v>0.950363650193061</v>
      </c>
      <c r="F292" s="37" t="n">
        <f aca="false">1+IF($G$10=$E$10,$F$10,IF(T292&lt;($F$10-$E$10)/($G$10-$E$10),$E$10+SQRT(T292*($G$10-$E$10)*($F$10-$E$10)),$G$10-SQRT((1-T292)*($G$10-$E$10)*($G$10-$F$10))))</f>
        <v>1.00803824071081</v>
      </c>
      <c r="G292" s="38" t="n">
        <f aca="false">IF($G$11=$E$11,$F$11,IF(U292&lt;($F$11-$E$11)/($G$11-$E$11),$E$11+SQRT(U292*($G$11-$E$11)*($F$11-$E$11)),$G$11-SQRT((1-U292)*($G$11-$E$11)*($G$11-$F$11))))</f>
        <v>0.104986214652392</v>
      </c>
      <c r="H292" s="39" t="n">
        <f aca="false">(('Business Case'!B11*$C292*'Business Case'!B12*$B292)-'Business Case'!B11*$C292*'Business Case'!B13*$D292-'Business Case'!B14*$E292)-MAX(0,(('Business Case'!B11*$C292*'Business Case'!B12*$B292)-'Business Case'!B11*$C292*'Business Case'!B13*$D292-'Business Case'!B14*$E292))*'Business Case'!$B$7-'Business Case'!$B$8*('Business Case'!B11*$C292*'Business Case'!B12*$B292)-'Business Case'!B15*$F292</f>
        <v>-2016076481.42162</v>
      </c>
      <c r="I292" s="39" t="n">
        <f aca="false">(('Business Case'!C11*$C292*'Business Case'!C12*$B292)-'Business Case'!C11*$C292*'Business Case'!C13*$D292-'Business Case'!C14*$E292)-MAX(0,(('Business Case'!C11*$C292*'Business Case'!C12*$B292)-'Business Case'!C11*$C292*'Business Case'!C13*$D292-'Business Case'!C14*$E292))*'Business Case'!$B$7-'Business Case'!$B$8*(('Business Case'!C11*$C292*'Business Case'!C12*$B292)-('Business Case'!B11*$C292*'Business Case'!B12*$B292))-'Business Case'!C15*$F292</f>
        <v>-24865694.5963903</v>
      </c>
      <c r="J292" s="39" t="n">
        <f aca="false">(('Business Case'!D11*$C292*'Business Case'!D12*$B292)-'Business Case'!D11*$C292*'Business Case'!D13*$D292-'Business Case'!D14*$E292)-MAX(0,(('Business Case'!D11*$C292*'Business Case'!D12*$B292)-'Business Case'!D11*$C292*'Business Case'!D13*$D292-'Business Case'!D14*$E292))*'Business Case'!$B$7-'Business Case'!$B$8*(('Business Case'!D11*$C292*'Business Case'!D12*$B292)-('Business Case'!C11*$C292*'Business Case'!C12*$B292))-'Business Case'!D15*$F292</f>
        <v>230197673.001606</v>
      </c>
      <c r="K292" s="39" t="n">
        <f aca="false">(('Business Case'!E11*$C292*'Business Case'!E12*$B292)-'Business Case'!E11*$C292*'Business Case'!E13*$D292-'Business Case'!E14*$E292)-MAX(0,(('Business Case'!E11*$C292*'Business Case'!E12*$B292)-'Business Case'!E11*$C292*'Business Case'!E13*$D292-'Business Case'!E14*$E292))*'Business Case'!$B$7-'Business Case'!$B$8*(('Business Case'!E11*$C292*'Business Case'!E12*$B292)-('Business Case'!D11*$C292*'Business Case'!D12*$B292))-'Business Case'!E15*$F292</f>
        <v>535662952.635143</v>
      </c>
      <c r="L292" s="39" t="n">
        <f aca="false">(('Business Case'!F11*$C292*'Business Case'!F12*$B292)-'Business Case'!F11*$C292*'Business Case'!F13*$D292-'Business Case'!F14*$E292)-MAX(0,(('Business Case'!F11*$C292*'Business Case'!F12*$B292)-'Business Case'!F11*$C292*'Business Case'!F13*$D292-'Business Case'!F14*$E292))*'Business Case'!$B$7-'Business Case'!$B$8*(('Business Case'!F11*$C292*'Business Case'!F12*$B292)-('Business Case'!E11*$C292*'Business Case'!E12*$B292))-'Business Case'!F15*$F292</f>
        <v>650006426.545044</v>
      </c>
      <c r="M292" s="39" t="n">
        <f aca="false">(('Business Case'!G11*$C292*'Business Case'!G12*$B292)-'Business Case'!G11*$C292*'Business Case'!G13*$D292-'Business Case'!G14*$E292)-MAX(0,(('Business Case'!G11*$C292*'Business Case'!G12*$B292)-'Business Case'!G11*$C292*'Business Case'!G13*$D292-'Business Case'!G14*$E292))*'Business Case'!$B$7-'Business Case'!$B$8*(('Business Case'!G11*$C292*'Business Case'!G12*$B292)-('Business Case'!F11*$C292*'Business Case'!F12*$B292))-'Business Case'!G15*$F292+'Business Case'!$B$8*('Business Case'!G11*$C292*'Business Case'!G12*$B292)</f>
        <v>811279359.119836</v>
      </c>
      <c r="N292" s="39" t="n">
        <f aca="false">IF(COUNT('Business Case'!B11:G11)=0,"",H292+NPV(G292,I292:M292))</f>
        <v>-524537889.218712</v>
      </c>
      <c r="P292" s="40" t="n">
        <f aca="true">RAND()</f>
        <v>0.885220496178257</v>
      </c>
      <c r="Q292" s="40" t="n">
        <f aca="true">RAND()</f>
        <v>0.127650261399714</v>
      </c>
      <c r="R292" s="40" t="n">
        <f aca="true">RAND()</f>
        <v>0.706742858276066</v>
      </c>
      <c r="S292" s="40" t="n">
        <f aca="true">RAND()</f>
        <v>0.101459890430761</v>
      </c>
      <c r="T292" s="40" t="n">
        <f aca="true">RAND()</f>
        <v>0.219393427222396</v>
      </c>
      <c r="U292" s="40" t="n">
        <f aca="true">RAND()</f>
        <v>0.582873695055862</v>
      </c>
    </row>
    <row r="293" customFormat="false" ht="15" hidden="false" customHeight="false" outlineLevel="0" collapsed="false">
      <c r="A293" s="36" t="n">
        <v>213</v>
      </c>
      <c r="B293" s="37" t="n">
        <f aca="false">1+IF($G$6=$E$6,$F$6,IF(P293&lt;($F$6-$E$6)/($G$6-$E$6),$E$6+SQRT(P293*($G$6-$E$6)*($F$6-$E$6)),$G$6-SQRT((1-P293)*($G$6-$E$6)*($G$6-$F$6))))</f>
        <v>1.00527525912955</v>
      </c>
      <c r="C293" s="37" t="n">
        <f aca="false">1+IF($G$7=$E$7,$F$7,IF(Q293&lt;($F$7-$E$7)/($G$7-$E$7),$E$7+SQRT(Q293*($G$7-$E$7)*($F$7-$E$7)),$G$7-SQRT((1-Q293)*($G$7-$E$7)*($G$7-$F$7))))</f>
        <v>0.851221552932556</v>
      </c>
      <c r="D293" s="37" t="n">
        <f aca="false">1+IF($G$8=$E$8,$F$8,IF(R293&lt;($F$8-$E$8)/($G$8-$E$8),$E$8+SQRT(R293*($G$8-$E$8)*($F$8-$E$8)),$G$8-SQRT((1-R293)*($G$8-$E$8)*($G$8-$F$8))))</f>
        <v>1.04408761179457</v>
      </c>
      <c r="E293" s="37" t="n">
        <f aca="false">1+IF($G$9=$E$9,$F$9,IF(S293&lt;($F$9-$E$9)/($G$9-$E$9),$E$9+SQRT(S293*($G$9-$E$9)*($F$9-$E$9)),$G$9-SQRT((1-S293)*($G$9-$E$9)*($G$9-$F$9))))</f>
        <v>1.02456077648977</v>
      </c>
      <c r="F293" s="37" t="n">
        <f aca="false">1+IF($G$10=$E$10,$F$10,IF(T293&lt;($F$10-$E$10)/($G$10-$E$10),$E$10+SQRT(T293*($G$10-$E$10)*($F$10-$E$10)),$G$10-SQRT((1-T293)*($G$10-$E$10)*($G$10-$F$10))))</f>
        <v>1.0761554489619</v>
      </c>
      <c r="G293" s="38" t="n">
        <f aca="false">IF($G$11=$E$11,$F$11,IF(U293&lt;($F$11-$E$11)/($G$11-$E$11),$E$11+SQRT(U293*($G$11-$E$11)*($F$11-$E$11)),$G$11-SQRT((1-U293)*($G$11-$E$11)*($G$11-$F$11))))</f>
        <v>0.0940777435726079</v>
      </c>
      <c r="H293" s="39" t="n">
        <f aca="false">(('Business Case'!B11*$C293*'Business Case'!B12*$B293)-'Business Case'!B11*$C293*'Business Case'!B13*$D293-'Business Case'!B14*$E293)-MAX(0,(('Business Case'!B11*$C293*'Business Case'!B12*$B293)-'Business Case'!B11*$C293*'Business Case'!B13*$D293-'Business Case'!B14*$E293))*'Business Case'!$B$7-'Business Case'!$B$8*('Business Case'!B11*$C293*'Business Case'!B12*$B293)-'Business Case'!B15*$F293</f>
        <v>-2152310897.9238</v>
      </c>
      <c r="I293" s="39" t="n">
        <f aca="false">(('Business Case'!C11*$C293*'Business Case'!C12*$B293)-'Business Case'!C11*$C293*'Business Case'!C13*$D293-'Business Case'!C14*$E293)-MAX(0,(('Business Case'!C11*$C293*'Business Case'!C12*$B293)-'Business Case'!C11*$C293*'Business Case'!C13*$D293-'Business Case'!C14*$E293))*'Business Case'!$B$7-'Business Case'!$B$8*(('Business Case'!C11*$C293*'Business Case'!C12*$B293)-('Business Case'!B11*$C293*'Business Case'!B12*$B293))-'Business Case'!C15*$F293</f>
        <v>-51747320.9976857</v>
      </c>
      <c r="J293" s="39" t="n">
        <f aca="false">(('Business Case'!D11*$C293*'Business Case'!D12*$B293)-'Business Case'!D11*$C293*'Business Case'!D13*$D293-'Business Case'!D14*$E293)-MAX(0,(('Business Case'!D11*$C293*'Business Case'!D12*$B293)-'Business Case'!D11*$C293*'Business Case'!D13*$D293-'Business Case'!D14*$E293))*'Business Case'!$B$7-'Business Case'!$B$8*(('Business Case'!D11*$C293*'Business Case'!D12*$B293)-('Business Case'!C11*$C293*'Business Case'!C12*$B293))-'Business Case'!D15*$F293</f>
        <v>194173553.69736</v>
      </c>
      <c r="K293" s="39" t="n">
        <f aca="false">(('Business Case'!E11*$C293*'Business Case'!E12*$B293)-'Business Case'!E11*$C293*'Business Case'!E13*$D293-'Business Case'!E14*$E293)-MAX(0,(('Business Case'!E11*$C293*'Business Case'!E12*$B293)-'Business Case'!E11*$C293*'Business Case'!E13*$D293-'Business Case'!E14*$E293))*'Business Case'!$B$7-'Business Case'!$B$8*(('Business Case'!E11*$C293*'Business Case'!E12*$B293)-('Business Case'!D11*$C293*'Business Case'!D12*$B293))-'Business Case'!E15*$F293</f>
        <v>493902200.840501</v>
      </c>
      <c r="L293" s="39" t="n">
        <f aca="false">(('Business Case'!F11*$C293*'Business Case'!F12*$B293)-'Business Case'!F11*$C293*'Business Case'!F13*$D293-'Business Case'!F14*$E293)-MAX(0,(('Business Case'!F11*$C293*'Business Case'!F12*$B293)-'Business Case'!F11*$C293*'Business Case'!F13*$D293-'Business Case'!F14*$E293))*'Business Case'!$B$7-'Business Case'!$B$8*(('Business Case'!F11*$C293*'Business Case'!F12*$B293)-('Business Case'!E11*$C293*'Business Case'!E12*$B293))-'Business Case'!F15*$F293</f>
        <v>605449231.325314</v>
      </c>
      <c r="M293" s="39" t="n">
        <f aca="false">(('Business Case'!G11*$C293*'Business Case'!G12*$B293)-'Business Case'!G11*$C293*'Business Case'!G13*$D293-'Business Case'!G14*$E293)-MAX(0,(('Business Case'!G11*$C293*'Business Case'!G12*$B293)-'Business Case'!G11*$C293*'Business Case'!G13*$D293-'Business Case'!G14*$E293))*'Business Case'!$B$7-'Business Case'!$B$8*(('Business Case'!G11*$C293*'Business Case'!G12*$B293)-('Business Case'!F11*$C293*'Business Case'!F12*$B293))-'Business Case'!G15*$F293+'Business Case'!$B$8*('Business Case'!G11*$C293*'Business Case'!G12*$B293)</f>
        <v>768102962.050867</v>
      </c>
      <c r="N293" s="39" t="n">
        <f aca="false">IF(COUNT('Business Case'!B11:G11)=0,"",H293+NPV(G293,I293:M293))</f>
        <v>-747721026.864546</v>
      </c>
      <c r="P293" s="40" t="n">
        <f aca="true">RAND()</f>
        <v>0.733293007209458</v>
      </c>
      <c r="Q293" s="40" t="n">
        <f aca="true">RAND()</f>
        <v>0.169392282009881</v>
      </c>
      <c r="R293" s="40" t="n">
        <f aca="true">RAND()</f>
        <v>0.791586989677667</v>
      </c>
      <c r="S293" s="40" t="n">
        <f aca="true">RAND()</f>
        <v>0.580400032137333</v>
      </c>
      <c r="T293" s="40" t="n">
        <f aca="true">RAND()</f>
        <v>0.597040960991489</v>
      </c>
      <c r="U293" s="40" t="n">
        <f aca="true">RAND()</f>
        <v>0.198182864096103</v>
      </c>
    </row>
    <row r="294" customFormat="false" ht="15" hidden="false" customHeight="false" outlineLevel="0" collapsed="false">
      <c r="A294" s="36" t="n">
        <v>214</v>
      </c>
      <c r="B294" s="37" t="n">
        <f aca="false">1+IF($G$6=$E$6,$F$6,IF(P294&lt;($F$6-$E$6)/($G$6-$E$6),$E$6+SQRT(P294*($G$6-$E$6)*($F$6-$E$6)),$G$6-SQRT((1-P294)*($G$6-$E$6)*($G$6-$F$6))))</f>
        <v>1.01899526395411</v>
      </c>
      <c r="C294" s="37" t="n">
        <f aca="false">1+IF($G$7=$E$7,$F$7,IF(Q294&lt;($F$7-$E$7)/($G$7-$E$7),$E$7+SQRT(Q294*($G$7-$E$7)*($F$7-$E$7)),$G$7-SQRT((1-Q294)*($G$7-$E$7)*($G$7-$F$7))))</f>
        <v>0.995284846665794</v>
      </c>
      <c r="D294" s="37" t="n">
        <f aca="false">1+IF($G$8=$E$8,$F$8,IF(R294&lt;($F$8-$E$8)/($G$8-$E$8),$E$8+SQRT(R294*($G$8-$E$8)*($F$8-$E$8)),$G$8-SQRT((1-R294)*($G$8-$E$8)*($G$8-$F$8))))</f>
        <v>1.09484519955547</v>
      </c>
      <c r="E294" s="37" t="n">
        <f aca="false">1+IF($G$9=$E$9,$F$9,IF(S294&lt;($F$9-$E$9)/($G$9-$E$9),$E$9+SQRT(S294*($G$9-$E$9)*($F$9-$E$9)),$G$9-SQRT((1-S294)*($G$9-$E$9)*($G$9-$F$9))))</f>
        <v>0.968896085203969</v>
      </c>
      <c r="F294" s="37" t="n">
        <f aca="false">1+IF($G$10=$E$10,$F$10,IF(T294&lt;($F$10-$E$10)/($G$10-$E$10),$E$10+SQRT(T294*($G$10-$E$10)*($F$10-$E$10)),$G$10-SQRT((1-T294)*($G$10-$E$10)*($G$10-$F$10))))</f>
        <v>1.09968437585037</v>
      </c>
      <c r="G294" s="38" t="n">
        <f aca="false">IF($G$11=$E$11,$F$11,IF(U294&lt;($F$11-$E$11)/($G$11-$E$11),$E$11+SQRT(U294*($G$11-$E$11)*($F$11-$E$11)),$G$11-SQRT((1-U294)*($G$11-$E$11)*($G$11-$F$11))))</f>
        <v>0.117186978346991</v>
      </c>
      <c r="H294" s="39" t="n">
        <f aca="false">(('Business Case'!B11*$C294*'Business Case'!B12*$B294)-'Business Case'!B11*$C294*'Business Case'!B13*$D294-'Business Case'!B14*$E294)-MAX(0,(('Business Case'!B11*$C294*'Business Case'!B12*$B294)-'Business Case'!B11*$C294*'Business Case'!B13*$D294-'Business Case'!B14*$E294))*'Business Case'!$B$7-'Business Case'!$B$8*('Business Case'!B11*$C294*'Business Case'!B12*$B294)-'Business Case'!B15*$F294</f>
        <v>-2199368751.70075</v>
      </c>
      <c r="I294" s="39" t="n">
        <f aca="false">(('Business Case'!C11*$C294*'Business Case'!C12*$B294)-'Business Case'!C11*$C294*'Business Case'!C13*$D294-'Business Case'!C14*$E294)-MAX(0,(('Business Case'!C11*$C294*'Business Case'!C12*$B294)-'Business Case'!C11*$C294*'Business Case'!C13*$D294-'Business Case'!C14*$E294))*'Business Case'!$B$7-'Business Case'!$B$8*(('Business Case'!C11*$C294*'Business Case'!C12*$B294)-('Business Case'!B11*$C294*'Business Case'!B12*$B294))-'Business Case'!C15*$F294</f>
        <v>-27456458.3436506</v>
      </c>
      <c r="J294" s="39" t="n">
        <f aca="false">(('Business Case'!D11*$C294*'Business Case'!D12*$B294)-'Business Case'!D11*$C294*'Business Case'!D13*$D294-'Business Case'!D14*$E294)-MAX(0,(('Business Case'!D11*$C294*'Business Case'!D12*$B294)-'Business Case'!D11*$C294*'Business Case'!D13*$D294-'Business Case'!D14*$E294))*'Business Case'!$B$7-'Business Case'!$B$8*(('Business Case'!D11*$C294*'Business Case'!D12*$B294)-('Business Case'!C11*$C294*'Business Case'!C12*$B294))-'Business Case'!D15*$F294</f>
        <v>245408182.068497</v>
      </c>
      <c r="K294" s="39" t="n">
        <f aca="false">(('Business Case'!E11*$C294*'Business Case'!E12*$B294)-'Business Case'!E11*$C294*'Business Case'!E13*$D294-'Business Case'!E14*$E294)-MAX(0,(('Business Case'!E11*$C294*'Business Case'!E12*$B294)-'Business Case'!E11*$C294*'Business Case'!E13*$D294-'Business Case'!E14*$E294))*'Business Case'!$B$7-'Business Case'!$B$8*(('Business Case'!E11*$C294*'Business Case'!E12*$B294)-('Business Case'!D11*$C294*'Business Case'!D12*$B294))-'Business Case'!E15*$F294</f>
        <v>573257041.273162</v>
      </c>
      <c r="L294" s="39" t="n">
        <f aca="false">(('Business Case'!F11*$C294*'Business Case'!F12*$B294)-'Business Case'!F11*$C294*'Business Case'!F13*$D294-'Business Case'!F14*$E294)-MAX(0,(('Business Case'!F11*$C294*'Business Case'!F12*$B294)-'Business Case'!F11*$C294*'Business Case'!F13*$D294-'Business Case'!F14*$E294))*'Business Case'!$B$7-'Business Case'!$B$8*(('Business Case'!F11*$C294*'Business Case'!F12*$B294)-('Business Case'!E11*$C294*'Business Case'!E12*$B294))-'Business Case'!F15*$F294</f>
        <v>699262346.647049</v>
      </c>
      <c r="M294" s="39" t="n">
        <f aca="false">(('Business Case'!G11*$C294*'Business Case'!G12*$B294)-'Business Case'!G11*$C294*'Business Case'!G13*$D294-'Business Case'!G14*$E294)-MAX(0,(('Business Case'!G11*$C294*'Business Case'!G12*$B294)-'Business Case'!G11*$C294*'Business Case'!G13*$D294-'Business Case'!G14*$E294))*'Business Case'!$B$7-'Business Case'!$B$8*(('Business Case'!G11*$C294*'Business Case'!G12*$B294)-('Business Case'!F11*$C294*'Business Case'!F12*$B294))-'Business Case'!G15*$F294+'Business Case'!$B$8*('Business Case'!G11*$C294*'Business Case'!G12*$B294)</f>
        <v>892039685.447821</v>
      </c>
      <c r="N294" s="39" t="n">
        <f aca="false">IF(COUNT('Business Case'!B11:G11)=0,"",H294+NPV(G294,I294:M294))</f>
        <v>-654739181.647667</v>
      </c>
      <c r="P294" s="40" t="n">
        <f aca="true">RAND()</f>
        <v>0.871827512363263</v>
      </c>
      <c r="Q294" s="40" t="n">
        <f aca="true">RAND()</f>
        <v>0.645875116077343</v>
      </c>
      <c r="R294" s="40" t="n">
        <f aca="true">RAND()</f>
        <v>0.998228535491808</v>
      </c>
      <c r="S294" s="40" t="n">
        <f aca="true">RAND()</f>
        <v>0.1898668222573</v>
      </c>
      <c r="T294" s="40" t="n">
        <f aca="true">RAND()</f>
        <v>0.698736175153445</v>
      </c>
      <c r="U294" s="40" t="n">
        <f aca="true">RAND()</f>
        <v>0.890550984079677</v>
      </c>
    </row>
    <row r="295" customFormat="false" ht="15" hidden="false" customHeight="false" outlineLevel="0" collapsed="false">
      <c r="A295" s="36" t="n">
        <v>215</v>
      </c>
      <c r="B295" s="37" t="n">
        <f aca="false">1+IF($G$6=$E$6,$F$6,IF(P295&lt;($F$6-$E$6)/($G$6-$E$6),$E$6+SQRT(P295*($G$6-$E$6)*($F$6-$E$6)),$G$6-SQRT((1-P295)*($G$6-$E$6)*($G$6-$F$6))))</f>
        <v>0.931109886675961</v>
      </c>
      <c r="C295" s="37" t="n">
        <f aca="false">1+IF($G$7=$E$7,$F$7,IF(Q295&lt;($F$7-$E$7)/($G$7-$E$7),$E$7+SQRT(Q295*($G$7-$E$7)*($F$7-$E$7)),$G$7-SQRT((1-Q295)*($G$7-$E$7)*($G$7-$F$7))))</f>
        <v>0.950941751905739</v>
      </c>
      <c r="D295" s="37" t="n">
        <f aca="false">1+IF($G$8=$E$8,$F$8,IF(R295&lt;($F$8-$E$8)/($G$8-$E$8),$E$8+SQRT(R295*($G$8-$E$8)*($F$8-$E$8)),$G$8-SQRT((1-R295)*($G$8-$E$8)*($G$8-$F$8))))</f>
        <v>0.96127771183174</v>
      </c>
      <c r="E295" s="37" t="n">
        <f aca="false">1+IF($G$9=$E$9,$F$9,IF(S295&lt;($F$9-$E$9)/($G$9-$E$9),$E$9+SQRT(S295*($G$9-$E$9)*($F$9-$E$9)),$G$9-SQRT((1-S295)*($G$9-$E$9)*($G$9-$F$9))))</f>
        <v>1.05282303996229</v>
      </c>
      <c r="F295" s="37" t="n">
        <f aca="false">1+IF($G$10=$E$10,$F$10,IF(T295&lt;($F$10-$E$10)/($G$10-$E$10),$E$10+SQRT(T295*($G$10-$E$10)*($F$10-$E$10)),$G$10-SQRT((1-T295)*($G$10-$E$10)*($G$10-$F$10))))</f>
        <v>1.02349372821629</v>
      </c>
      <c r="G295" s="38" t="n">
        <f aca="false">IF($G$11=$E$11,$F$11,IF(U295&lt;($F$11-$E$11)/($G$11-$E$11),$E$11+SQRT(U295*($G$11-$E$11)*($F$11-$E$11)),$G$11-SQRT((1-U295)*($G$11-$E$11)*($G$11-$F$11))))</f>
        <v>0.106343248406634</v>
      </c>
      <c r="H295" s="39" t="n">
        <f aca="false">(('Business Case'!B11*$C295*'Business Case'!B12*$B295)-'Business Case'!B11*$C295*'Business Case'!B13*$D295-'Business Case'!B14*$E295)-MAX(0,(('Business Case'!B11*$C295*'Business Case'!B12*$B295)-'Business Case'!B11*$C295*'Business Case'!B13*$D295-'Business Case'!B14*$E295))*'Business Case'!$B$7-'Business Case'!$B$8*('Business Case'!B11*$C295*'Business Case'!B12*$B295)-'Business Case'!B15*$F295</f>
        <v>-2046987456.43258</v>
      </c>
      <c r="I295" s="39" t="n">
        <f aca="false">(('Business Case'!C11*$C295*'Business Case'!C12*$B295)-'Business Case'!C11*$C295*'Business Case'!C13*$D295-'Business Case'!C14*$E295)-MAX(0,(('Business Case'!C11*$C295*'Business Case'!C12*$B295)-'Business Case'!C11*$C295*'Business Case'!C13*$D295-'Business Case'!C14*$E295))*'Business Case'!$B$7-'Business Case'!$B$8*(('Business Case'!C11*$C295*'Business Case'!C12*$B295)-('Business Case'!B11*$C295*'Business Case'!B12*$B295))-'Business Case'!C15*$F295</f>
        <v>-40685462.8605576</v>
      </c>
      <c r="J295" s="39" t="n">
        <f aca="false">(('Business Case'!D11*$C295*'Business Case'!D12*$B295)-'Business Case'!D11*$C295*'Business Case'!D13*$D295-'Business Case'!D14*$E295)-MAX(0,(('Business Case'!D11*$C295*'Business Case'!D12*$B295)-'Business Case'!D11*$C295*'Business Case'!D13*$D295-'Business Case'!D14*$E295))*'Business Case'!$B$7-'Business Case'!$B$8*(('Business Case'!D11*$C295*'Business Case'!D12*$B295)-('Business Case'!C11*$C295*'Business Case'!C12*$B295))-'Business Case'!D15*$F295</f>
        <v>216590640.25678</v>
      </c>
      <c r="K295" s="39" t="n">
        <f aca="false">(('Business Case'!E11*$C295*'Business Case'!E12*$B295)-'Business Case'!E11*$C295*'Business Case'!E13*$D295-'Business Case'!E14*$E295)-MAX(0,(('Business Case'!E11*$C295*'Business Case'!E12*$B295)-'Business Case'!E11*$C295*'Business Case'!E13*$D295-'Business Case'!E14*$E295))*'Business Case'!$B$7-'Business Case'!$B$8*(('Business Case'!E11*$C295*'Business Case'!E12*$B295)-('Business Case'!D11*$C295*'Business Case'!D12*$B295))-'Business Case'!E15*$F295</f>
        <v>525041429.784931</v>
      </c>
      <c r="L295" s="39" t="n">
        <f aca="false">(('Business Case'!F11*$C295*'Business Case'!F12*$B295)-'Business Case'!F11*$C295*'Business Case'!F13*$D295-'Business Case'!F14*$E295)-MAX(0,(('Business Case'!F11*$C295*'Business Case'!F12*$B295)-'Business Case'!F11*$C295*'Business Case'!F13*$D295-'Business Case'!F14*$E295))*'Business Case'!$B$7-'Business Case'!$B$8*(('Business Case'!F11*$C295*'Business Case'!F12*$B295)-('Business Case'!E11*$C295*'Business Case'!E12*$B295))-'Business Case'!F15*$F295</f>
        <v>641400635.406463</v>
      </c>
      <c r="M295" s="39" t="n">
        <f aca="false">(('Business Case'!G11*$C295*'Business Case'!G12*$B295)-'Business Case'!G11*$C295*'Business Case'!G13*$D295-'Business Case'!G14*$E295)-MAX(0,(('Business Case'!G11*$C295*'Business Case'!G12*$B295)-'Business Case'!G11*$C295*'Business Case'!G13*$D295-'Business Case'!G14*$E295))*'Business Case'!$B$7-'Business Case'!$B$8*(('Business Case'!G11*$C295*'Business Case'!G12*$B295)-('Business Case'!F11*$C295*'Business Case'!F12*$B295))-'Business Case'!G15*$F295+'Business Case'!$B$8*('Business Case'!G11*$C295*'Business Case'!G12*$B295)</f>
        <v>809703410.609765</v>
      </c>
      <c r="N295" s="39" t="n">
        <f aca="false">IF(COUNT('Business Case'!B11:G11)=0,"",H295+NPV(G295,I295:M295))</f>
        <v>-602445590.797417</v>
      </c>
      <c r="P295" s="40" t="n">
        <f aca="true">RAND()</f>
        <v>0.0645216699327427</v>
      </c>
      <c r="Q295" s="40" t="n">
        <f aca="true">RAND()</f>
        <v>0.466457502589048</v>
      </c>
      <c r="R295" s="40" t="n">
        <f aca="true">RAND()</f>
        <v>0.0169582378879694</v>
      </c>
      <c r="S295" s="40" t="n">
        <f aca="true">RAND()</f>
        <v>0.748177025008795</v>
      </c>
      <c r="T295" s="40" t="n">
        <f aca="true">RAND()</f>
        <v>0.315932117901915</v>
      </c>
      <c r="U295" s="40" t="n">
        <f aca="true">RAND()</f>
        <v>0.626905402699862</v>
      </c>
    </row>
    <row r="296" customFormat="false" ht="15" hidden="false" customHeight="false" outlineLevel="0" collapsed="false">
      <c r="A296" s="36" t="n">
        <v>216</v>
      </c>
      <c r="B296" s="37" t="n">
        <f aca="false">1+IF($G$6=$E$6,$F$6,IF(P296&lt;($F$6-$E$6)/($G$6-$E$6),$E$6+SQRT(P296*($G$6-$E$6)*($F$6-$E$6)),$G$6-SQRT((1-P296)*($G$6-$E$6)*($G$6-$F$6))))</f>
        <v>1.03355258482074</v>
      </c>
      <c r="C296" s="37" t="n">
        <f aca="false">1+IF($G$7=$E$7,$F$7,IF(Q296&lt;($F$7-$E$7)/($G$7-$E$7),$E$7+SQRT(Q296*($G$7-$E$7)*($F$7-$E$7)),$G$7-SQRT((1-Q296)*($G$7-$E$7)*($G$7-$F$7))))</f>
        <v>1.03991489453063</v>
      </c>
      <c r="D296" s="37" t="n">
        <f aca="false">1+IF($G$8=$E$8,$F$8,IF(R296&lt;($F$8-$E$8)/($G$8-$E$8),$E$8+SQRT(R296*($G$8-$E$8)*($F$8-$E$8)),$G$8-SQRT((1-R296)*($G$8-$E$8)*($G$8-$F$8))))</f>
        <v>0.998880636427823</v>
      </c>
      <c r="E296" s="37" t="n">
        <f aca="false">1+IF($G$9=$E$9,$F$9,IF(S296&lt;($F$9-$E$9)/($G$9-$E$9),$E$9+SQRT(S296*($G$9-$E$9)*($F$9-$E$9)),$G$9-SQRT((1-S296)*($G$9-$E$9)*($G$9-$F$9))))</f>
        <v>1.09329743596789</v>
      </c>
      <c r="F296" s="37" t="n">
        <f aca="false">1+IF($G$10=$E$10,$F$10,IF(T296&lt;($F$10-$E$10)/($G$10-$E$10),$E$10+SQRT(T296*($G$10-$E$10)*($F$10-$E$10)),$G$10-SQRT((1-T296)*($G$10-$E$10)*($G$10-$F$10))))</f>
        <v>0.996737634458919</v>
      </c>
      <c r="G296" s="38" t="n">
        <f aca="false">IF($G$11=$E$11,$F$11,IF(U296&lt;($F$11-$E$11)/($G$11-$E$11),$E$11+SQRT(U296*($G$11-$E$11)*($F$11-$E$11)),$G$11-SQRT((1-U296)*($G$11-$E$11)*($G$11-$F$11))))</f>
        <v>0.0929187283419871</v>
      </c>
      <c r="H296" s="39" t="n">
        <f aca="false">(('Business Case'!B11*$C296*'Business Case'!B12*$B296)-'Business Case'!B11*$C296*'Business Case'!B13*$D296-'Business Case'!B14*$E296)-MAX(0,(('Business Case'!B11*$C296*'Business Case'!B12*$B296)-'Business Case'!B11*$C296*'Business Case'!B13*$D296-'Business Case'!B14*$E296))*'Business Case'!$B$7-'Business Case'!$B$8*('Business Case'!B11*$C296*'Business Case'!B12*$B296)-'Business Case'!B15*$F296</f>
        <v>-1993475268.91784</v>
      </c>
      <c r="I296" s="39" t="n">
        <f aca="false">(('Business Case'!C11*$C296*'Business Case'!C12*$B296)-'Business Case'!C11*$C296*'Business Case'!C13*$D296-'Business Case'!C14*$E296)-MAX(0,(('Business Case'!C11*$C296*'Business Case'!C12*$B296)-'Business Case'!C11*$C296*'Business Case'!C13*$D296-'Business Case'!C14*$E296))*'Business Case'!$B$7-'Business Case'!$B$8*(('Business Case'!C11*$C296*'Business Case'!C12*$B296)-('Business Case'!B11*$C296*'Business Case'!B12*$B296))-'Business Case'!C15*$F296</f>
        <v>37728120.1182063</v>
      </c>
      <c r="J296" s="39" t="n">
        <f aca="false">(('Business Case'!D11*$C296*'Business Case'!D12*$B296)-'Business Case'!D11*$C296*'Business Case'!D13*$D296-'Business Case'!D14*$E296)-MAX(0,(('Business Case'!D11*$C296*'Business Case'!D12*$B296)-'Business Case'!D11*$C296*'Business Case'!D13*$D296-'Business Case'!D14*$E296))*'Business Case'!$B$7-'Business Case'!$B$8*(('Business Case'!D11*$C296*'Business Case'!D12*$B296)-('Business Case'!C11*$C296*'Business Case'!C12*$B296))-'Business Case'!D15*$F296</f>
        <v>386314879.816839</v>
      </c>
      <c r="K296" s="39" t="n">
        <f aca="false">(('Business Case'!E11*$C296*'Business Case'!E12*$B296)-'Business Case'!E11*$C296*'Business Case'!E13*$D296-'Business Case'!E14*$E296)-MAX(0,(('Business Case'!E11*$C296*'Business Case'!E12*$B296)-'Business Case'!E11*$C296*'Business Case'!E13*$D296-'Business Case'!E14*$E296))*'Business Case'!$B$7-'Business Case'!$B$8*(('Business Case'!E11*$C296*'Business Case'!E12*$B296)-('Business Case'!D11*$C296*'Business Case'!D12*$B296))-'Business Case'!E15*$F296</f>
        <v>784738521.238418</v>
      </c>
      <c r="L296" s="39" t="n">
        <f aca="false">(('Business Case'!F11*$C296*'Business Case'!F12*$B296)-'Business Case'!F11*$C296*'Business Case'!F13*$D296-'Business Case'!F14*$E296)-MAX(0,(('Business Case'!F11*$C296*'Business Case'!F12*$B296)-'Business Case'!F11*$C296*'Business Case'!F13*$D296-'Business Case'!F14*$E296))*'Business Case'!$B$7-'Business Case'!$B$8*(('Business Case'!F11*$C296*'Business Case'!F12*$B296)-('Business Case'!E11*$C296*'Business Case'!E12*$B296))-'Business Case'!F15*$F296</f>
        <v>938079428.297896</v>
      </c>
      <c r="M296" s="39" t="n">
        <f aca="false">(('Business Case'!G11*$C296*'Business Case'!G12*$B296)-'Business Case'!G11*$C296*'Business Case'!G13*$D296-'Business Case'!G14*$E296)-MAX(0,(('Business Case'!G11*$C296*'Business Case'!G12*$B296)-'Business Case'!G11*$C296*'Business Case'!G13*$D296-'Business Case'!G14*$E296))*'Business Case'!$B$7-'Business Case'!$B$8*(('Business Case'!G11*$C296*'Business Case'!G12*$B296)-('Business Case'!F11*$C296*'Business Case'!F12*$B296))-'Business Case'!G15*$F296+'Business Case'!$B$8*('Business Case'!G11*$C296*'Business Case'!G12*$B296)</f>
        <v>1142378691.01086</v>
      </c>
      <c r="N296" s="39" t="n">
        <f aca="false">IF(COUNT('Business Case'!B11:G11)=0,"",H296+NPV(G296,I296:M296))</f>
        <v>355679580.572492</v>
      </c>
      <c r="P296" s="40" t="n">
        <f aca="true">RAND()</f>
        <v>0.963931004522808</v>
      </c>
      <c r="Q296" s="40" t="n">
        <f aca="true">RAND()</f>
        <v>0.820463252648863</v>
      </c>
      <c r="R296" s="40" t="n">
        <f aca="true">RAND()</f>
        <v>0.318575549011864</v>
      </c>
      <c r="S296" s="40" t="n">
        <f aca="true">RAND()</f>
        <v>0.9142618461916</v>
      </c>
      <c r="T296" s="40" t="n">
        <f aca="true">RAND()</f>
        <v>0.145627098321038</v>
      </c>
      <c r="U296" s="40" t="n">
        <f aca="true">RAND()</f>
        <v>0.166893541974061</v>
      </c>
    </row>
    <row r="297" customFormat="false" ht="15" hidden="false" customHeight="false" outlineLevel="0" collapsed="false">
      <c r="A297" s="36" t="n">
        <v>217</v>
      </c>
      <c r="B297" s="37" t="n">
        <f aca="false">1+IF($G$6=$E$6,$F$6,IF(P297&lt;($F$6-$E$6)/($G$6-$E$6),$E$6+SQRT(P297*($G$6-$E$6)*($F$6-$E$6)),$G$6-SQRT((1-P297)*($G$6-$E$6)*($G$6-$F$6))))</f>
        <v>0.922670420481952</v>
      </c>
      <c r="C297" s="37" t="n">
        <f aca="false">1+IF($G$7=$E$7,$F$7,IF(Q297&lt;($F$7-$E$7)/($G$7-$E$7),$E$7+SQRT(Q297*($G$7-$E$7)*($F$7-$E$7)),$G$7-SQRT((1-Q297)*($G$7-$E$7)*($G$7-$F$7))))</f>
        <v>0.774602478578966</v>
      </c>
      <c r="D297" s="37" t="n">
        <f aca="false">1+IF($G$8=$E$8,$F$8,IF(R297&lt;($F$8-$E$8)/($G$8-$E$8),$E$8+SQRT(R297*($G$8-$E$8)*($F$8-$E$8)),$G$8-SQRT((1-R297)*($G$8-$E$8)*($G$8-$F$8))))</f>
        <v>0.972273654977772</v>
      </c>
      <c r="E297" s="37" t="n">
        <f aca="false">1+IF($G$9=$E$9,$F$9,IF(S297&lt;($F$9-$E$9)/($G$9-$E$9),$E$9+SQRT(S297*($G$9-$E$9)*($F$9-$E$9)),$G$9-SQRT((1-S297)*($G$9-$E$9)*($G$9-$F$9))))</f>
        <v>1.00894984544457</v>
      </c>
      <c r="F297" s="37" t="n">
        <f aca="false">1+IF($G$10=$E$10,$F$10,IF(T297&lt;($F$10-$E$10)/($G$10-$E$10),$E$10+SQRT(T297*($G$10-$E$10)*($F$10-$E$10)),$G$10-SQRT((1-T297)*($G$10-$E$10)*($G$10-$F$10))))</f>
        <v>1.0092499101334</v>
      </c>
      <c r="G297" s="38" t="n">
        <f aca="false">IF($G$11=$E$11,$F$11,IF(U297&lt;($F$11-$E$11)/($G$11-$E$11),$E$11+SQRT(U297*($G$11-$E$11)*($F$11-$E$11)),$G$11-SQRT((1-U297)*($G$11-$E$11)*($G$11-$F$11))))</f>
        <v>0.105862730258567</v>
      </c>
      <c r="H297" s="39" t="n">
        <f aca="false">(('Business Case'!B11*$C297*'Business Case'!B12*$B297)-'Business Case'!B11*$C297*'Business Case'!B13*$D297-'Business Case'!B14*$E297)-MAX(0,(('Business Case'!B11*$C297*'Business Case'!B12*$B297)-'Business Case'!B11*$C297*'Business Case'!B13*$D297-'Business Case'!B14*$E297))*'Business Case'!$B$7-'Business Case'!$B$8*('Business Case'!B11*$C297*'Business Case'!B12*$B297)-'Business Case'!B15*$F297</f>
        <v>-2018499820.26681</v>
      </c>
      <c r="I297" s="39" t="n">
        <f aca="false">(('Business Case'!C11*$C297*'Business Case'!C12*$B297)-'Business Case'!C11*$C297*'Business Case'!C13*$D297-'Business Case'!C14*$E297)-MAX(0,(('Business Case'!C11*$C297*'Business Case'!C12*$B297)-'Business Case'!C11*$C297*'Business Case'!C13*$D297-'Business Case'!C14*$E297))*'Business Case'!$B$7-'Business Case'!$B$8*(('Business Case'!C11*$C297*'Business Case'!C12*$B297)-('Business Case'!B11*$C297*'Business Case'!B12*$B297))-'Business Case'!C15*$F297</f>
        <v>-81594852.9669086</v>
      </c>
      <c r="J297" s="39" t="n">
        <f aca="false">(('Business Case'!D11*$C297*'Business Case'!D12*$B297)-'Business Case'!D11*$C297*'Business Case'!D13*$D297-'Business Case'!D14*$E297)-MAX(0,(('Business Case'!D11*$C297*'Business Case'!D12*$B297)-'Business Case'!D11*$C297*'Business Case'!D13*$D297-'Business Case'!D14*$E297))*'Business Case'!$B$7-'Business Case'!$B$8*(('Business Case'!D11*$C297*'Business Case'!D12*$B297)-('Business Case'!C11*$C297*'Business Case'!C12*$B297))-'Business Case'!D15*$F297</f>
        <v>118258145.974677</v>
      </c>
      <c r="K297" s="39" t="n">
        <f aca="false">(('Business Case'!E11*$C297*'Business Case'!E12*$B297)-'Business Case'!E11*$C297*'Business Case'!E13*$D297-'Business Case'!E14*$E297)-MAX(0,(('Business Case'!E11*$C297*'Business Case'!E12*$B297)-'Business Case'!E11*$C297*'Business Case'!E13*$D297-'Business Case'!E14*$E297))*'Business Case'!$B$7-'Business Case'!$B$8*(('Business Case'!E11*$C297*'Business Case'!E12*$B297)-('Business Case'!D11*$C297*'Business Case'!D12*$B297))-'Business Case'!E15*$F297</f>
        <v>368573640.422933</v>
      </c>
      <c r="L297" s="39" t="n">
        <f aca="false">(('Business Case'!F11*$C297*'Business Case'!F12*$B297)-'Business Case'!F11*$C297*'Business Case'!F13*$D297-'Business Case'!F14*$E297)-MAX(0,(('Business Case'!F11*$C297*'Business Case'!F12*$B297)-'Business Case'!F11*$C297*'Business Case'!F13*$D297-'Business Case'!F14*$E297))*'Business Case'!$B$7-'Business Case'!$B$8*(('Business Case'!F11*$C297*'Business Case'!F12*$B297)-('Business Case'!E11*$C297*'Business Case'!E12*$B297))-'Business Case'!F15*$F297</f>
        <v>459891435.318752</v>
      </c>
      <c r="M297" s="39" t="n">
        <f aca="false">(('Business Case'!G11*$C297*'Business Case'!G12*$B297)-'Business Case'!G11*$C297*'Business Case'!G13*$D297-'Business Case'!G14*$E297)-MAX(0,(('Business Case'!G11*$C297*'Business Case'!G12*$B297)-'Business Case'!G11*$C297*'Business Case'!G13*$D297-'Business Case'!G14*$E297))*'Business Case'!$B$7-'Business Case'!$B$8*(('Business Case'!G11*$C297*'Business Case'!G12*$B297)-('Business Case'!F11*$C297*'Business Case'!F12*$B297))-'Business Case'!G15*$F297+'Business Case'!$B$8*('Business Case'!G11*$C297*'Business Case'!G12*$B297)</f>
        <v>595742142.519517</v>
      </c>
      <c r="N297" s="39" t="n">
        <f aca="false">IF(COUNT('Business Case'!B11:G11)=0,"",H297+NPV(G297,I297:M297))</f>
        <v>-1055338465.53899</v>
      </c>
      <c r="P297" s="40" t="n">
        <f aca="true">RAND()</f>
        <v>0.034263197655235</v>
      </c>
      <c r="Q297" s="40" t="n">
        <f aca="true">RAND()</f>
        <v>0.041226146741667</v>
      </c>
      <c r="R297" s="40" t="n">
        <f aca="true">RAND()</f>
        <v>0.0661487608091751</v>
      </c>
      <c r="S297" s="40" t="n">
        <f aca="true">RAND()</f>
        <v>0.46946277066374</v>
      </c>
      <c r="T297" s="40" t="n">
        <f aca="true">RAND()</f>
        <v>0.227191923056335</v>
      </c>
      <c r="U297" s="40" t="n">
        <f aca="true">RAND()</f>
        <v>0.611594806286198</v>
      </c>
    </row>
    <row r="298" customFormat="false" ht="15" hidden="false" customHeight="false" outlineLevel="0" collapsed="false">
      <c r="A298" s="36" t="n">
        <v>218</v>
      </c>
      <c r="B298" s="37" t="n">
        <f aca="false">1+IF($G$6=$E$6,$F$6,IF(P298&lt;($F$6-$E$6)/($G$6-$E$6),$E$6+SQRT(P298*($G$6-$E$6)*($F$6-$E$6)),$G$6-SQRT((1-P298)*($G$6-$E$6)*($G$6-$F$6))))</f>
        <v>1.00411574382578</v>
      </c>
      <c r="C298" s="37" t="n">
        <f aca="false">1+IF($G$7=$E$7,$F$7,IF(Q298&lt;($F$7-$E$7)/($G$7-$E$7),$E$7+SQRT(Q298*($G$7-$E$7)*($F$7-$E$7)),$G$7-SQRT((1-Q298)*($G$7-$E$7)*($G$7-$F$7))))</f>
        <v>0.999713710376846</v>
      </c>
      <c r="D298" s="37" t="n">
        <f aca="false">1+IF($G$8=$E$8,$F$8,IF(R298&lt;($F$8-$E$8)/($G$8-$E$8),$E$8+SQRT(R298*($G$8-$E$8)*($F$8-$E$8)),$G$8-SQRT((1-R298)*($G$8-$E$8)*($G$8-$F$8))))</f>
        <v>0.994780432066327</v>
      </c>
      <c r="E298" s="37" t="n">
        <f aca="false">1+IF($G$9=$E$9,$F$9,IF(S298&lt;($F$9-$E$9)/($G$9-$E$9),$E$9+SQRT(S298*($G$9-$E$9)*($F$9-$E$9)),$G$9-SQRT((1-S298)*($G$9-$E$9)*($G$9-$F$9))))</f>
        <v>0.961274005215636</v>
      </c>
      <c r="F298" s="37" t="n">
        <f aca="false">1+IF($G$10=$E$10,$F$10,IF(T298&lt;($F$10-$E$10)/($G$10-$E$10),$E$10+SQRT(T298*($G$10-$E$10)*($F$10-$E$10)),$G$10-SQRT((1-T298)*($G$10-$E$10)*($G$10-$F$10))))</f>
        <v>1.00738668778868</v>
      </c>
      <c r="G298" s="38" t="n">
        <f aca="false">IF($G$11=$E$11,$F$11,IF(U298&lt;($F$11-$E$11)/($G$11-$E$11),$E$11+SQRT(U298*($G$11-$E$11)*($F$11-$E$11)),$G$11-SQRT((1-U298)*($G$11-$E$11)*($G$11-$F$11))))</f>
        <v>0.0974762267626176</v>
      </c>
      <c r="H298" s="39" t="n">
        <f aca="false">(('Business Case'!B11*$C298*'Business Case'!B12*$B298)-'Business Case'!B11*$C298*'Business Case'!B13*$D298-'Business Case'!B14*$E298)-MAX(0,(('Business Case'!B11*$C298*'Business Case'!B12*$B298)-'Business Case'!B11*$C298*'Business Case'!B13*$D298-'Business Case'!B14*$E298))*'Business Case'!$B$7-'Business Case'!$B$8*('Business Case'!B11*$C298*'Business Case'!B12*$B298)-'Business Case'!B15*$F298</f>
        <v>-2014773375.57736</v>
      </c>
      <c r="I298" s="39" t="n">
        <f aca="false">(('Business Case'!C11*$C298*'Business Case'!C12*$B298)-'Business Case'!C11*$C298*'Business Case'!C13*$D298-'Business Case'!C14*$E298)-MAX(0,(('Business Case'!C11*$C298*'Business Case'!C12*$B298)-'Business Case'!C11*$C298*'Business Case'!C13*$D298-'Business Case'!C14*$E298))*'Business Case'!$B$7-'Business Case'!$B$8*(('Business Case'!C11*$C298*'Business Case'!C12*$B298)-('Business Case'!B11*$C298*'Business Case'!B12*$B298))-'Business Case'!C15*$F298</f>
        <v>23635137.0950889</v>
      </c>
      <c r="J298" s="39" t="n">
        <f aca="false">(('Business Case'!D11*$C298*'Business Case'!D12*$B298)-'Business Case'!D11*$C298*'Business Case'!D13*$D298-'Business Case'!D14*$E298)-MAX(0,(('Business Case'!D11*$C298*'Business Case'!D12*$B298)-'Business Case'!D11*$C298*'Business Case'!D13*$D298-'Business Case'!D14*$E298))*'Business Case'!$B$7-'Business Case'!$B$8*(('Business Case'!D11*$C298*'Business Case'!D12*$B298)-('Business Case'!C11*$C298*'Business Case'!C12*$B298))-'Business Case'!D15*$F298</f>
        <v>336740564.333773</v>
      </c>
      <c r="K298" s="39" t="n">
        <f aca="false">(('Business Case'!E11*$C298*'Business Case'!E12*$B298)-'Business Case'!E11*$C298*'Business Case'!E13*$D298-'Business Case'!E14*$E298)-MAX(0,(('Business Case'!E11*$C298*'Business Case'!E12*$B298)-'Business Case'!E11*$C298*'Business Case'!E13*$D298-'Business Case'!E14*$E298))*'Business Case'!$B$7-'Business Case'!$B$8*(('Business Case'!E11*$C298*'Business Case'!E12*$B298)-('Business Case'!D11*$C298*'Business Case'!D12*$B298))-'Business Case'!E15*$F298</f>
        <v>700215325.961892</v>
      </c>
      <c r="L298" s="39" t="n">
        <f aca="false">(('Business Case'!F11*$C298*'Business Case'!F12*$B298)-'Business Case'!F11*$C298*'Business Case'!F13*$D298-'Business Case'!F14*$E298)-MAX(0,(('Business Case'!F11*$C298*'Business Case'!F12*$B298)-'Business Case'!F11*$C298*'Business Case'!F13*$D298-'Business Case'!F14*$E298))*'Business Case'!$B$7-'Business Case'!$B$8*(('Business Case'!F11*$C298*'Business Case'!F12*$B298)-('Business Case'!E11*$C298*'Business Case'!E12*$B298))-'Business Case'!F15*$F298</f>
        <v>839276106.923497</v>
      </c>
      <c r="M298" s="39" t="n">
        <f aca="false">(('Business Case'!G11*$C298*'Business Case'!G12*$B298)-'Business Case'!G11*$C298*'Business Case'!G13*$D298-'Business Case'!G14*$E298)-MAX(0,(('Business Case'!G11*$C298*'Business Case'!G12*$B298)-'Business Case'!G11*$C298*'Business Case'!G13*$D298-'Business Case'!G14*$E298))*'Business Case'!$B$7-'Business Case'!$B$8*(('Business Case'!G11*$C298*'Business Case'!G12*$B298)-('Business Case'!F11*$C298*'Business Case'!F12*$B298))-'Business Case'!G15*$F298+'Business Case'!$B$8*('Business Case'!G11*$C298*'Business Case'!G12*$B298)</f>
        <v>1030083785.60807</v>
      </c>
      <c r="N298" s="39" t="n">
        <f aca="false">IF(COUNT('Business Case'!B11:G11)=0,"",H298+NPV(G298,I298:M298))</f>
        <v>41578846.708282</v>
      </c>
      <c r="P298" s="40" t="n">
        <f aca="true">RAND()</f>
        <v>0.719284671378448</v>
      </c>
      <c r="Q298" s="40" t="n">
        <f aca="true">RAND()</f>
        <v>0.6653948754656</v>
      </c>
      <c r="R298" s="40" t="n">
        <f aca="true">RAND()</f>
        <v>0.26737161280626</v>
      </c>
      <c r="S298" s="40" t="n">
        <f aca="true">RAND()</f>
        <v>0.150180148606631</v>
      </c>
      <c r="T298" s="40" t="n">
        <f aca="true">RAND()</f>
        <v>0.215183743171352</v>
      </c>
      <c r="U298" s="40" t="n">
        <f aca="true">RAND()</f>
        <v>0.30541850185843</v>
      </c>
    </row>
    <row r="299" customFormat="false" ht="15" hidden="false" customHeight="false" outlineLevel="0" collapsed="false">
      <c r="A299" s="36" t="n">
        <v>219</v>
      </c>
      <c r="B299" s="37" t="n">
        <f aca="false">1+IF($G$6=$E$6,$F$6,IF(P299&lt;($F$6-$E$6)/($G$6-$E$6),$E$6+SQRT(P299*($G$6-$E$6)*($F$6-$E$6)),$G$6-SQRT((1-P299)*($G$6-$E$6)*($G$6-$F$6))))</f>
        <v>0.999675325389855</v>
      </c>
      <c r="C299" s="37" t="n">
        <f aca="false">1+IF($G$7=$E$7,$F$7,IF(Q299&lt;($F$7-$E$7)/($G$7-$E$7),$E$7+SQRT(Q299*($G$7-$E$7)*($F$7-$E$7)),$G$7-SQRT((1-Q299)*($G$7-$E$7)*($G$7-$F$7))))</f>
        <v>0.988054168207357</v>
      </c>
      <c r="D299" s="37" t="n">
        <f aca="false">1+IF($G$8=$E$8,$F$8,IF(R299&lt;($F$8-$E$8)/($G$8-$E$8),$E$8+SQRT(R299*($G$8-$E$8)*($F$8-$E$8)),$G$8-SQRT((1-R299)*($G$8-$E$8)*($G$8-$F$8))))</f>
        <v>0.991630836188512</v>
      </c>
      <c r="E299" s="37" t="n">
        <f aca="false">1+IF($G$9=$E$9,$F$9,IF(S299&lt;($F$9-$E$9)/($G$9-$E$9),$E$9+SQRT(S299*($G$9-$E$9)*($F$9-$E$9)),$G$9-SQRT((1-S299)*($G$9-$E$9)*($G$9-$F$9))))</f>
        <v>0.955779282943573</v>
      </c>
      <c r="F299" s="37" t="n">
        <f aca="false">1+IF($G$10=$E$10,$F$10,IF(T299&lt;($F$10-$E$10)/($G$10-$E$10),$E$10+SQRT(T299*($G$10-$E$10)*($F$10-$E$10)),$G$10-SQRT((1-T299)*($G$10-$E$10)*($G$10-$F$10))))</f>
        <v>1.05341118819097</v>
      </c>
      <c r="G299" s="38" t="n">
        <f aca="false">IF($G$11=$E$11,$F$11,IF(U299&lt;($F$11-$E$11)/($G$11-$E$11),$E$11+SQRT(U299*($G$11-$E$11)*($F$11-$E$11)),$G$11-SQRT((1-U299)*($G$11-$E$11)*($G$11-$F$11))))</f>
        <v>0.114857173861164</v>
      </c>
      <c r="H299" s="39" t="n">
        <f aca="false">(('Business Case'!B11*$C299*'Business Case'!B12*$B299)-'Business Case'!B11*$C299*'Business Case'!B13*$D299-'Business Case'!B14*$E299)-MAX(0,(('Business Case'!B11*$C299*'Business Case'!B12*$B299)-'Business Case'!B11*$C299*'Business Case'!B13*$D299-'Business Case'!B14*$E299))*'Business Case'!$B$7-'Business Case'!$B$8*('Business Case'!B11*$C299*'Business Case'!B12*$B299)-'Business Case'!B15*$F299</f>
        <v>-2106822376.38195</v>
      </c>
      <c r="I299" s="39" t="n">
        <f aca="false">(('Business Case'!C11*$C299*'Business Case'!C12*$B299)-'Business Case'!C11*$C299*'Business Case'!C13*$D299-'Business Case'!C14*$E299)-MAX(0,(('Business Case'!C11*$C299*'Business Case'!C12*$B299)-'Business Case'!C11*$C299*'Business Case'!C13*$D299-'Business Case'!C14*$E299))*'Business Case'!$B$7-'Business Case'!$B$8*(('Business Case'!C11*$C299*'Business Case'!C12*$B299)-('Business Case'!B11*$C299*'Business Case'!B12*$B299))-'Business Case'!C15*$F299</f>
        <v>14996190.2103184</v>
      </c>
      <c r="J299" s="39" t="n">
        <f aca="false">(('Business Case'!D11*$C299*'Business Case'!D12*$B299)-'Business Case'!D11*$C299*'Business Case'!D13*$D299-'Business Case'!D14*$E299)-MAX(0,(('Business Case'!D11*$C299*'Business Case'!D12*$B299)-'Business Case'!D11*$C299*'Business Case'!D13*$D299-'Business Case'!D14*$E299))*'Business Case'!$B$7-'Business Case'!$B$8*(('Business Case'!D11*$C299*'Business Case'!D12*$B299)-('Business Case'!C11*$C299*'Business Case'!C12*$B299))-'Business Case'!D15*$F299</f>
        <v>322449411.284259</v>
      </c>
      <c r="K299" s="39" t="n">
        <f aca="false">(('Business Case'!E11*$C299*'Business Case'!E12*$B299)-'Business Case'!E11*$C299*'Business Case'!E13*$D299-'Business Case'!E14*$E299)-MAX(0,(('Business Case'!E11*$C299*'Business Case'!E12*$B299)-'Business Case'!E11*$C299*'Business Case'!E13*$D299-'Business Case'!E14*$E299))*'Business Case'!$B$7-'Business Case'!$B$8*(('Business Case'!E11*$C299*'Business Case'!E12*$B299)-('Business Case'!D11*$C299*'Business Case'!D12*$B299))-'Business Case'!E15*$F299</f>
        <v>682573191.767747</v>
      </c>
      <c r="L299" s="39" t="n">
        <f aca="false">(('Business Case'!F11*$C299*'Business Case'!F12*$B299)-'Business Case'!F11*$C299*'Business Case'!F13*$D299-'Business Case'!F14*$E299)-MAX(0,(('Business Case'!F11*$C299*'Business Case'!F12*$B299)-'Business Case'!F11*$C299*'Business Case'!F13*$D299-'Business Case'!F14*$E299))*'Business Case'!$B$7-'Business Case'!$B$8*(('Business Case'!F11*$C299*'Business Case'!F12*$B299)-('Business Case'!E11*$C299*'Business Case'!E12*$B299))-'Business Case'!F15*$F299</f>
        <v>819193664.13236</v>
      </c>
      <c r="M299" s="39" t="n">
        <f aca="false">(('Business Case'!G11*$C299*'Business Case'!G12*$B299)-'Business Case'!G11*$C299*'Business Case'!G13*$D299-'Business Case'!G14*$E299)-MAX(0,(('Business Case'!G11*$C299*'Business Case'!G12*$B299)-'Business Case'!G11*$C299*'Business Case'!G13*$D299-'Business Case'!G14*$E299))*'Business Case'!$B$7-'Business Case'!$B$8*(('Business Case'!G11*$C299*'Business Case'!G12*$B299)-('Business Case'!F11*$C299*'Business Case'!F12*$B299))-'Business Case'!G15*$F299+'Business Case'!$B$8*('Business Case'!G11*$C299*'Business Case'!G12*$B299)</f>
        <v>1006942023.50217</v>
      </c>
      <c r="N299" s="39" t="n">
        <f aca="false">IF(COUNT('Business Case'!B11:G11)=0,"",H299+NPV(G299,I299:M299))</f>
        <v>-226390668.910925</v>
      </c>
      <c r="P299" s="40" t="n">
        <f aca="true">RAND()</f>
        <v>0.662344699438235</v>
      </c>
      <c r="Q299" s="40" t="n">
        <f aca="true">RAND()</f>
        <v>0.614631139419499</v>
      </c>
      <c r="R299" s="40" t="n">
        <f aca="true">RAND()</f>
        <v>0.231083536233963</v>
      </c>
      <c r="S299" s="40" t="n">
        <f aca="true">RAND()</f>
        <v>0.124453136227965</v>
      </c>
      <c r="T299" s="40" t="n">
        <f aca="true">RAND()</f>
        <v>0.48470452095353</v>
      </c>
      <c r="U299" s="40" t="n">
        <f aca="true">RAND()</f>
        <v>0.847129877685982</v>
      </c>
    </row>
    <row r="300" customFormat="false" ht="15" hidden="false" customHeight="false" outlineLevel="0" collapsed="false">
      <c r="A300" s="36" t="n">
        <v>220</v>
      </c>
      <c r="B300" s="37" t="n">
        <f aca="false">1+IF($G$6=$E$6,$F$6,IF(P300&lt;($F$6-$E$6)/($G$6-$E$6),$E$6+SQRT(P300*($G$6-$E$6)*($F$6-$E$6)),$G$6-SQRT((1-P300)*($G$6-$E$6)*($G$6-$F$6))))</f>
        <v>1.02668711643081</v>
      </c>
      <c r="C300" s="37" t="n">
        <f aca="false">1+IF($G$7=$E$7,$F$7,IF(Q300&lt;($F$7-$E$7)/($G$7-$E$7),$E$7+SQRT(Q300*($G$7-$E$7)*($F$7-$E$7)),$G$7-SQRT((1-Q300)*($G$7-$E$7)*($G$7-$F$7))))</f>
        <v>1.04051398558541</v>
      </c>
      <c r="D300" s="37" t="n">
        <f aca="false">1+IF($G$8=$E$8,$F$8,IF(R300&lt;($F$8-$E$8)/($G$8-$E$8),$E$8+SQRT(R300*($G$8-$E$8)*($F$8-$E$8)),$G$8-SQRT((1-R300)*($G$8-$E$8)*($G$8-$F$8))))</f>
        <v>1.02768065687689</v>
      </c>
      <c r="E300" s="37" t="n">
        <f aca="false">1+IF($G$9=$E$9,$F$9,IF(S300&lt;($F$9-$E$9)/($G$9-$E$9),$E$9+SQRT(S300*($G$9-$E$9)*($F$9-$E$9)),$G$9-SQRT((1-S300)*($G$9-$E$9)*($G$9-$F$9))))</f>
        <v>0.991371646587449</v>
      </c>
      <c r="F300" s="37" t="n">
        <f aca="false">1+IF($G$10=$E$10,$F$10,IF(T300&lt;($F$10-$E$10)/($G$10-$E$10),$E$10+SQRT(T300*($G$10-$E$10)*($F$10-$E$10)),$G$10-SQRT((1-T300)*($G$10-$E$10)*($G$10-$F$10))))</f>
        <v>0.983631628364855</v>
      </c>
      <c r="G300" s="38" t="n">
        <f aca="false">IF($G$11=$E$11,$F$11,IF(U300&lt;($F$11-$E$11)/($G$11-$E$11),$E$11+SQRT(U300*($G$11-$E$11)*($F$11-$E$11)),$G$11-SQRT((1-U300)*($G$11-$E$11)*($G$11-$F$11))))</f>
        <v>0.0938577546802941</v>
      </c>
      <c r="H300" s="39" t="n">
        <f aca="false">(('Business Case'!B11*$C300*'Business Case'!B12*$B300)-'Business Case'!B11*$C300*'Business Case'!B13*$D300-'Business Case'!B14*$E300)-MAX(0,(('Business Case'!B11*$C300*'Business Case'!B12*$B300)-'Business Case'!B11*$C300*'Business Case'!B13*$D300-'Business Case'!B14*$E300))*'Business Case'!$B$7-'Business Case'!$B$8*('Business Case'!B11*$C300*'Business Case'!B12*$B300)-'Business Case'!B15*$F300</f>
        <v>-1967263256.72971</v>
      </c>
      <c r="I300" s="39" t="n">
        <f aca="false">(('Business Case'!C11*$C300*'Business Case'!C12*$B300)-'Business Case'!C11*$C300*'Business Case'!C13*$D300-'Business Case'!C14*$E300)-MAX(0,(('Business Case'!C11*$C300*'Business Case'!C12*$B300)-'Business Case'!C11*$C300*'Business Case'!C13*$D300-'Business Case'!C14*$E300))*'Business Case'!$B$7-'Business Case'!$B$8*(('Business Case'!C11*$C300*'Business Case'!C12*$B300)-('Business Case'!B11*$C300*'Business Case'!B12*$B300))-'Business Case'!C15*$F300</f>
        <v>32879861.3074131</v>
      </c>
      <c r="J300" s="39" t="n">
        <f aca="false">(('Business Case'!D11*$C300*'Business Case'!D12*$B300)-'Business Case'!D11*$C300*'Business Case'!D13*$D300-'Business Case'!D14*$E300)-MAX(0,(('Business Case'!D11*$C300*'Business Case'!D12*$B300)-'Business Case'!D11*$C300*'Business Case'!D13*$D300-'Business Case'!D14*$E300))*'Business Case'!$B$7-'Business Case'!$B$8*(('Business Case'!D11*$C300*'Business Case'!D12*$B300)-('Business Case'!C11*$C300*'Business Case'!C12*$B300))-'Business Case'!D15*$F300</f>
        <v>360475688.207756</v>
      </c>
      <c r="K300" s="39" t="n">
        <f aca="false">(('Business Case'!E11*$C300*'Business Case'!E12*$B300)-'Business Case'!E11*$C300*'Business Case'!E13*$D300-'Business Case'!E14*$E300)-MAX(0,(('Business Case'!E11*$C300*'Business Case'!E12*$B300)-'Business Case'!E11*$C300*'Business Case'!E13*$D300-'Business Case'!E14*$E300))*'Business Case'!$B$7-'Business Case'!$B$8*(('Business Case'!E11*$C300*'Business Case'!E12*$B300)-('Business Case'!D11*$C300*'Business Case'!D12*$B300))-'Business Case'!E15*$F300</f>
        <v>737253096.526341</v>
      </c>
      <c r="L300" s="39" t="n">
        <f aca="false">(('Business Case'!F11*$C300*'Business Case'!F12*$B300)-'Business Case'!F11*$C300*'Business Case'!F13*$D300-'Business Case'!F14*$E300)-MAX(0,(('Business Case'!F11*$C300*'Business Case'!F12*$B300)-'Business Case'!F11*$C300*'Business Case'!F13*$D300-'Business Case'!F14*$E300))*'Business Case'!$B$7-'Business Case'!$B$8*(('Business Case'!F11*$C300*'Business Case'!F12*$B300)-('Business Case'!E11*$C300*'Business Case'!E12*$B300))-'Business Case'!F15*$F300</f>
        <v>883371541.900928</v>
      </c>
      <c r="M300" s="39" t="n">
        <f aca="false">(('Business Case'!G11*$C300*'Business Case'!G12*$B300)-'Business Case'!G11*$C300*'Business Case'!G13*$D300-'Business Case'!G14*$E300)-MAX(0,(('Business Case'!G11*$C300*'Business Case'!G12*$B300)-'Business Case'!G11*$C300*'Business Case'!G13*$D300-'Business Case'!G14*$E300))*'Business Case'!$B$7-'Business Case'!$B$8*(('Business Case'!G11*$C300*'Business Case'!G12*$B300)-('Business Case'!F11*$C300*'Business Case'!F12*$B300))-'Business Case'!G15*$F300+'Business Case'!$B$8*('Business Case'!G11*$C300*'Business Case'!G12*$B300)</f>
        <v>1086430642.14386</v>
      </c>
      <c r="N300" s="39" t="n">
        <f aca="false">IF(COUNT('Business Case'!B11:G11)=0,"",H300+NPV(G300,I300:M300))</f>
        <v>238119579.700665</v>
      </c>
      <c r="P300" s="40" t="n">
        <f aca="true">RAND()</f>
        <v>0.927534594625232</v>
      </c>
      <c r="Q300" s="40" t="n">
        <f aca="true">RAND()</f>
        <v>0.822412039223818</v>
      </c>
      <c r="R300" s="40" t="n">
        <f aca="true">RAND()</f>
        <v>0.651327507349483</v>
      </c>
      <c r="S300" s="40" t="n">
        <f aca="true">RAND()</f>
        <v>0.333951112004065</v>
      </c>
      <c r="T300" s="40" t="n">
        <f aca="true">RAND()</f>
        <v>0.0754057617647809</v>
      </c>
      <c r="U300" s="40" t="n">
        <f aca="true">RAND()</f>
        <v>0.192037364779214</v>
      </c>
    </row>
    <row r="301" customFormat="false" ht="15" hidden="false" customHeight="false" outlineLevel="0" collapsed="false">
      <c r="A301" s="36" t="n">
        <v>221</v>
      </c>
      <c r="B301" s="37" t="n">
        <f aca="false">1+IF($G$6=$E$6,$F$6,IF(P301&lt;($F$6-$E$6)/($G$6-$E$6),$E$6+SQRT(P301*($G$6-$E$6)*($F$6-$E$6)),$G$6-SQRT((1-P301)*($G$6-$E$6)*($G$6-$F$6))))</f>
        <v>1.01633767885785</v>
      </c>
      <c r="C301" s="37" t="n">
        <f aca="false">1+IF($G$7=$E$7,$F$7,IF(Q301&lt;($F$7-$E$7)/($G$7-$E$7),$E$7+SQRT(Q301*($G$7-$E$7)*($F$7-$E$7)),$G$7-SQRT((1-Q301)*($G$7-$E$7)*($G$7-$F$7))))</f>
        <v>0.799271605098547</v>
      </c>
      <c r="D301" s="37" t="n">
        <f aca="false">1+IF($G$8=$E$8,$F$8,IF(R301&lt;($F$8-$E$8)/($G$8-$E$8),$E$8+SQRT(R301*($G$8-$E$8)*($F$8-$E$8)),$G$8-SQRT((1-R301)*($G$8-$E$8)*($G$8-$F$8))))</f>
        <v>0.988952867338286</v>
      </c>
      <c r="E301" s="37" t="n">
        <f aca="false">1+IF($G$9=$E$9,$F$9,IF(S301&lt;($F$9-$E$9)/($G$9-$E$9),$E$9+SQRT(S301*($G$9-$E$9)*($F$9-$E$9)),$G$9-SQRT((1-S301)*($G$9-$E$9)*($G$9-$F$9))))</f>
        <v>0.927261614481744</v>
      </c>
      <c r="F301" s="37" t="n">
        <f aca="false">1+IF($G$10=$E$10,$F$10,IF(T301&lt;($F$10-$E$10)/($G$10-$E$10),$E$10+SQRT(T301*($G$10-$E$10)*($F$10-$E$10)),$G$10-SQRT((1-T301)*($G$10-$E$10)*($G$10-$F$10))))</f>
        <v>1.00252362503473</v>
      </c>
      <c r="G301" s="38" t="n">
        <f aca="false">IF($G$11=$E$11,$F$11,IF(U301&lt;($F$11-$E$11)/($G$11-$E$11),$E$11+SQRT(U301*($G$11-$E$11)*($F$11-$E$11)),$G$11-SQRT((1-U301)*($G$11-$E$11)*($G$11-$F$11))))</f>
        <v>0.100845610803575</v>
      </c>
      <c r="H301" s="39" t="n">
        <f aca="false">(('Business Case'!B11*$C301*'Business Case'!B12*$B301)-'Business Case'!B11*$C301*'Business Case'!B13*$D301-'Business Case'!B14*$E301)-MAX(0,(('Business Case'!B11*$C301*'Business Case'!B12*$B301)-'Business Case'!B11*$C301*'Business Case'!B13*$D301-'Business Case'!B14*$E301))*'Business Case'!$B$7-'Business Case'!$B$8*('Business Case'!B11*$C301*'Business Case'!B12*$B301)-'Business Case'!B15*$F301</f>
        <v>-2005047250.06945</v>
      </c>
      <c r="I301" s="39" t="n">
        <f aca="false">(('Business Case'!C11*$C301*'Business Case'!C12*$B301)-'Business Case'!C11*$C301*'Business Case'!C13*$D301-'Business Case'!C14*$E301)-MAX(0,(('Business Case'!C11*$C301*'Business Case'!C12*$B301)-'Business Case'!C11*$C301*'Business Case'!C13*$D301-'Business Case'!C14*$E301))*'Business Case'!$B$7-'Business Case'!$B$8*(('Business Case'!C11*$C301*'Business Case'!C12*$B301)-('Business Case'!B11*$C301*'Business Case'!B12*$B301))-'Business Case'!C15*$F301</f>
        <v>-13506551.0308043</v>
      </c>
      <c r="J301" s="39" t="n">
        <f aca="false">(('Business Case'!D11*$C301*'Business Case'!D12*$B301)-'Business Case'!D11*$C301*'Business Case'!D13*$D301-'Business Case'!D14*$E301)-MAX(0,(('Business Case'!D11*$C301*'Business Case'!D12*$B301)-'Business Case'!D11*$C301*'Business Case'!D13*$D301-'Business Case'!D14*$E301))*'Business Case'!$B$7-'Business Case'!$B$8*(('Business Case'!D11*$C301*'Business Case'!D12*$B301)-('Business Case'!C11*$C301*'Business Case'!C12*$B301))-'Business Case'!D15*$F301</f>
        <v>247207041.336451</v>
      </c>
      <c r="K301" s="39" t="n">
        <f aca="false">(('Business Case'!E11*$C301*'Business Case'!E12*$B301)-'Business Case'!E11*$C301*'Business Case'!E13*$D301-'Business Case'!E14*$E301)-MAX(0,(('Business Case'!E11*$C301*'Business Case'!E12*$B301)-'Business Case'!E11*$C301*'Business Case'!E13*$D301-'Business Case'!E14*$E301))*'Business Case'!$B$7-'Business Case'!$B$8*(('Business Case'!E11*$C301*'Business Case'!E12*$B301)-('Business Case'!D11*$C301*'Business Case'!D12*$B301))-'Business Case'!E15*$F301</f>
        <v>558046814.955443</v>
      </c>
      <c r="L301" s="39" t="n">
        <f aca="false">(('Business Case'!F11*$C301*'Business Case'!F12*$B301)-'Business Case'!F11*$C301*'Business Case'!F13*$D301-'Business Case'!F14*$E301)-MAX(0,(('Business Case'!F11*$C301*'Business Case'!F12*$B301)-'Business Case'!F11*$C301*'Business Case'!F13*$D301-'Business Case'!F14*$E301))*'Business Case'!$B$7-'Business Case'!$B$8*(('Business Case'!F11*$C301*'Business Case'!F12*$B301)-('Business Case'!E11*$C301*'Business Case'!E12*$B301))-'Business Case'!F15*$F301</f>
        <v>673025465.288051</v>
      </c>
      <c r="M301" s="39" t="n">
        <f aca="false">(('Business Case'!G11*$C301*'Business Case'!G12*$B301)-'Business Case'!G11*$C301*'Business Case'!G13*$D301-'Business Case'!G14*$E301)-MAX(0,(('Business Case'!G11*$C301*'Business Case'!G12*$B301)-'Business Case'!G11*$C301*'Business Case'!G13*$D301-'Business Case'!G14*$E301))*'Business Case'!$B$7-'Business Case'!$B$8*(('Business Case'!G11*$C301*'Business Case'!G12*$B301)-('Business Case'!F11*$C301*'Business Case'!F12*$B301))-'Business Case'!G15*$F301+'Business Case'!$B$8*('Business Case'!G11*$C301*'Business Case'!G12*$B301)</f>
        <v>827433122.777423</v>
      </c>
      <c r="N301" s="39" t="n">
        <f aca="false">IF(COUNT('Business Case'!B11:G11)=0,"",H301+NPV(G301,I301:M301))</f>
        <v>-424948222.707335</v>
      </c>
      <c r="P301" s="40" t="n">
        <f aca="true">RAND()</f>
        <v>0.848913084709662</v>
      </c>
      <c r="Q301" s="40" t="n">
        <f aca="true">RAND()</f>
        <v>0.0729989005840144</v>
      </c>
      <c r="R301" s="40" t="n">
        <f aca="true">RAND()</f>
        <v>0.202310116516547</v>
      </c>
      <c r="S301" s="40" t="n">
        <f aca="true">RAND()</f>
        <v>0.0297278249660483</v>
      </c>
      <c r="T301" s="40" t="n">
        <f aca="true">RAND()</f>
        <v>0.183405917787301</v>
      </c>
      <c r="U301" s="40" t="n">
        <f aca="true">RAND()</f>
        <v>0.433347727055586</v>
      </c>
    </row>
    <row r="302" customFormat="false" ht="15" hidden="false" customHeight="false" outlineLevel="0" collapsed="false">
      <c r="A302" s="36" t="n">
        <v>222</v>
      </c>
      <c r="B302" s="37" t="n">
        <f aca="false">1+IF($G$6=$E$6,$F$6,IF(P302&lt;($F$6-$E$6)/($G$6-$E$6),$E$6+SQRT(P302*($G$6-$E$6)*($F$6-$E$6)),$G$6-SQRT((1-P302)*($G$6-$E$6)*($G$6-$F$6))))</f>
        <v>1.00531842042959</v>
      </c>
      <c r="C302" s="37" t="n">
        <f aca="false">1+IF($G$7=$E$7,$F$7,IF(Q302&lt;($F$7-$E$7)/($G$7-$E$7),$E$7+SQRT(Q302*($G$7-$E$7)*($F$7-$E$7)),$G$7-SQRT((1-Q302)*($G$7-$E$7)*($G$7-$F$7))))</f>
        <v>1.1088458675774</v>
      </c>
      <c r="D302" s="37" t="n">
        <f aca="false">1+IF($G$8=$E$8,$F$8,IF(R302&lt;($F$8-$E$8)/($G$8-$E$8),$E$8+SQRT(R302*($G$8-$E$8)*($F$8-$E$8)),$G$8-SQRT((1-R302)*($G$8-$E$8)*($G$8-$F$8))))</f>
        <v>1.00938584268576</v>
      </c>
      <c r="E302" s="37" t="n">
        <f aca="false">1+IF($G$9=$E$9,$F$9,IF(S302&lt;($F$9-$E$9)/($G$9-$E$9),$E$9+SQRT(S302*($G$9-$E$9)*($F$9-$E$9)),$G$9-SQRT((1-S302)*($G$9-$E$9)*($G$9-$F$9))))</f>
        <v>0.953321864469202</v>
      </c>
      <c r="F302" s="37" t="n">
        <f aca="false">1+IF($G$10=$E$10,$F$10,IF(T302&lt;($F$10-$E$10)/($G$10-$E$10),$E$10+SQRT(T302*($G$10-$E$10)*($F$10-$E$10)),$G$10-SQRT((1-T302)*($G$10-$E$10)*($G$10-$F$10))))</f>
        <v>1.16289822168043</v>
      </c>
      <c r="G302" s="38" t="n">
        <f aca="false">IF($G$11=$E$11,$F$11,IF(U302&lt;($F$11-$E$11)/($G$11-$E$11),$E$11+SQRT(U302*($G$11-$E$11)*($F$11-$E$11)),$G$11-SQRT((1-U302)*($G$11-$E$11)*($G$11-$F$11))))</f>
        <v>0.10253036771174</v>
      </c>
      <c r="H302" s="39" t="n">
        <f aca="false">(('Business Case'!B11*$C302*'Business Case'!B12*$B302)-'Business Case'!B11*$C302*'Business Case'!B13*$D302-'Business Case'!B14*$E302)-MAX(0,(('Business Case'!B11*$C302*'Business Case'!B12*$B302)-'Business Case'!B11*$C302*'Business Case'!B13*$D302-'Business Case'!B14*$E302))*'Business Case'!$B$7-'Business Case'!$B$8*('Business Case'!B11*$C302*'Business Case'!B12*$B302)-'Business Case'!B15*$F302</f>
        <v>-2325796443.36085</v>
      </c>
      <c r="I302" s="39" t="n">
        <f aca="false">(('Business Case'!C11*$C302*'Business Case'!C12*$B302)-'Business Case'!C11*$C302*'Business Case'!C13*$D302-'Business Case'!C14*$E302)-MAX(0,(('Business Case'!C11*$C302*'Business Case'!C12*$B302)-'Business Case'!C11*$C302*'Business Case'!C13*$D302-'Business Case'!C14*$E302))*'Business Case'!$B$7-'Business Case'!$B$8*(('Business Case'!C11*$C302*'Business Case'!C12*$B302)-('Business Case'!B11*$C302*'Business Case'!B12*$B302))-'Business Case'!C15*$F302</f>
        <v>30446285.3780455</v>
      </c>
      <c r="J302" s="39" t="n">
        <f aca="false">(('Business Case'!D11*$C302*'Business Case'!D12*$B302)-'Business Case'!D11*$C302*'Business Case'!D13*$D302-'Business Case'!D14*$E302)-MAX(0,(('Business Case'!D11*$C302*'Business Case'!D12*$B302)-'Business Case'!D11*$C302*'Business Case'!D13*$D302-'Business Case'!D14*$E302))*'Business Case'!$B$7-'Business Case'!$B$8*(('Business Case'!D11*$C302*'Business Case'!D12*$B302)-('Business Case'!C11*$C302*'Business Case'!C12*$B302))-'Business Case'!D15*$F302</f>
        <v>370533048.300305</v>
      </c>
      <c r="K302" s="39" t="n">
        <f aca="false">(('Business Case'!E11*$C302*'Business Case'!E12*$B302)-'Business Case'!E11*$C302*'Business Case'!E13*$D302-'Business Case'!E14*$E302)-MAX(0,(('Business Case'!E11*$C302*'Business Case'!E12*$B302)-'Business Case'!E11*$C302*'Business Case'!E13*$D302-'Business Case'!E14*$E302))*'Business Case'!$B$7-'Business Case'!$B$8*(('Business Case'!E11*$C302*'Business Case'!E12*$B302)-('Business Case'!D11*$C302*'Business Case'!D12*$B302))-'Business Case'!E15*$F302</f>
        <v>768764722.306585</v>
      </c>
      <c r="L302" s="39" t="n">
        <f aca="false">(('Business Case'!F11*$C302*'Business Case'!F12*$B302)-'Business Case'!F11*$C302*'Business Case'!F13*$D302-'Business Case'!F14*$E302)-MAX(0,(('Business Case'!F11*$C302*'Business Case'!F12*$B302)-'Business Case'!F11*$C302*'Business Case'!F13*$D302-'Business Case'!F14*$E302))*'Business Case'!$B$7-'Business Case'!$B$8*(('Business Case'!F11*$C302*'Business Case'!F12*$B302)-('Business Case'!E11*$C302*'Business Case'!E12*$B302))-'Business Case'!F15*$F302</f>
        <v>920652500.779772</v>
      </c>
      <c r="M302" s="39" t="n">
        <f aca="false">(('Business Case'!G11*$C302*'Business Case'!G12*$B302)-'Business Case'!G11*$C302*'Business Case'!G13*$D302-'Business Case'!G14*$E302)-MAX(0,(('Business Case'!G11*$C302*'Business Case'!G12*$B302)-'Business Case'!G11*$C302*'Business Case'!G13*$D302-'Business Case'!G14*$E302))*'Business Case'!$B$7-'Business Case'!$B$8*(('Business Case'!G11*$C302*'Business Case'!G12*$B302)-('Business Case'!F11*$C302*'Business Case'!F12*$B302))-'Business Case'!G15*$F302+'Business Case'!$B$8*('Business Case'!G11*$C302*'Business Case'!G12*$B302)</f>
        <v>1132542883.69149</v>
      </c>
      <c r="N302" s="39" t="n">
        <f aca="false">IF(COUNT('Business Case'!B11:G11)=0,"",H302+NPV(G302,I302:M302))</f>
        <v>-101490652.053966</v>
      </c>
      <c r="P302" s="40" t="n">
        <f aca="true">RAND()</f>
        <v>0.733807526279116</v>
      </c>
      <c r="Q302" s="40" t="n">
        <f aca="true">RAND()</f>
        <v>0.974908701993237</v>
      </c>
      <c r="R302" s="40" t="n">
        <f aca="true">RAND()</f>
        <v>0.452604966281959</v>
      </c>
      <c r="S302" s="40" t="n">
        <f aca="true">RAND()</f>
        <v>0.113728849218878</v>
      </c>
      <c r="T302" s="40" t="n">
        <f aca="true">RAND()</f>
        <v>0.898843736180904</v>
      </c>
      <c r="U302" s="40" t="n">
        <f aca="true">RAND()</f>
        <v>0.496946201298536</v>
      </c>
    </row>
    <row r="303" customFormat="false" ht="15" hidden="false" customHeight="false" outlineLevel="0" collapsed="false">
      <c r="A303" s="36" t="n">
        <v>223</v>
      </c>
      <c r="B303" s="37" t="n">
        <f aca="false">1+IF($G$6=$E$6,$F$6,IF(P303&lt;($F$6-$E$6)/($G$6-$E$6),$E$6+SQRT(P303*($G$6-$E$6)*($F$6-$E$6)),$G$6-SQRT((1-P303)*($G$6-$E$6)*($G$6-$F$6))))</f>
        <v>1.00313401746816</v>
      </c>
      <c r="C303" s="37" t="n">
        <f aca="false">1+IF($G$7=$E$7,$F$7,IF(Q303&lt;($F$7-$E$7)/($G$7-$E$7),$E$7+SQRT(Q303*($G$7-$E$7)*($F$7-$E$7)),$G$7-SQRT((1-Q303)*($G$7-$E$7)*($G$7-$F$7))))</f>
        <v>1.03500981479963</v>
      </c>
      <c r="D303" s="37" t="n">
        <f aca="false">1+IF($G$8=$E$8,$F$8,IF(R303&lt;($F$8-$E$8)/($G$8-$E$8),$E$8+SQRT(R303*($G$8-$E$8)*($F$8-$E$8)),$G$8-SQRT((1-R303)*($G$8-$E$8)*($G$8-$F$8))))</f>
        <v>1.05706227858567</v>
      </c>
      <c r="E303" s="37" t="n">
        <f aca="false">1+IF($G$9=$E$9,$F$9,IF(S303&lt;($F$9-$E$9)/($G$9-$E$9),$E$9+SQRT(S303*($G$9-$E$9)*($F$9-$E$9)),$G$9-SQRT((1-S303)*($G$9-$E$9)*($G$9-$F$9))))</f>
        <v>1.06829632570702</v>
      </c>
      <c r="F303" s="37" t="n">
        <f aca="false">1+IF($G$10=$E$10,$F$10,IF(T303&lt;($F$10-$E$10)/($G$10-$E$10),$E$10+SQRT(T303*($G$10-$E$10)*($F$10-$E$10)),$G$10-SQRT((1-T303)*($G$10-$E$10)*($G$10-$F$10))))</f>
        <v>0.972778109787845</v>
      </c>
      <c r="G303" s="38" t="n">
        <f aca="false">IF($G$11=$E$11,$F$11,IF(U303&lt;($F$11-$E$11)/($G$11-$E$11),$E$11+SQRT(U303*($G$11-$E$11)*($F$11-$E$11)),$G$11-SQRT((1-U303)*($G$11-$E$11)*($G$11-$F$11))))</f>
        <v>0.118659477860844</v>
      </c>
      <c r="H303" s="39" t="n">
        <f aca="false">(('Business Case'!B11*$C303*'Business Case'!B12*$B303)-'Business Case'!B11*$C303*'Business Case'!B13*$D303-'Business Case'!B14*$E303)-MAX(0,(('Business Case'!B11*$C303*'Business Case'!B12*$B303)-'Business Case'!B11*$C303*'Business Case'!B13*$D303-'Business Case'!B14*$E303))*'Business Case'!$B$7-'Business Case'!$B$8*('Business Case'!B11*$C303*'Business Case'!B12*$B303)-'Business Case'!B15*$F303</f>
        <v>-1945556219.57569</v>
      </c>
      <c r="I303" s="39" t="n">
        <f aca="false">(('Business Case'!C11*$C303*'Business Case'!C12*$B303)-'Business Case'!C11*$C303*'Business Case'!C13*$D303-'Business Case'!C14*$E303)-MAX(0,(('Business Case'!C11*$C303*'Business Case'!C12*$B303)-'Business Case'!C11*$C303*'Business Case'!C13*$D303-'Business Case'!C14*$E303))*'Business Case'!$B$7-'Business Case'!$B$8*(('Business Case'!C11*$C303*'Business Case'!C12*$B303)-('Business Case'!B11*$C303*'Business Case'!B12*$B303))-'Business Case'!C15*$F303</f>
        <v>-12684427.0357621</v>
      </c>
      <c r="J303" s="39" t="n">
        <f aca="false">(('Business Case'!D11*$C303*'Business Case'!D12*$B303)-'Business Case'!D11*$C303*'Business Case'!D13*$D303-'Business Case'!D14*$E303)-MAX(0,(('Business Case'!D11*$C303*'Business Case'!D12*$B303)-'Business Case'!D11*$C303*'Business Case'!D13*$D303-'Business Case'!D14*$E303))*'Business Case'!$B$7-'Business Case'!$B$8*(('Business Case'!D11*$C303*'Business Case'!D12*$B303)-('Business Case'!C11*$C303*'Business Case'!C12*$B303))-'Business Case'!D15*$F303</f>
        <v>277643758.643441</v>
      </c>
      <c r="K303" s="39" t="n">
        <f aca="false">(('Business Case'!E11*$C303*'Business Case'!E12*$B303)-'Business Case'!E11*$C303*'Business Case'!E13*$D303-'Business Case'!E14*$E303)-MAX(0,(('Business Case'!E11*$C303*'Business Case'!E12*$B303)-'Business Case'!E11*$C303*'Business Case'!E13*$D303-'Business Case'!E14*$E303))*'Business Case'!$B$7-'Business Case'!$B$8*(('Business Case'!E11*$C303*'Business Case'!E12*$B303)-('Business Case'!D11*$C303*'Business Case'!D12*$B303))-'Business Case'!E15*$F303</f>
        <v>616610849.812035</v>
      </c>
      <c r="L303" s="39" t="n">
        <f aca="false">(('Business Case'!F11*$C303*'Business Case'!F12*$B303)-'Business Case'!F11*$C303*'Business Case'!F13*$D303-'Business Case'!F14*$E303)-MAX(0,(('Business Case'!F11*$C303*'Business Case'!F12*$B303)-'Business Case'!F11*$C303*'Business Case'!F13*$D303-'Business Case'!F14*$E303))*'Business Case'!$B$7-'Business Case'!$B$8*(('Business Case'!F11*$C303*'Business Case'!F12*$B303)-('Business Case'!E11*$C303*'Business Case'!E12*$B303))-'Business Case'!F15*$F303</f>
        <v>749268954.518864</v>
      </c>
      <c r="M303" s="39" t="n">
        <f aca="false">(('Business Case'!G11*$C303*'Business Case'!G12*$B303)-'Business Case'!G11*$C303*'Business Case'!G13*$D303-'Business Case'!G14*$E303)-MAX(0,(('Business Case'!G11*$C303*'Business Case'!G12*$B303)-'Business Case'!G11*$C303*'Business Case'!G13*$D303-'Business Case'!G14*$E303))*'Business Case'!$B$7-'Business Case'!$B$8*(('Business Case'!G11*$C303*'Business Case'!G12*$B303)-('Business Case'!F11*$C303*'Business Case'!F12*$B303))-'Business Case'!G15*$F303+'Business Case'!$B$8*('Business Case'!G11*$C303*'Business Case'!G12*$B303)</f>
        <v>946620189.994553</v>
      </c>
      <c r="N303" s="39" t="n">
        <f aca="false">IF(COUNT('Business Case'!B11:G11)=0,"",H303+NPV(G303,I303:M303))</f>
        <v>-275733055.919076</v>
      </c>
      <c r="P303" s="40" t="n">
        <f aca="true">RAND()</f>
        <v>0.707143957510093</v>
      </c>
      <c r="Q303" s="40" t="n">
        <f aca="true">RAND()</f>
        <v>0.804107515667918</v>
      </c>
      <c r="R303" s="40" t="n">
        <f aca="true">RAND()</f>
        <v>0.877090138649683</v>
      </c>
      <c r="S303" s="40" t="n">
        <f aca="true">RAND()</f>
        <v>0.821986922854035</v>
      </c>
      <c r="T303" s="40" t="n">
        <f aca="true">RAND()</f>
        <v>0.0345894857004749</v>
      </c>
      <c r="U303" s="40" t="n">
        <f aca="true">RAND()</f>
        <v>0.914261705074214</v>
      </c>
    </row>
    <row r="304" customFormat="false" ht="15" hidden="false" customHeight="false" outlineLevel="0" collapsed="false">
      <c r="A304" s="36" t="n">
        <v>224</v>
      </c>
      <c r="B304" s="37" t="n">
        <f aca="false">1+IF($G$6=$E$6,$F$6,IF(P304&lt;($F$6-$E$6)/($G$6-$E$6),$E$6+SQRT(P304*($G$6-$E$6)*($F$6-$E$6)),$G$6-SQRT((1-P304)*($G$6-$E$6)*($G$6-$F$6))))</f>
        <v>0.959067542102738</v>
      </c>
      <c r="C304" s="37" t="n">
        <f aca="false">1+IF($G$7=$E$7,$F$7,IF(Q304&lt;($F$7-$E$7)/($G$7-$E$7),$E$7+SQRT(Q304*($G$7-$E$7)*($F$7-$E$7)),$G$7-SQRT((1-Q304)*($G$7-$E$7)*($G$7-$F$7))))</f>
        <v>0.990002230723094</v>
      </c>
      <c r="D304" s="37" t="n">
        <f aca="false">1+IF($G$8=$E$8,$F$8,IF(R304&lt;($F$8-$E$8)/($G$8-$E$8),$E$8+SQRT(R304*($G$8-$E$8)*($F$8-$E$8)),$G$8-SQRT((1-R304)*($G$8-$E$8)*($G$8-$F$8))))</f>
        <v>1.02256666918081</v>
      </c>
      <c r="E304" s="37" t="n">
        <f aca="false">1+IF($G$9=$E$9,$F$9,IF(S304&lt;($F$9-$E$9)/($G$9-$E$9),$E$9+SQRT(S304*($G$9-$E$9)*($F$9-$E$9)),$G$9-SQRT((1-S304)*($G$9-$E$9)*($G$9-$F$9))))</f>
        <v>0.938746537420178</v>
      </c>
      <c r="F304" s="37" t="n">
        <f aca="false">1+IF($G$10=$E$10,$F$10,IF(T304&lt;($F$10-$E$10)/($G$10-$E$10),$E$10+SQRT(T304*($G$10-$E$10)*($F$10-$E$10)),$G$10-SQRT((1-T304)*($G$10-$E$10)*($G$10-$F$10))))</f>
        <v>1.18751821202148</v>
      </c>
      <c r="G304" s="38" t="n">
        <f aca="false">IF($G$11=$E$11,$F$11,IF(U304&lt;($F$11-$E$11)/($G$11-$E$11),$E$11+SQRT(U304*($G$11-$E$11)*($F$11-$E$11)),$G$11-SQRT((1-U304)*($G$11-$E$11)*($G$11-$F$11))))</f>
        <v>0.107781832923027</v>
      </c>
      <c r="H304" s="39" t="n">
        <f aca="false">(('Business Case'!B11*$C304*'Business Case'!B12*$B304)-'Business Case'!B11*$C304*'Business Case'!B13*$D304-'Business Case'!B14*$E304)-MAX(0,(('Business Case'!B11*$C304*'Business Case'!B12*$B304)-'Business Case'!B11*$C304*'Business Case'!B13*$D304-'Business Case'!B14*$E304))*'Business Case'!$B$7-'Business Case'!$B$8*('Business Case'!B11*$C304*'Business Case'!B12*$B304)-'Business Case'!B15*$F304</f>
        <v>-2375036424.04296</v>
      </c>
      <c r="I304" s="39" t="n">
        <f aca="false">(('Business Case'!C11*$C304*'Business Case'!C12*$B304)-'Business Case'!C11*$C304*'Business Case'!C13*$D304-'Business Case'!C14*$E304)-MAX(0,(('Business Case'!C11*$C304*'Business Case'!C12*$B304)-'Business Case'!C11*$C304*'Business Case'!C13*$D304-'Business Case'!C14*$E304))*'Business Case'!$B$7-'Business Case'!$B$8*(('Business Case'!C11*$C304*'Business Case'!C12*$B304)-('Business Case'!B11*$C304*'Business Case'!B12*$B304))-'Business Case'!C15*$F304</f>
        <v>-42009675.7343668</v>
      </c>
      <c r="J304" s="39" t="n">
        <f aca="false">(('Business Case'!D11*$C304*'Business Case'!D12*$B304)-'Business Case'!D11*$C304*'Business Case'!D13*$D304-'Business Case'!D14*$E304)-MAX(0,(('Business Case'!D11*$C304*'Business Case'!D12*$B304)-'Business Case'!D11*$C304*'Business Case'!D13*$D304-'Business Case'!D14*$E304))*'Business Case'!$B$7-'Business Case'!$B$8*(('Business Case'!D11*$C304*'Business Case'!D12*$B304)-('Business Case'!C11*$C304*'Business Case'!C12*$B304))-'Business Case'!D15*$F304</f>
        <v>217443219.030571</v>
      </c>
      <c r="K304" s="39" t="n">
        <f aca="false">(('Business Case'!E11*$C304*'Business Case'!E12*$B304)-'Business Case'!E11*$C304*'Business Case'!E13*$D304-'Business Case'!E14*$E304)-MAX(0,(('Business Case'!E11*$C304*'Business Case'!E12*$B304)-'Business Case'!E11*$C304*'Business Case'!E13*$D304-'Business Case'!E14*$E304))*'Business Case'!$B$7-'Business Case'!$B$8*(('Business Case'!E11*$C304*'Business Case'!E12*$B304)-('Business Case'!D11*$C304*'Business Case'!D12*$B304))-'Business Case'!E15*$F304</f>
        <v>536272024.396584</v>
      </c>
      <c r="L304" s="39" t="n">
        <f aca="false">(('Business Case'!F11*$C304*'Business Case'!F12*$B304)-'Business Case'!F11*$C304*'Business Case'!F13*$D304-'Business Case'!F14*$E304)-MAX(0,(('Business Case'!F11*$C304*'Business Case'!F12*$B304)-'Business Case'!F11*$C304*'Business Case'!F13*$D304-'Business Case'!F14*$E304))*'Business Case'!$B$7-'Business Case'!$B$8*(('Business Case'!F11*$C304*'Business Case'!F12*$B304)-('Business Case'!E11*$C304*'Business Case'!E12*$B304))-'Business Case'!F15*$F304</f>
        <v>655570317.102235</v>
      </c>
      <c r="M304" s="39" t="n">
        <f aca="false">(('Business Case'!G11*$C304*'Business Case'!G12*$B304)-'Business Case'!G11*$C304*'Business Case'!G13*$D304-'Business Case'!G14*$E304)-MAX(0,(('Business Case'!G11*$C304*'Business Case'!G12*$B304)-'Business Case'!G11*$C304*'Business Case'!G13*$D304-'Business Case'!G14*$E304))*'Business Case'!$B$7-'Business Case'!$B$8*(('Business Case'!G11*$C304*'Business Case'!G12*$B304)-('Business Case'!F11*$C304*'Business Case'!F12*$B304))-'Business Case'!G15*$F304+'Business Case'!$B$8*('Business Case'!G11*$C304*'Business Case'!G12*$B304)</f>
        <v>836047286.580929</v>
      </c>
      <c r="N304" s="39" t="n">
        <f aca="false">IF(COUNT('Business Case'!B11:G11)=0,"",H304+NPV(G304,I304:M304))</f>
        <v>-904837470.212946</v>
      </c>
      <c r="P304" s="40" t="n">
        <f aca="true">RAND()</f>
        <v>0.232598302003912</v>
      </c>
      <c r="Q304" s="40" t="n">
        <f aca="true">RAND()</f>
        <v>0.62297254684719</v>
      </c>
      <c r="R304" s="40" t="n">
        <f aca="true">RAND()</f>
        <v>0.600271951883011</v>
      </c>
      <c r="S304" s="40" t="n">
        <f aca="true">RAND()</f>
        <v>0.0600517664821296</v>
      </c>
      <c r="T304" s="40" t="n">
        <f aca="true">RAND()</f>
        <v>0.947947015613434</v>
      </c>
      <c r="U304" s="40" t="n">
        <f aca="true">RAND()</f>
        <v>0.67090203449314</v>
      </c>
    </row>
    <row r="305" customFormat="false" ht="15" hidden="false" customHeight="false" outlineLevel="0" collapsed="false">
      <c r="A305" s="36" t="n">
        <v>225</v>
      </c>
      <c r="B305" s="37" t="n">
        <f aca="false">1+IF($G$6=$E$6,$F$6,IF(P305&lt;($F$6-$E$6)/($G$6-$E$6),$E$6+SQRT(P305*($G$6-$E$6)*($F$6-$E$6)),$G$6-SQRT((1-P305)*($G$6-$E$6)*($G$6-$F$6))))</f>
        <v>0.996876563830754</v>
      </c>
      <c r="C305" s="37" t="n">
        <f aca="false">1+IF($G$7=$E$7,$F$7,IF(Q305&lt;($F$7-$E$7)/($G$7-$E$7),$E$7+SQRT(Q305*($G$7-$E$7)*($F$7-$E$7)),$G$7-SQRT((1-Q305)*($G$7-$E$7)*($G$7-$F$7))))</f>
        <v>1.01764821512075</v>
      </c>
      <c r="D305" s="37" t="n">
        <f aca="false">1+IF($G$8=$E$8,$F$8,IF(R305&lt;($F$8-$E$8)/($G$8-$E$8),$E$8+SQRT(R305*($G$8-$E$8)*($F$8-$E$8)),$G$8-SQRT((1-R305)*($G$8-$E$8)*($G$8-$F$8))))</f>
        <v>0.964412009503815</v>
      </c>
      <c r="E305" s="37" t="n">
        <f aca="false">1+IF($G$9=$E$9,$F$9,IF(S305&lt;($F$9-$E$9)/($G$9-$E$9),$E$9+SQRT(S305*($G$9-$E$9)*($F$9-$E$9)),$G$9-SQRT((1-S305)*($G$9-$E$9)*($G$9-$F$9))))</f>
        <v>1.01856223964885</v>
      </c>
      <c r="F305" s="37" t="n">
        <f aca="false">1+IF($G$10=$E$10,$F$10,IF(T305&lt;($F$10-$E$10)/($G$10-$E$10),$E$10+SQRT(T305*($G$10-$E$10)*($F$10-$E$10)),$G$10-SQRT((1-T305)*($G$10-$E$10)*($G$10-$F$10))))</f>
        <v>1.05280609190166</v>
      </c>
      <c r="G305" s="38" t="n">
        <f aca="false">IF($G$11=$E$11,$F$11,IF(U305&lt;($F$11-$E$11)/($G$11-$E$11),$E$11+SQRT(U305*($G$11-$E$11)*($F$11-$E$11)),$G$11-SQRT((1-U305)*($G$11-$E$11)*($G$11-$F$11))))</f>
        <v>0.0985897971587701</v>
      </c>
      <c r="H305" s="39" t="n">
        <f aca="false">(('Business Case'!B11*$C305*'Business Case'!B12*$B305)-'Business Case'!B11*$C305*'Business Case'!B13*$D305-'Business Case'!B14*$E305)-MAX(0,(('Business Case'!B11*$C305*'Business Case'!B12*$B305)-'Business Case'!B11*$C305*'Business Case'!B13*$D305-'Business Case'!B14*$E305))*'Business Case'!$B$7-'Business Case'!$B$8*('Business Case'!B11*$C305*'Business Case'!B12*$B305)-'Business Case'!B15*$F305</f>
        <v>-2105612183.80333</v>
      </c>
      <c r="I305" s="39" t="n">
        <f aca="false">(('Business Case'!C11*$C305*'Business Case'!C12*$B305)-'Business Case'!C11*$C305*'Business Case'!C13*$D305-'Business Case'!C14*$E305)-MAX(0,(('Business Case'!C11*$C305*'Business Case'!C12*$B305)-'Business Case'!C11*$C305*'Business Case'!C13*$D305-'Business Case'!C14*$E305))*'Business Case'!$B$7-'Business Case'!$B$8*(('Business Case'!C11*$C305*'Business Case'!C12*$B305)-('Business Case'!B11*$C305*'Business Case'!B12*$B305))-'Business Case'!C15*$F305</f>
        <v>25798671.9455854</v>
      </c>
      <c r="J305" s="39" t="n">
        <f aca="false">(('Business Case'!D11*$C305*'Business Case'!D12*$B305)-'Business Case'!D11*$C305*'Business Case'!D13*$D305-'Business Case'!D14*$E305)-MAX(0,(('Business Case'!D11*$C305*'Business Case'!D12*$B305)-'Business Case'!D11*$C305*'Business Case'!D13*$D305-'Business Case'!D14*$E305))*'Business Case'!$B$7-'Business Case'!$B$8*(('Business Case'!D11*$C305*'Business Case'!D12*$B305)-('Business Case'!C11*$C305*'Business Case'!C12*$B305))-'Business Case'!D15*$F305</f>
        <v>354307610.520124</v>
      </c>
      <c r="K305" s="39" t="n">
        <f aca="false">(('Business Case'!E11*$C305*'Business Case'!E12*$B305)-'Business Case'!E11*$C305*'Business Case'!E13*$D305-'Business Case'!E14*$E305)-MAX(0,(('Business Case'!E11*$C305*'Business Case'!E12*$B305)-'Business Case'!E11*$C305*'Business Case'!E13*$D305-'Business Case'!E14*$E305))*'Business Case'!$B$7-'Business Case'!$B$8*(('Business Case'!E11*$C305*'Business Case'!E12*$B305)-('Business Case'!D11*$C305*'Business Case'!D12*$B305))-'Business Case'!E15*$F305</f>
        <v>735456853.689746</v>
      </c>
      <c r="L305" s="39" t="n">
        <f aca="false">(('Business Case'!F11*$C305*'Business Case'!F12*$B305)-'Business Case'!F11*$C305*'Business Case'!F13*$D305-'Business Case'!F14*$E305)-MAX(0,(('Business Case'!F11*$C305*'Business Case'!F12*$B305)-'Business Case'!F11*$C305*'Business Case'!F13*$D305-'Business Case'!F14*$E305))*'Business Case'!$B$7-'Business Case'!$B$8*(('Business Case'!F11*$C305*'Business Case'!F12*$B305)-('Business Case'!E11*$C305*'Business Case'!E12*$B305))-'Business Case'!F15*$F305</f>
        <v>880019904.521738</v>
      </c>
      <c r="M305" s="39" t="n">
        <f aca="false">(('Business Case'!G11*$C305*'Business Case'!G12*$B305)-'Business Case'!G11*$C305*'Business Case'!G13*$D305-'Business Case'!G14*$E305)-MAX(0,(('Business Case'!G11*$C305*'Business Case'!G12*$B305)-'Business Case'!G11*$C305*'Business Case'!G13*$D305-'Business Case'!G14*$E305))*'Business Case'!$B$7-'Business Case'!$B$8*(('Business Case'!G11*$C305*'Business Case'!G12*$B305)-('Business Case'!F11*$C305*'Business Case'!F12*$B305))-'Business Case'!G15*$F305+'Business Case'!$B$8*('Business Case'!G11*$C305*'Business Case'!G12*$B305)</f>
        <v>1072850296.71104</v>
      </c>
      <c r="N305" s="39" t="n">
        <f aca="false">IF(COUNT('Business Case'!B11:G11)=0,"",H305+NPV(G305,I305:M305))</f>
        <v>40729697.8642695</v>
      </c>
      <c r="P305" s="40" t="n">
        <f aca="true">RAND()</f>
        <v>0.625671241310279</v>
      </c>
      <c r="Q305" s="40" t="n">
        <f aca="true">RAND()</f>
        <v>0.740488963544858</v>
      </c>
      <c r="R305" s="40" t="n">
        <f aca="true">RAND()</f>
        <v>0.0276941357250732</v>
      </c>
      <c r="S305" s="40" t="n">
        <f aca="true">RAND()</f>
        <v>0.539309737436652</v>
      </c>
      <c r="T305" s="40" t="n">
        <f aca="true">RAND()</f>
        <v>0.481527501452072</v>
      </c>
      <c r="U305" s="40" t="n">
        <f aca="true">RAND()</f>
        <v>0.345580558404216</v>
      </c>
    </row>
    <row r="306" customFormat="false" ht="15" hidden="false" customHeight="false" outlineLevel="0" collapsed="false">
      <c r="A306" s="36" t="n">
        <v>226</v>
      </c>
      <c r="B306" s="37" t="n">
        <f aca="false">1+IF($G$6=$E$6,$F$6,IF(P306&lt;($F$6-$E$6)/($G$6-$E$6),$E$6+SQRT(P306*($G$6-$E$6)*($F$6-$E$6)),$G$6-SQRT((1-P306)*($G$6-$E$6)*($G$6-$F$6))))</f>
        <v>0.988406395820912</v>
      </c>
      <c r="C306" s="37" t="n">
        <f aca="false">1+IF($G$7=$E$7,$F$7,IF(Q306&lt;($F$7-$E$7)/($G$7-$E$7),$E$7+SQRT(Q306*($G$7-$E$7)*($F$7-$E$7)),$G$7-SQRT((1-Q306)*($G$7-$E$7)*($G$7-$F$7))))</f>
        <v>1.12126267015084</v>
      </c>
      <c r="D306" s="37" t="n">
        <f aca="false">1+IF($G$8=$E$8,$F$8,IF(R306&lt;($F$8-$E$8)/($G$8-$E$8),$E$8+SQRT(R306*($G$8-$E$8)*($F$8-$E$8)),$G$8-SQRT((1-R306)*($G$8-$E$8)*($G$8-$F$8))))</f>
        <v>1.02354955095353</v>
      </c>
      <c r="E306" s="37" t="n">
        <f aca="false">1+IF($G$9=$E$9,$F$9,IF(S306&lt;($F$9-$E$9)/($G$9-$E$9),$E$9+SQRT(S306*($G$9-$E$9)*($F$9-$E$9)),$G$9-SQRT((1-S306)*($G$9-$E$9)*($G$9-$F$9))))</f>
        <v>1.03365372002506</v>
      </c>
      <c r="F306" s="37" t="n">
        <f aca="false">1+IF($G$10=$E$10,$F$10,IF(T306&lt;($F$10-$E$10)/($G$10-$E$10),$E$10+SQRT(T306*($G$10-$E$10)*($F$10-$E$10)),$G$10-SQRT((1-T306)*($G$10-$E$10)*($G$10-$F$10))))</f>
        <v>1.02060879913235</v>
      </c>
      <c r="G306" s="38" t="n">
        <f aca="false">IF($G$11=$E$11,$F$11,IF(U306&lt;($F$11-$E$11)/($G$11-$E$11),$E$11+SQRT(U306*($G$11-$E$11)*($F$11-$E$11)),$G$11-SQRT((1-U306)*($G$11-$E$11)*($G$11-$F$11))))</f>
        <v>0.098570306191297</v>
      </c>
      <c r="H306" s="39" t="n">
        <f aca="false">(('Business Case'!B11*$C306*'Business Case'!B12*$B306)-'Business Case'!B11*$C306*'Business Case'!B13*$D306-'Business Case'!B14*$E306)-MAX(0,(('Business Case'!B11*$C306*'Business Case'!B12*$B306)-'Business Case'!B11*$C306*'Business Case'!B13*$D306-'Business Case'!B14*$E306))*'Business Case'!$B$7-'Business Case'!$B$8*('Business Case'!B11*$C306*'Business Case'!B12*$B306)-'Business Case'!B15*$F306</f>
        <v>-2041217598.26471</v>
      </c>
      <c r="I306" s="39" t="n">
        <f aca="false">(('Business Case'!C11*$C306*'Business Case'!C12*$B306)-'Business Case'!C11*$C306*'Business Case'!C13*$D306-'Business Case'!C14*$E306)-MAX(0,(('Business Case'!C11*$C306*'Business Case'!C12*$B306)-'Business Case'!C11*$C306*'Business Case'!C13*$D306-'Business Case'!C14*$E306))*'Business Case'!$B$7-'Business Case'!$B$8*(('Business Case'!C11*$C306*'Business Case'!C12*$B306)-('Business Case'!B11*$C306*'Business Case'!B12*$B306))-'Business Case'!C15*$F306</f>
        <v>13734395.7321863</v>
      </c>
      <c r="J306" s="39" t="n">
        <f aca="false">(('Business Case'!D11*$C306*'Business Case'!D12*$B306)-'Business Case'!D11*$C306*'Business Case'!D13*$D306-'Business Case'!D14*$E306)-MAX(0,(('Business Case'!D11*$C306*'Business Case'!D12*$B306)-'Business Case'!D11*$C306*'Business Case'!D13*$D306-'Business Case'!D14*$E306))*'Business Case'!$B$7-'Business Case'!$B$8*(('Business Case'!D11*$C306*'Business Case'!D12*$B306)-('Business Case'!C11*$C306*'Business Case'!C12*$B306))-'Business Case'!D15*$F306</f>
        <v>333967594.371801</v>
      </c>
      <c r="K306" s="39" t="n">
        <f aca="false">(('Business Case'!E11*$C306*'Business Case'!E12*$B306)-'Business Case'!E11*$C306*'Business Case'!E13*$D306-'Business Case'!E14*$E306)-MAX(0,(('Business Case'!E11*$C306*'Business Case'!E12*$B306)-'Business Case'!E11*$C306*'Business Case'!E13*$D306-'Business Case'!E14*$E306))*'Business Case'!$B$7-'Business Case'!$B$8*(('Business Case'!E11*$C306*'Business Case'!E12*$B306)-('Business Case'!D11*$C306*'Business Case'!D12*$B306))-'Business Case'!E15*$F306</f>
        <v>705231232.968032</v>
      </c>
      <c r="L306" s="39" t="n">
        <f aca="false">(('Business Case'!F11*$C306*'Business Case'!F12*$B306)-'Business Case'!F11*$C306*'Business Case'!F13*$D306-'Business Case'!F14*$E306)-MAX(0,(('Business Case'!F11*$C306*'Business Case'!F12*$B306)-'Business Case'!F11*$C306*'Business Case'!F13*$D306-'Business Case'!F14*$E306))*'Business Case'!$B$7-'Business Case'!$B$8*(('Business Case'!F11*$C306*'Business Case'!F12*$B306)-('Business Case'!E11*$C306*'Business Case'!E12*$B306))-'Business Case'!F15*$F306</f>
        <v>850277208.51899</v>
      </c>
      <c r="M306" s="39" t="n">
        <f aca="false">(('Business Case'!G11*$C306*'Business Case'!G12*$B306)-'Business Case'!G11*$C306*'Business Case'!G13*$D306-'Business Case'!G14*$E306)-MAX(0,(('Business Case'!G11*$C306*'Business Case'!G12*$B306)-'Business Case'!G11*$C306*'Business Case'!G13*$D306-'Business Case'!G14*$E306))*'Business Case'!$B$7-'Business Case'!$B$8*(('Business Case'!G11*$C306*'Business Case'!G12*$B306)-('Business Case'!F11*$C306*'Business Case'!F12*$B306))-'Business Case'!G15*$F306+'Business Case'!$B$8*('Business Case'!G11*$C306*'Business Case'!G12*$B306)</f>
        <v>1060935876.5433</v>
      </c>
      <c r="N306" s="39" t="n">
        <f aca="false">IF(COUNT('Business Case'!B11:G11)=0,"",H306+NPV(G306,I306:M306))</f>
        <v>26766953.1507087</v>
      </c>
      <c r="P306" s="40" t="n">
        <f aca="true">RAND()</f>
        <v>0.521046054802915</v>
      </c>
      <c r="Q306" s="40" t="n">
        <f aca="true">RAND()</f>
        <v>0.98776542034282</v>
      </c>
      <c r="R306" s="40" t="n">
        <f aca="true">RAND()</f>
        <v>0.610355256039527</v>
      </c>
      <c r="S306" s="40" t="n">
        <f aca="true">RAND()</f>
        <v>0.639027816959816</v>
      </c>
      <c r="T306" s="40" t="n">
        <f aca="true">RAND()</f>
        <v>0.298395692859981</v>
      </c>
      <c r="U306" s="40" t="n">
        <f aca="true">RAND()</f>
        <v>0.344856272038522</v>
      </c>
    </row>
    <row r="307" customFormat="false" ht="15" hidden="false" customHeight="false" outlineLevel="0" collapsed="false">
      <c r="A307" s="36" t="n">
        <v>227</v>
      </c>
      <c r="B307" s="37" t="n">
        <f aca="false">1+IF($G$6=$E$6,$F$6,IF(P307&lt;($F$6-$E$6)/($G$6-$E$6),$E$6+SQRT(P307*($G$6-$E$6)*($F$6-$E$6)),$G$6-SQRT((1-P307)*($G$6-$E$6)*($G$6-$F$6))))</f>
        <v>1.0411677038189</v>
      </c>
      <c r="C307" s="37" t="n">
        <f aca="false">1+IF($G$7=$E$7,$F$7,IF(Q307&lt;($F$7-$E$7)/($G$7-$E$7),$E$7+SQRT(Q307*($G$7-$E$7)*($F$7-$E$7)),$G$7-SQRT((1-Q307)*($G$7-$E$7)*($G$7-$F$7))))</f>
        <v>0.863349757318095</v>
      </c>
      <c r="D307" s="37" t="n">
        <f aca="false">1+IF($G$8=$E$8,$F$8,IF(R307&lt;($F$8-$E$8)/($G$8-$E$8),$E$8+SQRT(R307*($G$8-$E$8)*($F$8-$E$8)),$G$8-SQRT((1-R307)*($G$8-$E$8)*($G$8-$F$8))))</f>
        <v>1.00194262720434</v>
      </c>
      <c r="E307" s="37" t="n">
        <f aca="false">1+IF($G$9=$E$9,$F$9,IF(S307&lt;($F$9-$E$9)/($G$9-$E$9),$E$9+SQRT(S307*($G$9-$E$9)*($F$9-$E$9)),$G$9-SQRT((1-S307)*($G$9-$E$9)*($G$9-$F$9))))</f>
        <v>1.06650959601426</v>
      </c>
      <c r="F307" s="37" t="n">
        <f aca="false">1+IF($G$10=$E$10,$F$10,IF(T307&lt;($F$10-$E$10)/($G$10-$E$10),$E$10+SQRT(T307*($G$10-$E$10)*($F$10-$E$10)),$G$10-SQRT((1-T307)*($G$10-$E$10)*($G$10-$F$10))))</f>
        <v>1.08075518637346</v>
      </c>
      <c r="G307" s="38" t="n">
        <f aca="false">IF($G$11=$E$11,$F$11,IF(U307&lt;($F$11-$E$11)/($G$11-$E$11),$E$11+SQRT(U307*($G$11-$E$11)*($F$11-$E$11)),$G$11-SQRT((1-U307)*($G$11-$E$11)*($G$11-$F$11))))</f>
        <v>0.0958383540037543</v>
      </c>
      <c r="H307" s="39" t="n">
        <f aca="false">(('Business Case'!B11*$C307*'Business Case'!B12*$B307)-'Business Case'!B11*$C307*'Business Case'!B13*$D307-'Business Case'!B14*$E307)-MAX(0,(('Business Case'!B11*$C307*'Business Case'!B12*$B307)-'Business Case'!B11*$C307*'Business Case'!B13*$D307-'Business Case'!B14*$E307))*'Business Case'!$B$7-'Business Case'!$B$8*('Business Case'!B11*$C307*'Business Case'!B12*$B307)-'Business Case'!B15*$F307</f>
        <v>-2161510372.74692</v>
      </c>
      <c r="I307" s="39" t="n">
        <f aca="false">(('Business Case'!C11*$C307*'Business Case'!C12*$B307)-'Business Case'!C11*$C307*'Business Case'!C13*$D307-'Business Case'!C14*$E307)-MAX(0,(('Business Case'!C11*$C307*'Business Case'!C12*$B307)-'Business Case'!C11*$C307*'Business Case'!C13*$D307-'Business Case'!C14*$E307))*'Business Case'!$B$7-'Business Case'!$B$8*(('Business Case'!C11*$C307*'Business Case'!C12*$B307)-('Business Case'!B11*$C307*'Business Case'!B12*$B307))-'Business Case'!C15*$F307</f>
        <v>-12899147.8800014</v>
      </c>
      <c r="J307" s="39" t="n">
        <f aca="false">(('Business Case'!D11*$C307*'Business Case'!D12*$B307)-'Business Case'!D11*$C307*'Business Case'!D13*$D307-'Business Case'!D14*$E307)-MAX(0,(('Business Case'!D11*$C307*'Business Case'!D12*$B307)-'Business Case'!D11*$C307*'Business Case'!D13*$D307-'Business Case'!D14*$E307))*'Business Case'!$B$7-'Business Case'!$B$8*(('Business Case'!D11*$C307*'Business Case'!D12*$B307)-('Business Case'!C11*$C307*'Business Case'!C12*$B307))-'Business Case'!D15*$F307</f>
        <v>280533442.718877</v>
      </c>
      <c r="K307" s="39" t="n">
        <f aca="false">(('Business Case'!E11*$C307*'Business Case'!E12*$B307)-'Business Case'!E11*$C307*'Business Case'!E13*$D307-'Business Case'!E14*$E307)-MAX(0,(('Business Case'!E11*$C307*'Business Case'!E12*$B307)-'Business Case'!E11*$C307*'Business Case'!E13*$D307-'Business Case'!E14*$E307))*'Business Case'!$B$7-'Business Case'!$B$8*(('Business Case'!E11*$C307*'Business Case'!E12*$B307)-('Business Case'!D11*$C307*'Business Case'!D12*$B307))-'Business Case'!E15*$F307</f>
        <v>628003792.636428</v>
      </c>
      <c r="L307" s="39" t="n">
        <f aca="false">(('Business Case'!F11*$C307*'Business Case'!F12*$B307)-'Business Case'!F11*$C307*'Business Case'!F13*$D307-'Business Case'!F14*$E307)-MAX(0,(('Business Case'!F11*$C307*'Business Case'!F12*$B307)-'Business Case'!F11*$C307*'Business Case'!F13*$D307-'Business Case'!F14*$E307))*'Business Case'!$B$7-'Business Case'!$B$8*(('Business Case'!F11*$C307*'Business Case'!F12*$B307)-('Business Case'!E11*$C307*'Business Case'!E12*$B307))-'Business Case'!F15*$F307</f>
        <v>756880359.694924</v>
      </c>
      <c r="M307" s="39" t="n">
        <f aca="false">(('Business Case'!G11*$C307*'Business Case'!G12*$B307)-'Business Case'!G11*$C307*'Business Case'!G13*$D307-'Business Case'!G14*$E307)-MAX(0,(('Business Case'!G11*$C307*'Business Case'!G12*$B307)-'Business Case'!G11*$C307*'Business Case'!G13*$D307-'Business Case'!G14*$E307))*'Business Case'!$B$7-'Business Case'!$B$8*(('Business Case'!G11*$C307*'Business Case'!G12*$B307)-('Business Case'!F11*$C307*'Business Case'!F12*$B307))-'Business Case'!G15*$F307+'Business Case'!$B$8*('Business Case'!G11*$C307*'Business Case'!G12*$B307)</f>
        <v>927741729.08538</v>
      </c>
      <c r="N307" s="39" t="n">
        <f aca="false">IF(COUNT('Business Case'!B11:G11)=0,"",H307+NPV(G307,I307:M307))</f>
        <v>-350513046.173328</v>
      </c>
      <c r="P307" s="40" t="n">
        <f aca="true">RAND()</f>
        <v>0.989598739222578</v>
      </c>
      <c r="Q307" s="40" t="n">
        <f aca="true">RAND()</f>
        <v>0.197652912710226</v>
      </c>
      <c r="R307" s="40" t="n">
        <f aca="true">RAND()</f>
        <v>0.358983442694181</v>
      </c>
      <c r="S307" s="40" t="n">
        <f aca="true">RAND()</f>
        <v>0.814116065127936</v>
      </c>
      <c r="T307" s="40" t="n">
        <f aca="true">RAND()</f>
        <v>0.618082574140233</v>
      </c>
      <c r="U307" s="40" t="n">
        <f aca="true">RAND()</f>
        <v>0.250853457548239</v>
      </c>
    </row>
    <row r="308" customFormat="false" ht="15" hidden="false" customHeight="false" outlineLevel="0" collapsed="false">
      <c r="A308" s="36" t="n">
        <v>228</v>
      </c>
      <c r="B308" s="37" t="n">
        <f aca="false">1+IF($G$6=$E$6,$F$6,IF(P308&lt;($F$6-$E$6)/($G$6-$E$6),$E$6+SQRT(P308*($G$6-$E$6)*($F$6-$E$6)),$G$6-SQRT((1-P308)*($G$6-$E$6)*($G$6-$F$6))))</f>
        <v>0.995046226378241</v>
      </c>
      <c r="C308" s="37" t="n">
        <f aca="false">1+IF($G$7=$E$7,$F$7,IF(Q308&lt;($F$7-$E$7)/($G$7-$E$7),$E$7+SQRT(Q308*($G$7-$E$7)*($F$7-$E$7)),$G$7-SQRT((1-Q308)*($G$7-$E$7)*($G$7-$F$7))))</f>
        <v>0.87729031509645</v>
      </c>
      <c r="D308" s="37" t="n">
        <f aca="false">1+IF($G$8=$E$8,$F$8,IF(R308&lt;($F$8-$E$8)/($G$8-$E$8),$E$8+SQRT(R308*($G$8-$E$8)*($F$8-$E$8)),$G$8-SQRT((1-R308)*($G$8-$E$8)*($G$8-$F$8))))</f>
        <v>1.07805097700896</v>
      </c>
      <c r="E308" s="37" t="n">
        <f aca="false">1+IF($G$9=$E$9,$F$9,IF(S308&lt;($F$9-$E$9)/($G$9-$E$9),$E$9+SQRT(S308*($G$9-$E$9)*($F$9-$E$9)),$G$9-SQRT((1-S308)*($G$9-$E$9)*($G$9-$F$9))))</f>
        <v>1.05413513986323</v>
      </c>
      <c r="F308" s="37" t="n">
        <f aca="false">1+IF($G$10=$E$10,$F$10,IF(T308&lt;($F$10-$E$10)/($G$10-$E$10),$E$10+SQRT(T308*($G$10-$E$10)*($F$10-$E$10)),$G$10-SQRT((1-T308)*($G$10-$E$10)*($G$10-$F$10))))</f>
        <v>1.07963671607592</v>
      </c>
      <c r="G308" s="38" t="n">
        <f aca="false">IF($G$11=$E$11,$F$11,IF(U308&lt;($F$11-$E$11)/($G$11-$E$11),$E$11+SQRT(U308*($G$11-$E$11)*($F$11-$E$11)),$G$11-SQRT((1-U308)*($G$11-$E$11)*($G$11-$F$11))))</f>
        <v>0.103456675611253</v>
      </c>
      <c r="H308" s="39" t="n">
        <f aca="false">(('Business Case'!B11*$C308*'Business Case'!B12*$B308)-'Business Case'!B11*$C308*'Business Case'!B13*$D308-'Business Case'!B14*$E308)-MAX(0,(('Business Case'!B11*$C308*'Business Case'!B12*$B308)-'Business Case'!B11*$C308*'Business Case'!B13*$D308-'Business Case'!B14*$E308))*'Business Case'!$B$7-'Business Case'!$B$8*('Business Case'!B11*$C308*'Business Case'!B12*$B308)-'Business Case'!B15*$F308</f>
        <v>-2159273432.15183</v>
      </c>
      <c r="I308" s="39" t="n">
        <f aca="false">(('Business Case'!C11*$C308*'Business Case'!C12*$B308)-'Business Case'!C11*$C308*'Business Case'!C13*$D308-'Business Case'!C14*$E308)-MAX(0,(('Business Case'!C11*$C308*'Business Case'!C12*$B308)-'Business Case'!C11*$C308*'Business Case'!C13*$D308-'Business Case'!C14*$E308))*'Business Case'!$B$7-'Business Case'!$B$8*(('Business Case'!C11*$C308*'Business Case'!C12*$B308)-('Business Case'!B11*$C308*'Business Case'!B12*$B308))-'Business Case'!C15*$F308</f>
        <v>-72266140.9243729</v>
      </c>
      <c r="J308" s="39" t="n">
        <f aca="false">(('Business Case'!D11*$C308*'Business Case'!D12*$B308)-'Business Case'!D11*$C308*'Business Case'!D13*$D308-'Business Case'!D14*$E308)-MAX(0,(('Business Case'!D11*$C308*'Business Case'!D12*$B308)-'Business Case'!D11*$C308*'Business Case'!D13*$D308-'Business Case'!D14*$E308))*'Business Case'!$B$7-'Business Case'!$B$8*(('Business Case'!D11*$C308*'Business Case'!D12*$B308)-('Business Case'!C11*$C308*'Business Case'!C12*$B308))-'Business Case'!D15*$F308</f>
        <v>158582845.249296</v>
      </c>
      <c r="K308" s="39" t="n">
        <f aca="false">(('Business Case'!E11*$C308*'Business Case'!E12*$B308)-'Business Case'!E11*$C308*'Business Case'!E13*$D308-'Business Case'!E14*$E308)-MAX(0,(('Business Case'!E11*$C308*'Business Case'!E12*$B308)-'Business Case'!E11*$C308*'Business Case'!E13*$D308-'Business Case'!E14*$E308))*'Business Case'!$B$7-'Business Case'!$B$8*(('Business Case'!E11*$C308*'Business Case'!E12*$B308)-('Business Case'!D11*$C308*'Business Case'!D12*$B308))-'Business Case'!E15*$F308</f>
        <v>443413667.226761</v>
      </c>
      <c r="L308" s="39" t="n">
        <f aca="false">(('Business Case'!F11*$C308*'Business Case'!F12*$B308)-'Business Case'!F11*$C308*'Business Case'!F13*$D308-'Business Case'!F14*$E308)-MAX(0,(('Business Case'!F11*$C308*'Business Case'!F12*$B308)-'Business Case'!F11*$C308*'Business Case'!F13*$D308-'Business Case'!F14*$E308))*'Business Case'!$B$7-'Business Case'!$B$8*(('Business Case'!F11*$C308*'Business Case'!F12*$B308)-('Business Case'!E11*$C308*'Business Case'!E12*$B308))-'Business Case'!F15*$F308</f>
        <v>550532288.352583</v>
      </c>
      <c r="M308" s="39" t="n">
        <f aca="false">(('Business Case'!G11*$C308*'Business Case'!G12*$B308)-'Business Case'!G11*$C308*'Business Case'!G13*$D308-'Business Case'!G14*$E308)-MAX(0,(('Business Case'!G11*$C308*'Business Case'!G12*$B308)-'Business Case'!G11*$C308*'Business Case'!G13*$D308-'Business Case'!G14*$E308))*'Business Case'!$B$7-'Business Case'!$B$8*(('Business Case'!G11*$C308*'Business Case'!G12*$B308)-('Business Case'!F11*$C308*'Business Case'!F12*$B308))-'Business Case'!G15*$F308+'Business Case'!$B$8*('Business Case'!G11*$C308*'Business Case'!G12*$B308)</f>
        <v>716461563.226213</v>
      </c>
      <c r="N308" s="39" t="n">
        <f aca="false">IF(COUNT('Business Case'!B11:G11)=0,"",H308+NPV(G308,I308:M308))</f>
        <v>-955228259.828316</v>
      </c>
      <c r="P308" s="40" t="n">
        <f aca="true">RAND()</f>
        <v>0.602252343249591</v>
      </c>
      <c r="Q308" s="40" t="n">
        <f aca="true">RAND()</f>
        <v>0.232828561681469</v>
      </c>
      <c r="R308" s="40" t="n">
        <f aca="true">RAND()</f>
        <v>0.967882692649263</v>
      </c>
      <c r="S308" s="40" t="n">
        <f aca="true">RAND()</f>
        <v>0.754931429092213</v>
      </c>
      <c r="T308" s="40" t="n">
        <f aca="true">RAND()</f>
        <v>0.613018019874693</v>
      </c>
      <c r="U308" s="40" t="n">
        <f aca="true">RAND()</f>
        <v>0.53030128692916</v>
      </c>
    </row>
    <row r="309" customFormat="false" ht="15" hidden="false" customHeight="false" outlineLevel="0" collapsed="false">
      <c r="A309" s="36" t="n">
        <v>229</v>
      </c>
      <c r="B309" s="37" t="n">
        <f aca="false">1+IF($G$6=$E$6,$F$6,IF(P309&lt;($F$6-$E$6)/($G$6-$E$6),$E$6+SQRT(P309*($G$6-$E$6)*($F$6-$E$6)),$G$6-SQRT((1-P309)*($G$6-$E$6)*($G$6-$F$6))))</f>
        <v>0.983222664931965</v>
      </c>
      <c r="C309" s="37" t="n">
        <f aca="false">1+IF($G$7=$E$7,$F$7,IF(Q309&lt;($F$7-$E$7)/($G$7-$E$7),$E$7+SQRT(Q309*($G$7-$E$7)*($F$7-$E$7)),$G$7-SQRT((1-Q309)*($G$7-$E$7)*($G$7-$F$7))))</f>
        <v>0.970402171137377</v>
      </c>
      <c r="D309" s="37" t="n">
        <f aca="false">1+IF($G$8=$E$8,$F$8,IF(R309&lt;($F$8-$E$8)/($G$8-$E$8),$E$8+SQRT(R309*($G$8-$E$8)*($F$8-$E$8)),$G$8-SQRT((1-R309)*($G$8-$E$8)*($G$8-$F$8))))</f>
        <v>1.07419131952651</v>
      </c>
      <c r="E309" s="37" t="n">
        <f aca="false">1+IF($G$9=$E$9,$F$9,IF(S309&lt;($F$9-$E$9)/($G$9-$E$9),$E$9+SQRT(S309*($G$9-$E$9)*($F$9-$E$9)),$G$9-SQRT((1-S309)*($G$9-$E$9)*($G$9-$F$9))))</f>
        <v>1.04111106710446</v>
      </c>
      <c r="F309" s="37" t="n">
        <f aca="false">1+IF($G$10=$E$10,$F$10,IF(T309&lt;($F$10-$E$10)/($G$10-$E$10),$E$10+SQRT(T309*($G$10-$E$10)*($F$10-$E$10)),$G$10-SQRT((1-T309)*($G$10-$E$10)*($G$10-$F$10))))</f>
        <v>1.01224506177462</v>
      </c>
      <c r="G309" s="38" t="n">
        <f aca="false">IF($G$11=$E$11,$F$11,IF(U309&lt;($F$11-$E$11)/($G$11-$E$11),$E$11+SQRT(U309*($G$11-$E$11)*($F$11-$E$11)),$G$11-SQRT((1-U309)*($G$11-$E$11)*($G$11-$F$11))))</f>
        <v>0.106521917394234</v>
      </c>
      <c r="H309" s="39" t="n">
        <f aca="false">(('Business Case'!B11*$C309*'Business Case'!B12*$B309)-'Business Case'!B11*$C309*'Business Case'!B13*$D309-'Business Case'!B14*$E309)-MAX(0,(('Business Case'!B11*$C309*'Business Case'!B12*$B309)-'Business Case'!B11*$C309*'Business Case'!B13*$D309-'Business Case'!B14*$E309))*'Business Case'!$B$7-'Business Case'!$B$8*('Business Case'!B11*$C309*'Business Case'!B12*$B309)-'Business Case'!B15*$F309</f>
        <v>-2024490123.54925</v>
      </c>
      <c r="I309" s="39" t="n">
        <f aca="false">(('Business Case'!C11*$C309*'Business Case'!C12*$B309)-'Business Case'!C11*$C309*'Business Case'!C13*$D309-'Business Case'!C14*$E309)-MAX(0,(('Business Case'!C11*$C309*'Business Case'!C12*$B309)-'Business Case'!C11*$C309*'Business Case'!C13*$D309-'Business Case'!C14*$E309))*'Business Case'!$B$7-'Business Case'!$B$8*(('Business Case'!C11*$C309*'Business Case'!C12*$B309)-('Business Case'!B11*$C309*'Business Case'!B12*$B309))-'Business Case'!C15*$F309</f>
        <v>-50862196.8327004</v>
      </c>
      <c r="J309" s="39" t="n">
        <f aca="false">(('Business Case'!D11*$C309*'Business Case'!D12*$B309)-'Business Case'!D11*$C309*'Business Case'!D13*$D309-'Business Case'!D14*$E309)-MAX(0,(('Business Case'!D11*$C309*'Business Case'!D12*$B309)-'Business Case'!D11*$C309*'Business Case'!D13*$D309-'Business Case'!D14*$E309))*'Business Case'!$B$7-'Business Case'!$B$8*(('Business Case'!D11*$C309*'Business Case'!D12*$B309)-('Business Case'!C11*$C309*'Business Case'!C12*$B309))-'Business Case'!D15*$F309</f>
        <v>197007760.084509</v>
      </c>
      <c r="K309" s="39" t="n">
        <f aca="false">(('Business Case'!E11*$C309*'Business Case'!E12*$B309)-'Business Case'!E11*$C309*'Business Case'!E13*$D309-'Business Case'!E14*$E309)-MAX(0,(('Business Case'!E11*$C309*'Business Case'!E12*$B309)-'Business Case'!E11*$C309*'Business Case'!E13*$D309-'Business Case'!E14*$E309))*'Business Case'!$B$7-'Business Case'!$B$8*(('Business Case'!E11*$C309*'Business Case'!E12*$B309)-('Business Case'!D11*$C309*'Business Case'!D12*$B309))-'Business Case'!E15*$F309</f>
        <v>495489970.090451</v>
      </c>
      <c r="L309" s="39" t="n">
        <f aca="false">(('Business Case'!F11*$C309*'Business Case'!F12*$B309)-'Business Case'!F11*$C309*'Business Case'!F13*$D309-'Business Case'!F14*$E309)-MAX(0,(('Business Case'!F11*$C309*'Business Case'!F12*$B309)-'Business Case'!F11*$C309*'Business Case'!F13*$D309-'Business Case'!F14*$E309))*'Business Case'!$B$7-'Business Case'!$B$8*(('Business Case'!F11*$C309*'Business Case'!F12*$B309)-('Business Case'!E11*$C309*'Business Case'!E12*$B309))-'Business Case'!F15*$F309</f>
        <v>611087724.94965</v>
      </c>
      <c r="M309" s="39" t="n">
        <f aca="false">(('Business Case'!G11*$C309*'Business Case'!G12*$B309)-'Business Case'!G11*$C309*'Business Case'!G13*$D309-'Business Case'!G14*$E309)-MAX(0,(('Business Case'!G11*$C309*'Business Case'!G12*$B309)-'Business Case'!G11*$C309*'Business Case'!G13*$D309-'Business Case'!G14*$E309))*'Business Case'!$B$7-'Business Case'!$B$8*(('Business Case'!G11*$C309*'Business Case'!G12*$B309)-('Business Case'!F11*$C309*'Business Case'!F12*$B309))-'Business Case'!G15*$F309+'Business Case'!$B$8*('Business Case'!G11*$C309*'Business Case'!G12*$B309)</f>
        <v>792447122.327028</v>
      </c>
      <c r="N309" s="39" t="n">
        <f aca="false">IF(COUNT('Business Case'!B11:G11)=0,"",H309+NPV(G309,I309:M309))</f>
        <v>-658484189.84386</v>
      </c>
      <c r="P309" s="40" t="n">
        <f aca="true">RAND()</f>
        <v>0.461734130558538</v>
      </c>
      <c r="Q309" s="40" t="n">
        <f aca="true">RAND()</f>
        <v>0.541609882635609</v>
      </c>
      <c r="R309" s="40" t="n">
        <f aca="true">RAND()</f>
        <v>0.95559413414781</v>
      </c>
      <c r="S309" s="40" t="n">
        <f aca="true">RAND()</f>
        <v>0.683818674476541</v>
      </c>
      <c r="T309" s="40" t="n">
        <f aca="true">RAND()</f>
        <v>0.24630119132597</v>
      </c>
      <c r="U309" s="40" t="n">
        <f aca="true">RAND()</f>
        <v>0.632519758104558</v>
      </c>
    </row>
    <row r="310" customFormat="false" ht="15" hidden="false" customHeight="false" outlineLevel="0" collapsed="false">
      <c r="A310" s="36" t="n">
        <v>230</v>
      </c>
      <c r="B310" s="37" t="n">
        <f aca="false">1+IF($G$6=$E$6,$F$6,IF(P310&lt;($F$6-$E$6)/($G$6-$E$6),$E$6+SQRT(P310*($G$6-$E$6)*($F$6-$E$6)),$G$6-SQRT((1-P310)*($G$6-$E$6)*($G$6-$F$6))))</f>
        <v>0.963528240855809</v>
      </c>
      <c r="C310" s="37" t="n">
        <f aca="false">1+IF($G$7=$E$7,$F$7,IF(Q310&lt;($F$7-$E$7)/($G$7-$E$7),$E$7+SQRT(Q310*($G$7-$E$7)*($F$7-$E$7)),$G$7-SQRT((1-Q310)*($G$7-$E$7)*($G$7-$F$7))))</f>
        <v>0.865846180694473</v>
      </c>
      <c r="D310" s="37" t="n">
        <f aca="false">1+IF($G$8=$E$8,$F$8,IF(R310&lt;($F$8-$E$8)/($G$8-$E$8),$E$8+SQRT(R310*($G$8-$E$8)*($F$8-$E$8)),$G$8-SQRT((1-R310)*($G$8-$E$8)*($G$8-$F$8))))</f>
        <v>0.963636486142885</v>
      </c>
      <c r="E310" s="37" t="n">
        <f aca="false">1+IF($G$9=$E$9,$F$9,IF(S310&lt;($F$9-$E$9)/($G$9-$E$9),$E$9+SQRT(S310*($G$9-$E$9)*($F$9-$E$9)),$G$9-SQRT((1-S310)*($G$9-$E$9)*($G$9-$F$9))))</f>
        <v>0.973090537027921</v>
      </c>
      <c r="F310" s="37" t="n">
        <f aca="false">1+IF($G$10=$E$10,$F$10,IF(T310&lt;($F$10-$E$10)/($G$10-$E$10),$E$10+SQRT(T310*($G$10-$E$10)*($F$10-$E$10)),$G$10-SQRT((1-T310)*($G$10-$E$10)*($G$10-$F$10))))</f>
        <v>1.09649896077162</v>
      </c>
      <c r="G310" s="38" t="n">
        <f aca="false">IF($G$11=$E$11,$F$11,IF(U310&lt;($F$11-$E$11)/($G$11-$E$11),$E$11+SQRT(U310*($G$11-$E$11)*($F$11-$E$11)),$G$11-SQRT((1-U310)*($G$11-$E$11)*($G$11-$F$11))))</f>
        <v>0.11845912473637</v>
      </c>
      <c r="H310" s="39" t="n">
        <f aca="false">(('Business Case'!B11*$C310*'Business Case'!B12*$B310)-'Business Case'!B11*$C310*'Business Case'!B13*$D310-'Business Case'!B14*$E310)-MAX(0,(('Business Case'!B11*$C310*'Business Case'!B12*$B310)-'Business Case'!B11*$C310*'Business Case'!B13*$D310-'Business Case'!B14*$E310))*'Business Case'!$B$7-'Business Case'!$B$8*('Business Case'!B11*$C310*'Business Case'!B12*$B310)-'Business Case'!B15*$F310</f>
        <v>-2192997921.54324</v>
      </c>
      <c r="I310" s="39" t="n">
        <f aca="false">(('Business Case'!C11*$C310*'Business Case'!C12*$B310)-'Business Case'!C11*$C310*'Business Case'!C13*$D310-'Business Case'!C14*$E310)-MAX(0,(('Business Case'!C11*$C310*'Business Case'!C12*$B310)-'Business Case'!C11*$C310*'Business Case'!C13*$D310-'Business Case'!C14*$E310))*'Business Case'!$B$7-'Business Case'!$B$8*(('Business Case'!C11*$C310*'Business Case'!C12*$B310)-('Business Case'!B11*$C310*'Business Case'!B12*$B310))-'Business Case'!C15*$F310</f>
        <v>-35072910.0621308</v>
      </c>
      <c r="J310" s="39" t="n">
        <f aca="false">(('Business Case'!D11*$C310*'Business Case'!D12*$B310)-'Business Case'!D11*$C310*'Business Case'!D13*$D310-'Business Case'!D14*$E310)-MAX(0,(('Business Case'!D11*$C310*'Business Case'!D12*$B310)-'Business Case'!D11*$C310*'Business Case'!D13*$D310-'Business Case'!D14*$E310))*'Business Case'!$B$7-'Business Case'!$B$8*(('Business Case'!D11*$C310*'Business Case'!D12*$B310)-('Business Case'!C11*$C310*'Business Case'!C12*$B310))-'Business Case'!D15*$F310</f>
        <v>221125964.420183</v>
      </c>
      <c r="K310" s="39" t="n">
        <f aca="false">(('Business Case'!E11*$C310*'Business Case'!E12*$B310)-'Business Case'!E11*$C310*'Business Case'!E13*$D310-'Business Case'!E14*$E310)-MAX(0,(('Business Case'!E11*$C310*'Business Case'!E12*$B310)-'Business Case'!E11*$C310*'Business Case'!E13*$D310-'Business Case'!E14*$E310))*'Business Case'!$B$7-'Business Case'!$B$8*(('Business Case'!E11*$C310*'Business Case'!E12*$B310)-('Business Case'!D11*$C310*'Business Case'!D12*$B310))-'Business Case'!E15*$F310</f>
        <v>532149786.941077</v>
      </c>
      <c r="L310" s="39" t="n">
        <f aca="false">(('Business Case'!F11*$C310*'Business Case'!F12*$B310)-'Business Case'!F11*$C310*'Business Case'!F13*$D310-'Business Case'!F14*$E310)-MAX(0,(('Business Case'!F11*$C310*'Business Case'!F12*$B310)-'Business Case'!F11*$C310*'Business Case'!F13*$D310-'Business Case'!F14*$E310))*'Business Case'!$B$7-'Business Case'!$B$8*(('Business Case'!F11*$C310*'Business Case'!F12*$B310)-('Business Case'!E11*$C310*'Business Case'!E12*$B310))-'Business Case'!F15*$F310</f>
        <v>646381687.836457</v>
      </c>
      <c r="M310" s="39" t="n">
        <f aca="false">(('Business Case'!G11*$C310*'Business Case'!G12*$B310)-'Business Case'!G11*$C310*'Business Case'!G13*$D310-'Business Case'!G14*$E310)-MAX(0,(('Business Case'!G11*$C310*'Business Case'!G12*$B310)-'Business Case'!G11*$C310*'Business Case'!G13*$D310-'Business Case'!G14*$E310))*'Business Case'!$B$7-'Business Case'!$B$8*(('Business Case'!G11*$C310*'Business Case'!G12*$B310)-('Business Case'!F11*$C310*'Business Case'!F12*$B310))-'Business Case'!G15*$F310+'Business Case'!$B$8*('Business Case'!G11*$C310*'Business Case'!G12*$B310)</f>
        <v>804959206.210134</v>
      </c>
      <c r="N310" s="39" t="n">
        <f aca="false">IF(COUNT('Business Case'!B11:G11)=0,"",H310+NPV(G310,I310:M310))</f>
        <v>-794282380.971093</v>
      </c>
      <c r="P310" s="40" t="n">
        <f aca="true">RAND()</f>
        <v>0.269055825748914</v>
      </c>
      <c r="Q310" s="40" t="n">
        <f aca="true">RAND()</f>
        <v>0.203740412229214</v>
      </c>
      <c r="R310" s="40" t="n">
        <f aca="true">RAND()</f>
        <v>0.0247938339100128</v>
      </c>
      <c r="S310" s="40" t="n">
        <f aca="true">RAND()</f>
        <v>0.213689064121196</v>
      </c>
      <c r="T310" s="40" t="n">
        <f aca="true">RAND()</f>
        <v>0.68583241274409</v>
      </c>
      <c r="U310" s="40" t="n">
        <f aca="true">RAND()</f>
        <v>0.911205465432885</v>
      </c>
    </row>
    <row r="311" customFormat="false" ht="15" hidden="false" customHeight="false" outlineLevel="0" collapsed="false">
      <c r="A311" s="36" t="n">
        <v>231</v>
      </c>
      <c r="B311" s="37" t="n">
        <f aca="false">1+IF($G$6=$E$6,$F$6,IF(P311&lt;($F$6-$E$6)/($G$6-$E$6),$E$6+SQRT(P311*($G$6-$E$6)*($F$6-$E$6)),$G$6-SQRT((1-P311)*($G$6-$E$6)*($G$6-$F$6))))</f>
        <v>0.963345435412687</v>
      </c>
      <c r="C311" s="37" t="n">
        <f aca="false">1+IF($G$7=$E$7,$F$7,IF(Q311&lt;($F$7-$E$7)/($G$7-$E$7),$E$7+SQRT(Q311*($G$7-$E$7)*($F$7-$E$7)),$G$7-SQRT((1-Q311)*($G$7-$E$7)*($G$7-$F$7))))</f>
        <v>0.932734248474369</v>
      </c>
      <c r="D311" s="37" t="n">
        <f aca="false">1+IF($G$8=$E$8,$F$8,IF(R311&lt;($F$8-$E$8)/($G$8-$E$8),$E$8+SQRT(R311*($G$8-$E$8)*($F$8-$E$8)),$G$8-SQRT((1-R311)*($G$8-$E$8)*($G$8-$F$8))))</f>
        <v>1.00372867335869</v>
      </c>
      <c r="E311" s="37" t="n">
        <f aca="false">1+IF($G$9=$E$9,$F$9,IF(S311&lt;($F$9-$E$9)/($G$9-$E$9),$E$9+SQRT(S311*($G$9-$E$9)*($F$9-$E$9)),$G$9-SQRT((1-S311)*($G$9-$E$9)*($G$9-$F$9))))</f>
        <v>0.976990135314118</v>
      </c>
      <c r="F311" s="37" t="n">
        <f aca="false">1+IF($G$10=$E$10,$F$10,IF(T311&lt;($F$10-$E$10)/($G$10-$E$10),$E$10+SQRT(T311*($G$10-$E$10)*($F$10-$E$10)),$G$10-SQRT((1-T311)*($G$10-$E$10)*($G$10-$F$10))))</f>
        <v>1.00932567877323</v>
      </c>
      <c r="G311" s="38" t="n">
        <f aca="false">IF($G$11=$E$11,$F$11,IF(U311&lt;($F$11-$E$11)/($G$11-$E$11),$E$11+SQRT(U311*($G$11-$E$11)*($F$11-$E$11)),$G$11-SQRT((1-U311)*($G$11-$E$11)*($G$11-$F$11))))</f>
        <v>0.114512938457927</v>
      </c>
      <c r="H311" s="39" t="n">
        <f aca="false">(('Business Case'!B11*$C311*'Business Case'!B12*$B311)-'Business Case'!B11*$C311*'Business Case'!B13*$D311-'Business Case'!B14*$E311)-MAX(0,(('Business Case'!B11*$C311*'Business Case'!B12*$B311)-'Business Case'!B11*$C311*'Business Case'!B13*$D311-'Business Case'!B14*$E311))*'Business Case'!$B$7-'Business Case'!$B$8*('Business Case'!B11*$C311*'Business Case'!B12*$B311)-'Business Case'!B15*$F311</f>
        <v>-2018651357.54645</v>
      </c>
      <c r="I311" s="39" t="n">
        <f aca="false">(('Business Case'!C11*$C311*'Business Case'!C12*$B311)-'Business Case'!C11*$C311*'Business Case'!C13*$D311-'Business Case'!C14*$E311)-MAX(0,(('Business Case'!C11*$C311*'Business Case'!C12*$B311)-'Business Case'!C11*$C311*'Business Case'!C13*$D311-'Business Case'!C14*$E311))*'Business Case'!$B$7-'Business Case'!$B$8*(('Business Case'!C11*$C311*'Business Case'!C12*$B311)-('Business Case'!B11*$C311*'Business Case'!B12*$B311))-'Business Case'!C15*$F311</f>
        <v>-29733575.5586762</v>
      </c>
      <c r="J311" s="39" t="n">
        <f aca="false">(('Business Case'!D11*$C311*'Business Case'!D12*$B311)-'Business Case'!D11*$C311*'Business Case'!D13*$D311-'Business Case'!D14*$E311)-MAX(0,(('Business Case'!D11*$C311*'Business Case'!D12*$B311)-'Business Case'!D11*$C311*'Business Case'!D13*$D311-'Business Case'!D14*$E311))*'Business Case'!$B$7-'Business Case'!$B$8*(('Business Case'!D11*$C311*'Business Case'!D12*$B311)-('Business Case'!C11*$C311*'Business Case'!C12*$B311))-'Business Case'!D15*$F311</f>
        <v>226974001.354207</v>
      </c>
      <c r="K311" s="39" t="n">
        <f aca="false">(('Business Case'!E11*$C311*'Business Case'!E12*$B311)-'Business Case'!E11*$C311*'Business Case'!E13*$D311-'Business Case'!E14*$E311)-MAX(0,(('Business Case'!E11*$C311*'Business Case'!E12*$B311)-'Business Case'!E11*$C311*'Business Case'!E13*$D311-'Business Case'!E14*$E311))*'Business Case'!$B$7-'Business Case'!$B$8*(('Business Case'!E11*$C311*'Business Case'!E12*$B311)-('Business Case'!D11*$C311*'Business Case'!D12*$B311))-'Business Case'!E15*$F311</f>
        <v>534147862.205752</v>
      </c>
      <c r="L311" s="39" t="n">
        <f aca="false">(('Business Case'!F11*$C311*'Business Case'!F12*$B311)-'Business Case'!F11*$C311*'Business Case'!F13*$D311-'Business Case'!F14*$E311)-MAX(0,(('Business Case'!F11*$C311*'Business Case'!F12*$B311)-'Business Case'!F11*$C311*'Business Case'!F13*$D311-'Business Case'!F14*$E311))*'Business Case'!$B$7-'Business Case'!$B$8*(('Business Case'!F11*$C311*'Business Case'!F12*$B311)-('Business Case'!E11*$C311*'Business Case'!E12*$B311))-'Business Case'!F15*$F311</f>
        <v>650770779.41176</v>
      </c>
      <c r="M311" s="39" t="n">
        <f aca="false">(('Business Case'!G11*$C311*'Business Case'!G12*$B311)-'Business Case'!G11*$C311*'Business Case'!G13*$D311-'Business Case'!G14*$E311)-MAX(0,(('Business Case'!G11*$C311*'Business Case'!G12*$B311)-'Business Case'!G11*$C311*'Business Case'!G13*$D311-'Business Case'!G14*$E311))*'Business Case'!$B$7-'Business Case'!$B$8*(('Business Case'!G11*$C311*'Business Case'!G12*$B311)-('Business Case'!F11*$C311*'Business Case'!F12*$B311))-'Business Case'!G15*$F311+'Business Case'!$B$8*('Business Case'!G11*$C311*'Business Case'!G12*$B311)</f>
        <v>821566266.371182</v>
      </c>
      <c r="N311" s="39" t="n">
        <f aca="false">IF(COUNT('Business Case'!B11:G11)=0,"",H311+NPV(G311,I311:M311))</f>
        <v>-577213019.612467</v>
      </c>
      <c r="P311" s="40" t="n">
        <f aca="true">RAND()</f>
        <v>0.267509612508193</v>
      </c>
      <c r="Q311" s="40" t="n">
        <f aca="true">RAND()</f>
        <v>0.40122392898466</v>
      </c>
      <c r="R311" s="40" t="n">
        <f aca="true">RAND()</f>
        <v>0.382122111114755</v>
      </c>
      <c r="S311" s="40" t="n">
        <f aca="true">RAND()</f>
        <v>0.237099237427446</v>
      </c>
      <c r="T311" s="40" t="n">
        <f aca="true">RAND()</f>
        <v>0.227678281360422</v>
      </c>
      <c r="U311" s="40" t="n">
        <f aca="true">RAND()</f>
        <v>0.840100616528028</v>
      </c>
    </row>
    <row r="312" customFormat="false" ht="15" hidden="false" customHeight="false" outlineLevel="0" collapsed="false">
      <c r="A312" s="36" t="n">
        <v>232</v>
      </c>
      <c r="B312" s="37" t="n">
        <f aca="false">1+IF($G$6=$E$6,$F$6,IF(P312&lt;($F$6-$E$6)/($G$6-$E$6),$E$6+SQRT(P312*($G$6-$E$6)*($F$6-$E$6)),$G$6-SQRT((1-P312)*($G$6-$E$6)*($G$6-$F$6))))</f>
        <v>0.954133632714239</v>
      </c>
      <c r="C312" s="37" t="n">
        <f aca="false">1+IF($G$7=$E$7,$F$7,IF(Q312&lt;($F$7-$E$7)/($G$7-$E$7),$E$7+SQRT(Q312*($G$7-$E$7)*($F$7-$E$7)),$G$7-SQRT((1-Q312)*($G$7-$E$7)*($G$7-$F$7))))</f>
        <v>0.915696822401984</v>
      </c>
      <c r="D312" s="37" t="n">
        <f aca="false">1+IF($G$8=$E$8,$F$8,IF(R312&lt;($F$8-$E$8)/($G$8-$E$8),$E$8+SQRT(R312*($G$8-$E$8)*($F$8-$E$8)),$G$8-SQRT((1-R312)*($G$8-$E$8)*($G$8-$F$8))))</f>
        <v>0.988075783079176</v>
      </c>
      <c r="E312" s="37" t="n">
        <f aca="false">1+IF($G$9=$E$9,$F$9,IF(S312&lt;($F$9-$E$9)/($G$9-$E$9),$E$9+SQRT(S312*($G$9-$E$9)*($F$9-$E$9)),$G$9-SQRT((1-S312)*($G$9-$E$9)*($G$9-$F$9))))</f>
        <v>1.10727565473978</v>
      </c>
      <c r="F312" s="37" t="n">
        <f aca="false">1+IF($G$10=$E$10,$F$10,IF(T312&lt;($F$10-$E$10)/($G$10-$E$10),$E$10+SQRT(T312*($G$10-$E$10)*($F$10-$E$10)),$G$10-SQRT((1-T312)*($G$10-$E$10)*($G$10-$F$10))))</f>
        <v>1.04326199271072</v>
      </c>
      <c r="G312" s="38" t="n">
        <f aca="false">IF($G$11=$E$11,$F$11,IF(U312&lt;($F$11-$E$11)/($G$11-$E$11),$E$11+SQRT(U312*($G$11-$E$11)*($F$11-$E$11)),$G$11-SQRT((1-U312)*($G$11-$E$11)*($G$11-$F$11))))</f>
        <v>0.105872267944979</v>
      </c>
      <c r="H312" s="39" t="n">
        <f aca="false">(('Business Case'!B11*$C312*'Business Case'!B12*$B312)-'Business Case'!B11*$C312*'Business Case'!B13*$D312-'Business Case'!B14*$E312)-MAX(0,(('Business Case'!B11*$C312*'Business Case'!B12*$B312)-'Business Case'!B11*$C312*'Business Case'!B13*$D312-'Business Case'!B14*$E312))*'Business Case'!$B$7-'Business Case'!$B$8*('Business Case'!B11*$C312*'Business Case'!B12*$B312)-'Business Case'!B15*$F312</f>
        <v>-2086523985.42144</v>
      </c>
      <c r="I312" s="39" t="n">
        <f aca="false">(('Business Case'!C11*$C312*'Business Case'!C12*$B312)-'Business Case'!C11*$C312*'Business Case'!C13*$D312-'Business Case'!C14*$E312)-MAX(0,(('Business Case'!C11*$C312*'Business Case'!C12*$B312)-'Business Case'!C11*$C312*'Business Case'!C13*$D312-'Business Case'!C14*$E312))*'Business Case'!$B$7-'Business Case'!$B$8*(('Business Case'!C11*$C312*'Business Case'!C12*$B312)-('Business Case'!B11*$C312*'Business Case'!B12*$B312))-'Business Case'!C15*$F312</f>
        <v>-54626276.0754241</v>
      </c>
      <c r="J312" s="39" t="n">
        <f aca="false">(('Business Case'!D11*$C312*'Business Case'!D12*$B312)-'Business Case'!D11*$C312*'Business Case'!D13*$D312-'Business Case'!D14*$E312)-MAX(0,(('Business Case'!D11*$C312*'Business Case'!D12*$B312)-'Business Case'!D11*$C312*'Business Case'!D13*$D312-'Business Case'!D14*$E312))*'Business Case'!$B$7-'Business Case'!$B$8*(('Business Case'!D11*$C312*'Business Case'!D12*$B312)-('Business Case'!C11*$C312*'Business Case'!C12*$B312))-'Business Case'!D15*$F312</f>
        <v>197820704.734932</v>
      </c>
      <c r="K312" s="39" t="n">
        <f aca="false">(('Business Case'!E11*$C312*'Business Case'!E12*$B312)-'Business Case'!E11*$C312*'Business Case'!E13*$D312-'Business Case'!E14*$E312)-MAX(0,(('Business Case'!E11*$C312*'Business Case'!E12*$B312)-'Business Case'!E11*$C312*'Business Case'!E13*$D312-'Business Case'!E14*$E312))*'Business Case'!$B$7-'Business Case'!$B$8*(('Business Case'!E11*$C312*'Business Case'!E12*$B312)-('Business Case'!D11*$C312*'Business Case'!D12*$B312))-'Business Case'!E15*$F312</f>
        <v>502430785.180824</v>
      </c>
      <c r="L312" s="39" t="n">
        <f aca="false">(('Business Case'!F11*$C312*'Business Case'!F12*$B312)-'Business Case'!F11*$C312*'Business Case'!F13*$D312-'Business Case'!F14*$E312)-MAX(0,(('Business Case'!F11*$C312*'Business Case'!F12*$B312)-'Business Case'!F11*$C312*'Business Case'!F13*$D312-'Business Case'!F14*$E312))*'Business Case'!$B$7-'Business Case'!$B$8*(('Business Case'!F11*$C312*'Business Case'!F12*$B312)-('Business Case'!E11*$C312*'Business Case'!E12*$B312))-'Business Case'!F15*$F312</f>
        <v>616774751.791417</v>
      </c>
      <c r="M312" s="39" t="n">
        <f aca="false">(('Business Case'!G11*$C312*'Business Case'!G12*$B312)-'Business Case'!G11*$C312*'Business Case'!G13*$D312-'Business Case'!G14*$E312)-MAX(0,(('Business Case'!G11*$C312*'Business Case'!G12*$B312)-'Business Case'!G11*$C312*'Business Case'!G13*$D312-'Business Case'!G14*$E312))*'Business Case'!$B$7-'Business Case'!$B$8*(('Business Case'!G11*$C312*'Business Case'!G12*$B312)-('Business Case'!F11*$C312*'Business Case'!F12*$B312))-'Business Case'!G15*$F312+'Business Case'!$B$8*('Business Case'!G11*$C312*'Business Case'!G12*$B312)</f>
        <v>782847103.330692</v>
      </c>
      <c r="N312" s="39" t="n">
        <f aca="false">IF(COUNT('Business Case'!B11:G11)=0,"",H312+NPV(G312,I312:M312))</f>
        <v>-716956180.976505</v>
      </c>
      <c r="P312" s="40" t="n">
        <f aca="true">RAND()</f>
        <v>0.195363346056007</v>
      </c>
      <c r="Q312" s="40" t="n">
        <f aca="true">RAND()</f>
        <v>0.344630512550466</v>
      </c>
      <c r="R312" s="40" t="n">
        <f aca="true">RAND()</f>
        <v>0.19330203427899</v>
      </c>
      <c r="S312" s="40" t="n">
        <f aca="true">RAND()</f>
        <v>0.95132347525562</v>
      </c>
      <c r="T312" s="40" t="n">
        <f aca="true">RAND()</f>
        <v>0.430125284560758</v>
      </c>
      <c r="U312" s="40" t="n">
        <f aca="true">RAND()</f>
        <v>0.611901697254059</v>
      </c>
    </row>
    <row r="313" customFormat="false" ht="15" hidden="false" customHeight="false" outlineLevel="0" collapsed="false">
      <c r="A313" s="36" t="n">
        <v>233</v>
      </c>
      <c r="B313" s="37" t="n">
        <f aca="false">1+IF($G$6=$E$6,$F$6,IF(P313&lt;($F$6-$E$6)/($G$6-$E$6),$E$6+SQRT(P313*($G$6-$E$6)*($F$6-$E$6)),$G$6-SQRT((1-P313)*($G$6-$E$6)*($G$6-$F$6))))</f>
        <v>0.979096610919986</v>
      </c>
      <c r="C313" s="37" t="n">
        <f aca="false">1+IF($G$7=$E$7,$F$7,IF(Q313&lt;($F$7-$E$7)/($G$7-$E$7),$E$7+SQRT(Q313*($G$7-$E$7)*($F$7-$E$7)),$G$7-SQRT((1-Q313)*($G$7-$E$7)*($G$7-$F$7))))</f>
        <v>1.07426303589786</v>
      </c>
      <c r="D313" s="37" t="n">
        <f aca="false">1+IF($G$8=$E$8,$F$8,IF(R313&lt;($F$8-$E$8)/($G$8-$E$8),$E$8+SQRT(R313*($G$8-$E$8)*($F$8-$E$8)),$G$8-SQRT((1-R313)*($G$8-$E$8)*($G$8-$F$8))))</f>
        <v>1.06697063217874</v>
      </c>
      <c r="E313" s="37" t="n">
        <f aca="false">1+IF($G$9=$E$9,$F$9,IF(S313&lt;($F$9-$E$9)/($G$9-$E$9),$E$9+SQRT(S313*($G$9-$E$9)*($F$9-$E$9)),$G$9-SQRT((1-S313)*($G$9-$E$9)*($G$9-$F$9))))</f>
        <v>1.00997043187391</v>
      </c>
      <c r="F313" s="37" t="n">
        <f aca="false">1+IF($G$10=$E$10,$F$10,IF(T313&lt;($F$10-$E$10)/($G$10-$E$10),$E$10+SQRT(T313*($G$10-$E$10)*($F$10-$E$10)),$G$10-SQRT((1-T313)*($G$10-$E$10)*($G$10-$F$10))))</f>
        <v>1.13445832289847</v>
      </c>
      <c r="G313" s="38" t="n">
        <f aca="false">IF($G$11=$E$11,$F$11,IF(U313&lt;($F$11-$E$11)/($G$11-$E$11),$E$11+SQRT(U313*($G$11-$E$11)*($F$11-$E$11)),$G$11-SQRT((1-U313)*($G$11-$E$11)*($G$11-$F$11))))</f>
        <v>0.117223195352161</v>
      </c>
      <c r="H313" s="39" t="n">
        <f aca="false">(('Business Case'!B11*$C313*'Business Case'!B12*$B313)-'Business Case'!B11*$C313*'Business Case'!B13*$D313-'Business Case'!B14*$E313)-MAX(0,(('Business Case'!B11*$C313*'Business Case'!B12*$B313)-'Business Case'!B11*$C313*'Business Case'!B13*$D313-'Business Case'!B14*$E313))*'Business Case'!$B$7-'Business Case'!$B$8*('Business Case'!B11*$C313*'Business Case'!B12*$B313)-'Business Case'!B15*$F313</f>
        <v>-2268916645.79695</v>
      </c>
      <c r="I313" s="39" t="n">
        <f aca="false">(('Business Case'!C11*$C313*'Business Case'!C12*$B313)-'Business Case'!C11*$C313*'Business Case'!C13*$D313-'Business Case'!C14*$E313)-MAX(0,(('Business Case'!C11*$C313*'Business Case'!C12*$B313)-'Business Case'!C11*$C313*'Business Case'!C13*$D313-'Business Case'!C14*$E313))*'Business Case'!$B$7-'Business Case'!$B$8*(('Business Case'!C11*$C313*'Business Case'!C12*$B313)-('Business Case'!B11*$C313*'Business Case'!B12*$B313))-'Business Case'!C15*$F313</f>
        <v>-36849755.11218</v>
      </c>
      <c r="J313" s="39" t="n">
        <f aca="false">(('Business Case'!D11*$C313*'Business Case'!D12*$B313)-'Business Case'!D11*$C313*'Business Case'!D13*$D313-'Business Case'!D14*$E313)-MAX(0,(('Business Case'!D11*$C313*'Business Case'!D12*$B313)-'Business Case'!D11*$C313*'Business Case'!D13*$D313-'Business Case'!D14*$E313))*'Business Case'!$B$7-'Business Case'!$B$8*(('Business Case'!D11*$C313*'Business Case'!D12*$B313)-('Business Case'!C11*$C313*'Business Case'!C12*$B313))-'Business Case'!D15*$F313</f>
        <v>237889807.789907</v>
      </c>
      <c r="K313" s="39" t="n">
        <f aca="false">(('Business Case'!E11*$C313*'Business Case'!E12*$B313)-'Business Case'!E11*$C313*'Business Case'!E13*$D313-'Business Case'!E14*$E313)-MAX(0,(('Business Case'!E11*$C313*'Business Case'!E12*$B313)-'Business Case'!E11*$C313*'Business Case'!E13*$D313-'Business Case'!E14*$E313))*'Business Case'!$B$7-'Business Case'!$B$8*(('Business Case'!E11*$C313*'Business Case'!E12*$B313)-('Business Case'!D11*$C313*'Business Case'!D12*$B313))-'Business Case'!E15*$F313</f>
        <v>569352286.836919</v>
      </c>
      <c r="L313" s="39" t="n">
        <f aca="false">(('Business Case'!F11*$C313*'Business Case'!F12*$B313)-'Business Case'!F11*$C313*'Business Case'!F13*$D313-'Business Case'!F14*$E313)-MAX(0,(('Business Case'!F11*$C313*'Business Case'!F12*$B313)-'Business Case'!F11*$C313*'Business Case'!F13*$D313-'Business Case'!F14*$E313))*'Business Case'!$B$7-'Business Case'!$B$8*(('Business Case'!F11*$C313*'Business Case'!F12*$B313)-('Business Case'!E11*$C313*'Business Case'!E12*$B313))-'Business Case'!F15*$F313</f>
        <v>697282601.345581</v>
      </c>
      <c r="M313" s="39" t="n">
        <f aca="false">(('Business Case'!G11*$C313*'Business Case'!G12*$B313)-'Business Case'!G11*$C313*'Business Case'!G13*$D313-'Business Case'!G14*$E313)-MAX(0,(('Business Case'!G11*$C313*'Business Case'!G12*$B313)-'Business Case'!G11*$C313*'Business Case'!G13*$D313-'Business Case'!G14*$E313))*'Business Case'!$B$7-'Business Case'!$B$8*(('Business Case'!G11*$C313*'Business Case'!G12*$B313)-('Business Case'!F11*$C313*'Business Case'!F12*$B313))-'Business Case'!G15*$F313+'Business Case'!$B$8*('Business Case'!G11*$C313*'Business Case'!G12*$B313)</f>
        <v>897210132.489395</v>
      </c>
      <c r="N313" s="39" t="n">
        <f aca="false">IF(COUNT('Business Case'!B11:G11)=0,"",H313+NPV(G313,I313:M313))</f>
        <v>-740011765.058842</v>
      </c>
      <c r="P313" s="40" t="n">
        <f aca="true">RAND()</f>
        <v>0.417084923935173</v>
      </c>
      <c r="Q313" s="40" t="n">
        <f aca="true">RAND()</f>
        <v>0.91502092249764</v>
      </c>
      <c r="R313" s="40" t="n">
        <f aca="true">RAND()</f>
        <v>0.927270724088541</v>
      </c>
      <c r="S313" s="40" t="n">
        <f aca="true">RAND()</f>
        <v>0.47711253467792</v>
      </c>
      <c r="T313" s="40" t="n">
        <f aca="true">RAND()</f>
        <v>0.822001611367555</v>
      </c>
      <c r="U313" s="40" t="n">
        <f aca="true">RAND()</f>
        <v>0.891168841993972</v>
      </c>
    </row>
    <row r="314" customFormat="false" ht="15" hidden="false" customHeight="false" outlineLevel="0" collapsed="false">
      <c r="A314" s="36" t="n">
        <v>234</v>
      </c>
      <c r="B314" s="37" t="n">
        <f aca="false">1+IF($G$6=$E$6,$F$6,IF(P314&lt;($F$6-$E$6)/($G$6-$E$6),$E$6+SQRT(P314*($G$6-$E$6)*($F$6-$E$6)),$G$6-SQRT((1-P314)*($G$6-$E$6)*($G$6-$F$6))))</f>
        <v>0.976910661280488</v>
      </c>
      <c r="C314" s="37" t="n">
        <f aca="false">1+IF($G$7=$E$7,$F$7,IF(Q314&lt;($F$7-$E$7)/($G$7-$E$7),$E$7+SQRT(Q314*($G$7-$E$7)*($F$7-$E$7)),$G$7-SQRT((1-Q314)*($G$7-$E$7)*($G$7-$F$7))))</f>
        <v>0.910737195879062</v>
      </c>
      <c r="D314" s="37" t="n">
        <f aca="false">1+IF($G$8=$E$8,$F$8,IF(R314&lt;($F$8-$E$8)/($G$8-$E$8),$E$8+SQRT(R314*($G$8-$E$8)*($F$8-$E$8)),$G$8-SQRT((1-R314)*($G$8-$E$8)*($G$8-$F$8))))</f>
        <v>1.00019837175633</v>
      </c>
      <c r="E314" s="37" t="n">
        <f aca="false">1+IF($G$9=$E$9,$F$9,IF(S314&lt;($F$9-$E$9)/($G$9-$E$9),$E$9+SQRT(S314*($G$9-$E$9)*($F$9-$E$9)),$G$9-SQRT((1-S314)*($G$9-$E$9)*($G$9-$F$9))))</f>
        <v>1.0313356664168</v>
      </c>
      <c r="F314" s="37" t="n">
        <f aca="false">1+IF($G$10=$E$10,$F$10,IF(T314&lt;($F$10-$E$10)/($G$10-$E$10),$E$10+SQRT(T314*($G$10-$E$10)*($F$10-$E$10)),$G$10-SQRT((1-T314)*($G$10-$E$10)*($G$10-$F$10))))</f>
        <v>1.07944501882111</v>
      </c>
      <c r="G314" s="38" t="n">
        <f aca="false">IF($G$11=$E$11,$F$11,IF(U314&lt;($F$11-$E$11)/($G$11-$E$11),$E$11+SQRT(U314*($G$11-$E$11)*($F$11-$E$11)),$G$11-SQRT((1-U314)*($G$11-$E$11)*($G$11-$F$11))))</f>
        <v>0.128165058028985</v>
      </c>
      <c r="H314" s="39" t="n">
        <f aca="false">(('Business Case'!B11*$C314*'Business Case'!B12*$B314)-'Business Case'!B11*$C314*'Business Case'!B13*$D314-'Business Case'!B14*$E314)-MAX(0,(('Business Case'!B11*$C314*'Business Case'!B12*$B314)-'Business Case'!B11*$C314*'Business Case'!B13*$D314-'Business Case'!B14*$E314))*'Business Case'!$B$7-'Business Case'!$B$8*('Business Case'!B11*$C314*'Business Case'!B12*$B314)-'Business Case'!B15*$F314</f>
        <v>-2158890037.64222</v>
      </c>
      <c r="I314" s="39" t="n">
        <f aca="false">(('Business Case'!C11*$C314*'Business Case'!C12*$B314)-'Business Case'!C11*$C314*'Business Case'!C13*$D314-'Business Case'!C14*$E314)-MAX(0,(('Business Case'!C11*$C314*'Business Case'!C12*$B314)-'Business Case'!C11*$C314*'Business Case'!C13*$D314-'Business Case'!C14*$E314))*'Business Case'!$B$7-'Business Case'!$B$8*(('Business Case'!C11*$C314*'Business Case'!C12*$B314)-('Business Case'!B11*$C314*'Business Case'!B12*$B314))-'Business Case'!C15*$F314</f>
        <v>-38304384.185568</v>
      </c>
      <c r="J314" s="39" t="n">
        <f aca="false">(('Business Case'!D11*$C314*'Business Case'!D12*$B314)-'Business Case'!D11*$C314*'Business Case'!D13*$D314-'Business Case'!D14*$E314)-MAX(0,(('Business Case'!D11*$C314*'Business Case'!D12*$B314)-'Business Case'!D11*$C314*'Business Case'!D13*$D314-'Business Case'!D14*$E314))*'Business Case'!$B$7-'Business Case'!$B$8*(('Business Case'!D11*$C314*'Business Case'!D12*$B314)-('Business Case'!C11*$C314*'Business Case'!C12*$B314))-'Business Case'!D15*$F314</f>
        <v>224114173.421745</v>
      </c>
      <c r="K314" s="39" t="n">
        <f aca="false">(('Business Case'!E11*$C314*'Business Case'!E12*$B314)-'Business Case'!E11*$C314*'Business Case'!E13*$D314-'Business Case'!E14*$E314)-MAX(0,(('Business Case'!E11*$C314*'Business Case'!E12*$B314)-'Business Case'!E11*$C314*'Business Case'!E13*$D314-'Business Case'!E14*$E314))*'Business Case'!$B$7-'Business Case'!$B$8*(('Business Case'!E11*$C314*'Business Case'!E12*$B314)-('Business Case'!D11*$C314*'Business Case'!D12*$B314))-'Business Case'!E15*$F314</f>
        <v>540504981.970113</v>
      </c>
      <c r="L314" s="39" t="n">
        <f aca="false">(('Business Case'!F11*$C314*'Business Case'!F12*$B314)-'Business Case'!F11*$C314*'Business Case'!F13*$D314-'Business Case'!F14*$E314)-MAX(0,(('Business Case'!F11*$C314*'Business Case'!F12*$B314)-'Business Case'!F11*$C314*'Business Case'!F13*$D314-'Business Case'!F14*$E314))*'Business Case'!$B$7-'Business Case'!$B$8*(('Business Case'!F11*$C314*'Business Case'!F12*$B314)-('Business Case'!E11*$C314*'Business Case'!E12*$B314))-'Business Case'!F15*$F314</f>
        <v>658726173.270084</v>
      </c>
      <c r="M314" s="39" t="n">
        <f aca="false">(('Business Case'!G11*$C314*'Business Case'!G12*$B314)-'Business Case'!G11*$C314*'Business Case'!G13*$D314-'Business Case'!G14*$E314)-MAX(0,(('Business Case'!G11*$C314*'Business Case'!G12*$B314)-'Business Case'!G11*$C314*'Business Case'!G13*$D314-'Business Case'!G14*$E314))*'Business Case'!$B$7-'Business Case'!$B$8*(('Business Case'!G11*$C314*'Business Case'!G12*$B314)-('Business Case'!F11*$C314*'Business Case'!F12*$B314))-'Business Case'!G15*$F314+'Business Case'!$B$8*('Business Case'!G11*$C314*'Business Case'!G12*$B314)</f>
        <v>827842036.473187</v>
      </c>
      <c r="N314" s="39" t="n">
        <f aca="false">IF(COUNT('Business Case'!B11:G11)=0,"",H314+NPV(G314,I314:M314))</f>
        <v>-780699885.352345</v>
      </c>
      <c r="P314" s="40" t="n">
        <f aca="true">RAND()</f>
        <v>0.394349987906799</v>
      </c>
      <c r="Q314" s="40" t="n">
        <f aca="true">RAND()</f>
        <v>0.328964190570148</v>
      </c>
      <c r="R314" s="40" t="n">
        <f aca="true">RAND()</f>
        <v>0.33597566666078</v>
      </c>
      <c r="S314" s="40" t="n">
        <f aca="true">RAND()</f>
        <v>0.624500691606798</v>
      </c>
      <c r="T314" s="40" t="n">
        <f aca="true">RAND()</f>
        <v>0.612146645267576</v>
      </c>
      <c r="U314" s="40" t="n">
        <f aca="true">RAND()</f>
        <v>0.997755325308671</v>
      </c>
    </row>
    <row r="315" customFormat="false" ht="15" hidden="false" customHeight="false" outlineLevel="0" collapsed="false">
      <c r="A315" s="36" t="n">
        <v>235</v>
      </c>
      <c r="B315" s="37" t="n">
        <f aca="false">1+IF($G$6=$E$6,$F$6,IF(P315&lt;($F$6-$E$6)/($G$6-$E$6),$E$6+SQRT(P315*($G$6-$E$6)*($F$6-$E$6)),$G$6-SQRT((1-P315)*($G$6-$E$6)*($G$6-$F$6))))</f>
        <v>0.987111819163216</v>
      </c>
      <c r="C315" s="37" t="n">
        <f aca="false">1+IF($G$7=$E$7,$F$7,IF(Q315&lt;($F$7-$E$7)/($G$7-$E$7),$E$7+SQRT(Q315*($G$7-$E$7)*($F$7-$E$7)),$G$7-SQRT((1-Q315)*($G$7-$E$7)*($G$7-$F$7))))</f>
        <v>1.02827912755234</v>
      </c>
      <c r="D315" s="37" t="n">
        <f aca="false">1+IF($G$8=$E$8,$F$8,IF(R315&lt;($F$8-$E$8)/($G$8-$E$8),$E$8+SQRT(R315*($G$8-$E$8)*($F$8-$E$8)),$G$8-SQRT((1-R315)*($G$8-$E$8)*($G$8-$F$8))))</f>
        <v>1.0351578908149</v>
      </c>
      <c r="E315" s="37" t="n">
        <f aca="false">1+IF($G$9=$E$9,$F$9,IF(S315&lt;($F$9-$E$9)/($G$9-$E$9),$E$9+SQRT(S315*($G$9-$E$9)*($F$9-$E$9)),$G$9-SQRT((1-S315)*($G$9-$E$9)*($G$9-$F$9))))</f>
        <v>1.0275888500407</v>
      </c>
      <c r="F315" s="37" t="n">
        <f aca="false">1+IF($G$10=$E$10,$F$10,IF(T315&lt;($F$10-$E$10)/($G$10-$E$10),$E$10+SQRT(T315*($G$10-$E$10)*($F$10-$E$10)),$G$10-SQRT((1-T315)*($G$10-$E$10)*($G$10-$F$10))))</f>
        <v>1.14465139790895</v>
      </c>
      <c r="G315" s="38" t="n">
        <f aca="false">IF($G$11=$E$11,$F$11,IF(U315&lt;($F$11-$E$11)/($G$11-$E$11),$E$11+SQRT(U315*($G$11-$E$11)*($F$11-$E$11)),$G$11-SQRT((1-U315)*($G$11-$E$11)*($G$11-$F$11))))</f>
        <v>0.0994275292477446</v>
      </c>
      <c r="H315" s="39" t="n">
        <f aca="false">(('Business Case'!B11*$C315*'Business Case'!B12*$B315)-'Business Case'!B11*$C315*'Business Case'!B13*$D315-'Business Case'!B14*$E315)-MAX(0,(('Business Case'!B11*$C315*'Business Case'!B12*$B315)-'Business Case'!B11*$C315*'Business Case'!B13*$D315-'Business Case'!B14*$E315))*'Business Case'!$B$7-'Business Case'!$B$8*('Business Case'!B11*$C315*'Business Case'!B12*$B315)-'Business Case'!B15*$F315</f>
        <v>-2289302795.81789</v>
      </c>
      <c r="I315" s="39" t="n">
        <f aca="false">(('Business Case'!C11*$C315*'Business Case'!C12*$B315)-'Business Case'!C11*$C315*'Business Case'!C13*$D315-'Business Case'!C14*$E315)-MAX(0,(('Business Case'!C11*$C315*'Business Case'!C12*$B315)-'Business Case'!C11*$C315*'Business Case'!C13*$D315-'Business Case'!C14*$E315))*'Business Case'!$B$7-'Business Case'!$B$8*(('Business Case'!C11*$C315*'Business Case'!C12*$B315)-('Business Case'!B11*$C315*'Business Case'!B12*$B315))-'Business Case'!C15*$F315</f>
        <v>-26731124.7624213</v>
      </c>
      <c r="J315" s="39" t="n">
        <f aca="false">(('Business Case'!D11*$C315*'Business Case'!D12*$B315)-'Business Case'!D11*$C315*'Business Case'!D13*$D315-'Business Case'!D14*$E315)-MAX(0,(('Business Case'!D11*$C315*'Business Case'!D12*$B315)-'Business Case'!D11*$C315*'Business Case'!D13*$D315-'Business Case'!D14*$E315))*'Business Case'!$B$7-'Business Case'!$B$8*(('Business Case'!D11*$C315*'Business Case'!D12*$B315)-('Business Case'!C11*$C315*'Business Case'!C12*$B315))-'Business Case'!D15*$F315</f>
        <v>259744997.475706</v>
      </c>
      <c r="K315" s="39" t="n">
        <f aca="false">(('Business Case'!E11*$C315*'Business Case'!E12*$B315)-'Business Case'!E11*$C315*'Business Case'!E13*$D315-'Business Case'!E14*$E315)-MAX(0,(('Business Case'!E11*$C315*'Business Case'!E12*$B315)-'Business Case'!E11*$C315*'Business Case'!E13*$D315-'Business Case'!E14*$E315))*'Business Case'!$B$7-'Business Case'!$B$8*(('Business Case'!E11*$C315*'Business Case'!E12*$B315)-('Business Case'!D11*$C315*'Business Case'!D12*$B315))-'Business Case'!E15*$F315</f>
        <v>603453689.60928</v>
      </c>
      <c r="L315" s="39" t="n">
        <f aca="false">(('Business Case'!F11*$C315*'Business Case'!F12*$B315)-'Business Case'!F11*$C315*'Business Case'!F13*$D315-'Business Case'!F14*$E315)-MAX(0,(('Business Case'!F11*$C315*'Business Case'!F12*$B315)-'Business Case'!F11*$C315*'Business Case'!F13*$D315-'Business Case'!F14*$E315))*'Business Case'!$B$7-'Business Case'!$B$8*(('Business Case'!F11*$C315*'Business Case'!F12*$B315)-('Business Case'!E11*$C315*'Business Case'!E12*$B315))-'Business Case'!F15*$F315</f>
        <v>734025045.511233</v>
      </c>
      <c r="M315" s="39" t="n">
        <f aca="false">(('Business Case'!G11*$C315*'Business Case'!G12*$B315)-'Business Case'!G11*$C315*'Business Case'!G13*$D315-'Business Case'!G14*$E315)-MAX(0,(('Business Case'!G11*$C315*'Business Case'!G12*$B315)-'Business Case'!G11*$C315*'Business Case'!G13*$D315-'Business Case'!G14*$E315))*'Business Case'!$B$7-'Business Case'!$B$8*(('Business Case'!G11*$C315*'Business Case'!G12*$B315)-('Business Case'!F11*$C315*'Business Case'!F12*$B315))-'Business Case'!G15*$F315+'Business Case'!$B$8*('Business Case'!G11*$C315*'Business Case'!G12*$B315)</f>
        <v>926961278.868742</v>
      </c>
      <c r="N315" s="39" t="n">
        <f aca="false">IF(COUNT('Business Case'!B11:G11)=0,"",H315+NPV(G315,I315:M315))</f>
        <v>-565171203.160431</v>
      </c>
      <c r="P315" s="40" t="n">
        <f aca="true">RAND()</f>
        <v>0.505897935861657</v>
      </c>
      <c r="Q315" s="40" t="n">
        <f aca="true">RAND()</f>
        <v>0.78050413645303</v>
      </c>
      <c r="R315" s="40" t="n">
        <f aca="true">RAND()</f>
        <v>0.719700058428539</v>
      </c>
      <c r="S315" s="40" t="n">
        <f aca="true">RAND()</f>
        <v>0.600413609750443</v>
      </c>
      <c r="T315" s="40" t="n">
        <f aca="true">RAND()</f>
        <v>0.852022293832813</v>
      </c>
      <c r="U315" s="40" t="n">
        <f aca="true">RAND()</f>
        <v>0.377428892671974</v>
      </c>
    </row>
    <row r="316" customFormat="false" ht="15" hidden="false" customHeight="false" outlineLevel="0" collapsed="false">
      <c r="A316" s="36" t="n">
        <v>236</v>
      </c>
      <c r="B316" s="37" t="n">
        <f aca="false">1+IF($G$6=$E$6,$F$6,IF(P316&lt;($F$6-$E$6)/($G$6-$E$6),$E$6+SQRT(P316*($G$6-$E$6)*($F$6-$E$6)),$G$6-SQRT((1-P316)*($G$6-$E$6)*($G$6-$F$6))))</f>
        <v>0.993997590891654</v>
      </c>
      <c r="C316" s="37" t="n">
        <f aca="false">1+IF($G$7=$E$7,$F$7,IF(Q316&lt;($F$7-$E$7)/($G$7-$E$7),$E$7+SQRT(Q316*($G$7-$E$7)*($F$7-$E$7)),$G$7-SQRT((1-Q316)*($G$7-$E$7)*($G$7-$F$7))))</f>
        <v>0.997639996394954</v>
      </c>
      <c r="D316" s="37" t="n">
        <f aca="false">1+IF($G$8=$E$8,$F$8,IF(R316&lt;($F$8-$E$8)/($G$8-$E$8),$E$8+SQRT(R316*($G$8-$E$8)*($F$8-$E$8)),$G$8-SQRT((1-R316)*($G$8-$E$8)*($G$8-$F$8))))</f>
        <v>1.01598691054754</v>
      </c>
      <c r="E316" s="37" t="n">
        <f aca="false">1+IF($G$9=$E$9,$F$9,IF(S316&lt;($F$9-$E$9)/($G$9-$E$9),$E$9+SQRT(S316*($G$9-$E$9)*($F$9-$E$9)),$G$9-SQRT((1-S316)*($G$9-$E$9)*($G$9-$F$9))))</f>
        <v>1.01230032457341</v>
      </c>
      <c r="F316" s="37" t="n">
        <f aca="false">1+IF($G$10=$E$10,$F$10,IF(T316&lt;($F$10-$E$10)/($G$10-$E$10),$E$10+SQRT(T316*($G$10-$E$10)*($F$10-$E$10)),$G$10-SQRT((1-T316)*($G$10-$E$10)*($G$10-$F$10))))</f>
        <v>1.07458744494941</v>
      </c>
      <c r="G316" s="38" t="n">
        <f aca="false">IF($G$11=$E$11,$F$11,IF(U316&lt;($F$11-$E$11)/($G$11-$E$11),$E$11+SQRT(U316*($G$11-$E$11)*($F$11-$E$11)),$G$11-SQRT((1-U316)*($G$11-$E$11)*($G$11-$F$11))))</f>
        <v>0.111309892377548</v>
      </c>
      <c r="H316" s="39" t="n">
        <f aca="false">(('Business Case'!B11*$C316*'Business Case'!B12*$B316)-'Business Case'!B11*$C316*'Business Case'!B13*$D316-'Business Case'!B14*$E316)-MAX(0,(('Business Case'!B11*$C316*'Business Case'!B12*$B316)-'Business Case'!B11*$C316*'Business Case'!B13*$D316-'Business Case'!B14*$E316))*'Business Case'!$B$7-'Business Case'!$B$8*('Business Case'!B11*$C316*'Business Case'!B12*$B316)-'Business Case'!B15*$F316</f>
        <v>-2149174889.89881</v>
      </c>
      <c r="I316" s="39" t="n">
        <f aca="false">(('Business Case'!C11*$C316*'Business Case'!C12*$B316)-'Business Case'!C11*$C316*'Business Case'!C13*$D316-'Business Case'!C14*$E316)-MAX(0,(('Business Case'!C11*$C316*'Business Case'!C12*$B316)-'Business Case'!C11*$C316*'Business Case'!C13*$D316-'Business Case'!C14*$E316))*'Business Case'!$B$7-'Business Case'!$B$8*(('Business Case'!C11*$C316*'Business Case'!C12*$B316)-('Business Case'!B11*$C316*'Business Case'!B12*$B316))-'Business Case'!C15*$F316</f>
        <v>-9457464.78346001</v>
      </c>
      <c r="J316" s="39" t="n">
        <f aca="false">(('Business Case'!D11*$C316*'Business Case'!D12*$B316)-'Business Case'!D11*$C316*'Business Case'!D13*$D316-'Business Case'!D14*$E316)-MAX(0,(('Business Case'!D11*$C316*'Business Case'!D12*$B316)-'Business Case'!D11*$C316*'Business Case'!D13*$D316-'Business Case'!D14*$E316))*'Business Case'!$B$7-'Business Case'!$B$8*(('Business Case'!D11*$C316*'Business Case'!D12*$B316)-('Business Case'!C11*$C316*'Business Case'!C12*$B316))-'Business Case'!D15*$F316</f>
        <v>283900147.957554</v>
      </c>
      <c r="K316" s="39" t="n">
        <f aca="false">(('Business Case'!E11*$C316*'Business Case'!E12*$B316)-'Business Case'!E11*$C316*'Business Case'!E13*$D316-'Business Case'!E14*$E316)-MAX(0,(('Business Case'!E11*$C316*'Business Case'!E12*$B316)-'Business Case'!E11*$C316*'Business Case'!E13*$D316-'Business Case'!E14*$E316))*'Business Case'!$B$7-'Business Case'!$B$8*(('Business Case'!E11*$C316*'Business Case'!E12*$B316)-('Business Case'!D11*$C316*'Business Case'!D12*$B316))-'Business Case'!E15*$F316</f>
        <v>630987132.946039</v>
      </c>
      <c r="L316" s="39" t="n">
        <f aca="false">(('Business Case'!F11*$C316*'Business Case'!F12*$B316)-'Business Case'!F11*$C316*'Business Case'!F13*$D316-'Business Case'!F14*$E316)-MAX(0,(('Business Case'!F11*$C316*'Business Case'!F12*$B316)-'Business Case'!F11*$C316*'Business Case'!F13*$D316-'Business Case'!F14*$E316))*'Business Case'!$B$7-'Business Case'!$B$8*(('Business Case'!F11*$C316*'Business Case'!F12*$B316)-('Business Case'!E11*$C316*'Business Case'!E12*$B316))-'Business Case'!F15*$F316</f>
        <v>763044488.443175</v>
      </c>
      <c r="M316" s="39" t="n">
        <f aca="false">(('Business Case'!G11*$C316*'Business Case'!G12*$B316)-'Business Case'!G11*$C316*'Business Case'!G13*$D316-'Business Case'!G14*$E316)-MAX(0,(('Business Case'!G11*$C316*'Business Case'!G12*$B316)-'Business Case'!G11*$C316*'Business Case'!G13*$D316-'Business Case'!G14*$E316))*'Business Case'!$B$7-'Business Case'!$B$8*(('Business Case'!G11*$C316*'Business Case'!G12*$B316)-('Business Case'!F11*$C316*'Business Case'!F12*$B316))-'Business Case'!G15*$F316+'Business Case'!$B$8*('Business Case'!G11*$C316*'Business Case'!G12*$B316)</f>
        <v>951537653.652225</v>
      </c>
      <c r="N316" s="39" t="n">
        <f aca="false">IF(COUNT('Business Case'!B11:G11)=0,"",H316+NPV(G316,I316:M316))</f>
        <v>-406418873.595783</v>
      </c>
      <c r="P316" s="40" t="n">
        <f aca="true">RAND()</f>
        <v>0.58903647289565</v>
      </c>
      <c r="Q316" s="40" t="n">
        <f aca="true">RAND()</f>
        <v>0.65621901817769</v>
      </c>
      <c r="R316" s="40" t="n">
        <f aca="true">RAND()</f>
        <v>0.529453386710251</v>
      </c>
      <c r="S316" s="40" t="n">
        <f aca="true">RAND()</f>
        <v>0.494367983664288</v>
      </c>
      <c r="T316" s="40" t="n">
        <f aca="true">RAND()</f>
        <v>0.589739140408296</v>
      </c>
      <c r="U316" s="40" t="n">
        <f aca="true">RAND()</f>
        <v>0.767119918040779</v>
      </c>
    </row>
    <row r="317" customFormat="false" ht="15" hidden="false" customHeight="false" outlineLevel="0" collapsed="false">
      <c r="A317" s="36" t="n">
        <v>237</v>
      </c>
      <c r="B317" s="37" t="n">
        <f aca="false">1+IF($G$6=$E$6,$F$6,IF(P317&lt;($F$6-$E$6)/($G$6-$E$6),$E$6+SQRT(P317*($G$6-$E$6)*($F$6-$E$6)),$G$6-SQRT((1-P317)*($G$6-$E$6)*($G$6-$F$6))))</f>
        <v>0.984354887020031</v>
      </c>
      <c r="C317" s="37" t="n">
        <f aca="false">1+IF($G$7=$E$7,$F$7,IF(Q317&lt;($F$7-$E$7)/($G$7-$E$7),$E$7+SQRT(Q317*($G$7-$E$7)*($F$7-$E$7)),$G$7-SQRT((1-Q317)*($G$7-$E$7)*($G$7-$F$7))))</f>
        <v>0.933119639633699</v>
      </c>
      <c r="D317" s="37" t="n">
        <f aca="false">1+IF($G$8=$E$8,$F$8,IF(R317&lt;($F$8-$E$8)/($G$8-$E$8),$E$8+SQRT(R317*($G$8-$E$8)*($F$8-$E$8)),$G$8-SQRT((1-R317)*($G$8-$E$8)*($G$8-$F$8))))</f>
        <v>1.02549273826515</v>
      </c>
      <c r="E317" s="37" t="n">
        <f aca="false">1+IF($G$9=$E$9,$F$9,IF(S317&lt;($F$9-$E$9)/($G$9-$E$9),$E$9+SQRT(S317*($G$9-$E$9)*($F$9-$E$9)),$G$9-SQRT((1-S317)*($G$9-$E$9)*($G$9-$F$9))))</f>
        <v>0.939475334074992</v>
      </c>
      <c r="F317" s="37" t="n">
        <f aca="false">1+IF($G$10=$E$10,$F$10,IF(T317&lt;($F$10-$E$10)/($G$10-$E$10),$E$10+SQRT(T317*($G$10-$E$10)*($F$10-$E$10)),$G$10-SQRT((1-T317)*($G$10-$E$10)*($G$10-$F$10))))</f>
        <v>1.10086293764517</v>
      </c>
      <c r="G317" s="38" t="n">
        <f aca="false">IF($G$11=$E$11,$F$11,IF(U317&lt;($F$11-$E$11)/($G$11-$E$11),$E$11+SQRT(U317*($G$11-$E$11)*($F$11-$E$11)),$G$11-SQRT((1-U317)*($G$11-$E$11)*($G$11-$F$11))))</f>
        <v>0.110057398466173</v>
      </c>
      <c r="H317" s="39" t="n">
        <f aca="false">(('Business Case'!B11*$C317*'Business Case'!B12*$B317)-'Business Case'!B11*$C317*'Business Case'!B13*$D317-'Business Case'!B14*$E317)-MAX(0,(('Business Case'!B11*$C317*'Business Case'!B12*$B317)-'Business Case'!B11*$C317*'Business Case'!B13*$D317-'Business Case'!B14*$E317))*'Business Case'!$B$7-'Business Case'!$B$8*('Business Case'!B11*$C317*'Business Case'!B12*$B317)-'Business Case'!B15*$F317</f>
        <v>-2201725875.29034</v>
      </c>
      <c r="I317" s="39" t="n">
        <f aca="false">(('Business Case'!C11*$C317*'Business Case'!C12*$B317)-'Business Case'!C11*$C317*'Business Case'!C13*$D317-'Business Case'!C14*$E317)-MAX(0,(('Business Case'!C11*$C317*'Business Case'!C12*$B317)-'Business Case'!C11*$C317*'Business Case'!C13*$D317-'Business Case'!C14*$E317))*'Business Case'!$B$7-'Business Case'!$B$8*(('Business Case'!C11*$C317*'Business Case'!C12*$B317)-('Business Case'!B11*$C317*'Business Case'!B12*$B317))-'Business Case'!C15*$F317</f>
        <v>-28821119.9917973</v>
      </c>
      <c r="J317" s="39" t="n">
        <f aca="false">(('Business Case'!D11*$C317*'Business Case'!D12*$B317)-'Business Case'!D11*$C317*'Business Case'!D13*$D317-'Business Case'!D14*$E317)-MAX(0,(('Business Case'!D11*$C317*'Business Case'!D12*$B317)-'Business Case'!D11*$C317*'Business Case'!D13*$D317-'Business Case'!D14*$E317))*'Business Case'!$B$7-'Business Case'!$B$8*(('Business Case'!D11*$C317*'Business Case'!D12*$B317)-('Business Case'!C11*$C317*'Business Case'!C12*$B317))-'Business Case'!D15*$F317</f>
        <v>233653568.57328</v>
      </c>
      <c r="K317" s="39" t="n">
        <f aca="false">(('Business Case'!E11*$C317*'Business Case'!E12*$B317)-'Business Case'!E11*$C317*'Business Case'!E13*$D317-'Business Case'!E14*$E317)-MAX(0,(('Business Case'!E11*$C317*'Business Case'!E12*$B317)-'Business Case'!E11*$C317*'Business Case'!E13*$D317-'Business Case'!E14*$E317))*'Business Case'!$B$7-'Business Case'!$B$8*(('Business Case'!E11*$C317*'Business Case'!E12*$B317)-('Business Case'!D11*$C317*'Business Case'!D12*$B317))-'Business Case'!E15*$F317</f>
        <v>551171404.020617</v>
      </c>
      <c r="L317" s="39" t="n">
        <f aca="false">(('Business Case'!F11*$C317*'Business Case'!F12*$B317)-'Business Case'!F11*$C317*'Business Case'!F13*$D317-'Business Case'!F14*$E317)-MAX(0,(('Business Case'!F11*$C317*'Business Case'!F12*$B317)-'Business Case'!F11*$C317*'Business Case'!F13*$D317-'Business Case'!F14*$E317))*'Business Case'!$B$7-'Business Case'!$B$8*(('Business Case'!F11*$C317*'Business Case'!F12*$B317)-('Business Case'!E11*$C317*'Business Case'!E12*$B317))-'Business Case'!F15*$F317</f>
        <v>670407048.400238</v>
      </c>
      <c r="M317" s="39" t="n">
        <f aca="false">(('Business Case'!G11*$C317*'Business Case'!G12*$B317)-'Business Case'!G11*$C317*'Business Case'!G13*$D317-'Business Case'!G14*$E317)-MAX(0,(('Business Case'!G11*$C317*'Business Case'!G12*$B317)-'Business Case'!G11*$C317*'Business Case'!G13*$D317-'Business Case'!G14*$E317))*'Business Case'!$B$7-'Business Case'!$B$8*(('Business Case'!G11*$C317*'Business Case'!G12*$B317)-('Business Case'!F11*$C317*'Business Case'!F12*$B317))-'Business Case'!G15*$F317+'Business Case'!$B$8*('Business Case'!G11*$C317*'Business Case'!G12*$B317)</f>
        <v>844999496.785516</v>
      </c>
      <c r="N317" s="39" t="n">
        <f aca="false">IF(COUNT('Business Case'!B11:G11)=0,"",H317+NPV(G317,I317:M317))</f>
        <v>-692258377.879502</v>
      </c>
      <c r="P317" s="40" t="n">
        <f aca="true">RAND()</f>
        <v>0.474383130944141</v>
      </c>
      <c r="Q317" s="40" t="n">
        <f aca="true">RAND()</f>
        <v>0.402553825058856</v>
      </c>
      <c r="R317" s="40" t="n">
        <f aca="true">RAND()</f>
        <v>0.629911196584939</v>
      </c>
      <c r="S317" s="40" t="n">
        <f aca="true">RAND()</f>
        <v>0.0623320800132904</v>
      </c>
      <c r="T317" s="40" t="n">
        <f aca="true">RAND()</f>
        <v>0.703441821762286</v>
      </c>
      <c r="U317" s="40" t="n">
        <f aca="true">RAND()</f>
        <v>0.734861762708672</v>
      </c>
    </row>
    <row r="318" customFormat="false" ht="15" hidden="false" customHeight="false" outlineLevel="0" collapsed="false">
      <c r="A318" s="36" t="n">
        <v>238</v>
      </c>
      <c r="B318" s="37" t="n">
        <f aca="false">1+IF($G$6=$E$6,$F$6,IF(P318&lt;($F$6-$E$6)/($G$6-$E$6),$E$6+SQRT(P318*($G$6-$E$6)*($F$6-$E$6)),$G$6-SQRT((1-P318)*($G$6-$E$6)*($G$6-$F$6))))</f>
        <v>1.00769276945535</v>
      </c>
      <c r="C318" s="37" t="n">
        <f aca="false">1+IF($G$7=$E$7,$F$7,IF(Q318&lt;($F$7-$E$7)/($G$7-$E$7),$E$7+SQRT(Q318*($G$7-$E$7)*($F$7-$E$7)),$G$7-SQRT((1-Q318)*($G$7-$E$7)*($G$7-$F$7))))</f>
        <v>0.978771229780474</v>
      </c>
      <c r="D318" s="37" t="n">
        <f aca="false">1+IF($G$8=$E$8,$F$8,IF(R318&lt;($F$8-$E$8)/($G$8-$E$8),$E$8+SQRT(R318*($G$8-$E$8)*($F$8-$E$8)),$G$8-SQRT((1-R318)*($G$8-$E$8)*($G$8-$F$8))))</f>
        <v>1.02914519581269</v>
      </c>
      <c r="E318" s="37" t="n">
        <f aca="false">1+IF($G$9=$E$9,$F$9,IF(S318&lt;($F$9-$E$9)/($G$9-$E$9),$E$9+SQRT(S318*($G$9-$E$9)*($F$9-$E$9)),$G$9-SQRT((1-S318)*($G$9-$E$9)*($G$9-$F$9))))</f>
        <v>0.982587343131636</v>
      </c>
      <c r="F318" s="37" t="n">
        <f aca="false">1+IF($G$10=$E$10,$F$10,IF(T318&lt;($F$10-$E$10)/($G$10-$E$10),$E$10+SQRT(T318*($G$10-$E$10)*($F$10-$E$10)),$G$10-SQRT((1-T318)*($G$10-$E$10)*($G$10-$F$10))))</f>
        <v>1.03994119529708</v>
      </c>
      <c r="G318" s="38" t="n">
        <f aca="false">IF($G$11=$E$11,$F$11,IF(U318&lt;($F$11-$E$11)/($G$11-$E$11),$E$11+SQRT(U318*($G$11-$E$11)*($F$11-$E$11)),$G$11-SQRT((1-U318)*($G$11-$E$11)*($G$11-$F$11))))</f>
        <v>0.0979900737335928</v>
      </c>
      <c r="H318" s="39" t="n">
        <f aca="false">(('Business Case'!B11*$C318*'Business Case'!B12*$B318)-'Business Case'!B11*$C318*'Business Case'!B13*$D318-'Business Case'!B14*$E318)-MAX(0,(('Business Case'!B11*$C318*'Business Case'!B12*$B318)-'Business Case'!B11*$C318*'Business Case'!B13*$D318-'Business Case'!B14*$E318))*'Business Case'!$B$7-'Business Case'!$B$8*('Business Case'!B11*$C318*'Business Case'!B12*$B318)-'Business Case'!B15*$F318</f>
        <v>-2079882390.59416</v>
      </c>
      <c r="I318" s="39" t="n">
        <f aca="false">(('Business Case'!C11*$C318*'Business Case'!C12*$B318)-'Business Case'!C11*$C318*'Business Case'!C13*$D318-'Business Case'!C14*$E318)-MAX(0,(('Business Case'!C11*$C318*'Business Case'!C12*$B318)-'Business Case'!C11*$C318*'Business Case'!C13*$D318-'Business Case'!C14*$E318))*'Business Case'!$B$7-'Business Case'!$B$8*(('Business Case'!C11*$C318*'Business Case'!C12*$B318)-('Business Case'!B11*$C318*'Business Case'!B12*$B318))-'Business Case'!C15*$F318</f>
        <v>-2652430.96627788</v>
      </c>
      <c r="J318" s="39" t="n">
        <f aca="false">(('Business Case'!D11*$C318*'Business Case'!D12*$B318)-'Business Case'!D11*$C318*'Business Case'!D13*$D318-'Business Case'!D14*$E318)-MAX(0,(('Business Case'!D11*$C318*'Business Case'!D12*$B318)-'Business Case'!D11*$C318*'Business Case'!D13*$D318-'Business Case'!D14*$E318))*'Business Case'!$B$7-'Business Case'!$B$8*(('Business Case'!D11*$C318*'Business Case'!D12*$B318)-('Business Case'!C11*$C318*'Business Case'!C12*$B318))-'Business Case'!D15*$F318</f>
        <v>289543005.622315</v>
      </c>
      <c r="K318" s="39" t="n">
        <f aca="false">(('Business Case'!E11*$C318*'Business Case'!E12*$B318)-'Business Case'!E11*$C318*'Business Case'!E13*$D318-'Business Case'!E14*$E318)-MAX(0,(('Business Case'!E11*$C318*'Business Case'!E12*$B318)-'Business Case'!E11*$C318*'Business Case'!E13*$D318-'Business Case'!E14*$E318))*'Business Case'!$B$7-'Business Case'!$B$8*(('Business Case'!E11*$C318*'Business Case'!E12*$B318)-('Business Case'!D11*$C318*'Business Case'!D12*$B318))-'Business Case'!E15*$F318</f>
        <v>633735501.975762</v>
      </c>
      <c r="L318" s="39" t="n">
        <f aca="false">(('Business Case'!F11*$C318*'Business Case'!F12*$B318)-'Business Case'!F11*$C318*'Business Case'!F13*$D318-'Business Case'!F14*$E318)-MAX(0,(('Business Case'!F11*$C318*'Business Case'!F12*$B318)-'Business Case'!F11*$C318*'Business Case'!F13*$D318-'Business Case'!F14*$E318))*'Business Case'!$B$7-'Business Case'!$B$8*(('Business Case'!F11*$C318*'Business Case'!F12*$B318)-('Business Case'!E11*$C318*'Business Case'!E12*$B318))-'Business Case'!F15*$F318</f>
        <v>765220532.726523</v>
      </c>
      <c r="M318" s="39" t="n">
        <f aca="false">(('Business Case'!G11*$C318*'Business Case'!G12*$B318)-'Business Case'!G11*$C318*'Business Case'!G13*$D318-'Business Case'!G14*$E318)-MAX(0,(('Business Case'!G11*$C318*'Business Case'!G12*$B318)-'Business Case'!G11*$C318*'Business Case'!G13*$D318-'Business Case'!G14*$E318))*'Business Case'!$B$7-'Business Case'!$B$8*(('Business Case'!G11*$C318*'Business Case'!G12*$B318)-('Business Case'!F11*$C318*'Business Case'!F12*$B318))-'Business Case'!G15*$F318+'Business Case'!$B$8*('Business Case'!G11*$C318*'Business Case'!G12*$B318)</f>
        <v>952696568.109952</v>
      </c>
      <c r="N318" s="39" t="n">
        <f aca="false">IF(COUNT('Business Case'!B11:G11)=0,"",H318+NPV(G318,I318:M318))</f>
        <v>-239897860.817006</v>
      </c>
      <c r="P318" s="40" t="n">
        <f aca="true">RAND()</f>
        <v>0.761346432485558</v>
      </c>
      <c r="Q318" s="40" t="n">
        <f aca="true">RAND()</f>
        <v>0.575654804098651</v>
      </c>
      <c r="R318" s="40" t="n">
        <f aca="true">RAND()</f>
        <v>0.66530644823849</v>
      </c>
      <c r="S318" s="40" t="n">
        <f aca="true">RAND()</f>
        <v>0.272826769821703</v>
      </c>
      <c r="T318" s="40" t="n">
        <f aca="true">RAND()</f>
        <v>0.411670647557062</v>
      </c>
      <c r="U318" s="40" t="n">
        <f aca="true">RAND()</f>
        <v>0.323642752940104</v>
      </c>
    </row>
    <row r="319" customFormat="false" ht="15" hidden="false" customHeight="false" outlineLevel="0" collapsed="false">
      <c r="A319" s="36" t="n">
        <v>239</v>
      </c>
      <c r="B319" s="37" t="n">
        <f aca="false">1+IF($G$6=$E$6,$F$6,IF(P319&lt;($F$6-$E$6)/($G$6-$E$6),$E$6+SQRT(P319*($G$6-$E$6)*($F$6-$E$6)),$G$6-SQRT((1-P319)*($G$6-$E$6)*($G$6-$F$6))))</f>
        <v>0.950798264104179</v>
      </c>
      <c r="C319" s="37" t="n">
        <f aca="false">1+IF($G$7=$E$7,$F$7,IF(Q319&lt;($F$7-$E$7)/($G$7-$E$7),$E$7+SQRT(Q319*($G$7-$E$7)*($F$7-$E$7)),$G$7-SQRT((1-Q319)*($G$7-$E$7)*($G$7-$F$7))))</f>
        <v>1.09624779949758</v>
      </c>
      <c r="D319" s="37" t="n">
        <f aca="false">1+IF($G$8=$E$8,$F$8,IF(R319&lt;($F$8-$E$8)/($G$8-$E$8),$E$8+SQRT(R319*($G$8-$E$8)*($F$8-$E$8)),$G$8-SQRT((1-R319)*($G$8-$E$8)*($G$8-$F$8))))</f>
        <v>1.05211026230747</v>
      </c>
      <c r="E319" s="37" t="n">
        <f aca="false">1+IF($G$9=$E$9,$F$9,IF(S319&lt;($F$9-$E$9)/($G$9-$E$9),$E$9+SQRT(S319*($G$9-$E$9)*($F$9-$E$9)),$G$9-SQRT((1-S319)*($G$9-$E$9)*($G$9-$F$9))))</f>
        <v>1.04221565195404</v>
      </c>
      <c r="F319" s="37" t="n">
        <f aca="false">1+IF($G$10=$E$10,$F$10,IF(T319&lt;($F$10-$E$10)/($G$10-$E$10),$E$10+SQRT(T319*($G$10-$E$10)*($F$10-$E$10)),$G$10-SQRT((1-T319)*($G$10-$E$10)*($G$10-$F$10))))</f>
        <v>1.00515559211359</v>
      </c>
      <c r="G319" s="38" t="n">
        <f aca="false">IF($G$11=$E$11,$F$11,IF(U319&lt;($F$11-$E$11)/($G$11-$E$11),$E$11+SQRT(U319*($G$11-$E$11)*($F$11-$E$11)),$G$11-SQRT((1-U319)*($G$11-$E$11)*($G$11-$F$11))))</f>
        <v>0.107295114287952</v>
      </c>
      <c r="H319" s="39" t="n">
        <f aca="false">(('Business Case'!B11*$C319*'Business Case'!B12*$B319)-'Business Case'!B11*$C319*'Business Case'!B13*$D319-'Business Case'!B14*$E319)-MAX(0,(('Business Case'!B11*$C319*'Business Case'!B12*$B319)-'Business Case'!B11*$C319*'Business Case'!B13*$D319-'Business Case'!B14*$E319))*'Business Case'!$B$7-'Business Case'!$B$8*('Business Case'!B11*$C319*'Business Case'!B12*$B319)-'Business Case'!B15*$F319</f>
        <v>-2010311184.22718</v>
      </c>
      <c r="I319" s="39" t="n">
        <f aca="false">(('Business Case'!C11*$C319*'Business Case'!C12*$B319)-'Business Case'!C11*$C319*'Business Case'!C13*$D319-'Business Case'!C14*$E319)-MAX(0,(('Business Case'!C11*$C319*'Business Case'!C12*$B319)-'Business Case'!C11*$C319*'Business Case'!C13*$D319-'Business Case'!C14*$E319))*'Business Case'!$B$7-'Business Case'!$B$8*(('Business Case'!C11*$C319*'Business Case'!C12*$B319)-('Business Case'!B11*$C319*'Business Case'!B12*$B319))-'Business Case'!C15*$F319</f>
        <v>-39459644.4834363</v>
      </c>
      <c r="J319" s="39" t="n">
        <f aca="false">(('Business Case'!D11*$C319*'Business Case'!D12*$B319)-'Business Case'!D11*$C319*'Business Case'!D13*$D319-'Business Case'!D14*$E319)-MAX(0,(('Business Case'!D11*$C319*'Business Case'!D12*$B319)-'Business Case'!D11*$C319*'Business Case'!D13*$D319-'Business Case'!D14*$E319))*'Business Case'!$B$7-'Business Case'!$B$8*(('Business Case'!D11*$C319*'Business Case'!D12*$B319)-('Business Case'!C11*$C319*'Business Case'!C12*$B319))-'Business Case'!D15*$F319</f>
        <v>223832712.520682</v>
      </c>
      <c r="K319" s="39" t="n">
        <f aca="false">(('Business Case'!E11*$C319*'Business Case'!E12*$B319)-'Business Case'!E11*$C319*'Business Case'!E13*$D319-'Business Case'!E14*$E319)-MAX(0,(('Business Case'!E11*$C319*'Business Case'!E12*$B319)-'Business Case'!E11*$C319*'Business Case'!E13*$D319-'Business Case'!E14*$E319))*'Business Case'!$B$7-'Business Case'!$B$8*(('Business Case'!E11*$C319*'Business Case'!E12*$B319)-('Business Case'!D11*$C319*'Business Case'!D12*$B319))-'Business Case'!E15*$F319</f>
        <v>537382849.130479</v>
      </c>
      <c r="L319" s="39" t="n">
        <f aca="false">(('Business Case'!F11*$C319*'Business Case'!F12*$B319)-'Business Case'!F11*$C319*'Business Case'!F13*$D319-'Business Case'!F14*$E319)-MAX(0,(('Business Case'!F11*$C319*'Business Case'!F12*$B319)-'Business Case'!F11*$C319*'Business Case'!F13*$D319-'Business Case'!F14*$E319))*'Business Case'!$B$7-'Business Case'!$B$8*(('Business Case'!F11*$C319*'Business Case'!F12*$B319)-('Business Case'!E11*$C319*'Business Case'!E12*$B319))-'Business Case'!F15*$F319</f>
        <v>661169219.177405</v>
      </c>
      <c r="M319" s="39" t="n">
        <f aca="false">(('Business Case'!G11*$C319*'Business Case'!G12*$B319)-'Business Case'!G11*$C319*'Business Case'!G13*$D319-'Business Case'!G14*$E319)-MAX(0,(('Business Case'!G11*$C319*'Business Case'!G12*$B319)-'Business Case'!G11*$C319*'Business Case'!G13*$D319-'Business Case'!G14*$E319))*'Business Case'!$B$7-'Business Case'!$B$8*(('Business Case'!G11*$C319*'Business Case'!G12*$B319)-('Business Case'!F11*$C319*'Business Case'!F12*$B319))-'Business Case'!G15*$F319+'Business Case'!$B$8*('Business Case'!G11*$C319*'Business Case'!G12*$B319)</f>
        <v>859291599.92795</v>
      </c>
      <c r="N319" s="39" t="n">
        <f aca="false">IF(COUNT('Business Case'!B11:G11)=0,"",H319+NPV(G319,I319:M319))</f>
        <v>-511564060.477825</v>
      </c>
      <c r="P319" s="40" t="n">
        <f aca="true">RAND()</f>
        <v>0.17203090906653</v>
      </c>
      <c r="Q319" s="40" t="n">
        <f aca="true">RAND()</f>
        <v>0.957195569498483</v>
      </c>
      <c r="R319" s="40" t="n">
        <f aca="true">RAND()</f>
        <v>0.847104868249387</v>
      </c>
      <c r="S319" s="40" t="n">
        <f aca="true">RAND()</f>
        <v>0.690200915101538</v>
      </c>
      <c r="T319" s="40" t="n">
        <f aca="true">RAND()</f>
        <v>0.200682879023381</v>
      </c>
      <c r="U319" s="40" t="n">
        <f aca="true">RAND()</f>
        <v>0.65632544320189</v>
      </c>
    </row>
    <row r="320" customFormat="false" ht="15" hidden="false" customHeight="false" outlineLevel="0" collapsed="false">
      <c r="A320" s="36" t="n">
        <v>240</v>
      </c>
      <c r="B320" s="37" t="n">
        <f aca="false">1+IF($G$6=$E$6,$F$6,IF(P320&lt;($F$6-$E$6)/($G$6-$E$6),$E$6+SQRT(P320*($G$6-$E$6)*($F$6-$E$6)),$G$6-SQRT((1-P320)*($G$6-$E$6)*($G$6-$F$6))))</f>
        <v>1.00905653344698</v>
      </c>
      <c r="C320" s="37" t="n">
        <f aca="false">1+IF($G$7=$E$7,$F$7,IF(Q320&lt;($F$7-$E$7)/($G$7-$E$7),$E$7+SQRT(Q320*($G$7-$E$7)*($F$7-$E$7)),$G$7-SQRT((1-Q320)*($G$7-$E$7)*($G$7-$F$7))))</f>
        <v>0.925250247679005</v>
      </c>
      <c r="D320" s="37" t="n">
        <f aca="false">1+IF($G$8=$E$8,$F$8,IF(R320&lt;($F$8-$E$8)/($G$8-$E$8),$E$8+SQRT(R320*($G$8-$E$8)*($F$8-$E$8)),$G$8-SQRT((1-R320)*($G$8-$E$8)*($G$8-$F$8))))</f>
        <v>0.986614484807219</v>
      </c>
      <c r="E320" s="37" t="n">
        <f aca="false">1+IF($G$9=$E$9,$F$9,IF(S320&lt;($F$9-$E$9)/($G$9-$E$9),$E$9+SQRT(S320*($G$9-$E$9)*($F$9-$E$9)),$G$9-SQRT((1-S320)*($G$9-$E$9)*($G$9-$F$9))))</f>
        <v>1.05898048453851</v>
      </c>
      <c r="F320" s="37" t="n">
        <f aca="false">1+IF($G$10=$E$10,$F$10,IF(T320&lt;($F$10-$E$10)/($G$10-$E$10),$E$10+SQRT(T320*($G$10-$E$10)*($F$10-$E$10)),$G$10-SQRT((1-T320)*($G$10-$E$10)*($G$10-$F$10))))</f>
        <v>1.09387035841616</v>
      </c>
      <c r="G320" s="38" t="n">
        <f aca="false">IF($G$11=$E$11,$F$11,IF(U320&lt;($F$11-$E$11)/($G$11-$E$11),$E$11+SQRT(U320*($G$11-$E$11)*($F$11-$E$11)),$G$11-SQRT((1-U320)*($G$11-$E$11)*($G$11-$F$11))))</f>
        <v>0.0998254517319951</v>
      </c>
      <c r="H320" s="39" t="n">
        <f aca="false">(('Business Case'!B11*$C320*'Business Case'!B12*$B320)-'Business Case'!B11*$C320*'Business Case'!B13*$D320-'Business Case'!B14*$E320)-MAX(0,(('Business Case'!B11*$C320*'Business Case'!B12*$B320)-'Business Case'!B11*$C320*'Business Case'!B13*$D320-'Business Case'!B14*$E320))*'Business Case'!$B$7-'Business Case'!$B$8*('Business Case'!B11*$C320*'Business Case'!B12*$B320)-'Business Case'!B15*$F320</f>
        <v>-2187740716.83232</v>
      </c>
      <c r="I320" s="39" t="n">
        <f aca="false">(('Business Case'!C11*$C320*'Business Case'!C12*$B320)-'Business Case'!C11*$C320*'Business Case'!C13*$D320-'Business Case'!C14*$E320)-MAX(0,(('Business Case'!C11*$C320*'Business Case'!C12*$B320)-'Business Case'!C11*$C320*'Business Case'!C13*$D320-'Business Case'!C14*$E320))*'Business Case'!$B$7-'Business Case'!$B$8*(('Business Case'!C11*$C320*'Business Case'!C12*$B320)-('Business Case'!B11*$C320*'Business Case'!B12*$B320))-'Business Case'!C15*$F320</f>
        <v>-10977398.8290566</v>
      </c>
      <c r="J320" s="39" t="n">
        <f aca="false">(('Business Case'!D11*$C320*'Business Case'!D12*$B320)-'Business Case'!D11*$C320*'Business Case'!D13*$D320-'Business Case'!D14*$E320)-MAX(0,(('Business Case'!D11*$C320*'Business Case'!D12*$B320)-'Business Case'!D11*$C320*'Business Case'!D13*$D320-'Business Case'!D14*$E320))*'Business Case'!$B$7-'Business Case'!$B$8*(('Business Case'!D11*$C320*'Business Case'!D12*$B320)-('Business Case'!C11*$C320*'Business Case'!C12*$B320))-'Business Case'!D15*$F320</f>
        <v>286418632.305365</v>
      </c>
      <c r="K320" s="39" t="n">
        <f aca="false">(('Business Case'!E11*$C320*'Business Case'!E12*$B320)-'Business Case'!E11*$C320*'Business Case'!E13*$D320-'Business Case'!E14*$E320)-MAX(0,(('Business Case'!E11*$C320*'Business Case'!E12*$B320)-'Business Case'!E11*$C320*'Business Case'!E13*$D320-'Business Case'!E14*$E320))*'Business Case'!$B$7-'Business Case'!$B$8*(('Business Case'!E11*$C320*'Business Case'!E12*$B320)-('Business Case'!D11*$C320*'Business Case'!D12*$B320))-'Business Case'!E15*$F320</f>
        <v>638508181.360594</v>
      </c>
      <c r="L320" s="39" t="n">
        <f aca="false">(('Business Case'!F11*$C320*'Business Case'!F12*$B320)-'Business Case'!F11*$C320*'Business Case'!F13*$D320-'Business Case'!F14*$E320)-MAX(0,(('Business Case'!F11*$C320*'Business Case'!F12*$B320)-'Business Case'!F11*$C320*'Business Case'!F13*$D320-'Business Case'!F14*$E320))*'Business Case'!$B$7-'Business Case'!$B$8*(('Business Case'!F11*$C320*'Business Case'!F12*$B320)-('Business Case'!E11*$C320*'Business Case'!E12*$B320))-'Business Case'!F15*$F320</f>
        <v>769906437.885725</v>
      </c>
      <c r="M320" s="39" t="n">
        <f aca="false">(('Business Case'!G11*$C320*'Business Case'!G12*$B320)-'Business Case'!G11*$C320*'Business Case'!G13*$D320-'Business Case'!G14*$E320)-MAX(0,(('Business Case'!G11*$C320*'Business Case'!G12*$B320)-'Business Case'!G11*$C320*'Business Case'!G13*$D320-'Business Case'!G14*$E320))*'Business Case'!$B$7-'Business Case'!$B$8*(('Business Case'!G11*$C320*'Business Case'!G12*$B320)-('Business Case'!F11*$C320*'Business Case'!F12*$B320))-'Business Case'!G15*$F320+'Business Case'!$B$8*('Business Case'!G11*$C320*'Business Case'!G12*$B320)</f>
        <v>947370791.694172</v>
      </c>
      <c r="N320" s="39" t="n">
        <f aca="false">IF(COUNT('Business Case'!B11:G11)=0,"",H320+NPV(G320,I320:M320))</f>
        <v>-366087893.076314</v>
      </c>
      <c r="P320" s="40" t="n">
        <f aca="true">RAND()</f>
        <v>0.776484339549552</v>
      </c>
      <c r="Q320" s="40" t="n">
        <f aca="true">RAND()</f>
        <v>0.375834622810763</v>
      </c>
      <c r="R320" s="40" t="n">
        <f aca="true">RAND()</f>
        <v>0.178749399693076</v>
      </c>
      <c r="S320" s="40" t="n">
        <f aca="true">RAND()</f>
        <v>0.779078608137499</v>
      </c>
      <c r="T320" s="40" t="n">
        <f aca="true">RAND()</f>
        <v>0.674980466918685</v>
      </c>
      <c r="U320" s="40" t="n">
        <f aca="true">RAND()</f>
        <v>0.393048536377669</v>
      </c>
    </row>
    <row r="321" customFormat="false" ht="15" hidden="false" customHeight="false" outlineLevel="0" collapsed="false">
      <c r="A321" s="36" t="n">
        <v>241</v>
      </c>
      <c r="B321" s="37" t="n">
        <f aca="false">1+IF($G$6=$E$6,$F$6,IF(P321&lt;($F$6-$E$6)/($G$6-$E$6),$E$6+SQRT(P321*($G$6-$E$6)*($F$6-$E$6)),$G$6-SQRT((1-P321)*($G$6-$E$6)*($G$6-$F$6))))</f>
        <v>0.954402508587797</v>
      </c>
      <c r="C321" s="37" t="n">
        <f aca="false">1+IF($G$7=$E$7,$F$7,IF(Q321&lt;($F$7-$E$7)/($G$7-$E$7),$E$7+SQRT(Q321*($G$7-$E$7)*($F$7-$E$7)),$G$7-SQRT((1-Q321)*($G$7-$E$7)*($G$7-$F$7))))</f>
        <v>0.992388564511933</v>
      </c>
      <c r="D321" s="37" t="n">
        <f aca="false">1+IF($G$8=$E$8,$F$8,IF(R321&lt;($F$8-$E$8)/($G$8-$E$8),$E$8+SQRT(R321*($G$8-$E$8)*($F$8-$E$8)),$G$8-SQRT((1-R321)*($G$8-$E$8)*($G$8-$F$8))))</f>
        <v>1.04905228250757</v>
      </c>
      <c r="E321" s="37" t="n">
        <f aca="false">1+IF($G$9=$E$9,$F$9,IF(S321&lt;($F$9-$E$9)/($G$9-$E$9),$E$9+SQRT(S321*($G$9-$E$9)*($F$9-$E$9)),$G$9-SQRT((1-S321)*($G$9-$E$9)*($G$9-$F$9))))</f>
        <v>1.12648597154129</v>
      </c>
      <c r="F321" s="37" t="n">
        <f aca="false">1+IF($G$10=$E$10,$F$10,IF(T321&lt;($F$10-$E$10)/($G$10-$E$10),$E$10+SQRT(T321*($G$10-$E$10)*($F$10-$E$10)),$G$10-SQRT((1-T321)*($G$10-$E$10)*($G$10-$F$10))))</f>
        <v>1.00526126275072</v>
      </c>
      <c r="G321" s="38" t="n">
        <f aca="false">IF($G$11=$E$11,$F$11,IF(U321&lt;($F$11-$E$11)/($G$11-$E$11),$E$11+SQRT(U321*($G$11-$E$11)*($F$11-$E$11)),$G$11-SQRT((1-U321)*($G$11-$E$11)*($G$11-$F$11))))</f>
        <v>0.0968849626802195</v>
      </c>
      <c r="H321" s="39" t="n">
        <f aca="false">(('Business Case'!B11*$C321*'Business Case'!B12*$B321)-'Business Case'!B11*$C321*'Business Case'!B13*$D321-'Business Case'!B14*$E321)-MAX(0,(('Business Case'!B11*$C321*'Business Case'!B12*$B321)-'Business Case'!B11*$C321*'Business Case'!B13*$D321-'Business Case'!B14*$E321))*'Business Case'!$B$7-'Business Case'!$B$8*('Business Case'!B11*$C321*'Business Case'!B12*$B321)-'Business Case'!B15*$F321</f>
        <v>-2010522525.50144</v>
      </c>
      <c r="I321" s="39" t="n">
        <f aca="false">(('Business Case'!C11*$C321*'Business Case'!C12*$B321)-'Business Case'!C11*$C321*'Business Case'!C13*$D321-'Business Case'!C14*$E321)-MAX(0,(('Business Case'!C11*$C321*'Business Case'!C12*$B321)-'Business Case'!C11*$C321*'Business Case'!C13*$D321-'Business Case'!C14*$E321))*'Business Case'!$B$7-'Business Case'!$B$8*(('Business Case'!C11*$C321*'Business Case'!C12*$B321)-('Business Case'!B11*$C321*'Business Case'!B12*$B321))-'Business Case'!C15*$F321</f>
        <v>-66981014.3134609</v>
      </c>
      <c r="J321" s="39" t="n">
        <f aca="false">(('Business Case'!D11*$C321*'Business Case'!D12*$B321)-'Business Case'!D11*$C321*'Business Case'!D13*$D321-'Business Case'!D14*$E321)-MAX(0,(('Business Case'!D11*$C321*'Business Case'!D12*$B321)-'Business Case'!D11*$C321*'Business Case'!D13*$D321-'Business Case'!D14*$E321))*'Business Case'!$B$7-'Business Case'!$B$8*(('Business Case'!D11*$C321*'Business Case'!D12*$B321)-('Business Case'!C11*$C321*'Business Case'!C12*$B321))-'Business Case'!D15*$F321</f>
        <v>175850043.743776</v>
      </c>
      <c r="K321" s="39" t="n">
        <f aca="false">(('Business Case'!E11*$C321*'Business Case'!E12*$B321)-'Business Case'!E11*$C321*'Business Case'!E13*$D321-'Business Case'!E14*$E321)-MAX(0,(('Business Case'!E11*$C321*'Business Case'!E12*$B321)-'Business Case'!E11*$C321*'Business Case'!E13*$D321-'Business Case'!E14*$E321))*'Business Case'!$B$7-'Business Case'!$B$8*(('Business Case'!E11*$C321*'Business Case'!E12*$B321)-('Business Case'!D11*$C321*'Business Case'!D12*$B321))-'Business Case'!E15*$F321</f>
        <v>468944164.938549</v>
      </c>
      <c r="L321" s="39" t="n">
        <f aca="false">(('Business Case'!F11*$C321*'Business Case'!F12*$B321)-'Business Case'!F11*$C321*'Business Case'!F13*$D321-'Business Case'!F14*$E321)-MAX(0,(('Business Case'!F11*$C321*'Business Case'!F12*$B321)-'Business Case'!F11*$C321*'Business Case'!F13*$D321-'Business Case'!F14*$E321))*'Business Case'!$B$7-'Business Case'!$B$8*(('Business Case'!F11*$C321*'Business Case'!F12*$B321)-('Business Case'!E11*$C321*'Business Case'!E12*$B321))-'Business Case'!F15*$F321</f>
        <v>582620944.919266</v>
      </c>
      <c r="M321" s="39" t="n">
        <f aca="false">(('Business Case'!G11*$C321*'Business Case'!G12*$B321)-'Business Case'!G11*$C321*'Business Case'!G13*$D321-'Business Case'!G14*$E321)-MAX(0,(('Business Case'!G11*$C321*'Business Case'!G12*$B321)-'Business Case'!G11*$C321*'Business Case'!G13*$D321-'Business Case'!G14*$E321))*'Business Case'!$B$7-'Business Case'!$B$8*(('Business Case'!G11*$C321*'Business Case'!G12*$B321)-('Business Case'!F11*$C321*'Business Case'!F12*$B321))-'Business Case'!G15*$F321+'Business Case'!$B$8*('Business Case'!G11*$C321*'Business Case'!G12*$B321)</f>
        <v>762652961.708269</v>
      </c>
      <c r="N321" s="39" t="n">
        <f aca="false">IF(COUNT('Business Case'!B11:G11)=0,"",H321+NPV(G321,I321:M321))</f>
        <v>-687307575.635987</v>
      </c>
      <c r="P321" s="40" t="n">
        <f aca="true">RAND()</f>
        <v>0.197308862709687</v>
      </c>
      <c r="Q321" s="40" t="n">
        <f aca="true">RAND()</f>
        <v>0.633267204869249</v>
      </c>
      <c r="R321" s="40" t="n">
        <f aca="true">RAND()</f>
        <v>0.826955338820795</v>
      </c>
      <c r="S321" s="40" t="n">
        <f aca="true">RAND()</f>
        <v>0.985255745750473</v>
      </c>
      <c r="T321" s="40" t="n">
        <f aca="true">RAND()</f>
        <v>0.20137267319504</v>
      </c>
      <c r="U321" s="40" t="n">
        <f aca="true">RAND()</f>
        <v>0.285101964712404</v>
      </c>
    </row>
    <row r="322" customFormat="false" ht="15" hidden="false" customHeight="false" outlineLevel="0" collapsed="false">
      <c r="A322" s="36" t="n">
        <v>242</v>
      </c>
      <c r="B322" s="37" t="n">
        <f aca="false">1+IF($G$6=$E$6,$F$6,IF(P322&lt;($F$6-$E$6)/($G$6-$E$6),$E$6+SQRT(P322*($G$6-$E$6)*($F$6-$E$6)),$G$6-SQRT((1-P322)*($G$6-$E$6)*($G$6-$F$6))))</f>
        <v>0.978537796645219</v>
      </c>
      <c r="C322" s="37" t="n">
        <f aca="false">1+IF($G$7=$E$7,$F$7,IF(Q322&lt;($F$7-$E$7)/($G$7-$E$7),$E$7+SQRT(Q322*($G$7-$E$7)*($F$7-$E$7)),$G$7-SQRT((1-Q322)*($G$7-$E$7)*($G$7-$F$7))))</f>
        <v>0.832647866720433</v>
      </c>
      <c r="D322" s="37" t="n">
        <f aca="false">1+IF($G$8=$E$8,$F$8,IF(R322&lt;($F$8-$E$8)/($G$8-$E$8),$E$8+SQRT(R322*($G$8-$E$8)*($F$8-$E$8)),$G$8-SQRT((1-R322)*($G$8-$E$8)*($G$8-$F$8))))</f>
        <v>0.995059156542393</v>
      </c>
      <c r="E322" s="37" t="n">
        <f aca="false">1+IF($G$9=$E$9,$F$9,IF(S322&lt;($F$9-$E$9)/($G$9-$E$9),$E$9+SQRT(S322*($G$9-$E$9)*($F$9-$E$9)),$G$9-SQRT((1-S322)*($G$9-$E$9)*($G$9-$F$9))))</f>
        <v>1.01366621303344</v>
      </c>
      <c r="F322" s="37" t="n">
        <f aca="false">1+IF($G$10=$E$10,$F$10,IF(T322&lt;($F$10-$E$10)/($G$10-$E$10),$E$10+SQRT(T322*($G$10-$E$10)*($F$10-$E$10)),$G$10-SQRT((1-T322)*($G$10-$E$10)*($G$10-$F$10))))</f>
        <v>1.04819633216015</v>
      </c>
      <c r="G322" s="38" t="n">
        <f aca="false">IF($G$11=$E$11,$F$11,IF(U322&lt;($F$11-$E$11)/($G$11-$E$11),$E$11+SQRT(U322*($G$11-$E$11)*($F$11-$E$11)),$G$11-SQRT((1-U322)*($G$11-$E$11)*($G$11-$F$11))))</f>
        <v>0.106916881690479</v>
      </c>
      <c r="H322" s="39" t="n">
        <f aca="false">(('Business Case'!B11*$C322*'Business Case'!B12*$B322)-'Business Case'!B11*$C322*'Business Case'!B13*$D322-'Business Case'!B14*$E322)-MAX(0,(('Business Case'!B11*$C322*'Business Case'!B12*$B322)-'Business Case'!B11*$C322*'Business Case'!B13*$D322-'Business Case'!B14*$E322))*'Business Case'!$B$7-'Business Case'!$B$8*('Business Case'!B11*$C322*'Business Case'!B12*$B322)-'Business Case'!B15*$F322</f>
        <v>-2096392664.3203</v>
      </c>
      <c r="I322" s="39" t="n">
        <f aca="false">(('Business Case'!C11*$C322*'Business Case'!C12*$B322)-'Business Case'!C11*$C322*'Business Case'!C13*$D322-'Business Case'!C14*$E322)-MAX(0,(('Business Case'!C11*$C322*'Business Case'!C12*$B322)-'Business Case'!C11*$C322*'Business Case'!C13*$D322-'Business Case'!C14*$E322))*'Business Case'!$B$7-'Business Case'!$B$8*(('Business Case'!C11*$C322*'Business Case'!C12*$B322)-('Business Case'!B11*$C322*'Business Case'!B12*$B322))-'Business Case'!C15*$F322</f>
        <v>-47982733.6126299</v>
      </c>
      <c r="J322" s="39" t="n">
        <f aca="false">(('Business Case'!D11*$C322*'Business Case'!D12*$B322)-'Business Case'!D11*$C322*'Business Case'!D13*$D322-'Business Case'!D14*$E322)-MAX(0,(('Business Case'!D11*$C322*'Business Case'!D12*$B322)-'Business Case'!D11*$C322*'Business Case'!D13*$D322-'Business Case'!D14*$E322))*'Business Case'!$B$7-'Business Case'!$B$8*(('Business Case'!D11*$C322*'Business Case'!D12*$B322)-('Business Case'!C11*$C322*'Business Case'!C12*$B322))-'Business Case'!D15*$F322</f>
        <v>195235562.36055</v>
      </c>
      <c r="K322" s="39" t="n">
        <f aca="false">(('Business Case'!E11*$C322*'Business Case'!E12*$B322)-'Business Case'!E11*$C322*'Business Case'!E13*$D322-'Business Case'!E14*$E322)-MAX(0,(('Business Case'!E11*$C322*'Business Case'!E12*$B322)-'Business Case'!E11*$C322*'Business Case'!E13*$D322-'Business Case'!E14*$E322))*'Business Case'!$B$7-'Business Case'!$B$8*(('Business Case'!E11*$C322*'Business Case'!E12*$B322)-('Business Case'!D11*$C322*'Business Case'!D12*$B322))-'Business Case'!E15*$F322</f>
        <v>490863674.941738</v>
      </c>
      <c r="L322" s="39" t="n">
        <f aca="false">(('Business Case'!F11*$C322*'Business Case'!F12*$B322)-'Business Case'!F11*$C322*'Business Case'!F13*$D322-'Business Case'!F14*$E322)-MAX(0,(('Business Case'!F11*$C322*'Business Case'!F12*$B322)-'Business Case'!F11*$C322*'Business Case'!F13*$D322-'Business Case'!F14*$E322))*'Business Case'!$B$7-'Business Case'!$B$8*(('Business Case'!F11*$C322*'Business Case'!F12*$B322)-('Business Case'!E11*$C322*'Business Case'!E12*$B322))-'Business Case'!F15*$F322</f>
        <v>600095147.517092</v>
      </c>
      <c r="M322" s="39" t="n">
        <f aca="false">(('Business Case'!G11*$C322*'Business Case'!G12*$B322)-'Business Case'!G11*$C322*'Business Case'!G13*$D322-'Business Case'!G14*$E322)-MAX(0,(('Business Case'!G11*$C322*'Business Case'!G12*$B322)-'Business Case'!G11*$C322*'Business Case'!G13*$D322-'Business Case'!G14*$E322))*'Business Case'!$B$7-'Business Case'!$B$8*(('Business Case'!G11*$C322*'Business Case'!G12*$B322)-('Business Case'!F11*$C322*'Business Case'!F12*$B322))-'Business Case'!G15*$F322+'Business Case'!$B$8*('Business Case'!G11*$C322*'Business Case'!G12*$B322)</f>
        <v>754968037.397374</v>
      </c>
      <c r="N322" s="39" t="n">
        <f aca="false">IF(COUNT('Business Case'!B11:G11)=0,"",H322+NPV(G322,I322:M322))</f>
        <v>-764441392.451565</v>
      </c>
      <c r="P322" s="40" t="n">
        <f aca="true">RAND()</f>
        <v>0.411212366792387</v>
      </c>
      <c r="Q322" s="40" t="n">
        <f aca="true">RAND()</f>
        <v>0.130336715151716</v>
      </c>
      <c r="R322" s="40" t="n">
        <f aca="true">RAND()</f>
        <v>0.27071034510825</v>
      </c>
      <c r="S322" s="40" t="n">
        <f aca="true">RAND()</f>
        <v>0.504349294169481</v>
      </c>
      <c r="T322" s="40" t="n">
        <f aca="true">RAND()</f>
        <v>0.457003728618453</v>
      </c>
      <c r="U322" s="40" t="n">
        <f aca="true">RAND()</f>
        <v>0.644779766072443</v>
      </c>
    </row>
    <row r="323" customFormat="false" ht="15" hidden="false" customHeight="false" outlineLevel="0" collapsed="false">
      <c r="A323" s="36" t="n">
        <v>243</v>
      </c>
      <c r="B323" s="37" t="n">
        <f aca="false">1+IF($G$6=$E$6,$F$6,IF(P323&lt;($F$6-$E$6)/($G$6-$E$6),$E$6+SQRT(P323*($G$6-$E$6)*($F$6-$E$6)),$G$6-SQRT((1-P323)*($G$6-$E$6)*($G$6-$F$6))))</f>
        <v>0.926987296389918</v>
      </c>
      <c r="C323" s="37" t="n">
        <f aca="false">1+IF($G$7=$E$7,$F$7,IF(Q323&lt;($F$7-$E$7)/($G$7-$E$7),$E$7+SQRT(Q323*($G$7-$E$7)*($F$7-$E$7)),$G$7-SQRT((1-Q323)*($G$7-$E$7)*($G$7-$F$7))))</f>
        <v>0.790832286988373</v>
      </c>
      <c r="D323" s="37" t="n">
        <f aca="false">1+IF($G$8=$E$8,$F$8,IF(R323&lt;($F$8-$E$8)/($G$8-$E$8),$E$8+SQRT(R323*($G$8-$E$8)*($F$8-$E$8)),$G$8-SQRT((1-R323)*($G$8-$E$8)*($G$8-$F$8))))</f>
        <v>1.01738575653411</v>
      </c>
      <c r="E323" s="37" t="n">
        <f aca="false">1+IF($G$9=$E$9,$F$9,IF(S323&lt;($F$9-$E$9)/($G$9-$E$9),$E$9+SQRT(S323*($G$9-$E$9)*($F$9-$E$9)),$G$9-SQRT((1-S323)*($G$9-$E$9)*($G$9-$F$9))))</f>
        <v>0.915228723723649</v>
      </c>
      <c r="F323" s="37" t="n">
        <f aca="false">1+IF($G$10=$E$10,$F$10,IF(T323&lt;($F$10-$E$10)/($G$10-$E$10),$E$10+SQRT(T323*($G$10-$E$10)*($F$10-$E$10)),$G$10-SQRT((1-T323)*($G$10-$E$10)*($G$10-$F$10))))</f>
        <v>1.05056266449608</v>
      </c>
      <c r="G323" s="38" t="n">
        <f aca="false">IF($G$11=$E$11,$F$11,IF(U323&lt;($F$11-$E$11)/($G$11-$E$11),$E$11+SQRT(U323*($G$11-$E$11)*($F$11-$E$11)),$G$11-SQRT((1-U323)*($G$11-$E$11)*($G$11-$F$11))))</f>
        <v>0.0941914070197961</v>
      </c>
      <c r="H323" s="39" t="n">
        <f aca="false">(('Business Case'!B11*$C323*'Business Case'!B12*$B323)-'Business Case'!B11*$C323*'Business Case'!B13*$D323-'Business Case'!B14*$E323)-MAX(0,(('Business Case'!B11*$C323*'Business Case'!B12*$B323)-'Business Case'!B11*$C323*'Business Case'!B13*$D323-'Business Case'!B14*$E323))*'Business Case'!$B$7-'Business Case'!$B$8*('Business Case'!B11*$C323*'Business Case'!B12*$B323)-'Business Case'!B15*$F323</f>
        <v>-2101125328.99216</v>
      </c>
      <c r="I323" s="39" t="n">
        <f aca="false">(('Business Case'!C11*$C323*'Business Case'!C12*$B323)-'Business Case'!C11*$C323*'Business Case'!C13*$D323-'Business Case'!C14*$E323)-MAX(0,(('Business Case'!C11*$C323*'Business Case'!C12*$B323)-'Business Case'!C11*$C323*'Business Case'!C13*$D323-'Business Case'!C14*$E323))*'Business Case'!$B$7-'Business Case'!$B$8*(('Business Case'!C11*$C323*'Business Case'!C12*$B323)-('Business Case'!B11*$C323*'Business Case'!B12*$B323))-'Business Case'!C15*$F323</f>
        <v>-84631909.6369208</v>
      </c>
      <c r="J323" s="39" t="n">
        <f aca="false">(('Business Case'!D11*$C323*'Business Case'!D12*$B323)-'Business Case'!D11*$C323*'Business Case'!D13*$D323-'Business Case'!D14*$E323)-MAX(0,(('Business Case'!D11*$C323*'Business Case'!D12*$B323)-'Business Case'!D11*$C323*'Business Case'!D13*$D323-'Business Case'!D14*$E323))*'Business Case'!$B$7-'Business Case'!$B$8*(('Business Case'!D11*$C323*'Business Case'!D12*$B323)-('Business Case'!C11*$C323*'Business Case'!C12*$B323))-'Business Case'!D15*$F323</f>
        <v>103941434.199778</v>
      </c>
      <c r="K323" s="39" t="n">
        <f aca="false">(('Business Case'!E11*$C323*'Business Case'!E12*$B323)-'Business Case'!E11*$C323*'Business Case'!E13*$D323-'Business Case'!E14*$E323)-MAX(0,(('Business Case'!E11*$C323*'Business Case'!E12*$B323)-'Business Case'!E11*$C323*'Business Case'!E13*$D323-'Business Case'!E14*$E323))*'Business Case'!$B$7-'Business Case'!$B$8*(('Business Case'!E11*$C323*'Business Case'!E12*$B323)-('Business Case'!D11*$C323*'Business Case'!D12*$B323))-'Business Case'!E15*$F323</f>
        <v>345042911.26128</v>
      </c>
      <c r="L323" s="39" t="n">
        <f aca="false">(('Business Case'!F11*$C323*'Business Case'!F12*$B323)-'Business Case'!F11*$C323*'Business Case'!F13*$D323-'Business Case'!F14*$E323)-MAX(0,(('Business Case'!F11*$C323*'Business Case'!F12*$B323)-'Business Case'!F11*$C323*'Business Case'!F13*$D323-'Business Case'!F14*$E323))*'Business Case'!$B$7-'Business Case'!$B$8*(('Business Case'!F11*$C323*'Business Case'!F12*$B323)-('Business Case'!E11*$C323*'Business Case'!E12*$B323))-'Business Case'!F15*$F323</f>
        <v>433236334.213852</v>
      </c>
      <c r="M323" s="39" t="n">
        <f aca="false">(('Business Case'!G11*$C323*'Business Case'!G12*$B323)-'Business Case'!G11*$C323*'Business Case'!G13*$D323-'Business Case'!G14*$E323)-MAX(0,(('Business Case'!G11*$C323*'Business Case'!G12*$B323)-'Business Case'!G11*$C323*'Business Case'!G13*$D323-'Business Case'!G14*$E323))*'Business Case'!$B$7-'Business Case'!$B$8*(('Business Case'!G11*$C323*'Business Case'!G12*$B323)-('Business Case'!F11*$C323*'Business Case'!F12*$B323))-'Business Case'!G15*$F323+'Business Case'!$B$8*('Business Case'!G11*$C323*'Business Case'!G12*$B323)</f>
        <v>572582363.41905</v>
      </c>
      <c r="N323" s="39" t="n">
        <f aca="false">IF(COUNT('Business Case'!B11:G11)=0,"",H323+NPV(G323,I323:M323))</f>
        <v>-1160963194.84075</v>
      </c>
      <c r="P323" s="40" t="n">
        <f aca="true">RAND()</f>
        <v>0.0485542777624848</v>
      </c>
      <c r="Q323" s="40" t="n">
        <f aca="true">RAND()</f>
        <v>0.0611148471076899</v>
      </c>
      <c r="R323" s="40" t="n">
        <f aca="true">RAND()</f>
        <v>0.544992451770616</v>
      </c>
      <c r="S323" s="40" t="n">
        <f aca="true">RAND()</f>
        <v>0.00927656105004865</v>
      </c>
      <c r="T323" s="40" t="n">
        <f aca="true">RAND()</f>
        <v>0.469663322761278</v>
      </c>
      <c r="U323" s="40" t="n">
        <f aca="true">RAND()</f>
        <v>0.201396033201518</v>
      </c>
    </row>
    <row r="324" customFormat="false" ht="15" hidden="false" customHeight="false" outlineLevel="0" collapsed="false">
      <c r="A324" s="36" t="n">
        <v>244</v>
      </c>
      <c r="B324" s="37" t="n">
        <f aca="false">1+IF($G$6=$E$6,$F$6,IF(P324&lt;($F$6-$E$6)/($G$6-$E$6),$E$6+SQRT(P324*($G$6-$E$6)*($F$6-$E$6)),$G$6-SQRT((1-P324)*($G$6-$E$6)*($G$6-$F$6))))</f>
        <v>0.992855860983282</v>
      </c>
      <c r="C324" s="37" t="n">
        <f aca="false">1+IF($G$7=$E$7,$F$7,IF(Q324&lt;($F$7-$E$7)/($G$7-$E$7),$E$7+SQRT(Q324*($G$7-$E$7)*($F$7-$E$7)),$G$7-SQRT((1-Q324)*($G$7-$E$7)*($G$7-$F$7))))</f>
        <v>0.988379253857935</v>
      </c>
      <c r="D324" s="37" t="n">
        <f aca="false">1+IF($G$8=$E$8,$F$8,IF(R324&lt;($F$8-$E$8)/($G$8-$E$8),$E$8+SQRT(R324*($G$8-$E$8)*($F$8-$E$8)),$G$8-SQRT((1-R324)*($G$8-$E$8)*($G$8-$F$8))))</f>
        <v>1.09118820259972</v>
      </c>
      <c r="E324" s="37" t="n">
        <f aca="false">1+IF($G$9=$E$9,$F$9,IF(S324&lt;($F$9-$E$9)/($G$9-$E$9),$E$9+SQRT(S324*($G$9-$E$9)*($F$9-$E$9)),$G$9-SQRT((1-S324)*($G$9-$E$9)*($G$9-$F$9))))</f>
        <v>0.946239116794044</v>
      </c>
      <c r="F324" s="37" t="n">
        <f aca="false">1+IF($G$10=$E$10,$F$10,IF(T324&lt;($F$10-$E$10)/($G$10-$E$10),$E$10+SQRT(T324*($G$10-$E$10)*($F$10-$E$10)),$G$10-SQRT((1-T324)*($G$10-$E$10)*($G$10-$F$10))))</f>
        <v>1.07771347507911</v>
      </c>
      <c r="G324" s="38" t="n">
        <f aca="false">IF($G$11=$E$11,$F$11,IF(U324&lt;($F$11-$E$11)/($G$11-$E$11),$E$11+SQRT(U324*($G$11-$E$11)*($F$11-$E$11)),$G$11-SQRT((1-U324)*($G$11-$E$11)*($G$11-$F$11))))</f>
        <v>0.0950567285513356</v>
      </c>
      <c r="H324" s="39" t="n">
        <f aca="false">(('Business Case'!B11*$C324*'Business Case'!B12*$B324)-'Business Case'!B11*$C324*'Business Case'!B13*$D324-'Business Case'!B14*$E324)-MAX(0,(('Business Case'!B11*$C324*'Business Case'!B12*$B324)-'Business Case'!B11*$C324*'Business Case'!B13*$D324-'Business Case'!B14*$E324))*'Business Case'!$B$7-'Business Case'!$B$8*('Business Case'!B11*$C324*'Business Case'!B12*$B324)-'Business Case'!B15*$F324</f>
        <v>-2155426950.15823</v>
      </c>
      <c r="I324" s="39" t="n">
        <f aca="false">(('Business Case'!C11*$C324*'Business Case'!C12*$B324)-'Business Case'!C11*$C324*'Business Case'!C13*$D324-'Business Case'!C14*$E324)-MAX(0,(('Business Case'!C11*$C324*'Business Case'!C12*$B324)-'Business Case'!C11*$C324*'Business Case'!C13*$D324-'Business Case'!C14*$E324))*'Business Case'!$B$7-'Business Case'!$B$8*(('Business Case'!C11*$C324*'Business Case'!C12*$B324)-('Business Case'!B11*$C324*'Business Case'!B12*$B324))-'Business Case'!C15*$F324</f>
        <v>-41537578.0197693</v>
      </c>
      <c r="J324" s="39" t="n">
        <f aca="false">(('Business Case'!D11*$C324*'Business Case'!D12*$B324)-'Business Case'!D11*$C324*'Business Case'!D13*$D324-'Business Case'!D14*$E324)-MAX(0,(('Business Case'!D11*$C324*'Business Case'!D12*$B324)-'Business Case'!D11*$C324*'Business Case'!D13*$D324-'Business Case'!D14*$E324))*'Business Case'!$B$7-'Business Case'!$B$8*(('Business Case'!D11*$C324*'Business Case'!D12*$B324)-('Business Case'!C11*$C324*'Business Case'!C12*$B324))-'Business Case'!D15*$F324</f>
        <v>210122925.998366</v>
      </c>
      <c r="K324" s="39" t="n">
        <f aca="false">(('Business Case'!E11*$C324*'Business Case'!E12*$B324)-'Business Case'!E11*$C324*'Business Case'!E13*$D324-'Business Case'!E14*$E324)-MAX(0,(('Business Case'!E11*$C324*'Business Case'!E12*$B324)-'Business Case'!E11*$C324*'Business Case'!E13*$D324-'Business Case'!E14*$E324))*'Business Case'!$B$7-'Business Case'!$B$8*(('Business Case'!E11*$C324*'Business Case'!E12*$B324)-('Business Case'!D11*$C324*'Business Case'!D12*$B324))-'Business Case'!E15*$F324</f>
        <v>515669103.770457</v>
      </c>
      <c r="L324" s="39" t="n">
        <f aca="false">(('Business Case'!F11*$C324*'Business Case'!F12*$B324)-'Business Case'!F11*$C324*'Business Case'!F13*$D324-'Business Case'!F14*$E324)-MAX(0,(('Business Case'!F11*$C324*'Business Case'!F12*$B324)-'Business Case'!F11*$C324*'Business Case'!F13*$D324-'Business Case'!F14*$E324))*'Business Case'!$B$7-'Business Case'!$B$8*(('Business Case'!F11*$C324*'Business Case'!F12*$B324)-('Business Case'!E11*$C324*'Business Case'!E12*$B324))-'Business Case'!F15*$F324</f>
        <v>633470293.191089</v>
      </c>
      <c r="M324" s="39" t="n">
        <f aca="false">(('Business Case'!G11*$C324*'Business Case'!G12*$B324)-'Business Case'!G11*$C324*'Business Case'!G13*$D324-'Business Case'!G14*$E324)-MAX(0,(('Business Case'!G11*$C324*'Business Case'!G12*$B324)-'Business Case'!G11*$C324*'Business Case'!G13*$D324-'Business Case'!G14*$E324))*'Business Case'!$B$7-'Business Case'!$B$8*(('Business Case'!G11*$C324*'Business Case'!G12*$B324)-('Business Case'!F11*$C324*'Business Case'!F12*$B324))-'Business Case'!G15*$F324+'Business Case'!$B$8*('Business Case'!G11*$C324*'Business Case'!G12*$B324)</f>
        <v>819999244.30465</v>
      </c>
      <c r="N324" s="39" t="n">
        <f aca="false">IF(COUNT('Business Case'!B11:G11)=0,"",H324+NPV(G324,I324:M324))</f>
        <v>-664146203.21026</v>
      </c>
      <c r="P324" s="40" t="n">
        <f aca="true">RAND()</f>
        <v>0.57481406126311</v>
      </c>
      <c r="Q324" s="40" t="n">
        <f aca="true">RAND()</f>
        <v>0.616019215227108</v>
      </c>
      <c r="R324" s="40" t="n">
        <f aca="true">RAND()</f>
        <v>0.994823481771756</v>
      </c>
      <c r="S324" s="40" t="n">
        <f aca="true">RAND()</f>
        <v>0.0855222368757277</v>
      </c>
      <c r="T324" s="40" t="n">
        <f aca="true">RAND()</f>
        <v>0.604231377742465</v>
      </c>
      <c r="U324" s="40" t="n">
        <f aca="true">RAND()</f>
        <v>0.226705074668605</v>
      </c>
    </row>
    <row r="325" customFormat="false" ht="15" hidden="false" customHeight="false" outlineLevel="0" collapsed="false">
      <c r="A325" s="36" t="n">
        <v>245</v>
      </c>
      <c r="B325" s="37" t="n">
        <f aca="false">1+IF($G$6=$E$6,$F$6,IF(P325&lt;($F$6-$E$6)/($G$6-$E$6),$E$6+SQRT(P325*($G$6-$E$6)*($F$6-$E$6)),$G$6-SQRT((1-P325)*($G$6-$E$6)*($G$6-$F$6))))</f>
        <v>0.944664167610208</v>
      </c>
      <c r="C325" s="37" t="n">
        <f aca="false">1+IF($G$7=$E$7,$F$7,IF(Q325&lt;($F$7-$E$7)/($G$7-$E$7),$E$7+SQRT(Q325*($G$7-$E$7)*($F$7-$E$7)),$G$7-SQRT((1-Q325)*($G$7-$E$7)*($G$7-$F$7))))</f>
        <v>0.953907415950756</v>
      </c>
      <c r="D325" s="37" t="n">
        <f aca="false">1+IF($G$8=$E$8,$F$8,IF(R325&lt;($F$8-$E$8)/($G$8-$E$8),$E$8+SQRT(R325*($G$8-$E$8)*($F$8-$E$8)),$G$8-SQRT((1-R325)*($G$8-$E$8)*($G$8-$F$8))))</f>
        <v>1.04224033614588</v>
      </c>
      <c r="E325" s="37" t="n">
        <f aca="false">1+IF($G$9=$E$9,$F$9,IF(S325&lt;($F$9-$E$9)/($G$9-$E$9),$E$9+SQRT(S325*($G$9-$E$9)*($F$9-$E$9)),$G$9-SQRT((1-S325)*($G$9-$E$9)*($G$9-$F$9))))</f>
        <v>0.954560429543486</v>
      </c>
      <c r="F325" s="37" t="n">
        <f aca="false">1+IF($G$10=$E$10,$F$10,IF(T325&lt;($F$10-$E$10)/($G$10-$E$10),$E$10+SQRT(T325*($G$10-$E$10)*($F$10-$E$10)),$G$10-SQRT((1-T325)*($G$10-$E$10)*($G$10-$F$10))))</f>
        <v>0.986341581552639</v>
      </c>
      <c r="G325" s="38" t="n">
        <f aca="false">IF($G$11=$E$11,$F$11,IF(U325&lt;($F$11-$E$11)/($G$11-$E$11),$E$11+SQRT(U325*($G$11-$E$11)*($F$11-$E$11)),$G$11-SQRT((1-U325)*($G$11-$E$11)*($G$11-$F$11))))</f>
        <v>0.0889468030381922</v>
      </c>
      <c r="H325" s="39" t="n">
        <f aca="false">(('Business Case'!B11*$C325*'Business Case'!B12*$B325)-'Business Case'!B11*$C325*'Business Case'!B13*$D325-'Business Case'!B14*$E325)-MAX(0,(('Business Case'!B11*$C325*'Business Case'!B12*$B325)-'Business Case'!B11*$C325*'Business Case'!B13*$D325-'Business Case'!B14*$E325))*'Business Case'!$B$7-'Business Case'!$B$8*('Business Case'!B11*$C325*'Business Case'!B12*$B325)-'Business Case'!B15*$F325</f>
        <v>-1972683163.10528</v>
      </c>
      <c r="I325" s="39" t="n">
        <f aca="false">(('Business Case'!C11*$C325*'Business Case'!C12*$B325)-'Business Case'!C11*$C325*'Business Case'!C13*$D325-'Business Case'!C14*$E325)-MAX(0,(('Business Case'!C11*$C325*'Business Case'!C12*$B325)-'Business Case'!C11*$C325*'Business Case'!C13*$D325-'Business Case'!C14*$E325))*'Business Case'!$B$7-'Business Case'!$B$8*(('Business Case'!C11*$C325*'Business Case'!C12*$B325)-('Business Case'!B11*$C325*'Business Case'!B12*$B325))-'Business Case'!C15*$F325</f>
        <v>-51954164.2541466</v>
      </c>
      <c r="J325" s="39" t="n">
        <f aca="false">(('Business Case'!D11*$C325*'Business Case'!D12*$B325)-'Business Case'!D11*$C325*'Business Case'!D13*$D325-'Business Case'!D14*$E325)-MAX(0,(('Business Case'!D11*$C325*'Business Case'!D12*$B325)-'Business Case'!D11*$C325*'Business Case'!D13*$D325-'Business Case'!D14*$E325))*'Business Case'!$B$7-'Business Case'!$B$8*(('Business Case'!D11*$C325*'Business Case'!D12*$B325)-('Business Case'!C11*$C325*'Business Case'!C12*$B325))-'Business Case'!D15*$F325</f>
        <v>177178495.246693</v>
      </c>
      <c r="K325" s="39" t="n">
        <f aca="false">(('Business Case'!E11*$C325*'Business Case'!E12*$B325)-'Business Case'!E11*$C325*'Business Case'!E13*$D325-'Business Case'!E14*$E325)-MAX(0,(('Business Case'!E11*$C325*'Business Case'!E12*$B325)-'Business Case'!E11*$C325*'Business Case'!E13*$D325-'Business Case'!E14*$E325))*'Business Case'!$B$7-'Business Case'!$B$8*(('Business Case'!E11*$C325*'Business Case'!E12*$B325)-('Business Case'!D11*$C325*'Business Case'!D12*$B325))-'Business Case'!E15*$F325</f>
        <v>455628233.825164</v>
      </c>
      <c r="L325" s="39" t="n">
        <f aca="false">(('Business Case'!F11*$C325*'Business Case'!F12*$B325)-'Business Case'!F11*$C325*'Business Case'!F13*$D325-'Business Case'!F14*$E325)-MAX(0,(('Business Case'!F11*$C325*'Business Case'!F12*$B325)-'Business Case'!F11*$C325*'Business Case'!F13*$D325-'Business Case'!F14*$E325))*'Business Case'!$B$7-'Business Case'!$B$8*(('Business Case'!F11*$C325*'Business Case'!F12*$B325)-('Business Case'!E11*$C325*'Business Case'!E12*$B325))-'Business Case'!F15*$F325</f>
        <v>563148568.671203</v>
      </c>
      <c r="M325" s="39" t="n">
        <f aca="false">(('Business Case'!G11*$C325*'Business Case'!G12*$B325)-'Business Case'!G11*$C325*'Business Case'!G13*$D325-'Business Case'!G14*$E325)-MAX(0,(('Business Case'!G11*$C325*'Business Case'!G12*$B325)-'Business Case'!G11*$C325*'Business Case'!G13*$D325-'Business Case'!G14*$E325))*'Business Case'!$B$7-'Business Case'!$B$8*(('Business Case'!G11*$C325*'Business Case'!G12*$B325)-('Business Case'!F11*$C325*'Business Case'!F12*$B325))-'Business Case'!G15*$F325+'Business Case'!$B$8*('Business Case'!G11*$C325*'Business Case'!G12*$B325)</f>
        <v>734433867.90621</v>
      </c>
      <c r="N325" s="39" t="n">
        <f aca="false">IF(COUNT('Business Case'!B11:G11)=0,"",H325+NPV(G325,I325:M325))</f>
        <v>-637988333.256887</v>
      </c>
      <c r="P325" s="40" t="n">
        <f aca="true">RAND()</f>
        <v>0.132992524554185</v>
      </c>
      <c r="Q325" s="40" t="n">
        <f aca="true">RAND()</f>
        <v>0.477547969442891</v>
      </c>
      <c r="R325" s="40" t="n">
        <f aca="true">RAND()</f>
        <v>0.7775880820973</v>
      </c>
      <c r="S325" s="40" t="n">
        <f aca="true">RAND()</f>
        <v>0.119073618878786</v>
      </c>
      <c r="T325" s="40" t="n">
        <f aca="true">RAND()</f>
        <v>0.08804736998314</v>
      </c>
      <c r="U325" s="40" t="n">
        <f aca="true">RAND()</f>
        <v>0.0800452846042048</v>
      </c>
    </row>
    <row r="326" customFormat="false" ht="15" hidden="false" customHeight="false" outlineLevel="0" collapsed="false">
      <c r="A326" s="36" t="n">
        <v>246</v>
      </c>
      <c r="B326" s="37" t="n">
        <f aca="false">1+IF($G$6=$E$6,$F$6,IF(P326&lt;($F$6-$E$6)/($G$6-$E$6),$E$6+SQRT(P326*($G$6-$E$6)*($F$6-$E$6)),$G$6-SQRT((1-P326)*($G$6-$E$6)*($G$6-$F$6))))</f>
        <v>0.999502398951467</v>
      </c>
      <c r="C326" s="37" t="n">
        <f aca="false">1+IF($G$7=$E$7,$F$7,IF(Q326&lt;($F$7-$E$7)/($G$7-$E$7),$E$7+SQRT(Q326*($G$7-$E$7)*($F$7-$E$7)),$G$7-SQRT((1-Q326)*($G$7-$E$7)*($G$7-$F$7))))</f>
        <v>0.816784209083561</v>
      </c>
      <c r="D326" s="37" t="n">
        <f aca="false">1+IF($G$8=$E$8,$F$8,IF(R326&lt;($F$8-$E$8)/($G$8-$E$8),$E$8+SQRT(R326*($G$8-$E$8)*($F$8-$E$8)),$G$8-SQRT((1-R326)*($G$8-$E$8)*($G$8-$F$8))))</f>
        <v>0.99513274088561</v>
      </c>
      <c r="E326" s="37" t="n">
        <f aca="false">1+IF($G$9=$E$9,$F$9,IF(S326&lt;($F$9-$E$9)/($G$9-$E$9),$E$9+SQRT(S326*($G$9-$E$9)*($F$9-$E$9)),$G$9-SQRT((1-S326)*($G$9-$E$9)*($G$9-$F$9))))</f>
        <v>1.05541544125766</v>
      </c>
      <c r="F326" s="37" t="n">
        <f aca="false">1+IF($G$10=$E$10,$F$10,IF(T326&lt;($F$10-$E$10)/($G$10-$E$10),$E$10+SQRT(T326*($G$10-$E$10)*($F$10-$E$10)),$G$10-SQRT((1-T326)*($G$10-$E$10)*($G$10-$F$10))))</f>
        <v>1.04605968477513</v>
      </c>
      <c r="G326" s="38" t="n">
        <f aca="false">IF($G$11=$E$11,$F$11,IF(U326&lt;($F$11-$E$11)/($G$11-$E$11),$E$11+SQRT(U326*($G$11-$E$11)*($F$11-$E$11)),$G$11-SQRT((1-U326)*($G$11-$E$11)*($G$11-$F$11))))</f>
        <v>0.102876735556635</v>
      </c>
      <c r="H326" s="39" t="n">
        <f aca="false">(('Business Case'!B11*$C326*'Business Case'!B12*$B326)-'Business Case'!B11*$C326*'Business Case'!B13*$D326-'Business Case'!B14*$E326)-MAX(0,(('Business Case'!B11*$C326*'Business Case'!B12*$B326)-'Business Case'!B11*$C326*'Business Case'!B13*$D326-'Business Case'!B14*$E326))*'Business Case'!$B$7-'Business Case'!$B$8*('Business Case'!B11*$C326*'Business Case'!B12*$B326)-'Business Case'!B15*$F326</f>
        <v>-2092119369.55026</v>
      </c>
      <c r="I326" s="39" t="n">
        <f aca="false">(('Business Case'!C11*$C326*'Business Case'!C12*$B326)-'Business Case'!C11*$C326*'Business Case'!C13*$D326-'Business Case'!C14*$E326)-MAX(0,(('Business Case'!C11*$C326*'Business Case'!C12*$B326)-'Business Case'!C11*$C326*'Business Case'!C13*$D326-'Business Case'!C14*$E326))*'Business Case'!$B$7-'Business Case'!$B$8*(('Business Case'!C11*$C326*'Business Case'!C12*$B326)-('Business Case'!B11*$C326*'Business Case'!B12*$B326))-'Business Case'!C15*$F326</f>
        <v>-44427924.2342027</v>
      </c>
      <c r="J326" s="39" t="n">
        <f aca="false">(('Business Case'!D11*$C326*'Business Case'!D12*$B326)-'Business Case'!D11*$C326*'Business Case'!D13*$D326-'Business Case'!D14*$E326)-MAX(0,(('Business Case'!D11*$C326*'Business Case'!D12*$B326)-'Business Case'!D11*$C326*'Business Case'!D13*$D326-'Business Case'!D14*$E326))*'Business Case'!$B$7-'Business Case'!$B$8*(('Business Case'!D11*$C326*'Business Case'!D12*$B326)-('Business Case'!C11*$C326*'Business Case'!C12*$B326))-'Business Case'!D15*$F326</f>
        <v>208151219.684767</v>
      </c>
      <c r="K326" s="39" t="n">
        <f aca="false">(('Business Case'!E11*$C326*'Business Case'!E12*$B326)-'Business Case'!E11*$C326*'Business Case'!E13*$D326-'Business Case'!E14*$E326)-MAX(0,(('Business Case'!E11*$C326*'Business Case'!E12*$B326)-'Business Case'!E11*$C326*'Business Case'!E13*$D326-'Business Case'!E14*$E326))*'Business Case'!$B$7-'Business Case'!$B$8*(('Business Case'!E11*$C326*'Business Case'!E12*$B326)-('Business Case'!D11*$C326*'Business Case'!D12*$B326))-'Business Case'!E15*$F326</f>
        <v>513033347.842493</v>
      </c>
      <c r="L326" s="39" t="n">
        <f aca="false">(('Business Case'!F11*$C326*'Business Case'!F12*$B326)-'Business Case'!F11*$C326*'Business Case'!F13*$D326-'Business Case'!F14*$E326)-MAX(0,(('Business Case'!F11*$C326*'Business Case'!F12*$B326)-'Business Case'!F11*$C326*'Business Case'!F13*$D326-'Business Case'!F14*$E326))*'Business Case'!$B$7-'Business Case'!$B$8*(('Business Case'!F11*$C326*'Business Case'!F12*$B326)-('Business Case'!E11*$C326*'Business Case'!E12*$B326))-'Business Case'!F15*$F326</f>
        <v>625440411.768029</v>
      </c>
      <c r="M326" s="39" t="n">
        <f aca="false">(('Business Case'!G11*$C326*'Business Case'!G12*$B326)-'Business Case'!G11*$C326*'Business Case'!G13*$D326-'Business Case'!G14*$E326)-MAX(0,(('Business Case'!G11*$C326*'Business Case'!G12*$B326)-'Business Case'!G11*$C326*'Business Case'!G13*$D326-'Business Case'!G14*$E326))*'Business Case'!$B$7-'Business Case'!$B$8*(('Business Case'!G11*$C326*'Business Case'!G12*$B326)-('Business Case'!F11*$C326*'Business Case'!F12*$B326))-'Business Case'!G15*$F326+'Business Case'!$B$8*('Business Case'!G11*$C326*'Business Case'!G12*$B326)</f>
        <v>780617499.507034</v>
      </c>
      <c r="N326" s="39" t="n">
        <f aca="false">IF(COUNT('Business Case'!B11:G11)=0,"",H326+NPV(G326,I326:M326))</f>
        <v>-677674249.534863</v>
      </c>
      <c r="P326" s="40" t="n">
        <f aca="true">RAND()</f>
        <v>0.660048493139799</v>
      </c>
      <c r="Q326" s="40" t="n">
        <f aca="true">RAND()</f>
        <v>0.101026307342762</v>
      </c>
      <c r="R326" s="40" t="n">
        <f aca="true">RAND()</f>
        <v>0.271595239979682</v>
      </c>
      <c r="S326" s="40" t="n">
        <f aca="true">RAND()</f>
        <v>0.761433633267135</v>
      </c>
      <c r="T326" s="40" t="n">
        <f aca="true">RAND()</f>
        <v>0.445444637679741</v>
      </c>
      <c r="U326" s="40" t="n">
        <f aca="true">RAND()</f>
        <v>0.509552350623528</v>
      </c>
    </row>
    <row r="327" customFormat="false" ht="15" hidden="false" customHeight="false" outlineLevel="0" collapsed="false">
      <c r="A327" s="36" t="n">
        <v>247</v>
      </c>
      <c r="B327" s="37" t="n">
        <f aca="false">1+IF($G$6=$E$6,$F$6,IF(P327&lt;($F$6-$E$6)/($G$6-$E$6),$E$6+SQRT(P327*($G$6-$E$6)*($F$6-$E$6)),$G$6-SQRT((1-P327)*($G$6-$E$6)*($G$6-$F$6))))</f>
        <v>0.917377804628368</v>
      </c>
      <c r="C327" s="37" t="n">
        <f aca="false">1+IF($G$7=$E$7,$F$7,IF(Q327&lt;($F$7-$E$7)/($G$7-$E$7),$E$7+SQRT(Q327*($G$7-$E$7)*($F$7-$E$7)),$G$7-SQRT((1-Q327)*($G$7-$E$7)*($G$7-$F$7))))</f>
        <v>1.04772865278887</v>
      </c>
      <c r="D327" s="37" t="n">
        <f aca="false">1+IF($G$8=$E$8,$F$8,IF(R327&lt;($F$8-$E$8)/($G$8-$E$8),$E$8+SQRT(R327*($G$8-$E$8)*($F$8-$E$8)),$G$8-SQRT((1-R327)*($G$8-$E$8)*($G$8-$F$8))))</f>
        <v>1.00000393869567</v>
      </c>
      <c r="E327" s="37" t="n">
        <f aca="false">1+IF($G$9=$E$9,$F$9,IF(S327&lt;($F$9-$E$9)/($G$9-$E$9),$E$9+SQRT(S327*($G$9-$E$9)*($F$9-$E$9)),$G$9-SQRT((1-S327)*($G$9-$E$9)*($G$9-$F$9))))</f>
        <v>1.00305669773396</v>
      </c>
      <c r="F327" s="37" t="n">
        <f aca="false">1+IF($G$10=$E$10,$F$10,IF(T327&lt;($F$10-$E$10)/($G$10-$E$10),$E$10+SQRT(T327*($G$10-$E$10)*($F$10-$E$10)),$G$10-SQRT((1-T327)*($G$10-$E$10)*($G$10-$F$10))))</f>
        <v>1.01954255244814</v>
      </c>
      <c r="G327" s="38" t="n">
        <f aca="false">IF($G$11=$E$11,$F$11,IF(U327&lt;($F$11-$E$11)/($G$11-$E$11),$E$11+SQRT(U327*($G$11-$E$11)*($F$11-$E$11)),$G$11-SQRT((1-U327)*($G$11-$E$11)*($G$11-$F$11))))</f>
        <v>0.112341309728608</v>
      </c>
      <c r="H327" s="39" t="n">
        <f aca="false">(('Business Case'!B11*$C327*'Business Case'!B12*$B327)-'Business Case'!B11*$C327*'Business Case'!B13*$D327-'Business Case'!B14*$E327)-MAX(0,(('Business Case'!B11*$C327*'Business Case'!B12*$B327)-'Business Case'!B11*$C327*'Business Case'!B13*$D327-'Business Case'!B14*$E327))*'Business Case'!$B$7-'Business Case'!$B$8*('Business Case'!B11*$C327*'Business Case'!B12*$B327)-'Business Case'!B15*$F327</f>
        <v>-2039085104.89629</v>
      </c>
      <c r="I327" s="39" t="n">
        <f aca="false">(('Business Case'!C11*$C327*'Business Case'!C12*$B327)-'Business Case'!C11*$C327*'Business Case'!C13*$D327-'Business Case'!C14*$E327)-MAX(0,(('Business Case'!C11*$C327*'Business Case'!C12*$B327)-'Business Case'!C11*$C327*'Business Case'!C13*$D327-'Business Case'!C14*$E327))*'Business Case'!$B$7-'Business Case'!$B$8*(('Business Case'!C11*$C327*'Business Case'!C12*$B327)-('Business Case'!B11*$C327*'Business Case'!B12*$B327))-'Business Case'!C15*$F327</f>
        <v>-43509262.6127845</v>
      </c>
      <c r="J327" s="39" t="n">
        <f aca="false">(('Business Case'!D11*$C327*'Business Case'!D12*$B327)-'Business Case'!D11*$C327*'Business Case'!D13*$D327-'Business Case'!D14*$E327)-MAX(0,(('Business Case'!D11*$C327*'Business Case'!D12*$B327)-'Business Case'!D11*$C327*'Business Case'!D13*$D327-'Business Case'!D14*$E327))*'Business Case'!$B$7-'Business Case'!$B$8*(('Business Case'!D11*$C327*'Business Case'!D12*$B327)-('Business Case'!C11*$C327*'Business Case'!C12*$B327))-'Business Case'!D15*$F327</f>
        <v>207397082.944968</v>
      </c>
      <c r="K327" s="39" t="n">
        <f aca="false">(('Business Case'!E11*$C327*'Business Case'!E12*$B327)-'Business Case'!E11*$C327*'Business Case'!E13*$D327-'Business Case'!E14*$E327)-MAX(0,(('Business Case'!E11*$C327*'Business Case'!E12*$B327)-'Business Case'!E11*$C327*'Business Case'!E13*$D327-'Business Case'!E14*$E327))*'Business Case'!$B$7-'Business Case'!$B$8*(('Business Case'!E11*$C327*'Business Case'!E12*$B327)-('Business Case'!D11*$C327*'Business Case'!D12*$B327))-'Business Case'!E15*$F327</f>
        <v>509280556.125128</v>
      </c>
      <c r="L327" s="39" t="n">
        <f aca="false">(('Business Case'!F11*$C327*'Business Case'!F12*$B327)-'Business Case'!F11*$C327*'Business Case'!F13*$D327-'Business Case'!F14*$E327)-MAX(0,(('Business Case'!F11*$C327*'Business Case'!F12*$B327)-'Business Case'!F11*$C327*'Business Case'!F13*$D327-'Business Case'!F14*$E327))*'Business Case'!$B$7-'Business Case'!$B$8*(('Business Case'!F11*$C327*'Business Case'!F12*$B327)-('Business Case'!E11*$C327*'Business Case'!E12*$B327))-'Business Case'!F15*$F327</f>
        <v>626133798.316348</v>
      </c>
      <c r="M327" s="39" t="n">
        <f aca="false">(('Business Case'!G11*$C327*'Business Case'!G12*$B327)-'Business Case'!G11*$C327*'Business Case'!G13*$D327-'Business Case'!G14*$E327)-MAX(0,(('Business Case'!G11*$C327*'Business Case'!G12*$B327)-'Business Case'!G11*$C327*'Business Case'!G13*$D327-'Business Case'!G14*$E327))*'Business Case'!$B$7-'Business Case'!$B$8*(('Business Case'!G11*$C327*'Business Case'!G12*$B327)-('Business Case'!F11*$C327*'Business Case'!F12*$B327))-'Business Case'!G15*$F327+'Business Case'!$B$8*('Business Case'!G11*$C327*'Business Case'!G12*$B327)</f>
        <v>808831663.512177</v>
      </c>
      <c r="N327" s="39" t="n">
        <f aca="false">IF(COUNT('Business Case'!B11:G11)=0,"",H327+NPV(G327,I327:M327))</f>
        <v>-656580942.085652</v>
      </c>
      <c r="P327" s="40" t="n">
        <f aca="true">RAND()</f>
        <v>0.0201325395801161</v>
      </c>
      <c r="Q327" s="40" t="n">
        <f aca="true">RAND()</f>
        <v>0.845045504290686</v>
      </c>
      <c r="R327" s="40" t="n">
        <f aca="true">RAND()</f>
        <v>0.333385848241407</v>
      </c>
      <c r="S327" s="40" t="n">
        <f aca="true">RAND()</f>
        <v>0.424204424510704</v>
      </c>
      <c r="T327" s="40" t="n">
        <f aca="true">RAND()</f>
        <v>0.291858198238441</v>
      </c>
      <c r="U327" s="40" t="n">
        <f aca="true">RAND()</f>
        <v>0.792113771932695</v>
      </c>
    </row>
    <row r="328" customFormat="false" ht="15" hidden="false" customHeight="false" outlineLevel="0" collapsed="false">
      <c r="A328" s="36" t="n">
        <v>248</v>
      </c>
      <c r="B328" s="37" t="n">
        <f aca="false">1+IF($G$6=$E$6,$F$6,IF(P328&lt;($F$6-$E$6)/($G$6-$E$6),$E$6+SQRT(P328*($G$6-$E$6)*($F$6-$E$6)),$G$6-SQRT((1-P328)*($G$6-$E$6)*($G$6-$F$6))))</f>
        <v>1.00859929689804</v>
      </c>
      <c r="C328" s="37" t="n">
        <f aca="false">1+IF($G$7=$E$7,$F$7,IF(Q328&lt;($F$7-$E$7)/($G$7-$E$7),$E$7+SQRT(Q328*($G$7-$E$7)*($F$7-$E$7)),$G$7-SQRT((1-Q328)*($G$7-$E$7)*($G$7-$F$7))))</f>
        <v>0.862413239529279</v>
      </c>
      <c r="D328" s="37" t="n">
        <f aca="false">1+IF($G$8=$E$8,$F$8,IF(R328&lt;($F$8-$E$8)/($G$8-$E$8),$E$8+SQRT(R328*($G$8-$E$8)*($F$8-$E$8)),$G$8-SQRT((1-R328)*($G$8-$E$8)*($G$8-$F$8))))</f>
        <v>1.02596500509739</v>
      </c>
      <c r="E328" s="37" t="n">
        <f aca="false">1+IF($G$9=$E$9,$F$9,IF(S328&lt;($F$9-$E$9)/($G$9-$E$9),$E$9+SQRT(S328*($G$9-$E$9)*($F$9-$E$9)),$G$9-SQRT((1-S328)*($G$9-$E$9)*($G$9-$F$9))))</f>
        <v>1.07897987556204</v>
      </c>
      <c r="F328" s="37" t="n">
        <f aca="false">1+IF($G$10=$E$10,$F$10,IF(T328&lt;($F$10-$E$10)/($G$10-$E$10),$E$10+SQRT(T328*($G$10-$E$10)*($F$10-$E$10)),$G$10-SQRT((1-T328)*($G$10-$E$10)*($G$10-$F$10))))</f>
        <v>1.22432063097034</v>
      </c>
      <c r="G328" s="38" t="n">
        <f aca="false">IF($G$11=$E$11,$F$11,IF(U328&lt;($F$11-$E$11)/($G$11-$E$11),$E$11+SQRT(U328*($G$11-$E$11)*($F$11-$E$11)),$G$11-SQRT((1-U328)*($G$11-$E$11)*($G$11-$F$11))))</f>
        <v>0.11307611731447</v>
      </c>
      <c r="H328" s="39" t="n">
        <f aca="false">(('Business Case'!B11*$C328*'Business Case'!B12*$B328)-'Business Case'!B11*$C328*'Business Case'!B13*$D328-'Business Case'!B14*$E328)-MAX(0,(('Business Case'!B11*$C328*'Business Case'!B12*$B328)-'Business Case'!B11*$C328*'Business Case'!B13*$D328-'Business Case'!B14*$E328))*'Business Case'!$B$7-'Business Case'!$B$8*('Business Case'!B11*$C328*'Business Case'!B12*$B328)-'Business Case'!B15*$F328</f>
        <v>-2448641261.94069</v>
      </c>
      <c r="I328" s="39" t="n">
        <f aca="false">(('Business Case'!C11*$C328*'Business Case'!C12*$B328)-'Business Case'!C11*$C328*'Business Case'!C13*$D328-'Business Case'!C14*$E328)-MAX(0,(('Business Case'!C11*$C328*'Business Case'!C12*$B328)-'Business Case'!C11*$C328*'Business Case'!C13*$D328-'Business Case'!C14*$E328))*'Business Case'!$B$7-'Business Case'!$B$8*(('Business Case'!C11*$C328*'Business Case'!C12*$B328)-('Business Case'!B11*$C328*'Business Case'!B12*$B328))-'Business Case'!C15*$F328</f>
        <v>-61451848.160992</v>
      </c>
      <c r="J328" s="39" t="n">
        <f aca="false">(('Business Case'!D11*$C328*'Business Case'!D12*$B328)-'Business Case'!D11*$C328*'Business Case'!D13*$D328-'Business Case'!D14*$E328)-MAX(0,(('Business Case'!D11*$C328*'Business Case'!D12*$B328)-'Business Case'!D11*$C328*'Business Case'!D13*$D328-'Business Case'!D14*$E328))*'Business Case'!$B$7-'Business Case'!$B$8*(('Business Case'!D11*$C328*'Business Case'!D12*$B328)-('Business Case'!C11*$C328*'Business Case'!C12*$B328))-'Business Case'!D15*$F328</f>
        <v>198051260.503338</v>
      </c>
      <c r="K328" s="39" t="n">
        <f aca="false">(('Business Case'!E11*$C328*'Business Case'!E12*$B328)-'Business Case'!E11*$C328*'Business Case'!E13*$D328-'Business Case'!E14*$E328)-MAX(0,(('Business Case'!E11*$C328*'Business Case'!E12*$B328)-'Business Case'!E11*$C328*'Business Case'!E13*$D328-'Business Case'!E14*$E328))*'Business Case'!$B$7-'Business Case'!$B$8*(('Business Case'!E11*$C328*'Business Case'!E12*$B328)-('Business Case'!D11*$C328*'Business Case'!D12*$B328))-'Business Case'!E15*$F328</f>
        <v>518770400.716186</v>
      </c>
      <c r="L328" s="39" t="n">
        <f aca="false">(('Business Case'!F11*$C328*'Business Case'!F12*$B328)-'Business Case'!F11*$C328*'Business Case'!F13*$D328-'Business Case'!F14*$E328)-MAX(0,(('Business Case'!F11*$C328*'Business Case'!F12*$B328)-'Business Case'!F11*$C328*'Business Case'!F13*$D328-'Business Case'!F14*$E328))*'Business Case'!$B$7-'Business Case'!$B$8*(('Business Case'!F11*$C328*'Business Case'!F12*$B328)-('Business Case'!E11*$C328*'Business Case'!E12*$B328))-'Business Case'!F15*$F328</f>
        <v>635332740.553206</v>
      </c>
      <c r="M328" s="39" t="n">
        <f aca="false">(('Business Case'!G11*$C328*'Business Case'!G12*$B328)-'Business Case'!G11*$C328*'Business Case'!G13*$D328-'Business Case'!G14*$E328)-MAX(0,(('Business Case'!G11*$C328*'Business Case'!G12*$B328)-'Business Case'!G11*$C328*'Business Case'!G13*$D328-'Business Case'!G14*$E328))*'Business Case'!$B$7-'Business Case'!$B$8*(('Business Case'!G11*$C328*'Business Case'!G12*$B328)-('Business Case'!F11*$C328*'Business Case'!F12*$B328))-'Business Case'!G15*$F328+'Business Case'!$B$8*('Business Case'!G11*$C328*'Business Case'!G12*$B328)</f>
        <v>800669910.438878</v>
      </c>
      <c r="N328" s="39" t="n">
        <f aca="false">IF(COUNT('Business Case'!B11:G11)=0,"",H328+NPV(G328,I328:M328))</f>
        <v>-1085275357.92503</v>
      </c>
      <c r="P328" s="40" t="n">
        <f aca="true">RAND()</f>
        <v>0.771464237688435</v>
      </c>
      <c r="Q328" s="40" t="n">
        <f aca="true">RAND()</f>
        <v>0.195393039810334</v>
      </c>
      <c r="R328" s="40" t="n">
        <f aca="true">RAND()</f>
        <v>0.634587968651394</v>
      </c>
      <c r="S328" s="40" t="n">
        <f aca="true">RAND()</f>
        <v>0.865497117995125</v>
      </c>
      <c r="T328" s="40" t="n">
        <f aca="true">RAND()</f>
        <v>0.991207600083183</v>
      </c>
      <c r="U328" s="40" t="n">
        <f aca="true">RAND()</f>
        <v>0.809054796564288</v>
      </c>
    </row>
    <row r="329" customFormat="false" ht="15" hidden="false" customHeight="false" outlineLevel="0" collapsed="false">
      <c r="A329" s="36" t="n">
        <v>249</v>
      </c>
      <c r="B329" s="37" t="n">
        <f aca="false">1+IF($G$6=$E$6,$F$6,IF(P329&lt;($F$6-$E$6)/($G$6-$E$6),$E$6+SQRT(P329*($G$6-$E$6)*($F$6-$E$6)),$G$6-SQRT((1-P329)*($G$6-$E$6)*($G$6-$F$6))))</f>
        <v>0.990163746159072</v>
      </c>
      <c r="C329" s="37" t="n">
        <f aca="false">1+IF($G$7=$E$7,$F$7,IF(Q329&lt;($F$7-$E$7)/($G$7-$E$7),$E$7+SQRT(Q329*($G$7-$E$7)*($F$7-$E$7)),$G$7-SQRT((1-Q329)*($G$7-$E$7)*($G$7-$F$7))))</f>
        <v>0.957730482158352</v>
      </c>
      <c r="D329" s="37" t="n">
        <f aca="false">1+IF($G$8=$E$8,$F$8,IF(R329&lt;($F$8-$E$8)/($G$8-$E$8),$E$8+SQRT(R329*($G$8-$E$8)*($F$8-$E$8)),$G$8-SQRT((1-R329)*($G$8-$E$8)*($G$8-$F$8))))</f>
        <v>1.016669271519</v>
      </c>
      <c r="E329" s="37" t="n">
        <f aca="false">1+IF($G$9=$E$9,$F$9,IF(S329&lt;($F$9-$E$9)/($G$9-$E$9),$E$9+SQRT(S329*($G$9-$E$9)*($F$9-$E$9)),$G$9-SQRT((1-S329)*($G$9-$E$9)*($G$9-$F$9))))</f>
        <v>0.952076514098177</v>
      </c>
      <c r="F329" s="37" t="n">
        <f aca="false">1+IF($G$10=$E$10,$F$10,IF(T329&lt;($F$10-$E$10)/($G$10-$E$10),$E$10+SQRT(T329*($G$10-$E$10)*($F$10-$E$10)),$G$10-SQRT((1-T329)*($G$10-$E$10)*($G$10-$F$10))))</f>
        <v>1.08134608522142</v>
      </c>
      <c r="G329" s="38" t="n">
        <f aca="false">IF($G$11=$E$11,$F$11,IF(U329&lt;($F$11-$E$11)/($G$11-$E$11),$E$11+SQRT(U329*($G$11-$E$11)*($F$11-$E$11)),$G$11-SQRT((1-U329)*($G$11-$E$11)*($G$11-$F$11))))</f>
        <v>0.124579459493002</v>
      </c>
      <c r="H329" s="39" t="n">
        <f aca="false">(('Business Case'!B11*$C329*'Business Case'!B12*$B329)-'Business Case'!B11*$C329*'Business Case'!B13*$D329-'Business Case'!B14*$E329)-MAX(0,(('Business Case'!B11*$C329*'Business Case'!B12*$B329)-'Business Case'!B11*$C329*'Business Case'!B13*$D329-'Business Case'!B14*$E329))*'Business Case'!$B$7-'Business Case'!$B$8*('Business Case'!B11*$C329*'Business Case'!B12*$B329)-'Business Case'!B15*$F329</f>
        <v>-2162692170.44285</v>
      </c>
      <c r="I329" s="39" t="n">
        <f aca="false">(('Business Case'!C11*$C329*'Business Case'!C12*$B329)-'Business Case'!C11*$C329*'Business Case'!C13*$D329-'Business Case'!C14*$E329)-MAX(0,(('Business Case'!C11*$C329*'Business Case'!C12*$B329)-'Business Case'!C11*$C329*'Business Case'!C13*$D329-'Business Case'!C14*$E329))*'Business Case'!$B$7-'Business Case'!$B$8*(('Business Case'!C11*$C329*'Business Case'!C12*$B329)-('Business Case'!B11*$C329*'Business Case'!B12*$B329))-'Business Case'!C15*$F329</f>
        <v>-14400131.3644273</v>
      </c>
      <c r="J329" s="39" t="n">
        <f aca="false">(('Business Case'!D11*$C329*'Business Case'!D12*$B329)-'Business Case'!D11*$C329*'Business Case'!D13*$D329-'Business Case'!D14*$E329)-MAX(0,(('Business Case'!D11*$C329*'Business Case'!D12*$B329)-'Business Case'!D11*$C329*'Business Case'!D13*$D329-'Business Case'!D14*$E329))*'Business Case'!$B$7-'Business Case'!$B$8*(('Business Case'!D11*$C329*'Business Case'!D12*$B329)-('Business Case'!C11*$C329*'Business Case'!C12*$B329))-'Business Case'!D15*$F329</f>
        <v>263880016.603006</v>
      </c>
      <c r="K329" s="39" t="n">
        <f aca="false">(('Business Case'!E11*$C329*'Business Case'!E12*$B329)-'Business Case'!E11*$C329*'Business Case'!E13*$D329-'Business Case'!E14*$E329)-MAX(0,(('Business Case'!E11*$C329*'Business Case'!E12*$B329)-'Business Case'!E11*$C329*'Business Case'!E13*$D329-'Business Case'!E14*$E329))*'Business Case'!$B$7-'Business Case'!$B$8*(('Business Case'!E11*$C329*'Business Case'!E12*$B329)-('Business Case'!D11*$C329*'Business Case'!D12*$B329))-'Business Case'!E15*$F329</f>
        <v>596227468.831511</v>
      </c>
      <c r="L329" s="39" t="n">
        <f aca="false">(('Business Case'!F11*$C329*'Business Case'!F12*$B329)-'Business Case'!F11*$C329*'Business Case'!F13*$D329-'Business Case'!F14*$E329)-MAX(0,(('Business Case'!F11*$C329*'Business Case'!F12*$B329)-'Business Case'!F11*$C329*'Business Case'!F13*$D329-'Business Case'!F14*$E329))*'Business Case'!$B$7-'Business Case'!$B$8*(('Business Case'!F11*$C329*'Business Case'!F12*$B329)-('Business Case'!E11*$C329*'Business Case'!E12*$B329))-'Business Case'!F15*$F329</f>
        <v>721761111.823961</v>
      </c>
      <c r="M329" s="39" t="n">
        <f aca="false">(('Business Case'!G11*$C329*'Business Case'!G12*$B329)-'Business Case'!G11*$C329*'Business Case'!G13*$D329-'Business Case'!G14*$E329)-MAX(0,(('Business Case'!G11*$C329*'Business Case'!G12*$B329)-'Business Case'!G11*$C329*'Business Case'!G13*$D329-'Business Case'!G14*$E329))*'Business Case'!$B$7-'Business Case'!$B$8*(('Business Case'!G11*$C329*'Business Case'!G12*$B329)-('Business Case'!F11*$C329*'Business Case'!F12*$B329))-'Business Case'!G15*$F329+'Business Case'!$B$8*('Business Case'!G11*$C329*'Business Case'!G12*$B329)</f>
        <v>902015877.008806</v>
      </c>
      <c r="N329" s="39" t="n">
        <f aca="false">IF(COUNT('Business Case'!B11:G11)=0,"",H329+NPV(G329,I329:M329))</f>
        <v>-594866114.312717</v>
      </c>
      <c r="P329" s="40" t="n">
        <f aca="true">RAND()</f>
        <v>0.541966741429173</v>
      </c>
      <c r="Q329" s="40" t="n">
        <f aca="true">RAND()</f>
        <v>0.492037047656121</v>
      </c>
      <c r="R329" s="40" t="n">
        <f aca="true">RAND()</f>
        <v>0.537065979388431</v>
      </c>
      <c r="S329" s="40" t="n">
        <f aca="true">RAND()</f>
        <v>0.108478532824704</v>
      </c>
      <c r="T329" s="40" t="n">
        <f aca="true">RAND()</f>
        <v>0.62074476039814</v>
      </c>
      <c r="U329" s="40" t="n">
        <f aca="true">RAND()</f>
        <v>0.980411827074666</v>
      </c>
    </row>
    <row r="330" customFormat="false" ht="15" hidden="false" customHeight="false" outlineLevel="0" collapsed="false">
      <c r="A330" s="36" t="n">
        <v>250</v>
      </c>
      <c r="B330" s="37" t="n">
        <f aca="false">1+IF($G$6=$E$6,$F$6,IF(P330&lt;($F$6-$E$6)/($G$6-$E$6),$E$6+SQRT(P330*($G$6-$E$6)*($F$6-$E$6)),$G$6-SQRT((1-P330)*($G$6-$E$6)*($G$6-$F$6))))</f>
        <v>1.03207106908329</v>
      </c>
      <c r="C330" s="37" t="n">
        <f aca="false">1+IF($G$7=$E$7,$F$7,IF(Q330&lt;($F$7-$E$7)/($G$7-$E$7),$E$7+SQRT(Q330*($G$7-$E$7)*($F$7-$E$7)),$G$7-SQRT((1-Q330)*($G$7-$E$7)*($G$7-$F$7))))</f>
        <v>0.992375357851112</v>
      </c>
      <c r="D330" s="37" t="n">
        <f aca="false">1+IF($G$8=$E$8,$F$8,IF(R330&lt;($F$8-$E$8)/($G$8-$E$8),$E$8+SQRT(R330*($G$8-$E$8)*($F$8-$E$8)),$G$8-SQRT((1-R330)*($G$8-$E$8)*($G$8-$F$8))))</f>
        <v>1.00538476273261</v>
      </c>
      <c r="E330" s="37" t="n">
        <f aca="false">1+IF($G$9=$E$9,$F$9,IF(S330&lt;($F$9-$E$9)/($G$9-$E$9),$E$9+SQRT(S330*($G$9-$E$9)*($F$9-$E$9)),$G$9-SQRT((1-S330)*($G$9-$E$9)*($G$9-$F$9))))</f>
        <v>0.972503512483446</v>
      </c>
      <c r="F330" s="37" t="n">
        <f aca="false">1+IF($G$10=$E$10,$F$10,IF(T330&lt;($F$10-$E$10)/($G$10-$E$10),$E$10+SQRT(T330*($G$10-$E$10)*($F$10-$E$10)),$G$10-SQRT((1-T330)*($G$10-$E$10)*($G$10-$F$10))))</f>
        <v>1.03357970395632</v>
      </c>
      <c r="G330" s="38" t="n">
        <f aca="false">IF($G$11=$E$11,$F$11,IF(U330&lt;($F$11-$E$11)/($G$11-$E$11),$E$11+SQRT(U330*($G$11-$E$11)*($F$11-$E$11)),$G$11-SQRT((1-U330)*($G$11-$E$11)*($G$11-$F$11))))</f>
        <v>0.0987985834673242</v>
      </c>
      <c r="H330" s="39" t="n">
        <f aca="false">(('Business Case'!B11*$C330*'Business Case'!B12*$B330)-'Business Case'!B11*$C330*'Business Case'!B13*$D330-'Business Case'!B14*$E330)-MAX(0,(('Business Case'!B11*$C330*'Business Case'!B12*$B330)-'Business Case'!B11*$C330*'Business Case'!B13*$D330-'Business Case'!B14*$E330))*'Business Case'!$B$7-'Business Case'!$B$8*('Business Case'!B11*$C330*'Business Case'!B12*$B330)-'Business Case'!B15*$F330</f>
        <v>-2067159407.91263</v>
      </c>
      <c r="I330" s="39" t="n">
        <f aca="false">(('Business Case'!C11*$C330*'Business Case'!C12*$B330)-'Business Case'!C11*$C330*'Business Case'!C13*$D330-'Business Case'!C14*$E330)-MAX(0,(('Business Case'!C11*$C330*'Business Case'!C12*$B330)-'Business Case'!C11*$C330*'Business Case'!C13*$D330-'Business Case'!C14*$E330))*'Business Case'!$B$7-'Business Case'!$B$8*(('Business Case'!C11*$C330*'Business Case'!C12*$B330)-('Business Case'!B11*$C330*'Business Case'!B12*$B330))-'Business Case'!C15*$F330</f>
        <v>33400156.5051975</v>
      </c>
      <c r="J330" s="39" t="n">
        <f aca="false">(('Business Case'!D11*$C330*'Business Case'!D12*$B330)-'Business Case'!D11*$C330*'Business Case'!D13*$D330-'Business Case'!D14*$E330)-MAX(0,(('Business Case'!D11*$C330*'Business Case'!D12*$B330)-'Business Case'!D11*$C330*'Business Case'!D13*$D330-'Business Case'!D14*$E330))*'Business Case'!$B$7-'Business Case'!$B$8*(('Business Case'!D11*$C330*'Business Case'!D12*$B330)-('Business Case'!C11*$C330*'Business Case'!C12*$B330))-'Business Case'!D15*$F330</f>
        <v>361542909.196215</v>
      </c>
      <c r="K330" s="39" t="n">
        <f aca="false">(('Business Case'!E11*$C330*'Business Case'!E12*$B330)-'Business Case'!E11*$C330*'Business Case'!E13*$D330-'Business Case'!E14*$E330)-MAX(0,(('Business Case'!E11*$C330*'Business Case'!E12*$B330)-'Business Case'!E11*$C330*'Business Case'!E13*$D330-'Business Case'!E14*$E330))*'Business Case'!$B$7-'Business Case'!$B$8*(('Business Case'!E11*$C330*'Business Case'!E12*$B330)-('Business Case'!D11*$C330*'Business Case'!D12*$B330))-'Business Case'!E15*$F330</f>
        <v>741364647.085049</v>
      </c>
      <c r="L330" s="39" t="n">
        <f aca="false">(('Business Case'!F11*$C330*'Business Case'!F12*$B330)-'Business Case'!F11*$C330*'Business Case'!F13*$D330-'Business Case'!F14*$E330)-MAX(0,(('Business Case'!F11*$C330*'Business Case'!F12*$B330)-'Business Case'!F11*$C330*'Business Case'!F13*$D330-'Business Case'!F14*$E330))*'Business Case'!$B$7-'Business Case'!$B$8*(('Business Case'!F11*$C330*'Business Case'!F12*$B330)-('Business Case'!E11*$C330*'Business Case'!E12*$B330))-'Business Case'!F15*$F330</f>
        <v>886141982.192083</v>
      </c>
      <c r="M330" s="39" t="n">
        <f aca="false">(('Business Case'!G11*$C330*'Business Case'!G12*$B330)-'Business Case'!G11*$C330*'Business Case'!G13*$D330-'Business Case'!G14*$E330)-MAX(0,(('Business Case'!G11*$C330*'Business Case'!G12*$B330)-'Business Case'!G11*$C330*'Business Case'!G13*$D330-'Business Case'!G14*$E330))*'Business Case'!$B$7-'Business Case'!$B$8*(('Business Case'!G11*$C330*'Business Case'!G12*$B330)-('Business Case'!F11*$C330*'Business Case'!F12*$B330))-'Business Case'!G15*$F330+'Business Case'!$B$8*('Business Case'!G11*$C330*'Business Case'!G12*$B330)</f>
        <v>1080822278.68057</v>
      </c>
      <c r="N330" s="39" t="n">
        <f aca="false">IF(COUNT('Business Case'!B11:G11)=0,"",H330+NPV(G330,I330:M330))</f>
        <v>104195266.082336</v>
      </c>
      <c r="P330" s="40" t="n">
        <f aca="true">RAND()</f>
        <v>0.957140458157845</v>
      </c>
      <c r="Q330" s="40" t="n">
        <f aca="true">RAND()</f>
        <v>0.633209999100487</v>
      </c>
      <c r="R330" s="40" t="n">
        <f aca="true">RAND()</f>
        <v>0.40319712512233</v>
      </c>
      <c r="S330" s="40" t="n">
        <f aca="true">RAND()</f>
        <v>0.210270372897489</v>
      </c>
      <c r="T330" s="40" t="n">
        <f aca="true">RAND()</f>
        <v>0.375496739471518</v>
      </c>
      <c r="U330" s="40" t="n">
        <f aca="true">RAND()</f>
        <v>0.353386740377953</v>
      </c>
    </row>
    <row r="331" customFormat="false" ht="15" hidden="false" customHeight="false" outlineLevel="0" collapsed="false">
      <c r="A331" s="36" t="n">
        <v>251</v>
      </c>
      <c r="B331" s="37" t="n">
        <f aca="false">1+IF($G$6=$E$6,$F$6,IF(P331&lt;($F$6-$E$6)/($G$6-$E$6),$E$6+SQRT(P331*($G$6-$E$6)*($F$6-$E$6)),$G$6-SQRT((1-P331)*($G$6-$E$6)*($G$6-$F$6))))</f>
        <v>1.01899618792318</v>
      </c>
      <c r="C331" s="37" t="n">
        <f aca="false">1+IF($G$7=$E$7,$F$7,IF(Q331&lt;($F$7-$E$7)/($G$7-$E$7),$E$7+SQRT(Q331*($G$7-$E$7)*($F$7-$E$7)),$G$7-SQRT((1-Q331)*($G$7-$E$7)*($G$7-$F$7))))</f>
        <v>0.886612231019963</v>
      </c>
      <c r="D331" s="37" t="n">
        <f aca="false">1+IF($G$8=$E$8,$F$8,IF(R331&lt;($F$8-$E$8)/($G$8-$E$8),$E$8+SQRT(R331*($G$8-$E$8)*($F$8-$E$8)),$G$8-SQRT((1-R331)*($G$8-$E$8)*($G$8-$F$8))))</f>
        <v>0.992972215364623</v>
      </c>
      <c r="E331" s="37" t="n">
        <f aca="false">1+IF($G$9=$E$9,$F$9,IF(S331&lt;($F$9-$E$9)/($G$9-$E$9),$E$9+SQRT(S331*($G$9-$E$9)*($F$9-$E$9)),$G$9-SQRT((1-S331)*($G$9-$E$9)*($G$9-$F$9))))</f>
        <v>1.03602521895078</v>
      </c>
      <c r="F331" s="37" t="n">
        <f aca="false">1+IF($G$10=$E$10,$F$10,IF(T331&lt;($F$10-$E$10)/($G$10-$E$10),$E$10+SQRT(T331*($G$10-$E$10)*($F$10-$E$10)),$G$10-SQRT((1-T331)*($G$10-$E$10)*($G$10-$F$10))))</f>
        <v>1.129751018015</v>
      </c>
      <c r="G331" s="38" t="n">
        <f aca="false">IF($G$11=$E$11,$F$11,IF(U331&lt;($F$11-$E$11)/($G$11-$E$11),$E$11+SQRT(U331*($G$11-$E$11)*($F$11-$E$11)),$G$11-SQRT((1-U331)*($G$11-$E$11)*($G$11-$F$11))))</f>
        <v>0.0913433546419359</v>
      </c>
      <c r="H331" s="39" t="n">
        <f aca="false">(('Business Case'!B11*$C331*'Business Case'!B12*$B331)-'Business Case'!B11*$C331*'Business Case'!B13*$D331-'Business Case'!B14*$E331)-MAX(0,(('Business Case'!B11*$C331*'Business Case'!B12*$B331)-'Business Case'!B11*$C331*'Business Case'!B13*$D331-'Business Case'!B14*$E331))*'Business Case'!$B$7-'Business Case'!$B$8*('Business Case'!B11*$C331*'Business Case'!B12*$B331)-'Business Case'!B15*$F331</f>
        <v>-2259502036.02999</v>
      </c>
      <c r="I331" s="39" t="n">
        <f aca="false">(('Business Case'!C11*$C331*'Business Case'!C12*$B331)-'Business Case'!C11*$C331*'Business Case'!C13*$D331-'Business Case'!C14*$E331)-MAX(0,(('Business Case'!C11*$C331*'Business Case'!C12*$B331)-'Business Case'!C11*$C331*'Business Case'!C13*$D331-'Business Case'!C14*$E331))*'Business Case'!$B$7-'Business Case'!$B$8*(('Business Case'!C11*$C331*'Business Case'!C12*$B331)-('Business Case'!B11*$C331*'Business Case'!B12*$B331))-'Business Case'!C15*$F331</f>
        <v>-17823498.4259718</v>
      </c>
      <c r="J331" s="39" t="n">
        <f aca="false">(('Business Case'!D11*$C331*'Business Case'!D12*$B331)-'Business Case'!D11*$C331*'Business Case'!D13*$D331-'Business Case'!D14*$E331)-MAX(0,(('Business Case'!D11*$C331*'Business Case'!D12*$B331)-'Business Case'!D11*$C331*'Business Case'!D13*$D331-'Business Case'!D14*$E331))*'Business Case'!$B$7-'Business Case'!$B$8*(('Business Case'!D11*$C331*'Business Case'!D12*$B331)-('Business Case'!C11*$C331*'Business Case'!C12*$B331))-'Business Case'!D15*$F331</f>
        <v>271485971.512906</v>
      </c>
      <c r="K331" s="39" t="n">
        <f aca="false">(('Business Case'!E11*$C331*'Business Case'!E12*$B331)-'Business Case'!E11*$C331*'Business Case'!E13*$D331-'Business Case'!E14*$E331)-MAX(0,(('Business Case'!E11*$C331*'Business Case'!E12*$B331)-'Business Case'!E11*$C331*'Business Case'!E13*$D331-'Business Case'!E14*$E331))*'Business Case'!$B$7-'Business Case'!$B$8*(('Business Case'!E11*$C331*'Business Case'!E12*$B331)-('Business Case'!D11*$C331*'Business Case'!D12*$B331))-'Business Case'!E15*$F331</f>
        <v>617282992.352533</v>
      </c>
      <c r="L331" s="39" t="n">
        <f aca="false">(('Business Case'!F11*$C331*'Business Case'!F12*$B331)-'Business Case'!F11*$C331*'Business Case'!F13*$D331-'Business Case'!F14*$E331)-MAX(0,(('Business Case'!F11*$C331*'Business Case'!F12*$B331)-'Business Case'!F11*$C331*'Business Case'!F13*$D331-'Business Case'!F14*$E331))*'Business Case'!$B$7-'Business Case'!$B$8*(('Business Case'!F11*$C331*'Business Case'!F12*$B331)-('Business Case'!E11*$C331*'Business Case'!E12*$B331))-'Business Case'!F15*$F331</f>
        <v>744942869.284525</v>
      </c>
      <c r="M331" s="39" t="n">
        <f aca="false">(('Business Case'!G11*$C331*'Business Case'!G12*$B331)-'Business Case'!G11*$C331*'Business Case'!G13*$D331-'Business Case'!G14*$E331)-MAX(0,(('Business Case'!G11*$C331*'Business Case'!G12*$B331)-'Business Case'!G11*$C331*'Business Case'!G13*$D331-'Business Case'!G14*$E331))*'Business Case'!$B$7-'Business Case'!$B$8*(('Business Case'!G11*$C331*'Business Case'!G12*$B331)-('Business Case'!F11*$C331*'Business Case'!F12*$B331))-'Business Case'!G15*$F331+'Business Case'!$B$8*('Business Case'!G11*$C331*'Business Case'!G12*$B331)</f>
        <v>916671497.522539</v>
      </c>
      <c r="N331" s="39" t="n">
        <f aca="false">IF(COUNT('Business Case'!B11:G11)=0,"",H331+NPV(G331,I331:M331))</f>
        <v>-455735351.77492</v>
      </c>
      <c r="P331" s="40" t="n">
        <f aca="true">RAND()</f>
        <v>0.871835151560689</v>
      </c>
      <c r="Q331" s="40" t="n">
        <f aca="true">RAND()</f>
        <v>0.257956479749986</v>
      </c>
      <c r="R331" s="40" t="n">
        <f aca="true">RAND()</f>
        <v>0.24621483911247</v>
      </c>
      <c r="S331" s="40" t="n">
        <f aca="true">RAND()</f>
        <v>0.653593314260856</v>
      </c>
      <c r="T331" s="40" t="n">
        <f aca="true">RAND()</f>
        <v>0.807202431087599</v>
      </c>
      <c r="U331" s="40" t="n">
        <f aca="true">RAND()</f>
        <v>0.12867169453273</v>
      </c>
    </row>
    <row r="332" customFormat="false" ht="15" hidden="false" customHeight="false" outlineLevel="0" collapsed="false">
      <c r="A332" s="36" t="n">
        <v>252</v>
      </c>
      <c r="B332" s="37" t="n">
        <f aca="false">1+IF($G$6=$E$6,$F$6,IF(P332&lt;($F$6-$E$6)/($G$6-$E$6),$E$6+SQRT(P332*($G$6-$E$6)*($F$6-$E$6)),$G$6-SQRT((1-P332)*($G$6-$E$6)*($G$6-$F$6))))</f>
        <v>1.005614894082</v>
      </c>
      <c r="C332" s="37" t="n">
        <f aca="false">1+IF($G$7=$E$7,$F$7,IF(Q332&lt;($F$7-$E$7)/($G$7-$E$7),$E$7+SQRT(Q332*($G$7-$E$7)*($F$7-$E$7)),$G$7-SQRT((1-Q332)*($G$7-$E$7)*($G$7-$F$7))))</f>
        <v>0.942225597378906</v>
      </c>
      <c r="D332" s="37" t="n">
        <f aca="false">1+IF($G$8=$E$8,$F$8,IF(R332&lt;($F$8-$E$8)/($G$8-$E$8),$E$8+SQRT(R332*($G$8-$E$8)*($F$8-$E$8)),$G$8-SQRT((1-R332)*($G$8-$E$8)*($G$8-$F$8))))</f>
        <v>1.01673757924238</v>
      </c>
      <c r="E332" s="37" t="n">
        <f aca="false">1+IF($G$9=$E$9,$F$9,IF(S332&lt;($F$9-$E$9)/($G$9-$E$9),$E$9+SQRT(S332*($G$9-$E$9)*($F$9-$E$9)),$G$9-SQRT((1-S332)*($G$9-$E$9)*($G$9-$F$9))))</f>
        <v>1.0239600816574</v>
      </c>
      <c r="F332" s="37" t="n">
        <f aca="false">1+IF($G$10=$E$10,$F$10,IF(T332&lt;($F$10-$E$10)/($G$10-$E$10),$E$10+SQRT(T332*($G$10-$E$10)*($F$10-$E$10)),$G$10-SQRT((1-T332)*($G$10-$E$10)*($G$10-$F$10))))</f>
        <v>0.99444173491091</v>
      </c>
      <c r="G332" s="38" t="n">
        <f aca="false">IF($G$11=$E$11,$F$11,IF(U332&lt;($F$11-$E$11)/($G$11-$E$11),$E$11+SQRT(U332*($G$11-$E$11)*($F$11-$E$11)),$G$11-SQRT((1-U332)*($G$11-$E$11)*($G$11-$F$11))))</f>
        <v>0.11362918695221</v>
      </c>
      <c r="H332" s="39" t="n">
        <f aca="false">(('Business Case'!B11*$C332*'Business Case'!B12*$B332)-'Business Case'!B11*$C332*'Business Case'!B13*$D332-'Business Case'!B14*$E332)-MAX(0,(('Business Case'!B11*$C332*'Business Case'!B12*$B332)-'Business Case'!B11*$C332*'Business Case'!B13*$D332-'Business Case'!B14*$E332))*'Business Case'!$B$7-'Business Case'!$B$8*('Business Case'!B11*$C332*'Business Case'!B12*$B332)-'Business Case'!B15*$F332</f>
        <v>-1988883469.82182</v>
      </c>
      <c r="I332" s="39" t="n">
        <f aca="false">(('Business Case'!C11*$C332*'Business Case'!C12*$B332)-'Business Case'!C11*$C332*'Business Case'!C13*$D332-'Business Case'!C14*$E332)-MAX(0,(('Business Case'!C11*$C332*'Business Case'!C12*$B332)-'Business Case'!C11*$C332*'Business Case'!C13*$D332-'Business Case'!C14*$E332))*'Business Case'!$B$7-'Business Case'!$B$8*(('Business Case'!C11*$C332*'Business Case'!C12*$B332)-('Business Case'!B11*$C332*'Business Case'!B12*$B332))-'Business Case'!C15*$F332</f>
        <v>-8504029.90501134</v>
      </c>
      <c r="J332" s="39" t="n">
        <f aca="false">(('Business Case'!D11*$C332*'Business Case'!D12*$B332)-'Business Case'!D11*$C332*'Business Case'!D13*$D332-'Business Case'!D14*$E332)-MAX(0,(('Business Case'!D11*$C332*'Business Case'!D12*$B332)-'Business Case'!D11*$C332*'Business Case'!D13*$D332-'Business Case'!D14*$E332))*'Business Case'!$B$7-'Business Case'!$B$8*(('Business Case'!D11*$C332*'Business Case'!D12*$B332)-('Business Case'!C11*$C332*'Business Case'!C12*$B332))-'Business Case'!D15*$F332</f>
        <v>277162471.621757</v>
      </c>
      <c r="K332" s="39" t="n">
        <f aca="false">(('Business Case'!E11*$C332*'Business Case'!E12*$B332)-'Business Case'!E11*$C332*'Business Case'!E13*$D332-'Business Case'!E14*$E332)-MAX(0,(('Business Case'!E11*$C332*'Business Case'!E12*$B332)-'Business Case'!E11*$C332*'Business Case'!E13*$D332-'Business Case'!E14*$E332))*'Business Case'!$B$7-'Business Case'!$B$8*(('Business Case'!E11*$C332*'Business Case'!E12*$B332)-('Business Case'!D11*$C332*'Business Case'!D12*$B332))-'Business Case'!E15*$F332</f>
        <v>612551059.894071</v>
      </c>
      <c r="L332" s="39" t="n">
        <f aca="false">(('Business Case'!F11*$C332*'Business Case'!F12*$B332)-'Business Case'!F11*$C332*'Business Case'!F13*$D332-'Business Case'!F14*$E332)-MAX(0,(('Business Case'!F11*$C332*'Business Case'!F12*$B332)-'Business Case'!F11*$C332*'Business Case'!F13*$D332-'Business Case'!F14*$E332))*'Business Case'!$B$7-'Business Case'!$B$8*(('Business Case'!F11*$C332*'Business Case'!F12*$B332)-('Business Case'!E11*$C332*'Business Case'!E12*$B332))-'Business Case'!F15*$F332</f>
        <v>740519383.288998</v>
      </c>
      <c r="M332" s="39" t="n">
        <f aca="false">(('Business Case'!G11*$C332*'Business Case'!G12*$B332)-'Business Case'!G11*$C332*'Business Case'!G13*$D332-'Business Case'!G14*$E332)-MAX(0,(('Business Case'!G11*$C332*'Business Case'!G12*$B332)-'Business Case'!G11*$C332*'Business Case'!G13*$D332-'Business Case'!G14*$E332))*'Business Case'!$B$7-'Business Case'!$B$8*(('Business Case'!G11*$C332*'Business Case'!G12*$B332)-('Business Case'!F11*$C332*'Business Case'!F12*$B332))-'Business Case'!G15*$F332+'Business Case'!$B$8*('Business Case'!G11*$C332*'Business Case'!G12*$B332)</f>
        <v>920623242.495354</v>
      </c>
      <c r="N332" s="39" t="n">
        <f aca="false">IF(COUNT('Business Case'!B11:G11)=0,"",H332+NPV(G332,I332:M332))</f>
        <v>-310529027.581293</v>
      </c>
      <c r="P332" s="40" t="n">
        <f aca="true">RAND()</f>
        <v>0.737328316353023</v>
      </c>
      <c r="Q332" s="40" t="n">
        <f aca="true">RAND()</f>
        <v>0.434616592781986</v>
      </c>
      <c r="R332" s="40" t="n">
        <f aca="true">RAND()</f>
        <v>0.537824619305444</v>
      </c>
      <c r="S332" s="40" t="n">
        <f aca="true">RAND()</f>
        <v>0.576371706245086</v>
      </c>
      <c r="T332" s="40" t="n">
        <f aca="true">RAND()</f>
        <v>0.131671186792773</v>
      </c>
      <c r="U332" s="40" t="n">
        <f aca="true">RAND()</f>
        <v>0.821330986769535</v>
      </c>
    </row>
    <row r="333" customFormat="false" ht="15" hidden="false" customHeight="false" outlineLevel="0" collapsed="false">
      <c r="A333" s="36" t="n">
        <v>253</v>
      </c>
      <c r="B333" s="37" t="n">
        <f aca="false">1+IF($G$6=$E$6,$F$6,IF(P333&lt;($F$6-$E$6)/($G$6-$E$6),$E$6+SQRT(P333*($G$6-$E$6)*($F$6-$E$6)),$G$6-SQRT((1-P333)*($G$6-$E$6)*($G$6-$F$6))))</f>
        <v>1.02380569851775</v>
      </c>
      <c r="C333" s="37" t="n">
        <f aca="false">1+IF($G$7=$E$7,$F$7,IF(Q333&lt;($F$7-$E$7)/($G$7-$E$7),$E$7+SQRT(Q333*($G$7-$E$7)*($F$7-$E$7)),$G$7-SQRT((1-Q333)*($G$7-$E$7)*($G$7-$F$7))))</f>
        <v>0.962405302430775</v>
      </c>
      <c r="D333" s="37" t="n">
        <f aca="false">1+IF($G$8=$E$8,$F$8,IF(R333&lt;($F$8-$E$8)/($G$8-$E$8),$E$8+SQRT(R333*($G$8-$E$8)*($F$8-$E$8)),$G$8-SQRT((1-R333)*($G$8-$E$8)*($G$8-$F$8))))</f>
        <v>0.991360421083572</v>
      </c>
      <c r="E333" s="37" t="n">
        <f aca="false">1+IF($G$9=$E$9,$F$9,IF(S333&lt;($F$9-$E$9)/($G$9-$E$9),$E$9+SQRT(S333*($G$9-$E$9)*($F$9-$E$9)),$G$9-SQRT((1-S333)*($G$9-$E$9)*($G$9-$F$9))))</f>
        <v>1.12118619647886</v>
      </c>
      <c r="F333" s="37" t="n">
        <f aca="false">1+IF($G$10=$E$10,$F$10,IF(T333&lt;($F$10-$E$10)/($G$10-$E$10),$E$10+SQRT(T333*($G$10-$E$10)*($F$10-$E$10)),$G$10-SQRT((1-T333)*($G$10-$E$10)*($G$10-$F$10))))</f>
        <v>1.12128648582356</v>
      </c>
      <c r="G333" s="38" t="n">
        <f aca="false">IF($G$11=$E$11,$F$11,IF(U333&lt;($F$11-$E$11)/($G$11-$E$11),$E$11+SQRT(U333*($G$11-$E$11)*($F$11-$E$11)),$G$11-SQRT((1-U333)*($G$11-$E$11)*($G$11-$F$11))))</f>
        <v>0.0969110977472359</v>
      </c>
      <c r="H333" s="39" t="n">
        <f aca="false">(('Business Case'!B11*$C333*'Business Case'!B12*$B333)-'Business Case'!B11*$C333*'Business Case'!B13*$D333-'Business Case'!B14*$E333)-MAX(0,(('Business Case'!B11*$C333*'Business Case'!B12*$B333)-'Business Case'!B11*$C333*'Business Case'!B13*$D333-'Business Case'!B14*$E333))*'Business Case'!$B$7-'Business Case'!$B$8*('Business Case'!B11*$C333*'Business Case'!B12*$B333)-'Business Case'!B15*$F333</f>
        <v>-2242572971.64712</v>
      </c>
      <c r="I333" s="39" t="n">
        <f aca="false">(('Business Case'!C11*$C333*'Business Case'!C12*$B333)-'Business Case'!C11*$C333*'Business Case'!C13*$D333-'Business Case'!C14*$E333)-MAX(0,(('Business Case'!C11*$C333*'Business Case'!C12*$B333)-'Business Case'!C11*$C333*'Business Case'!C13*$D333-'Business Case'!C14*$E333))*'Business Case'!$B$7-'Business Case'!$B$8*(('Business Case'!C11*$C333*'Business Case'!C12*$B333)-('Business Case'!B11*$C333*'Business Case'!B12*$B333))-'Business Case'!C15*$F333</f>
        <v>-4013357.16205773</v>
      </c>
      <c r="J333" s="39" t="n">
        <f aca="false">(('Business Case'!D11*$C333*'Business Case'!D12*$B333)-'Business Case'!D11*$C333*'Business Case'!D13*$D333-'Business Case'!D14*$E333)-MAX(0,(('Business Case'!D11*$C333*'Business Case'!D12*$B333)-'Business Case'!D11*$C333*'Business Case'!D13*$D333-'Business Case'!D14*$E333))*'Business Case'!$B$7-'Business Case'!$B$8*(('Business Case'!D11*$C333*'Business Case'!D12*$B333)-('Business Case'!C11*$C333*'Business Case'!C12*$B333))-'Business Case'!D15*$F333</f>
        <v>314613394.543709</v>
      </c>
      <c r="K333" s="39" t="n">
        <f aca="false">(('Business Case'!E11*$C333*'Business Case'!E12*$B333)-'Business Case'!E11*$C333*'Business Case'!E13*$D333-'Business Case'!E14*$E333)-MAX(0,(('Business Case'!E11*$C333*'Business Case'!E12*$B333)-'Business Case'!E11*$C333*'Business Case'!E13*$D333-'Business Case'!E14*$E333))*'Business Case'!$B$7-'Business Case'!$B$8*(('Business Case'!E11*$C333*'Business Case'!E12*$B333)-('Business Case'!D11*$C333*'Business Case'!D12*$B333))-'Business Case'!E15*$F333</f>
        <v>689304470.540654</v>
      </c>
      <c r="L333" s="39" t="n">
        <f aca="false">(('Business Case'!F11*$C333*'Business Case'!F12*$B333)-'Business Case'!F11*$C333*'Business Case'!F13*$D333-'Business Case'!F14*$E333)-MAX(0,(('Business Case'!F11*$C333*'Business Case'!F12*$B333)-'Business Case'!F11*$C333*'Business Case'!F13*$D333-'Business Case'!F14*$E333))*'Business Case'!$B$7-'Business Case'!$B$8*(('Business Case'!F11*$C333*'Business Case'!F12*$B333)-('Business Case'!E11*$C333*'Business Case'!E12*$B333))-'Business Case'!F15*$F333</f>
        <v>829565909.873359</v>
      </c>
      <c r="M333" s="39" t="n">
        <f aca="false">(('Business Case'!G11*$C333*'Business Case'!G12*$B333)-'Business Case'!G11*$C333*'Business Case'!G13*$D333-'Business Case'!G14*$E333)-MAX(0,(('Business Case'!G11*$C333*'Business Case'!G12*$B333)-'Business Case'!G11*$C333*'Business Case'!G13*$D333-'Business Case'!G14*$E333))*'Business Case'!$B$7-'Business Case'!$B$8*(('Business Case'!G11*$C333*'Business Case'!G12*$B333)-('Business Case'!F11*$C333*'Business Case'!F12*$B333))-'Business Case'!G15*$F333+'Business Case'!$B$8*('Business Case'!G11*$C333*'Business Case'!G12*$B333)</f>
        <v>1016854781.40933</v>
      </c>
      <c r="N333" s="39" t="n">
        <f aca="false">IF(COUNT('Business Case'!B11:G11)=0,"",H333+NPV(G333,I333:M333))</f>
        <v>-249141287.025621</v>
      </c>
      <c r="P333" s="40" t="n">
        <f aca="true">RAND()</f>
        <v>0.90851447598093</v>
      </c>
      <c r="Q333" s="40" t="n">
        <f aca="true">RAND()</f>
        <v>0.510048464768789</v>
      </c>
      <c r="R333" s="40" t="n">
        <f aca="true">RAND()</f>
        <v>0.228091257628047</v>
      </c>
      <c r="S333" s="40" t="n">
        <f aca="true">RAND()</f>
        <v>0.977860392710531</v>
      </c>
      <c r="T333" s="40" t="n">
        <f aca="true">RAND()</f>
        <v>0.779104416911354</v>
      </c>
      <c r="U333" s="40" t="n">
        <f aca="true">RAND()</f>
        <v>0.285985227016567</v>
      </c>
    </row>
    <row r="334" customFormat="false" ht="15" hidden="false" customHeight="false" outlineLevel="0" collapsed="false">
      <c r="A334" s="36" t="n">
        <v>254</v>
      </c>
      <c r="B334" s="37" t="n">
        <f aca="false">1+IF($G$6=$E$6,$F$6,IF(P334&lt;($F$6-$E$6)/($G$6-$E$6),$E$6+SQRT(P334*($G$6-$E$6)*($F$6-$E$6)),$G$6-SQRT((1-P334)*($G$6-$E$6)*($G$6-$F$6))))</f>
        <v>0.991318163557693</v>
      </c>
      <c r="C334" s="37" t="n">
        <f aca="false">1+IF($G$7=$E$7,$F$7,IF(Q334&lt;($F$7-$E$7)/($G$7-$E$7),$E$7+SQRT(Q334*($G$7-$E$7)*($F$7-$E$7)),$G$7-SQRT((1-Q334)*($G$7-$E$7)*($G$7-$F$7))))</f>
        <v>0.929851867744718</v>
      </c>
      <c r="D334" s="37" t="n">
        <f aca="false">1+IF($G$8=$E$8,$F$8,IF(R334&lt;($F$8-$E$8)/($G$8-$E$8),$E$8+SQRT(R334*($G$8-$E$8)*($F$8-$E$8)),$G$8-SQRT((1-R334)*($G$8-$E$8)*($G$8-$F$8))))</f>
        <v>0.99211068077935</v>
      </c>
      <c r="E334" s="37" t="n">
        <f aca="false">1+IF($G$9=$E$9,$F$9,IF(S334&lt;($F$9-$E$9)/($G$9-$E$9),$E$9+SQRT(S334*($G$9-$E$9)*($F$9-$E$9)),$G$9-SQRT((1-S334)*($G$9-$E$9)*($G$9-$F$9))))</f>
        <v>1.11962009740883</v>
      </c>
      <c r="F334" s="37" t="n">
        <f aca="false">1+IF($G$10=$E$10,$F$10,IF(T334&lt;($F$10-$E$10)/($G$10-$E$10),$E$10+SQRT(T334*($G$10-$E$10)*($F$10-$E$10)),$G$10-SQRT((1-T334)*($G$10-$E$10)*($G$10-$F$10))))</f>
        <v>0.998404787066491</v>
      </c>
      <c r="G334" s="38" t="n">
        <f aca="false">IF($G$11=$E$11,$F$11,IF(U334&lt;($F$11-$E$11)/($G$11-$E$11),$E$11+SQRT(U334*($G$11-$E$11)*($F$11-$E$11)),$G$11-SQRT((1-U334)*($G$11-$E$11)*($G$11-$F$11))))</f>
        <v>0.106050554246588</v>
      </c>
      <c r="H334" s="39" t="n">
        <f aca="false">(('Business Case'!B11*$C334*'Business Case'!B12*$B334)-'Business Case'!B11*$C334*'Business Case'!B13*$D334-'Business Case'!B14*$E334)-MAX(0,(('Business Case'!B11*$C334*'Business Case'!B12*$B334)-'Business Case'!B11*$C334*'Business Case'!B13*$D334-'Business Case'!B14*$E334))*'Business Case'!$B$7-'Business Case'!$B$8*('Business Case'!B11*$C334*'Business Case'!B12*$B334)-'Business Case'!B15*$F334</f>
        <v>-1996809574.13298</v>
      </c>
      <c r="I334" s="39" t="n">
        <f aca="false">(('Business Case'!C11*$C334*'Business Case'!C12*$B334)-'Business Case'!C11*$C334*'Business Case'!C13*$D334-'Business Case'!C14*$E334)-MAX(0,(('Business Case'!C11*$C334*'Business Case'!C12*$B334)-'Business Case'!C11*$C334*'Business Case'!C13*$D334-'Business Case'!C14*$E334))*'Business Case'!$B$7-'Business Case'!$B$8*(('Business Case'!C11*$C334*'Business Case'!C12*$B334)-('Business Case'!B11*$C334*'Business Case'!B12*$B334))-'Business Case'!C15*$F334</f>
        <v>-24086450.7268717</v>
      </c>
      <c r="J334" s="39" t="n">
        <f aca="false">(('Business Case'!D11*$C334*'Business Case'!D12*$B334)-'Business Case'!D11*$C334*'Business Case'!D13*$D334-'Business Case'!D14*$E334)-MAX(0,(('Business Case'!D11*$C334*'Business Case'!D12*$B334)-'Business Case'!D11*$C334*'Business Case'!D13*$D334-'Business Case'!D14*$E334))*'Business Case'!$B$7-'Business Case'!$B$8*(('Business Case'!D11*$C334*'Business Case'!D12*$B334)-('Business Case'!C11*$C334*'Business Case'!C12*$B334))-'Business Case'!D15*$F334</f>
        <v>258662580.844592</v>
      </c>
      <c r="K334" s="39" t="n">
        <f aca="false">(('Business Case'!E11*$C334*'Business Case'!E12*$B334)-'Business Case'!E11*$C334*'Business Case'!E13*$D334-'Business Case'!E14*$E334)-MAX(0,(('Business Case'!E11*$C334*'Business Case'!E12*$B334)-'Business Case'!E11*$C334*'Business Case'!E13*$D334-'Business Case'!E14*$E334))*'Business Case'!$B$7-'Business Case'!$B$8*(('Business Case'!E11*$C334*'Business Case'!E12*$B334)-('Business Case'!D11*$C334*'Business Case'!D12*$B334))-'Business Case'!E15*$F334</f>
        <v>591331851.769379</v>
      </c>
      <c r="L334" s="39" t="n">
        <f aca="false">(('Business Case'!F11*$C334*'Business Case'!F12*$B334)-'Business Case'!F11*$C334*'Business Case'!F13*$D334-'Business Case'!F14*$E334)-MAX(0,(('Business Case'!F11*$C334*'Business Case'!F12*$B334)-'Business Case'!F11*$C334*'Business Case'!F13*$D334-'Business Case'!F14*$E334))*'Business Case'!$B$7-'Business Case'!$B$8*(('Business Case'!F11*$C334*'Business Case'!F12*$B334)-('Business Case'!E11*$C334*'Business Case'!E12*$B334))-'Business Case'!F15*$F334</f>
        <v>717438212.786634</v>
      </c>
      <c r="M334" s="39" t="n">
        <f aca="false">(('Business Case'!G11*$C334*'Business Case'!G12*$B334)-'Business Case'!G11*$C334*'Business Case'!G13*$D334-'Business Case'!G14*$E334)-MAX(0,(('Business Case'!G11*$C334*'Business Case'!G12*$B334)-'Business Case'!G11*$C334*'Business Case'!G13*$D334-'Business Case'!G14*$E334))*'Business Case'!$B$7-'Business Case'!$B$8*(('Business Case'!G11*$C334*'Business Case'!G12*$B334)-('Business Case'!F11*$C334*'Business Case'!F12*$B334))-'Business Case'!G15*$F334+'Business Case'!$B$8*('Business Case'!G11*$C334*'Business Case'!G12*$B334)</f>
        <v>892649973.83385</v>
      </c>
      <c r="N334" s="39" t="n">
        <f aca="false">IF(COUNT('Business Case'!B11:G11)=0,"",H334+NPV(G334,I334:M334))</f>
        <v>-351467980.75135</v>
      </c>
      <c r="P334" s="40" t="n">
        <f aca="true">RAND()</f>
        <v>0.555933799703302</v>
      </c>
      <c r="Q334" s="40" t="n">
        <f aca="true">RAND()</f>
        <v>0.391347267449892</v>
      </c>
      <c r="R334" s="40" t="n">
        <f aca="true">RAND()</f>
        <v>0.236441258093374</v>
      </c>
      <c r="S334" s="40" t="n">
        <f aca="true">RAND()</f>
        <v>0.975388307161366</v>
      </c>
      <c r="T334" s="40" t="n">
        <f aca="true">RAND()</f>
        <v>0.156201560730152</v>
      </c>
      <c r="U334" s="40" t="n">
        <f aca="true">RAND()</f>
        <v>0.617616032069595</v>
      </c>
    </row>
    <row r="335" customFormat="false" ht="15" hidden="false" customHeight="false" outlineLevel="0" collapsed="false">
      <c r="A335" s="36" t="n">
        <v>255</v>
      </c>
      <c r="B335" s="37" t="n">
        <f aca="false">1+IF($G$6=$E$6,$F$6,IF(P335&lt;($F$6-$E$6)/($G$6-$E$6),$E$6+SQRT(P335*($G$6-$E$6)*($F$6-$E$6)),$G$6-SQRT((1-P335)*($G$6-$E$6)*($G$6-$F$6))))</f>
        <v>0.990764156796361</v>
      </c>
      <c r="C335" s="37" t="n">
        <f aca="false">1+IF($G$7=$E$7,$F$7,IF(Q335&lt;($F$7-$E$7)/($G$7-$E$7),$E$7+SQRT(Q335*($G$7-$E$7)*($F$7-$E$7)),$G$7-SQRT((1-Q335)*($G$7-$E$7)*($G$7-$F$7))))</f>
        <v>0.927394352897275</v>
      </c>
      <c r="D335" s="37" t="n">
        <f aca="false">1+IF($G$8=$E$8,$F$8,IF(R335&lt;($F$8-$E$8)/($G$8-$E$8),$E$8+SQRT(R335*($G$8-$E$8)*($F$8-$E$8)),$G$8-SQRT((1-R335)*($G$8-$E$8)*($G$8-$F$8))))</f>
        <v>1.06067027287765</v>
      </c>
      <c r="E335" s="37" t="n">
        <f aca="false">1+IF($G$9=$E$9,$F$9,IF(S335&lt;($F$9-$E$9)/($G$9-$E$9),$E$9+SQRT(S335*($G$9-$E$9)*($F$9-$E$9)),$G$9-SQRT((1-S335)*($G$9-$E$9)*($G$9-$F$9))))</f>
        <v>1.06925144326679</v>
      </c>
      <c r="F335" s="37" t="n">
        <f aca="false">1+IF($G$10=$E$10,$F$10,IF(T335&lt;($F$10-$E$10)/($G$10-$E$10),$E$10+SQRT(T335*($G$10-$E$10)*($F$10-$E$10)),$G$10-SQRT((1-T335)*($G$10-$E$10)*($G$10-$F$10))))</f>
        <v>1.02889201732951</v>
      </c>
      <c r="G335" s="38" t="n">
        <f aca="false">IF($G$11=$E$11,$F$11,IF(U335&lt;($F$11-$E$11)/($G$11-$E$11),$E$11+SQRT(U335*($G$11-$E$11)*($F$11-$E$11)),$G$11-SQRT((1-U335)*($G$11-$E$11)*($G$11-$F$11))))</f>
        <v>0.123090589876363</v>
      </c>
      <c r="H335" s="39" t="n">
        <f aca="false">(('Business Case'!B11*$C335*'Business Case'!B12*$B335)-'Business Case'!B11*$C335*'Business Case'!B13*$D335-'Business Case'!B14*$E335)-MAX(0,(('Business Case'!B11*$C335*'Business Case'!B12*$B335)-'Business Case'!B11*$C335*'Business Case'!B13*$D335-'Business Case'!B14*$E335))*'Business Case'!$B$7-'Business Case'!$B$8*('Business Case'!B11*$C335*'Business Case'!B12*$B335)-'Business Case'!B15*$F335</f>
        <v>-2057784034.65902</v>
      </c>
      <c r="I335" s="39" t="n">
        <f aca="false">(('Business Case'!C11*$C335*'Business Case'!C12*$B335)-'Business Case'!C11*$C335*'Business Case'!C13*$D335-'Business Case'!C14*$E335)-MAX(0,(('Business Case'!C11*$C335*'Business Case'!C12*$B335)-'Business Case'!C11*$C335*'Business Case'!C13*$D335-'Business Case'!C14*$E335))*'Business Case'!$B$7-'Business Case'!$B$8*(('Business Case'!C11*$C335*'Business Case'!C12*$B335)-('Business Case'!B11*$C335*'Business Case'!B12*$B335))-'Business Case'!C15*$F335</f>
        <v>-53536714.5022808</v>
      </c>
      <c r="J335" s="39" t="n">
        <f aca="false">(('Business Case'!D11*$C335*'Business Case'!D12*$B335)-'Business Case'!D11*$C335*'Business Case'!D13*$D335-'Business Case'!D14*$E335)-MAX(0,(('Business Case'!D11*$C335*'Business Case'!D12*$B335)-'Business Case'!D11*$C335*'Business Case'!D13*$D335-'Business Case'!D14*$E335))*'Business Case'!$B$7-'Business Case'!$B$8*(('Business Case'!D11*$C335*'Business Case'!D12*$B335)-('Business Case'!C11*$C335*'Business Case'!C12*$B335))-'Business Case'!D15*$F335</f>
        <v>195495427.678908</v>
      </c>
      <c r="K335" s="39" t="n">
        <f aca="false">(('Business Case'!E11*$C335*'Business Case'!E12*$B335)-'Business Case'!E11*$C335*'Business Case'!E13*$D335-'Business Case'!E14*$E335)-MAX(0,(('Business Case'!E11*$C335*'Business Case'!E12*$B335)-'Business Case'!E11*$C335*'Business Case'!E13*$D335-'Business Case'!E14*$E335))*'Business Case'!$B$7-'Business Case'!$B$8*(('Business Case'!E11*$C335*'Business Case'!E12*$B335)-('Business Case'!D11*$C335*'Business Case'!D12*$B335))-'Business Case'!E15*$F335</f>
        <v>495972170.726571</v>
      </c>
      <c r="L335" s="39" t="n">
        <f aca="false">(('Business Case'!F11*$C335*'Business Case'!F12*$B335)-'Business Case'!F11*$C335*'Business Case'!F13*$D335-'Business Case'!F14*$E335)-MAX(0,(('Business Case'!F11*$C335*'Business Case'!F12*$B335)-'Business Case'!F11*$C335*'Business Case'!F13*$D335-'Business Case'!F14*$E335))*'Business Case'!$B$7-'Business Case'!$B$8*(('Business Case'!F11*$C335*'Business Case'!F12*$B335)-('Business Case'!E11*$C335*'Business Case'!E12*$B335))-'Business Case'!F15*$F335</f>
        <v>610737617.932288</v>
      </c>
      <c r="M335" s="39" t="n">
        <f aca="false">(('Business Case'!G11*$C335*'Business Case'!G12*$B335)-'Business Case'!G11*$C335*'Business Case'!G13*$D335-'Business Case'!G14*$E335)-MAX(0,(('Business Case'!G11*$C335*'Business Case'!G12*$B335)-'Business Case'!G11*$C335*'Business Case'!G13*$D335-'Business Case'!G14*$E335))*'Business Case'!$B$7-'Business Case'!$B$8*(('Business Case'!G11*$C335*'Business Case'!G12*$B335)-('Business Case'!F11*$C335*'Business Case'!F12*$B335))-'Business Case'!G15*$F335+'Business Case'!$B$8*('Business Case'!G11*$C335*'Business Case'!G12*$B335)</f>
        <v>785388650.231548</v>
      </c>
      <c r="N335" s="39" t="n">
        <f aca="false">IF(COUNT('Business Case'!B11:G11)=0,"",H335+NPV(G335,I335:M335))</f>
        <v>-776912691.19513</v>
      </c>
      <c r="P335" s="40" t="n">
        <f aca="true">RAND()</f>
        <v>0.549208810596965</v>
      </c>
      <c r="Q335" s="40" t="n">
        <f aca="true">RAND()</f>
        <v>0.383023642441262</v>
      </c>
      <c r="R335" s="40" t="n">
        <f aca="true">RAND()</f>
        <v>0.896878170965451</v>
      </c>
      <c r="S335" s="40" t="n">
        <f aca="true">RAND()</f>
        <v>0.826124548946777</v>
      </c>
      <c r="T335" s="40" t="n">
        <f aca="true">RAND()</f>
        <v>0.348150133325153</v>
      </c>
      <c r="U335" s="40" t="n">
        <f aca="true">RAND()</f>
        <v>0.968173367828925</v>
      </c>
    </row>
    <row r="336" customFormat="false" ht="15" hidden="false" customHeight="false" outlineLevel="0" collapsed="false">
      <c r="A336" s="36" t="n">
        <v>256</v>
      </c>
      <c r="B336" s="37" t="n">
        <f aca="false">1+IF($G$6=$E$6,$F$6,IF(P336&lt;($F$6-$E$6)/($G$6-$E$6),$E$6+SQRT(P336*($G$6-$E$6)*($F$6-$E$6)),$G$6-SQRT((1-P336)*($G$6-$E$6)*($G$6-$F$6))))</f>
        <v>0.999366494639662</v>
      </c>
      <c r="C336" s="37" t="n">
        <f aca="false">1+IF($G$7=$E$7,$F$7,IF(Q336&lt;($F$7-$E$7)/($G$7-$E$7),$E$7+SQRT(Q336*($G$7-$E$7)*($F$7-$E$7)),$G$7-SQRT((1-Q336)*($G$7-$E$7)*($G$7-$F$7))))</f>
        <v>0.771572260013806</v>
      </c>
      <c r="D336" s="37" t="n">
        <f aca="false">1+IF($G$8=$E$8,$F$8,IF(R336&lt;($F$8-$E$8)/($G$8-$E$8),$E$8+SQRT(R336*($G$8-$E$8)*($F$8-$E$8)),$G$8-SQRT((1-R336)*($G$8-$E$8)*($G$8-$F$8))))</f>
        <v>0.996417390929118</v>
      </c>
      <c r="E336" s="37" t="n">
        <f aca="false">1+IF($G$9=$E$9,$F$9,IF(S336&lt;($F$9-$E$9)/($G$9-$E$9),$E$9+SQRT(S336*($G$9-$E$9)*($F$9-$E$9)),$G$9-SQRT((1-S336)*($G$9-$E$9)*($G$9-$F$9))))</f>
        <v>1.04577271571747</v>
      </c>
      <c r="F336" s="37" t="n">
        <f aca="false">1+IF($G$10=$E$10,$F$10,IF(T336&lt;($F$10-$E$10)/($G$10-$E$10),$E$10+SQRT(T336*($G$10-$E$10)*($F$10-$E$10)),$G$10-SQRT((1-T336)*($G$10-$E$10)*($G$10-$F$10))))</f>
        <v>0.998240303653978</v>
      </c>
      <c r="G336" s="38" t="n">
        <f aca="false">IF($G$11=$E$11,$F$11,IF(U336&lt;($F$11-$E$11)/($G$11-$E$11),$E$11+SQRT(U336*($G$11-$E$11)*($F$11-$E$11)),$G$11-SQRT((1-U336)*($G$11-$E$11)*($G$11-$F$11))))</f>
        <v>0.107652884419164</v>
      </c>
      <c r="H336" s="39" t="n">
        <f aca="false">(('Business Case'!B11*$C336*'Business Case'!B12*$B336)-'Business Case'!B11*$C336*'Business Case'!B13*$D336-'Business Case'!B14*$E336)-MAX(0,(('Business Case'!B11*$C336*'Business Case'!B12*$B336)-'Business Case'!B11*$C336*'Business Case'!B13*$D336-'Business Case'!B14*$E336))*'Business Case'!$B$7-'Business Case'!$B$8*('Business Case'!B11*$C336*'Business Case'!B12*$B336)-'Business Case'!B15*$F336</f>
        <v>-1996480607.30796</v>
      </c>
      <c r="I336" s="39" t="n">
        <f aca="false">(('Business Case'!C11*$C336*'Business Case'!C12*$B336)-'Business Case'!C11*$C336*'Business Case'!C13*$D336-'Business Case'!C14*$E336)-MAX(0,(('Business Case'!C11*$C336*'Business Case'!C12*$B336)-'Business Case'!C11*$C336*'Business Case'!C13*$D336-'Business Case'!C14*$E336))*'Business Case'!$B$7-'Business Case'!$B$8*(('Business Case'!C11*$C336*'Business Case'!C12*$B336)-('Business Case'!B11*$C336*'Business Case'!B12*$B336))-'Business Case'!C15*$F336</f>
        <v>-50501202.3312023</v>
      </c>
      <c r="J336" s="39" t="n">
        <f aca="false">(('Business Case'!D11*$C336*'Business Case'!D12*$B336)-'Business Case'!D11*$C336*'Business Case'!D13*$D336-'Business Case'!D14*$E336)-MAX(0,(('Business Case'!D11*$C336*'Business Case'!D12*$B336)-'Business Case'!D11*$C336*'Business Case'!D13*$D336-'Business Case'!D14*$E336))*'Business Case'!$B$7-'Business Case'!$B$8*(('Business Case'!D11*$C336*'Business Case'!D12*$B336)-('Business Case'!C11*$C336*'Business Case'!C12*$B336))-'Business Case'!D15*$F336</f>
        <v>187503472.695903</v>
      </c>
      <c r="K336" s="39" t="n">
        <f aca="false">(('Business Case'!E11*$C336*'Business Case'!E12*$B336)-'Business Case'!E11*$C336*'Business Case'!E13*$D336-'Business Case'!E14*$E336)-MAX(0,(('Business Case'!E11*$C336*'Business Case'!E12*$B336)-'Business Case'!E11*$C336*'Business Case'!E13*$D336-'Business Case'!E14*$E336))*'Business Case'!$B$7-'Business Case'!$B$8*(('Business Case'!E11*$C336*'Business Case'!E12*$B336)-('Business Case'!D11*$C336*'Business Case'!D12*$B336))-'Business Case'!E15*$F336</f>
        <v>475420162.905707</v>
      </c>
      <c r="L336" s="39" t="n">
        <f aca="false">(('Business Case'!F11*$C336*'Business Case'!F12*$B336)-'Business Case'!F11*$C336*'Business Case'!F13*$D336-'Business Case'!F14*$E336)-MAX(0,(('Business Case'!F11*$C336*'Business Case'!F12*$B336)-'Business Case'!F11*$C336*'Business Case'!F13*$D336-'Business Case'!F14*$E336))*'Business Case'!$B$7-'Business Case'!$B$8*(('Business Case'!F11*$C336*'Business Case'!F12*$B336)-('Business Case'!E11*$C336*'Business Case'!E12*$B336))-'Business Case'!F15*$F336</f>
        <v>581403699.126666</v>
      </c>
      <c r="M336" s="39" t="n">
        <f aca="false">(('Business Case'!G11*$C336*'Business Case'!G12*$B336)-'Business Case'!G11*$C336*'Business Case'!G13*$D336-'Business Case'!G14*$E336)-MAX(0,(('Business Case'!G11*$C336*'Business Case'!G12*$B336)-'Business Case'!G11*$C336*'Business Case'!G13*$D336-'Business Case'!G14*$E336))*'Business Case'!$B$7-'Business Case'!$B$8*(('Business Case'!G11*$C336*'Business Case'!G12*$B336)-('Business Case'!F11*$C336*'Business Case'!F12*$B336))-'Business Case'!G15*$F336+'Business Case'!$B$8*('Business Case'!G11*$C336*'Business Case'!G12*$B336)</f>
        <v>727971244.125582</v>
      </c>
      <c r="N336" s="39" t="n">
        <f aca="false">IF(COUNT('Business Case'!B11:G11)=0,"",H336+NPV(G336,I336:M336))</f>
        <v>-716550975.413664</v>
      </c>
      <c r="P336" s="40" t="n">
        <f aca="true">RAND()</f>
        <v>0.658246683798261</v>
      </c>
      <c r="Q336" s="40" t="n">
        <f aca="true">RAND()</f>
        <v>0.037945099285065</v>
      </c>
      <c r="R336" s="40" t="n">
        <f aca="true">RAND()</f>
        <v>0.287276557422214</v>
      </c>
      <c r="S336" s="40" t="n">
        <f aca="true">RAND()</f>
        <v>0.710311285629008</v>
      </c>
      <c r="T336" s="40" t="n">
        <f aca="true">RAND()</f>
        <v>0.155141793108532</v>
      </c>
      <c r="U336" s="40" t="n">
        <f aca="true">RAND()</f>
        <v>0.667070950144495</v>
      </c>
    </row>
    <row r="337" customFormat="false" ht="15" hidden="false" customHeight="false" outlineLevel="0" collapsed="false">
      <c r="A337" s="36" t="n">
        <v>257</v>
      </c>
      <c r="B337" s="37" t="n">
        <f aca="false">1+IF($G$6=$E$6,$F$6,IF(P337&lt;($F$6-$E$6)/($G$6-$E$6),$E$6+SQRT(P337*($G$6-$E$6)*($F$6-$E$6)),$G$6-SQRT((1-P337)*($G$6-$E$6)*($G$6-$F$6))))</f>
        <v>0.984745346300166</v>
      </c>
      <c r="C337" s="37" t="n">
        <f aca="false">1+IF($G$7=$E$7,$F$7,IF(Q337&lt;($F$7-$E$7)/($G$7-$E$7),$E$7+SQRT(Q337*($G$7-$E$7)*($F$7-$E$7)),$G$7-SQRT((1-Q337)*($G$7-$E$7)*($G$7-$F$7))))</f>
        <v>0.80940678343571</v>
      </c>
      <c r="D337" s="37" t="n">
        <f aca="false">1+IF($G$8=$E$8,$F$8,IF(R337&lt;($F$8-$E$8)/($G$8-$E$8),$E$8+SQRT(R337*($G$8-$E$8)*($F$8-$E$8)),$G$8-SQRT((1-R337)*($G$8-$E$8)*($G$8-$F$8))))</f>
        <v>0.986691299351268</v>
      </c>
      <c r="E337" s="37" t="n">
        <f aca="false">1+IF($G$9=$E$9,$F$9,IF(S337&lt;($F$9-$E$9)/($G$9-$E$9),$E$9+SQRT(S337*($G$9-$E$9)*($F$9-$E$9)),$G$9-SQRT((1-S337)*($G$9-$E$9)*($G$9-$F$9))))</f>
        <v>1.00551527809598</v>
      </c>
      <c r="F337" s="37" t="n">
        <f aca="false">1+IF($G$10=$E$10,$F$10,IF(T337&lt;($F$10-$E$10)/($G$10-$E$10),$E$10+SQRT(T337*($G$10-$E$10)*($F$10-$E$10)),$G$10-SQRT((1-T337)*($G$10-$E$10)*($G$10-$F$10))))</f>
        <v>1.15132388986975</v>
      </c>
      <c r="G337" s="38" t="n">
        <f aca="false">IF($G$11=$E$11,$F$11,IF(U337&lt;($F$11-$E$11)/($G$11-$E$11),$E$11+SQRT(U337*($G$11-$E$11)*($F$11-$E$11)),$G$11-SQRT((1-U337)*($G$11-$E$11)*($G$11-$F$11))))</f>
        <v>0.118960313419515</v>
      </c>
      <c r="H337" s="39" t="n">
        <f aca="false">(('Business Case'!B11*$C337*'Business Case'!B12*$B337)-'Business Case'!B11*$C337*'Business Case'!B13*$D337-'Business Case'!B14*$E337)-MAX(0,(('Business Case'!B11*$C337*'Business Case'!B12*$B337)-'Business Case'!B11*$C337*'Business Case'!B13*$D337-'Business Case'!B14*$E337))*'Business Case'!$B$7-'Business Case'!$B$8*('Business Case'!B11*$C337*'Business Case'!B12*$B337)-'Business Case'!B15*$F337</f>
        <v>-2302647779.7395</v>
      </c>
      <c r="I337" s="39" t="n">
        <f aca="false">(('Business Case'!C11*$C337*'Business Case'!C12*$B337)-'Business Case'!C11*$C337*'Business Case'!C13*$D337-'Business Case'!C14*$E337)-MAX(0,(('Business Case'!C11*$C337*'Business Case'!C12*$B337)-'Business Case'!C11*$C337*'Business Case'!C13*$D337-'Business Case'!C14*$E337))*'Business Case'!$B$7-'Business Case'!$B$8*(('Business Case'!C11*$C337*'Business Case'!C12*$B337)-('Business Case'!B11*$C337*'Business Case'!B12*$B337))-'Business Case'!C15*$F337</f>
        <v>-55424098.924897</v>
      </c>
      <c r="J337" s="39" t="n">
        <f aca="false">(('Business Case'!D11*$C337*'Business Case'!D12*$B337)-'Business Case'!D11*$C337*'Business Case'!D13*$D337-'Business Case'!D14*$E337)-MAX(0,(('Business Case'!D11*$C337*'Business Case'!D12*$B337)-'Business Case'!D11*$C337*'Business Case'!D13*$D337-'Business Case'!D14*$E337))*'Business Case'!$B$7-'Business Case'!$B$8*(('Business Case'!D11*$C337*'Business Case'!D12*$B337)-('Business Case'!C11*$C337*'Business Case'!C12*$B337))-'Business Case'!D15*$F337</f>
        <v>188588031.441418</v>
      </c>
      <c r="K337" s="39" t="n">
        <f aca="false">(('Business Case'!E11*$C337*'Business Case'!E12*$B337)-'Business Case'!E11*$C337*'Business Case'!E13*$D337-'Business Case'!E14*$E337)-MAX(0,(('Business Case'!E11*$C337*'Business Case'!E12*$B337)-'Business Case'!E11*$C337*'Business Case'!E13*$D337-'Business Case'!E14*$E337))*'Business Case'!$B$7-'Business Case'!$B$8*(('Business Case'!E11*$C337*'Business Case'!E12*$B337)-('Business Case'!D11*$C337*'Business Case'!D12*$B337))-'Business Case'!E15*$F337</f>
        <v>490166356.301221</v>
      </c>
      <c r="L337" s="39" t="n">
        <f aca="false">(('Business Case'!F11*$C337*'Business Case'!F12*$B337)-'Business Case'!F11*$C337*'Business Case'!F13*$D337-'Business Case'!F14*$E337)-MAX(0,(('Business Case'!F11*$C337*'Business Case'!F12*$B337)-'Business Case'!F11*$C337*'Business Case'!F13*$D337-'Business Case'!F14*$E337))*'Business Case'!$B$7-'Business Case'!$B$8*(('Business Case'!F11*$C337*'Business Case'!F12*$B337)-('Business Case'!E11*$C337*'Business Case'!E12*$B337))-'Business Case'!F15*$F337</f>
        <v>599050111.595985</v>
      </c>
      <c r="M337" s="39" t="n">
        <f aca="false">(('Business Case'!G11*$C337*'Business Case'!G12*$B337)-'Business Case'!G11*$C337*'Business Case'!G13*$D337-'Business Case'!G14*$E337)-MAX(0,(('Business Case'!G11*$C337*'Business Case'!G12*$B337)-'Business Case'!G11*$C337*'Business Case'!G13*$D337-'Business Case'!G14*$E337))*'Business Case'!$B$7-'Business Case'!$B$8*(('Business Case'!G11*$C337*'Business Case'!G12*$B337)-('Business Case'!F11*$C337*'Business Case'!F12*$B337))-'Business Case'!G15*$F337+'Business Case'!$B$8*('Business Case'!G11*$C337*'Business Case'!G12*$B337)</f>
        <v>750555193.378944</v>
      </c>
      <c r="N337" s="39" t="n">
        <f aca="false">IF(COUNT('Business Case'!B11:G11)=0,"",H337+NPV(G337,I337:M337))</f>
        <v>-1041703163.83274</v>
      </c>
      <c r="P337" s="40" t="n">
        <f aca="true">RAND()</f>
        <v>0.478784914635673</v>
      </c>
      <c r="Q337" s="40" t="n">
        <f aca="true">RAND()</f>
        <v>0.088665513049987</v>
      </c>
      <c r="R337" s="40" t="n">
        <f aca="true">RAND()</f>
        <v>0.179500193077914</v>
      </c>
      <c r="S337" s="40" t="n">
        <f aca="true">RAND()</f>
        <v>0.443311070301803</v>
      </c>
      <c r="T337" s="40" t="n">
        <f aca="true">RAND()</f>
        <v>0.870173670527502</v>
      </c>
      <c r="U337" s="40" t="n">
        <f aca="true">RAND()</f>
        <v>0.918750213469771</v>
      </c>
    </row>
    <row r="338" customFormat="false" ht="15" hidden="false" customHeight="false" outlineLevel="0" collapsed="false">
      <c r="A338" s="36" t="n">
        <v>258</v>
      </c>
      <c r="B338" s="37" t="n">
        <f aca="false">1+IF($G$6=$E$6,$F$6,IF(P338&lt;($F$6-$E$6)/($G$6-$E$6),$E$6+SQRT(P338*($G$6-$E$6)*($F$6-$E$6)),$G$6-SQRT((1-P338)*($G$6-$E$6)*($G$6-$F$6))))</f>
        <v>1.02687526404807</v>
      </c>
      <c r="C338" s="37" t="n">
        <f aca="false">1+IF($G$7=$E$7,$F$7,IF(Q338&lt;($F$7-$E$7)/($G$7-$E$7),$E$7+SQRT(Q338*($G$7-$E$7)*($F$7-$E$7)),$G$7-SQRT((1-Q338)*($G$7-$E$7)*($G$7-$F$7))))</f>
        <v>1.03277313221266</v>
      </c>
      <c r="D338" s="37" t="n">
        <f aca="false">1+IF($G$8=$E$8,$F$8,IF(R338&lt;($F$8-$E$8)/($G$8-$E$8),$E$8+SQRT(R338*($G$8-$E$8)*($F$8-$E$8)),$G$8-SQRT((1-R338)*($G$8-$E$8)*($G$8-$F$8))))</f>
        <v>1.00391777446521</v>
      </c>
      <c r="E338" s="37" t="n">
        <f aca="false">1+IF($G$9=$E$9,$F$9,IF(S338&lt;($F$9-$E$9)/($G$9-$E$9),$E$9+SQRT(S338*($G$9-$E$9)*($F$9-$E$9)),$G$9-SQRT((1-S338)*($G$9-$E$9)*($G$9-$F$9))))</f>
        <v>1.00743765497526</v>
      </c>
      <c r="F338" s="37" t="n">
        <f aca="false">1+IF($G$10=$E$10,$F$10,IF(T338&lt;($F$10-$E$10)/($G$10-$E$10),$E$10+SQRT(T338*($G$10-$E$10)*($F$10-$E$10)),$G$10-SQRT((1-T338)*($G$10-$E$10)*($G$10-$F$10))))</f>
        <v>1.04501781617709</v>
      </c>
      <c r="G338" s="38" t="n">
        <f aca="false">IF($G$11=$E$11,$F$11,IF(U338&lt;($F$11-$E$11)/($G$11-$E$11),$E$11+SQRT(U338*($G$11-$E$11)*($F$11-$E$11)),$G$11-SQRT((1-U338)*($G$11-$E$11)*($G$11-$F$11))))</f>
        <v>0.0852154080687247</v>
      </c>
      <c r="H338" s="39" t="n">
        <f aca="false">(('Business Case'!B11*$C338*'Business Case'!B12*$B338)-'Business Case'!B11*$C338*'Business Case'!B13*$D338-'Business Case'!B14*$E338)-MAX(0,(('Business Case'!B11*$C338*'Business Case'!B12*$B338)-'Business Case'!B11*$C338*'Business Case'!B13*$D338-'Business Case'!B14*$E338))*'Business Case'!$B$7-'Business Case'!$B$8*('Business Case'!B11*$C338*'Business Case'!B12*$B338)-'Business Case'!B15*$F338</f>
        <v>-2090035632.35418</v>
      </c>
      <c r="I338" s="39" t="n">
        <f aca="false">(('Business Case'!C11*$C338*'Business Case'!C12*$B338)-'Business Case'!C11*$C338*'Business Case'!C13*$D338-'Business Case'!C14*$E338)-MAX(0,(('Business Case'!C11*$C338*'Business Case'!C12*$B338)-'Business Case'!C11*$C338*'Business Case'!C13*$D338-'Business Case'!C14*$E338))*'Business Case'!$B$7-'Business Case'!$B$8*(('Business Case'!C11*$C338*'Business Case'!C12*$B338)-('Business Case'!B11*$C338*'Business Case'!B12*$B338))-'Business Case'!C15*$F338</f>
        <v>35143971.5376519</v>
      </c>
      <c r="J338" s="39" t="n">
        <f aca="false">(('Business Case'!D11*$C338*'Business Case'!D12*$B338)-'Business Case'!D11*$C338*'Business Case'!D13*$D338-'Business Case'!D14*$E338)-MAX(0,(('Business Case'!D11*$C338*'Business Case'!D12*$B338)-'Business Case'!D11*$C338*'Business Case'!D13*$D338-'Business Case'!D14*$E338))*'Business Case'!$B$7-'Business Case'!$B$8*(('Business Case'!D11*$C338*'Business Case'!D12*$B338)-('Business Case'!C11*$C338*'Business Case'!C12*$B338))-'Business Case'!D15*$F338</f>
        <v>373025192.069057</v>
      </c>
      <c r="K338" s="39" t="n">
        <f aca="false">(('Business Case'!E11*$C338*'Business Case'!E12*$B338)-'Business Case'!E11*$C338*'Business Case'!E13*$D338-'Business Case'!E14*$E338)-MAX(0,(('Business Case'!E11*$C338*'Business Case'!E12*$B338)-'Business Case'!E11*$C338*'Business Case'!E13*$D338-'Business Case'!E14*$E338))*'Business Case'!$B$7-'Business Case'!$B$8*(('Business Case'!E11*$C338*'Business Case'!E12*$B338)-('Business Case'!D11*$C338*'Business Case'!D12*$B338))-'Business Case'!E15*$F338</f>
        <v>763157303.409316</v>
      </c>
      <c r="L338" s="39" t="n">
        <f aca="false">(('Business Case'!F11*$C338*'Business Case'!F12*$B338)-'Business Case'!F11*$C338*'Business Case'!F13*$D338-'Business Case'!F14*$E338)-MAX(0,(('Business Case'!F11*$C338*'Business Case'!F12*$B338)-'Business Case'!F11*$C338*'Business Case'!F13*$D338-'Business Case'!F14*$E338))*'Business Case'!$B$7-'Business Case'!$B$8*(('Business Case'!F11*$C338*'Business Case'!F12*$B338)-('Business Case'!E11*$C338*'Business Case'!E12*$B338))-'Business Case'!F15*$F338</f>
        <v>912436265.478825</v>
      </c>
      <c r="M338" s="39" t="n">
        <f aca="false">(('Business Case'!G11*$C338*'Business Case'!G12*$B338)-'Business Case'!G11*$C338*'Business Case'!G13*$D338-'Business Case'!G14*$E338)-MAX(0,(('Business Case'!G11*$C338*'Business Case'!G12*$B338)-'Business Case'!G11*$C338*'Business Case'!G13*$D338-'Business Case'!G14*$E338))*'Business Case'!$B$7-'Business Case'!$B$8*(('Business Case'!G11*$C338*'Business Case'!G12*$B338)-('Business Case'!F11*$C338*'Business Case'!F12*$B338))-'Business Case'!G15*$F338+'Business Case'!$B$8*('Business Case'!G11*$C338*'Business Case'!G12*$B338)</f>
        <v>1114021652.55355</v>
      </c>
      <c r="N338" s="39" t="n">
        <f aca="false">IF(COUNT('Business Case'!B11:G11)=0,"",H338+NPV(G338,I338:M338))</f>
        <v>254225407.742475</v>
      </c>
      <c r="P338" s="40" t="n">
        <f aca="true">RAND()</f>
        <v>0.928699544953784</v>
      </c>
      <c r="Q338" s="40" t="n">
        <f aca="true">RAND()</f>
        <v>0.796412762500275</v>
      </c>
      <c r="R338" s="40" t="n">
        <f aca="true">RAND()</f>
        <v>0.38454706241883</v>
      </c>
      <c r="S338" s="40" t="n">
        <f aca="true">RAND()</f>
        <v>0.458026074161274</v>
      </c>
      <c r="T338" s="40" t="n">
        <f aca="true">RAND()</f>
        <v>0.439764057535882</v>
      </c>
      <c r="U338" s="40" t="n">
        <f aca="true">RAND()</f>
        <v>0.0272004813233182</v>
      </c>
    </row>
    <row r="339" customFormat="false" ht="15" hidden="false" customHeight="false" outlineLevel="0" collapsed="false">
      <c r="A339" s="36" t="n">
        <v>259</v>
      </c>
      <c r="B339" s="37" t="n">
        <f aca="false">1+IF($G$6=$E$6,$F$6,IF(P339&lt;($F$6-$E$6)/($G$6-$E$6),$E$6+SQRT(P339*($G$6-$E$6)*($F$6-$E$6)),$G$6-SQRT((1-P339)*($G$6-$E$6)*($G$6-$F$6))))</f>
        <v>0.96630141109984</v>
      </c>
      <c r="C339" s="37" t="n">
        <f aca="false">1+IF($G$7=$E$7,$F$7,IF(Q339&lt;($F$7-$E$7)/($G$7-$E$7),$E$7+SQRT(Q339*($G$7-$E$7)*($F$7-$E$7)),$G$7-SQRT((1-Q339)*($G$7-$E$7)*($G$7-$F$7))))</f>
        <v>0.96773793155783</v>
      </c>
      <c r="D339" s="37" t="n">
        <f aca="false">1+IF($G$8=$E$8,$F$8,IF(R339&lt;($F$8-$E$8)/($G$8-$E$8),$E$8+SQRT(R339*($G$8-$E$8)*($F$8-$E$8)),$G$8-SQRT((1-R339)*($G$8-$E$8)*($G$8-$F$8))))</f>
        <v>0.951371390555955</v>
      </c>
      <c r="E339" s="37" t="n">
        <f aca="false">1+IF($G$9=$E$9,$F$9,IF(S339&lt;($F$9-$E$9)/($G$9-$E$9),$E$9+SQRT(S339*($G$9-$E$9)*($F$9-$E$9)),$G$9-SQRT((1-S339)*($G$9-$E$9)*($G$9-$F$9))))</f>
        <v>1.07248781563537</v>
      </c>
      <c r="F339" s="37" t="n">
        <f aca="false">1+IF($G$10=$E$10,$F$10,IF(T339&lt;($F$10-$E$10)/($G$10-$E$10),$E$10+SQRT(T339*($G$10-$E$10)*($F$10-$E$10)),$G$10-SQRT((1-T339)*($G$10-$E$10)*($G$10-$F$10))))</f>
        <v>1.0021656604648</v>
      </c>
      <c r="G339" s="38" t="n">
        <f aca="false">IF($G$11=$E$11,$F$11,IF(U339&lt;($F$11-$E$11)/($G$11-$E$11),$E$11+SQRT(U339*($G$11-$E$11)*($F$11-$E$11)),$G$11-SQRT((1-U339)*($G$11-$E$11)*($G$11-$F$11))))</f>
        <v>0.101626130181336</v>
      </c>
      <c r="H339" s="39" t="n">
        <f aca="false">(('Business Case'!B11*$C339*'Business Case'!B12*$B339)-'Business Case'!B11*$C339*'Business Case'!B13*$D339-'Business Case'!B14*$E339)-MAX(0,(('Business Case'!B11*$C339*'Business Case'!B12*$B339)-'Business Case'!B11*$C339*'Business Case'!B13*$D339-'Business Case'!B14*$E339))*'Business Case'!$B$7-'Business Case'!$B$8*('Business Case'!B11*$C339*'Business Case'!B12*$B339)-'Business Case'!B15*$F339</f>
        <v>-2004331320.9296</v>
      </c>
      <c r="I339" s="39" t="n">
        <f aca="false">(('Business Case'!C11*$C339*'Business Case'!C12*$B339)-'Business Case'!C11*$C339*'Business Case'!C13*$D339-'Business Case'!C14*$E339)-MAX(0,(('Business Case'!C11*$C339*'Business Case'!C12*$B339)-'Business Case'!C11*$C339*'Business Case'!C13*$D339-'Business Case'!C14*$E339))*'Business Case'!$B$7-'Business Case'!$B$8*(('Business Case'!C11*$C339*'Business Case'!C12*$B339)-('Business Case'!B11*$C339*'Business Case'!B12*$B339))-'Business Case'!C15*$F339</f>
        <v>-6578911.20060083</v>
      </c>
      <c r="J339" s="39" t="n">
        <f aca="false">(('Business Case'!D11*$C339*'Business Case'!D12*$B339)-'Business Case'!D11*$C339*'Business Case'!D13*$D339-'Business Case'!D14*$E339)-MAX(0,(('Business Case'!D11*$C339*'Business Case'!D12*$B339)-'Business Case'!D11*$C339*'Business Case'!D13*$D339-'Business Case'!D14*$E339))*'Business Case'!$B$7-'Business Case'!$B$8*(('Business Case'!D11*$C339*'Business Case'!D12*$B339)-('Business Case'!C11*$C339*'Business Case'!C12*$B339))-'Business Case'!D15*$F339</f>
        <v>288043470.283652</v>
      </c>
      <c r="K339" s="39" t="n">
        <f aca="false">(('Business Case'!E11*$C339*'Business Case'!E12*$B339)-'Business Case'!E11*$C339*'Business Case'!E13*$D339-'Business Case'!E14*$E339)-MAX(0,(('Business Case'!E11*$C339*'Business Case'!E12*$B339)-'Business Case'!E11*$C339*'Business Case'!E13*$D339-'Business Case'!E14*$E339))*'Business Case'!$B$7-'Business Case'!$B$8*(('Business Case'!E11*$C339*'Business Case'!E12*$B339)-('Business Case'!D11*$C339*'Business Case'!D12*$B339))-'Business Case'!E15*$F339</f>
        <v>632774134.791144</v>
      </c>
      <c r="L339" s="39" t="n">
        <f aca="false">(('Business Case'!F11*$C339*'Business Case'!F12*$B339)-'Business Case'!F11*$C339*'Business Case'!F13*$D339-'Business Case'!F14*$E339)-MAX(0,(('Business Case'!F11*$C339*'Business Case'!F12*$B339)-'Business Case'!F11*$C339*'Business Case'!F13*$D339-'Business Case'!F14*$E339))*'Business Case'!$B$7-'Business Case'!$B$8*(('Business Case'!F11*$C339*'Business Case'!F12*$B339)-('Business Case'!E11*$C339*'Business Case'!E12*$B339))-'Business Case'!F15*$F339</f>
        <v>763299568.122577</v>
      </c>
      <c r="M339" s="39" t="n">
        <f aca="false">(('Business Case'!G11*$C339*'Business Case'!G12*$B339)-'Business Case'!G11*$C339*'Business Case'!G13*$D339-'Business Case'!G14*$E339)-MAX(0,(('Business Case'!G11*$C339*'Business Case'!G12*$B339)-'Business Case'!G11*$C339*'Business Case'!G13*$D339-'Business Case'!G14*$E339))*'Business Case'!$B$7-'Business Case'!$B$8*(('Business Case'!G11*$C339*'Business Case'!G12*$B339)-('Business Case'!F11*$C339*'Business Case'!F12*$B339))-'Business Case'!G15*$F339+'Business Case'!$B$8*('Business Case'!G11*$C339*'Business Case'!G12*$B339)</f>
        <v>941048418.724327</v>
      </c>
      <c r="N339" s="39" t="n">
        <f aca="false">IF(COUNT('Business Case'!B11:G11)=0,"",H339+NPV(G339,I339:M339))</f>
        <v>-201353188.369703</v>
      </c>
      <c r="P339" s="40" t="n">
        <f aca="true">RAND()</f>
        <v>0.293058474255335</v>
      </c>
      <c r="Q339" s="40" t="n">
        <f aca="true">RAND()</f>
        <v>0.530989629591595</v>
      </c>
      <c r="R339" s="40" t="n">
        <f aca="true">RAND()</f>
        <v>0.000250761607594876</v>
      </c>
      <c r="S339" s="40" t="n">
        <f aca="true">RAND()</f>
        <v>0.839782967333983</v>
      </c>
      <c r="T339" s="40" t="n">
        <f aca="true">RAND()</f>
        <v>0.181041868628698</v>
      </c>
      <c r="U339" s="40" t="n">
        <f aca="true">RAND()</f>
        <v>0.463282341009016</v>
      </c>
    </row>
    <row r="340" customFormat="false" ht="15" hidden="false" customHeight="false" outlineLevel="0" collapsed="false">
      <c r="A340" s="36" t="n">
        <v>260</v>
      </c>
      <c r="B340" s="37" t="n">
        <f aca="false">1+IF($G$6=$E$6,$F$6,IF(P340&lt;($F$6-$E$6)/($G$6-$E$6),$E$6+SQRT(P340*($G$6-$E$6)*($F$6-$E$6)),$G$6-SQRT((1-P340)*($G$6-$E$6)*($G$6-$F$6))))</f>
        <v>0.982048602797278</v>
      </c>
      <c r="C340" s="37" t="n">
        <f aca="false">1+IF($G$7=$E$7,$F$7,IF(Q340&lt;($F$7-$E$7)/($G$7-$E$7),$E$7+SQRT(Q340*($G$7-$E$7)*($F$7-$E$7)),$G$7-SQRT((1-Q340)*($G$7-$E$7)*($G$7-$F$7))))</f>
        <v>0.967856632221564</v>
      </c>
      <c r="D340" s="37" t="n">
        <f aca="false">1+IF($G$8=$E$8,$F$8,IF(R340&lt;($F$8-$E$8)/($G$8-$E$8),$E$8+SQRT(R340*($G$8-$E$8)*($F$8-$E$8)),$G$8-SQRT((1-R340)*($G$8-$E$8)*($G$8-$F$8))))</f>
        <v>1.01652413876371</v>
      </c>
      <c r="E340" s="37" t="n">
        <f aca="false">1+IF($G$9=$E$9,$F$9,IF(S340&lt;($F$9-$E$9)/($G$9-$E$9),$E$9+SQRT(S340*($G$9-$E$9)*($F$9-$E$9)),$G$9-SQRT((1-S340)*($G$9-$E$9)*($G$9-$F$9))))</f>
        <v>1.1268661521575</v>
      </c>
      <c r="F340" s="37" t="n">
        <f aca="false">1+IF($G$10=$E$10,$F$10,IF(T340&lt;($F$10-$E$10)/($G$10-$E$10),$E$10+SQRT(T340*($G$10-$E$10)*($F$10-$E$10)),$G$10-SQRT((1-T340)*($G$10-$E$10)*($G$10-$F$10))))</f>
        <v>1.00002330069882</v>
      </c>
      <c r="G340" s="38" t="n">
        <f aca="false">IF($G$11=$E$11,$F$11,IF(U340&lt;($F$11-$E$11)/($G$11-$E$11),$E$11+SQRT(U340*($G$11-$E$11)*($F$11-$E$11)),$G$11-SQRT((1-U340)*($G$11-$E$11)*($G$11-$F$11))))</f>
        <v>0.101152277226743</v>
      </c>
      <c r="H340" s="39" t="n">
        <f aca="false">(('Business Case'!B11*$C340*'Business Case'!B12*$B340)-'Business Case'!B11*$C340*'Business Case'!B13*$D340-'Business Case'!B14*$E340)-MAX(0,(('Business Case'!B11*$C340*'Business Case'!B12*$B340)-'Business Case'!B11*$C340*'Business Case'!B13*$D340-'Business Case'!B14*$E340))*'Business Case'!$B$7-'Business Case'!$B$8*('Business Case'!B11*$C340*'Business Case'!B12*$B340)-'Business Case'!B15*$F340</f>
        <v>-2000046601.39764</v>
      </c>
      <c r="I340" s="39" t="n">
        <f aca="false">(('Business Case'!C11*$C340*'Business Case'!C12*$B340)-'Business Case'!C11*$C340*'Business Case'!C13*$D340-'Business Case'!C14*$E340)-MAX(0,(('Business Case'!C11*$C340*'Business Case'!C12*$B340)-'Business Case'!C11*$C340*'Business Case'!C13*$D340-'Business Case'!C14*$E340))*'Business Case'!$B$7-'Business Case'!$B$8*(('Business Case'!C11*$C340*'Business Case'!C12*$B340)-('Business Case'!B11*$C340*'Business Case'!B12*$B340))-'Business Case'!C15*$F340</f>
        <v>-34654599.0221747</v>
      </c>
      <c r="J340" s="39" t="n">
        <f aca="false">(('Business Case'!D11*$C340*'Business Case'!D12*$B340)-'Business Case'!D11*$C340*'Business Case'!D13*$D340-'Business Case'!D14*$E340)-MAX(0,(('Business Case'!D11*$C340*'Business Case'!D12*$B340)-'Business Case'!D11*$C340*'Business Case'!D13*$D340-'Business Case'!D14*$E340))*'Business Case'!$B$7-'Business Case'!$B$8*(('Business Case'!D11*$C340*'Business Case'!D12*$B340)-('Business Case'!C11*$C340*'Business Case'!C12*$B340))-'Business Case'!D15*$F340</f>
        <v>240206498.877615</v>
      </c>
      <c r="K340" s="39" t="n">
        <f aca="false">(('Business Case'!E11*$C340*'Business Case'!E12*$B340)-'Business Case'!E11*$C340*'Business Case'!E13*$D340-'Business Case'!E14*$E340)-MAX(0,(('Business Case'!E11*$C340*'Business Case'!E12*$B340)-'Business Case'!E11*$C340*'Business Case'!E13*$D340-'Business Case'!E14*$E340))*'Business Case'!$B$7-'Business Case'!$B$8*(('Business Case'!E11*$C340*'Business Case'!E12*$B340)-('Business Case'!D11*$C340*'Business Case'!D12*$B340))-'Business Case'!E15*$F340</f>
        <v>565068761.812345</v>
      </c>
      <c r="L340" s="39" t="n">
        <f aca="false">(('Business Case'!F11*$C340*'Business Case'!F12*$B340)-'Business Case'!F11*$C340*'Business Case'!F13*$D340-'Business Case'!F14*$E340)-MAX(0,(('Business Case'!F11*$C340*'Business Case'!F12*$B340)-'Business Case'!F11*$C340*'Business Case'!F13*$D340-'Business Case'!F14*$E340))*'Business Case'!$B$7-'Business Case'!$B$8*(('Business Case'!F11*$C340*'Business Case'!F12*$B340)-('Business Case'!E11*$C340*'Business Case'!E12*$B340))-'Business Case'!F15*$F340</f>
        <v>689537794.455798</v>
      </c>
      <c r="M340" s="39" t="n">
        <f aca="false">(('Business Case'!G11*$C340*'Business Case'!G12*$B340)-'Business Case'!G11*$C340*'Business Case'!G13*$D340-'Business Case'!G14*$E340)-MAX(0,(('Business Case'!G11*$C340*'Business Case'!G12*$B340)-'Business Case'!G11*$C340*'Business Case'!G13*$D340-'Business Case'!G14*$E340))*'Business Case'!$B$7-'Business Case'!$B$8*(('Business Case'!G11*$C340*'Business Case'!G12*$B340)-('Business Case'!F11*$C340*'Business Case'!F12*$B340))-'Business Case'!G15*$F340+'Business Case'!$B$8*('Business Case'!G11*$C340*'Business Case'!G12*$B340)</f>
        <v>870205461.178509</v>
      </c>
      <c r="N340" s="39" t="n">
        <f aca="false">IF(COUNT('Business Case'!B11:G11)=0,"",H340+NPV(G340,I340:M340))</f>
        <v>-403698825.717976</v>
      </c>
      <c r="P340" s="40" t="n">
        <f aca="true">RAND()</f>
        <v>0.448798214732362</v>
      </c>
      <c r="Q340" s="40" t="n">
        <f aca="true">RAND()</f>
        <v>0.531460558704283</v>
      </c>
      <c r="R340" s="40" t="n">
        <f aca="true">RAND()</f>
        <v>0.53545203939059</v>
      </c>
      <c r="S340" s="40" t="n">
        <f aca="true">RAND()</f>
        <v>0.985728668906673</v>
      </c>
      <c r="T340" s="40" t="n">
        <f aca="true">RAND()</f>
        <v>0.16682199741984</v>
      </c>
      <c r="U340" s="40" t="n">
        <f aca="true">RAND()</f>
        <v>0.445205927198199</v>
      </c>
    </row>
    <row r="341" customFormat="false" ht="15" hidden="false" customHeight="false" outlineLevel="0" collapsed="false">
      <c r="A341" s="36" t="n">
        <v>261</v>
      </c>
      <c r="B341" s="37" t="n">
        <f aca="false">1+IF($G$6=$E$6,$F$6,IF(P341&lt;($F$6-$E$6)/($G$6-$E$6),$E$6+SQRT(P341*($G$6-$E$6)*($F$6-$E$6)),$G$6-SQRT((1-P341)*($G$6-$E$6)*($G$6-$F$6))))</f>
        <v>0.981459147718944</v>
      </c>
      <c r="C341" s="37" t="n">
        <f aca="false">1+IF($G$7=$E$7,$F$7,IF(Q341&lt;($F$7-$E$7)/($G$7-$E$7),$E$7+SQRT(Q341*($G$7-$E$7)*($F$7-$E$7)),$G$7-SQRT((1-Q341)*($G$7-$E$7)*($G$7-$F$7))))</f>
        <v>1.02480293470929</v>
      </c>
      <c r="D341" s="37" t="n">
        <f aca="false">1+IF($G$8=$E$8,$F$8,IF(R341&lt;($F$8-$E$8)/($G$8-$E$8),$E$8+SQRT(R341*($G$8-$E$8)*($F$8-$E$8)),$G$8-SQRT((1-R341)*($G$8-$E$8)*($G$8-$F$8))))</f>
        <v>1.04669067232795</v>
      </c>
      <c r="E341" s="37" t="n">
        <f aca="false">1+IF($G$9=$E$9,$F$9,IF(S341&lt;($F$9-$E$9)/($G$9-$E$9),$E$9+SQRT(S341*($G$9-$E$9)*($F$9-$E$9)),$G$9-SQRT((1-S341)*($G$9-$E$9)*($G$9-$F$9))))</f>
        <v>1.09284309020236</v>
      </c>
      <c r="F341" s="37" t="n">
        <f aca="false">1+IF($G$10=$E$10,$F$10,IF(T341&lt;($F$10-$E$10)/($G$10-$E$10),$E$10+SQRT(T341*($G$10-$E$10)*($F$10-$E$10)),$G$10-SQRT((1-T341)*($G$10-$E$10)*($G$10-$F$10))))</f>
        <v>1.05599849234136</v>
      </c>
      <c r="G341" s="38" t="n">
        <f aca="false">IF($G$11=$E$11,$F$11,IF(U341&lt;($F$11-$E$11)/($G$11-$E$11),$E$11+SQRT(U341*($G$11-$E$11)*($F$11-$E$11)),$G$11-SQRT((1-U341)*($G$11-$E$11)*($G$11-$F$11))))</f>
        <v>0.103134295540332</v>
      </c>
      <c r="H341" s="39" t="n">
        <f aca="false">(('Business Case'!B11*$C341*'Business Case'!B12*$B341)-'Business Case'!B11*$C341*'Business Case'!B13*$D341-'Business Case'!B14*$E341)-MAX(0,(('Business Case'!B11*$C341*'Business Case'!B12*$B341)-'Business Case'!B11*$C341*'Business Case'!B13*$D341-'Business Case'!B14*$E341))*'Business Case'!$B$7-'Business Case'!$B$8*('Business Case'!B11*$C341*'Business Case'!B12*$B341)-'Business Case'!B15*$F341</f>
        <v>-2111996984.68272</v>
      </c>
      <c r="I341" s="39" t="n">
        <f aca="false">(('Business Case'!C11*$C341*'Business Case'!C12*$B341)-'Business Case'!C11*$C341*'Business Case'!C13*$D341-'Business Case'!C14*$E341)-MAX(0,(('Business Case'!C11*$C341*'Business Case'!C12*$B341)-'Business Case'!C11*$C341*'Business Case'!C13*$D341-'Business Case'!C14*$E341))*'Business Case'!$B$7-'Business Case'!$B$8*(('Business Case'!C11*$C341*'Business Case'!C12*$B341)-('Business Case'!B11*$C341*'Business Case'!B12*$B341))-'Business Case'!C15*$F341</f>
        <v>-38430336.0406257</v>
      </c>
      <c r="J341" s="39" t="n">
        <f aca="false">(('Business Case'!D11*$C341*'Business Case'!D12*$B341)-'Business Case'!D11*$C341*'Business Case'!D13*$D341-'Business Case'!D14*$E341)-MAX(0,(('Business Case'!D11*$C341*'Business Case'!D12*$B341)-'Business Case'!D11*$C341*'Business Case'!D13*$D341-'Business Case'!D14*$E341))*'Business Case'!$B$7-'Business Case'!$B$8*(('Business Case'!D11*$C341*'Business Case'!D12*$B341)-('Business Case'!C11*$C341*'Business Case'!C12*$B341))-'Business Case'!D15*$F341</f>
        <v>236282251.399022</v>
      </c>
      <c r="K341" s="39" t="n">
        <f aca="false">(('Business Case'!E11*$C341*'Business Case'!E12*$B341)-'Business Case'!E11*$C341*'Business Case'!E13*$D341-'Business Case'!E14*$E341)-MAX(0,(('Business Case'!E11*$C341*'Business Case'!E12*$B341)-'Business Case'!E11*$C341*'Business Case'!E13*$D341-'Business Case'!E14*$E341))*'Business Case'!$B$7-'Business Case'!$B$8*(('Business Case'!E11*$C341*'Business Case'!E12*$B341)-('Business Case'!D11*$C341*'Business Case'!D12*$B341))-'Business Case'!E15*$F341</f>
        <v>563794763.455737</v>
      </c>
      <c r="L341" s="39" t="n">
        <f aca="false">(('Business Case'!F11*$C341*'Business Case'!F12*$B341)-'Business Case'!F11*$C341*'Business Case'!F13*$D341-'Business Case'!F14*$E341)-MAX(0,(('Business Case'!F11*$C341*'Business Case'!F12*$B341)-'Business Case'!F11*$C341*'Business Case'!F13*$D341-'Business Case'!F14*$E341))*'Business Case'!$B$7-'Business Case'!$B$8*(('Business Case'!F11*$C341*'Business Case'!F12*$B341)-('Business Case'!E11*$C341*'Business Case'!E12*$B341))-'Business Case'!F15*$F341</f>
        <v>690126150.48186</v>
      </c>
      <c r="M341" s="39" t="n">
        <f aca="false">(('Business Case'!G11*$C341*'Business Case'!G12*$B341)-'Business Case'!G11*$C341*'Business Case'!G13*$D341-'Business Case'!G14*$E341)-MAX(0,(('Business Case'!G11*$C341*'Business Case'!G12*$B341)-'Business Case'!G11*$C341*'Business Case'!G13*$D341-'Business Case'!G14*$E341))*'Business Case'!$B$7-'Business Case'!$B$8*(('Business Case'!G11*$C341*'Business Case'!G12*$B341)-('Business Case'!F11*$C341*'Business Case'!F12*$B341))-'Business Case'!G15*$F341+'Business Case'!$B$8*('Business Case'!G11*$C341*'Business Case'!G12*$B341)</f>
        <v>881309035.486184</v>
      </c>
      <c r="N341" s="39" t="n">
        <f aca="false">IF(COUNT('Business Case'!B11:G11)=0,"",H341+NPV(G341,I341:M341))</f>
        <v>-527156118.262329</v>
      </c>
      <c r="P341" s="40" t="n">
        <f aca="true">RAND()</f>
        <v>0.442372849806446</v>
      </c>
      <c r="Q341" s="40" t="n">
        <f aca="true">RAND()</f>
        <v>0.767788071742127</v>
      </c>
      <c r="R341" s="40" t="n">
        <f aca="true">RAND()</f>
        <v>0.81054103887696</v>
      </c>
      <c r="S341" s="40" t="n">
        <f aca="true">RAND()</f>
        <v>0.912882337663593</v>
      </c>
      <c r="T341" s="40" t="n">
        <f aca="true">RAND()</f>
        <v>0.498178867015662</v>
      </c>
      <c r="U341" s="40" t="n">
        <f aca="true">RAND()</f>
        <v>0.518822615923836</v>
      </c>
    </row>
    <row r="342" customFormat="false" ht="15" hidden="false" customHeight="false" outlineLevel="0" collapsed="false">
      <c r="A342" s="36" t="n">
        <v>262</v>
      </c>
      <c r="B342" s="37" t="n">
        <f aca="false">1+IF($G$6=$E$6,$F$6,IF(P342&lt;($F$6-$E$6)/($G$6-$E$6),$E$6+SQRT(P342*($G$6-$E$6)*($F$6-$E$6)),$G$6-SQRT((1-P342)*($G$6-$E$6)*($G$6-$F$6))))</f>
        <v>0.939424497015414</v>
      </c>
      <c r="C342" s="37" t="n">
        <f aca="false">1+IF($G$7=$E$7,$F$7,IF(Q342&lt;($F$7-$E$7)/($G$7-$E$7),$E$7+SQRT(Q342*($G$7-$E$7)*($F$7-$E$7)),$G$7-SQRT((1-Q342)*($G$7-$E$7)*($G$7-$F$7))))</f>
        <v>0.753589248170549</v>
      </c>
      <c r="D342" s="37" t="n">
        <f aca="false">1+IF($G$8=$E$8,$F$8,IF(R342&lt;($F$8-$E$8)/($G$8-$E$8),$E$8+SQRT(R342*($G$8-$E$8)*($F$8-$E$8)),$G$8-SQRT((1-R342)*($G$8-$E$8)*($G$8-$F$8))))</f>
        <v>0.994476821921213</v>
      </c>
      <c r="E342" s="37" t="n">
        <f aca="false">1+IF($G$9=$E$9,$F$9,IF(S342&lt;($F$9-$E$9)/($G$9-$E$9),$E$9+SQRT(S342*($G$9-$E$9)*($F$9-$E$9)),$G$9-SQRT((1-S342)*($G$9-$E$9)*($G$9-$F$9))))</f>
        <v>1.04104245760311</v>
      </c>
      <c r="F342" s="37" t="n">
        <f aca="false">1+IF($G$10=$E$10,$F$10,IF(T342&lt;($F$10-$E$10)/($G$10-$E$10),$E$10+SQRT(T342*($G$10-$E$10)*($F$10-$E$10)),$G$10-SQRT((1-T342)*($G$10-$E$10)*($G$10-$F$10))))</f>
        <v>1.09258572030885</v>
      </c>
      <c r="G342" s="38" t="n">
        <f aca="false">IF($G$11=$E$11,$F$11,IF(U342&lt;($F$11-$E$11)/($G$11-$E$11),$E$11+SQRT(U342*($G$11-$E$11)*($F$11-$E$11)),$G$11-SQRT((1-U342)*($G$11-$E$11)*($G$11-$F$11))))</f>
        <v>0.106811387186834</v>
      </c>
      <c r="H342" s="39" t="n">
        <f aca="false">(('Business Case'!B11*$C342*'Business Case'!B12*$B342)-'Business Case'!B11*$C342*'Business Case'!B13*$D342-'Business Case'!B14*$E342)-MAX(0,(('Business Case'!B11*$C342*'Business Case'!B12*$B342)-'Business Case'!B11*$C342*'Business Case'!B13*$D342-'Business Case'!B14*$E342))*'Business Case'!$B$7-'Business Case'!$B$8*('Business Case'!B11*$C342*'Business Case'!B12*$B342)-'Business Case'!B15*$F342</f>
        <v>-2185171440.61769</v>
      </c>
      <c r="I342" s="39" t="n">
        <f aca="false">(('Business Case'!C11*$C342*'Business Case'!C12*$B342)-'Business Case'!C11*$C342*'Business Case'!C13*$D342-'Business Case'!C14*$E342)-MAX(0,(('Business Case'!C11*$C342*'Business Case'!C12*$B342)-'Business Case'!C11*$C342*'Business Case'!C13*$D342-'Business Case'!C14*$E342))*'Business Case'!$B$7-'Business Case'!$B$8*(('Business Case'!C11*$C342*'Business Case'!C12*$B342)-('Business Case'!B11*$C342*'Business Case'!B12*$B342))-'Business Case'!C15*$F342</f>
        <v>-97787124.2550308</v>
      </c>
      <c r="J342" s="39" t="n">
        <f aca="false">(('Business Case'!D11*$C342*'Business Case'!D12*$B342)-'Business Case'!D11*$C342*'Business Case'!D13*$D342-'Business Case'!D14*$E342)-MAX(0,(('Business Case'!D11*$C342*'Business Case'!D12*$B342)-'Business Case'!D11*$C342*'Business Case'!D13*$D342-'Business Case'!D14*$E342))*'Business Case'!$B$7-'Business Case'!$B$8*(('Business Case'!D11*$C342*'Business Case'!D12*$B342)-('Business Case'!C11*$C342*'Business Case'!C12*$B342))-'Business Case'!D15*$F342</f>
        <v>98420180.9816973</v>
      </c>
      <c r="K342" s="39" t="n">
        <f aca="false">(('Business Case'!E11*$C342*'Business Case'!E12*$B342)-'Business Case'!E11*$C342*'Business Case'!E13*$D342-'Business Case'!E14*$E342)-MAX(0,(('Business Case'!E11*$C342*'Business Case'!E12*$B342)-'Business Case'!E11*$C342*'Business Case'!E13*$D342-'Business Case'!E14*$E342))*'Business Case'!$B$7-'Business Case'!$B$8*(('Business Case'!E11*$C342*'Business Case'!E12*$B342)-('Business Case'!D11*$C342*'Business Case'!D12*$B342))-'Business Case'!E15*$F342</f>
        <v>349256772.233867</v>
      </c>
      <c r="L342" s="39" t="n">
        <f aca="false">(('Business Case'!F11*$C342*'Business Case'!F12*$B342)-'Business Case'!F11*$C342*'Business Case'!F13*$D342-'Business Case'!F14*$E342)-MAX(0,(('Business Case'!F11*$C342*'Business Case'!F12*$B342)-'Business Case'!F11*$C342*'Business Case'!F13*$D342-'Business Case'!F14*$E342))*'Business Case'!$B$7-'Business Case'!$B$8*(('Business Case'!F11*$C342*'Business Case'!F12*$B342)-('Business Case'!E11*$C342*'Business Case'!E12*$B342))-'Business Case'!F15*$F342</f>
        <v>439125620.639252</v>
      </c>
      <c r="M342" s="39" t="n">
        <f aca="false">(('Business Case'!G11*$C342*'Business Case'!G12*$B342)-'Business Case'!G11*$C342*'Business Case'!G13*$D342-'Business Case'!G14*$E342)-MAX(0,(('Business Case'!G11*$C342*'Business Case'!G12*$B342)-'Business Case'!G11*$C342*'Business Case'!G13*$D342-'Business Case'!G14*$E342))*'Business Case'!$B$7-'Business Case'!$B$8*(('Business Case'!G11*$C342*'Business Case'!G12*$B342)-('Business Case'!F11*$C342*'Business Case'!F12*$B342))-'Business Case'!G15*$F342+'Business Case'!$B$8*('Business Case'!G11*$C342*'Business Case'!G12*$B342)</f>
        <v>573690893.934866</v>
      </c>
      <c r="N342" s="39" t="n">
        <f aca="false">IF(COUNT('Business Case'!B11:G11)=0,"",H342+NPV(G342,I342:M342))</f>
        <v>-1297590236.17985</v>
      </c>
      <c r="P342" s="40" t="n">
        <f aca="true">RAND()</f>
        <v>0.103619397661223</v>
      </c>
      <c r="Q342" s="40" t="n">
        <f aca="true">RAND()</f>
        <v>0.0212726482924791</v>
      </c>
      <c r="R342" s="40" t="n">
        <f aca="true">RAND()</f>
        <v>0.263758358428173</v>
      </c>
      <c r="S342" s="40" t="n">
        <f aca="true">RAND()</f>
        <v>0.683420105462105</v>
      </c>
      <c r="T342" s="40" t="n">
        <f aca="true">RAND()</f>
        <v>0.669609927324204</v>
      </c>
      <c r="U342" s="40" t="n">
        <f aca="true">RAND()</f>
        <v>0.641525490534053</v>
      </c>
    </row>
    <row r="343" customFormat="false" ht="15" hidden="false" customHeight="false" outlineLevel="0" collapsed="false">
      <c r="A343" s="36" t="n">
        <v>263</v>
      </c>
      <c r="B343" s="37" t="n">
        <f aca="false">1+IF($G$6=$E$6,$F$6,IF(P343&lt;($F$6-$E$6)/($G$6-$E$6),$E$6+SQRT(P343*($G$6-$E$6)*($F$6-$E$6)),$G$6-SQRT((1-P343)*($G$6-$E$6)*($G$6-$F$6))))</f>
        <v>1.01830004105539</v>
      </c>
      <c r="C343" s="37" t="n">
        <f aca="false">1+IF($G$7=$E$7,$F$7,IF(Q343&lt;($F$7-$E$7)/($G$7-$E$7),$E$7+SQRT(Q343*($G$7-$E$7)*($F$7-$E$7)),$G$7-SQRT((1-Q343)*($G$7-$E$7)*($G$7-$F$7))))</f>
        <v>1.06145990525001</v>
      </c>
      <c r="D343" s="37" t="n">
        <f aca="false">1+IF($G$8=$E$8,$F$8,IF(R343&lt;($F$8-$E$8)/($G$8-$E$8),$E$8+SQRT(R343*($G$8-$E$8)*($F$8-$E$8)),$G$8-SQRT((1-R343)*($G$8-$E$8)*($G$8-$F$8))))</f>
        <v>0.988289938297122</v>
      </c>
      <c r="E343" s="37" t="n">
        <f aca="false">1+IF($G$9=$E$9,$F$9,IF(S343&lt;($F$9-$E$9)/($G$9-$E$9),$E$9+SQRT(S343*($G$9-$E$9)*($F$9-$E$9)),$G$9-SQRT((1-S343)*($G$9-$E$9)*($G$9-$F$9))))</f>
        <v>1.10443115175826</v>
      </c>
      <c r="F343" s="37" t="n">
        <f aca="false">1+IF($G$10=$E$10,$F$10,IF(T343&lt;($F$10-$E$10)/($G$10-$E$10),$E$10+SQRT(T343*($G$10-$E$10)*($F$10-$E$10)),$G$10-SQRT((1-T343)*($G$10-$E$10)*($G$10-$F$10))))</f>
        <v>1.04757643895695</v>
      </c>
      <c r="G343" s="38" t="n">
        <f aca="false">IF($G$11=$E$11,$F$11,IF(U343&lt;($F$11-$E$11)/($G$11-$E$11),$E$11+SQRT(U343*($G$11-$E$11)*($F$11-$E$11)),$G$11-SQRT((1-U343)*($G$11-$E$11)*($G$11-$F$11))))</f>
        <v>0.121990442555881</v>
      </c>
      <c r="H343" s="39" t="n">
        <f aca="false">(('Business Case'!B11*$C343*'Business Case'!B12*$B343)-'Business Case'!B11*$C343*'Business Case'!B13*$D343-'Business Case'!B14*$E343)-MAX(0,(('Business Case'!B11*$C343*'Business Case'!B12*$B343)-'Business Case'!B11*$C343*'Business Case'!B13*$D343-'Business Case'!B14*$E343))*'Business Case'!$B$7-'Business Case'!$B$8*('Business Case'!B11*$C343*'Business Case'!B12*$B343)-'Business Case'!B15*$F343</f>
        <v>-2095152877.91389</v>
      </c>
      <c r="I343" s="39" t="n">
        <f aca="false">(('Business Case'!C11*$C343*'Business Case'!C12*$B343)-'Business Case'!C11*$C343*'Business Case'!C13*$D343-'Business Case'!C14*$E343)-MAX(0,(('Business Case'!C11*$C343*'Business Case'!C12*$B343)-'Business Case'!C11*$C343*'Business Case'!C13*$D343-'Business Case'!C14*$E343))*'Business Case'!$B$7-'Business Case'!$B$8*(('Business Case'!C11*$C343*'Business Case'!C12*$B343)-('Business Case'!B11*$C343*'Business Case'!B12*$B343))-'Business Case'!C15*$F343</f>
        <v>30462038.2424146</v>
      </c>
      <c r="J343" s="39" t="n">
        <f aca="false">(('Business Case'!D11*$C343*'Business Case'!D12*$B343)-'Business Case'!D11*$C343*'Business Case'!D13*$D343-'Business Case'!D14*$E343)-MAX(0,(('Business Case'!D11*$C343*'Business Case'!D12*$B343)-'Business Case'!D11*$C343*'Business Case'!D13*$D343-'Business Case'!D14*$E343))*'Business Case'!$B$7-'Business Case'!$B$8*(('Business Case'!D11*$C343*'Business Case'!D12*$B343)-('Business Case'!C11*$C343*'Business Case'!C12*$B343))-'Business Case'!D15*$F343</f>
        <v>378764891.199059</v>
      </c>
      <c r="K343" s="39" t="n">
        <f aca="false">(('Business Case'!E11*$C343*'Business Case'!E12*$B343)-'Business Case'!E11*$C343*'Business Case'!E13*$D343-'Business Case'!E14*$E343)-MAX(0,(('Business Case'!E11*$C343*'Business Case'!E12*$B343)-'Business Case'!E11*$C343*'Business Case'!E13*$D343-'Business Case'!E14*$E343))*'Business Case'!$B$7-'Business Case'!$B$8*(('Business Case'!E11*$C343*'Business Case'!E12*$B343)-('Business Case'!D11*$C343*'Business Case'!D12*$B343))-'Business Case'!E15*$F343</f>
        <v>779446566.103551</v>
      </c>
      <c r="L343" s="39" t="n">
        <f aca="false">(('Business Case'!F11*$C343*'Business Case'!F12*$B343)-'Business Case'!F11*$C343*'Business Case'!F13*$D343-'Business Case'!F14*$E343)-MAX(0,(('Business Case'!F11*$C343*'Business Case'!F12*$B343)-'Business Case'!F11*$C343*'Business Case'!F13*$D343-'Business Case'!F14*$E343))*'Business Case'!$B$7-'Business Case'!$B$8*(('Business Case'!F11*$C343*'Business Case'!F12*$B343)-('Business Case'!E11*$C343*'Business Case'!E12*$B343))-'Business Case'!F15*$F343</f>
        <v>932902891.114773</v>
      </c>
      <c r="M343" s="39" t="n">
        <f aca="false">(('Business Case'!G11*$C343*'Business Case'!G12*$B343)-'Business Case'!G11*$C343*'Business Case'!G13*$D343-'Business Case'!G14*$E343)-MAX(0,(('Business Case'!G11*$C343*'Business Case'!G12*$B343)-'Business Case'!G11*$C343*'Business Case'!G13*$D343-'Business Case'!G14*$E343))*'Business Case'!$B$7-'Business Case'!$B$8*(('Business Case'!G11*$C343*'Business Case'!G12*$B343)-('Business Case'!F11*$C343*'Business Case'!F12*$B343))-'Business Case'!G15*$F343+'Business Case'!$B$8*('Business Case'!G11*$C343*'Business Case'!G12*$B343)</f>
        <v>1138357448.25598</v>
      </c>
      <c r="N343" s="39" t="n">
        <f aca="false">IF(COUNT('Business Case'!B11:G11)=0,"",H343+NPV(G343,I343:M343))</f>
        <v>13629096.6287782</v>
      </c>
      <c r="P343" s="40" t="n">
        <f aca="true">RAND()</f>
        <v>0.866015013721365</v>
      </c>
      <c r="Q343" s="40" t="n">
        <f aca="true">RAND()</f>
        <v>0.883861505506107</v>
      </c>
      <c r="R343" s="40" t="n">
        <f aca="true">RAND()</f>
        <v>0.19548258330632</v>
      </c>
      <c r="S343" s="40" t="n">
        <f aca="true">RAND()</f>
        <v>0.944626135197896</v>
      </c>
      <c r="T343" s="40" t="n">
        <f aca="true">RAND()</f>
        <v>0.453662692461986</v>
      </c>
      <c r="U343" s="40" t="n">
        <f aca="true">RAND()</f>
        <v>0.957231326366237</v>
      </c>
    </row>
    <row r="344" customFormat="false" ht="15" hidden="false" customHeight="false" outlineLevel="0" collapsed="false">
      <c r="A344" s="36" t="n">
        <v>264</v>
      </c>
      <c r="B344" s="37" t="n">
        <f aca="false">1+IF($G$6=$E$6,$F$6,IF(P344&lt;($F$6-$E$6)/($G$6-$E$6),$E$6+SQRT(P344*($G$6-$E$6)*($F$6-$E$6)),$G$6-SQRT((1-P344)*($G$6-$E$6)*($G$6-$F$6))))</f>
        <v>0.983837577956005</v>
      </c>
      <c r="C344" s="37" t="n">
        <f aca="false">1+IF($G$7=$E$7,$F$7,IF(Q344&lt;($F$7-$E$7)/($G$7-$E$7),$E$7+SQRT(Q344*($G$7-$E$7)*($F$7-$E$7)),$G$7-SQRT((1-Q344)*($G$7-$E$7)*($G$7-$F$7))))</f>
        <v>0.963603839750652</v>
      </c>
      <c r="D344" s="37" t="n">
        <f aca="false">1+IF($G$8=$E$8,$F$8,IF(R344&lt;($F$8-$E$8)/($G$8-$E$8),$E$8+SQRT(R344*($G$8-$E$8)*($F$8-$E$8)),$G$8-SQRT((1-R344)*($G$8-$E$8)*($G$8-$F$8))))</f>
        <v>0.962709817057769</v>
      </c>
      <c r="E344" s="37" t="n">
        <f aca="false">1+IF($G$9=$E$9,$F$9,IF(S344&lt;($F$9-$E$9)/($G$9-$E$9),$E$9+SQRT(S344*($G$9-$E$9)*($F$9-$E$9)),$G$9-SQRT((1-S344)*($G$9-$E$9)*($G$9-$F$9))))</f>
        <v>1.04965575036242</v>
      </c>
      <c r="F344" s="37" t="n">
        <f aca="false">1+IF($G$10=$E$10,$F$10,IF(T344&lt;($F$10-$E$10)/($G$10-$E$10),$E$10+SQRT(T344*($G$10-$E$10)*($F$10-$E$10)),$G$10-SQRT((1-T344)*($G$10-$E$10)*($G$10-$F$10))))</f>
        <v>1.15696127284786</v>
      </c>
      <c r="G344" s="38" t="n">
        <f aca="false">IF($G$11=$E$11,$F$11,IF(U344&lt;($F$11-$E$11)/($G$11-$E$11),$E$11+SQRT(U344*($G$11-$E$11)*($F$11-$E$11)),$G$11-SQRT((1-U344)*($G$11-$E$11)*($G$11-$F$11))))</f>
        <v>0.121386481442433</v>
      </c>
      <c r="H344" s="39" t="n">
        <f aca="false">(('Business Case'!B11*$C344*'Business Case'!B12*$B344)-'Business Case'!B11*$C344*'Business Case'!B13*$D344-'Business Case'!B14*$E344)-MAX(0,(('Business Case'!B11*$C344*'Business Case'!B12*$B344)-'Business Case'!B11*$C344*'Business Case'!B13*$D344-'Business Case'!B14*$E344))*'Business Case'!$B$7-'Business Case'!$B$8*('Business Case'!B11*$C344*'Business Case'!B12*$B344)-'Business Case'!B15*$F344</f>
        <v>-2313922545.69571</v>
      </c>
      <c r="I344" s="39" t="n">
        <f aca="false">(('Business Case'!C11*$C344*'Business Case'!C12*$B344)-'Business Case'!C11*$C344*'Business Case'!C13*$D344-'Business Case'!C14*$E344)-MAX(0,(('Business Case'!C11*$C344*'Business Case'!C12*$B344)-'Business Case'!C11*$C344*'Business Case'!C13*$D344-'Business Case'!C14*$E344))*'Business Case'!$B$7-'Business Case'!$B$8*(('Business Case'!C11*$C344*'Business Case'!C12*$B344)-('Business Case'!B11*$C344*'Business Case'!B12*$B344))-'Business Case'!C15*$F344</f>
        <v>-12491751.8801336</v>
      </c>
      <c r="J344" s="39" t="n">
        <f aca="false">(('Business Case'!D11*$C344*'Business Case'!D12*$B344)-'Business Case'!D11*$C344*'Business Case'!D13*$D344-'Business Case'!D14*$E344)-MAX(0,(('Business Case'!D11*$C344*'Business Case'!D12*$B344)-'Business Case'!D11*$C344*'Business Case'!D13*$D344-'Business Case'!D14*$E344))*'Business Case'!$B$7-'Business Case'!$B$8*(('Business Case'!D11*$C344*'Business Case'!D12*$B344)-('Business Case'!C11*$C344*'Business Case'!C12*$B344))-'Business Case'!D15*$F344</f>
        <v>289119529.205293</v>
      </c>
      <c r="K344" s="39" t="n">
        <f aca="false">(('Business Case'!E11*$C344*'Business Case'!E12*$B344)-'Business Case'!E11*$C344*'Business Case'!E13*$D344-'Business Case'!E14*$E344)-MAX(0,(('Business Case'!E11*$C344*'Business Case'!E12*$B344)-'Business Case'!E11*$C344*'Business Case'!E13*$D344-'Business Case'!E14*$E344))*'Business Case'!$B$7-'Business Case'!$B$8*(('Business Case'!E11*$C344*'Business Case'!E12*$B344)-('Business Case'!D11*$C344*'Business Case'!D12*$B344))-'Business Case'!E15*$F344</f>
        <v>648578873.933113</v>
      </c>
      <c r="L344" s="39" t="n">
        <f aca="false">(('Business Case'!F11*$C344*'Business Case'!F12*$B344)-'Business Case'!F11*$C344*'Business Case'!F13*$D344-'Business Case'!F14*$E344)-MAX(0,(('Business Case'!F11*$C344*'Business Case'!F12*$B344)-'Business Case'!F11*$C344*'Business Case'!F13*$D344-'Business Case'!F14*$E344))*'Business Case'!$B$7-'Business Case'!$B$8*(('Business Case'!F11*$C344*'Business Case'!F12*$B344)-('Business Case'!E11*$C344*'Business Case'!E12*$B344))-'Business Case'!F15*$F344</f>
        <v>781879872.947747</v>
      </c>
      <c r="M344" s="39" t="n">
        <f aca="false">(('Business Case'!G11*$C344*'Business Case'!G12*$B344)-'Business Case'!G11*$C344*'Business Case'!G13*$D344-'Business Case'!G14*$E344)-MAX(0,(('Business Case'!G11*$C344*'Business Case'!G12*$B344)-'Business Case'!G11*$C344*'Business Case'!G13*$D344-'Business Case'!G14*$E344))*'Business Case'!$B$7-'Business Case'!$B$8*(('Business Case'!G11*$C344*'Business Case'!G12*$B344)-('Business Case'!F11*$C344*'Business Case'!F12*$B344))-'Business Case'!G15*$F344+'Business Case'!$B$8*('Business Case'!G11*$C344*'Business Case'!G12*$B344)</f>
        <v>962081352.204956</v>
      </c>
      <c r="N344" s="39" t="n">
        <f aca="false">IF(COUNT('Business Case'!B11:G11)=0,"",H344+NPV(G344,I344:M344))</f>
        <v>-598221763.13301</v>
      </c>
      <c r="P344" s="40" t="n">
        <f aca="true">RAND()</f>
        <v>0.468582631835285</v>
      </c>
      <c r="Q344" s="40" t="n">
        <f aca="true">RAND()</f>
        <v>0.514718402453981</v>
      </c>
      <c r="R344" s="40" t="n">
        <f aca="true">RAND()</f>
        <v>0.0215385932855942</v>
      </c>
      <c r="S344" s="40" t="n">
        <f aca="true">RAND()</f>
        <v>0.731494175057892</v>
      </c>
      <c r="T344" s="40" t="n">
        <f aca="true">RAND()</f>
        <v>0.884583936665451</v>
      </c>
      <c r="U344" s="40" t="n">
        <f aca="true">RAND()</f>
        <v>0.950538198705637</v>
      </c>
    </row>
    <row r="345" customFormat="false" ht="15" hidden="false" customHeight="false" outlineLevel="0" collapsed="false">
      <c r="A345" s="36" t="n">
        <v>265</v>
      </c>
      <c r="B345" s="37" t="n">
        <f aca="false">1+IF($G$6=$E$6,$F$6,IF(P345&lt;($F$6-$E$6)/($G$6-$E$6),$E$6+SQRT(P345*($G$6-$E$6)*($F$6-$E$6)),$G$6-SQRT((1-P345)*($G$6-$E$6)*($G$6-$F$6))))</f>
        <v>0.980060240186577</v>
      </c>
      <c r="C345" s="37" t="n">
        <f aca="false">1+IF($G$7=$E$7,$F$7,IF(Q345&lt;($F$7-$E$7)/($G$7-$E$7),$E$7+SQRT(Q345*($G$7-$E$7)*($F$7-$E$7)),$G$7-SQRT((1-Q345)*($G$7-$E$7)*($G$7-$F$7))))</f>
        <v>0.967322103306971</v>
      </c>
      <c r="D345" s="37" t="n">
        <f aca="false">1+IF($G$8=$E$8,$F$8,IF(R345&lt;($F$8-$E$8)/($G$8-$E$8),$E$8+SQRT(R345*($G$8-$E$8)*($F$8-$E$8)),$G$8-SQRT((1-R345)*($G$8-$E$8)*($G$8-$F$8))))</f>
        <v>1.07625923365511</v>
      </c>
      <c r="E345" s="37" t="n">
        <f aca="false">1+IF($G$9=$E$9,$F$9,IF(S345&lt;($F$9-$E$9)/($G$9-$E$9),$E$9+SQRT(S345*($G$9-$E$9)*($F$9-$E$9)),$G$9-SQRT((1-S345)*($G$9-$E$9)*($G$9-$F$9))))</f>
        <v>0.924991439725057</v>
      </c>
      <c r="F345" s="37" t="n">
        <f aca="false">1+IF($G$10=$E$10,$F$10,IF(T345&lt;($F$10-$E$10)/($G$10-$E$10),$E$10+SQRT(T345*($G$10-$E$10)*($F$10-$E$10)),$G$10-SQRT((1-T345)*($G$10-$E$10)*($G$10-$F$10))))</f>
        <v>1.04785974277378</v>
      </c>
      <c r="G345" s="38" t="n">
        <f aca="false">IF($G$11=$E$11,$F$11,IF(U345&lt;($F$11-$E$11)/($G$11-$E$11),$E$11+SQRT(U345*($G$11-$E$11)*($F$11-$E$11)),$G$11-SQRT((1-U345)*($G$11-$E$11)*($G$11-$F$11))))</f>
        <v>0.119628743702485</v>
      </c>
      <c r="H345" s="39" t="n">
        <f aca="false">(('Business Case'!B11*$C345*'Business Case'!B12*$B345)-'Business Case'!B11*$C345*'Business Case'!B13*$D345-'Business Case'!B14*$E345)-MAX(0,(('Business Case'!B11*$C345*'Business Case'!B12*$B345)-'Business Case'!B11*$C345*'Business Case'!B13*$D345-'Business Case'!B14*$E345))*'Business Case'!$B$7-'Business Case'!$B$8*('Business Case'!B11*$C345*'Business Case'!B12*$B345)-'Business Case'!B15*$F345</f>
        <v>-2095719485.54756</v>
      </c>
      <c r="I345" s="39" t="n">
        <f aca="false">(('Business Case'!C11*$C345*'Business Case'!C12*$B345)-'Business Case'!C11*$C345*'Business Case'!C13*$D345-'Business Case'!C14*$E345)-MAX(0,(('Business Case'!C11*$C345*'Business Case'!C12*$B345)-'Business Case'!C11*$C345*'Business Case'!C13*$D345-'Business Case'!C14*$E345))*'Business Case'!$B$7-'Business Case'!$B$8*(('Business Case'!C11*$C345*'Business Case'!C12*$B345)-('Business Case'!B11*$C345*'Business Case'!B12*$B345))-'Business Case'!C15*$F345</f>
        <v>-41912244.396843</v>
      </c>
      <c r="J345" s="39" t="n">
        <f aca="false">(('Business Case'!D11*$C345*'Business Case'!D12*$B345)-'Business Case'!D11*$C345*'Business Case'!D13*$D345-'Business Case'!D14*$E345)-MAX(0,(('Business Case'!D11*$C345*'Business Case'!D12*$B345)-'Business Case'!D11*$C345*'Business Case'!D13*$D345-'Business Case'!D14*$E345))*'Business Case'!$B$7-'Business Case'!$B$8*(('Business Case'!D11*$C345*'Business Case'!D12*$B345)-('Business Case'!C11*$C345*'Business Case'!C12*$B345))-'Business Case'!D15*$F345</f>
        <v>201641347.294381</v>
      </c>
      <c r="K345" s="39" t="n">
        <f aca="false">(('Business Case'!E11*$C345*'Business Case'!E12*$B345)-'Business Case'!E11*$C345*'Business Case'!E13*$D345-'Business Case'!E14*$E345)-MAX(0,(('Business Case'!E11*$C345*'Business Case'!E12*$B345)-'Business Case'!E11*$C345*'Business Case'!E13*$D345-'Business Case'!E14*$E345))*'Business Case'!$B$7-'Business Case'!$B$8*(('Business Case'!E11*$C345*'Business Case'!E12*$B345)-('Business Case'!D11*$C345*'Business Case'!D12*$B345))-'Business Case'!E15*$F345</f>
        <v>497587926.124293</v>
      </c>
      <c r="L345" s="39" t="n">
        <f aca="false">(('Business Case'!F11*$C345*'Business Case'!F12*$B345)-'Business Case'!F11*$C345*'Business Case'!F13*$D345-'Business Case'!F14*$E345)-MAX(0,(('Business Case'!F11*$C345*'Business Case'!F12*$B345)-'Business Case'!F11*$C345*'Business Case'!F13*$D345-'Business Case'!F14*$E345))*'Business Case'!$B$7-'Business Case'!$B$8*(('Business Case'!F11*$C345*'Business Case'!F12*$B345)-('Business Case'!E11*$C345*'Business Case'!E12*$B345))-'Business Case'!F15*$F345</f>
        <v>611536509.409225</v>
      </c>
      <c r="M345" s="39" t="n">
        <f aca="false">(('Business Case'!G11*$C345*'Business Case'!G12*$B345)-'Business Case'!G11*$C345*'Business Case'!G13*$D345-'Business Case'!G14*$E345)-MAX(0,(('Business Case'!G11*$C345*'Business Case'!G12*$B345)-'Business Case'!G11*$C345*'Business Case'!G13*$D345-'Business Case'!G14*$E345))*'Business Case'!$B$7-'Business Case'!$B$8*(('Business Case'!G11*$C345*'Business Case'!G12*$B345)-('Business Case'!F11*$C345*'Business Case'!F12*$B345))-'Business Case'!G15*$F345+'Business Case'!$B$8*('Business Case'!G11*$C345*'Business Case'!G12*$B345)</f>
        <v>791738799.375772</v>
      </c>
      <c r="N345" s="39" t="n">
        <f aca="false">IF(COUNT('Business Case'!B11:G11)=0,"",H345+NPV(G345,I345:M345))</f>
        <v>-778616547.013016</v>
      </c>
      <c r="P345" s="40" t="n">
        <f aca="true">RAND()</f>
        <v>0.427309470582165</v>
      </c>
      <c r="Q345" s="40" t="n">
        <f aca="true">RAND()</f>
        <v>0.529341532714541</v>
      </c>
      <c r="R345" s="40" t="n">
        <f aca="true">RAND()</f>
        <v>0.962425067557148</v>
      </c>
      <c r="S345" s="40" t="n">
        <f aca="true">RAND()</f>
        <v>0.0249828823812466</v>
      </c>
      <c r="T345" s="40" t="n">
        <f aca="true">RAND()</f>
        <v>0.455190885446902</v>
      </c>
      <c r="U345" s="40" t="n">
        <f aca="true">RAND()</f>
        <v>0.928291361874163</v>
      </c>
    </row>
    <row r="346" customFormat="false" ht="15" hidden="false" customHeight="false" outlineLevel="0" collapsed="false">
      <c r="A346" s="36" t="n">
        <v>266</v>
      </c>
      <c r="B346" s="37" t="n">
        <f aca="false">1+IF($G$6=$E$6,$F$6,IF(P346&lt;($F$6-$E$6)/($G$6-$E$6),$E$6+SQRT(P346*($G$6-$E$6)*($F$6-$E$6)),$G$6-SQRT((1-P346)*($G$6-$E$6)*($G$6-$F$6))))</f>
        <v>0.990059168895635</v>
      </c>
      <c r="C346" s="37" t="n">
        <f aca="false">1+IF($G$7=$E$7,$F$7,IF(Q346&lt;($F$7-$E$7)/($G$7-$E$7),$E$7+SQRT(Q346*($G$7-$E$7)*($F$7-$E$7)),$G$7-SQRT((1-Q346)*($G$7-$E$7)*($G$7-$F$7))))</f>
        <v>1.00595908876163</v>
      </c>
      <c r="D346" s="37" t="n">
        <f aca="false">1+IF($G$8=$E$8,$F$8,IF(R346&lt;($F$8-$E$8)/($G$8-$E$8),$E$8+SQRT(R346*($G$8-$E$8)*($F$8-$E$8)),$G$8-SQRT((1-R346)*($G$8-$E$8)*($G$8-$F$8))))</f>
        <v>0.998439562038668</v>
      </c>
      <c r="E346" s="37" t="n">
        <f aca="false">1+IF($G$9=$E$9,$F$9,IF(S346&lt;($F$9-$E$9)/($G$9-$E$9),$E$9+SQRT(S346*($G$9-$E$9)*($F$9-$E$9)),$G$9-SQRT((1-S346)*($G$9-$E$9)*($G$9-$F$9))))</f>
        <v>1.0902056078634</v>
      </c>
      <c r="F346" s="37" t="n">
        <f aca="false">1+IF($G$10=$E$10,$F$10,IF(T346&lt;($F$10-$E$10)/($G$10-$E$10),$E$10+SQRT(T346*($G$10-$E$10)*($F$10-$E$10)),$G$10-SQRT((1-T346)*($G$10-$E$10)*($G$10-$F$10))))</f>
        <v>1.08409979709883</v>
      </c>
      <c r="G346" s="38" t="n">
        <f aca="false">IF($G$11=$E$11,$F$11,IF(U346&lt;($F$11-$E$11)/($G$11-$E$11),$E$11+SQRT(U346*($G$11-$E$11)*($F$11-$E$11)),$G$11-SQRT((1-U346)*($G$11-$E$11)*($G$11-$F$11))))</f>
        <v>0.11168150736484</v>
      </c>
      <c r="H346" s="39" t="n">
        <f aca="false">(('Business Case'!B11*$C346*'Business Case'!B12*$B346)-'Business Case'!B11*$C346*'Business Case'!B13*$D346-'Business Case'!B14*$E346)-MAX(0,(('Business Case'!B11*$C346*'Business Case'!B12*$B346)-'Business Case'!B11*$C346*'Business Case'!B13*$D346-'Business Case'!B14*$E346))*'Business Case'!$B$7-'Business Case'!$B$8*('Business Case'!B11*$C346*'Business Case'!B12*$B346)-'Business Case'!B15*$F346</f>
        <v>-2168199594.19766</v>
      </c>
      <c r="I346" s="39" t="n">
        <f aca="false">(('Business Case'!C11*$C346*'Business Case'!C12*$B346)-'Business Case'!C11*$C346*'Business Case'!C13*$D346-'Business Case'!C14*$E346)-MAX(0,(('Business Case'!C11*$C346*'Business Case'!C12*$B346)-'Business Case'!C11*$C346*'Business Case'!C13*$D346-'Business Case'!C14*$E346))*'Business Case'!$B$7-'Business Case'!$B$8*(('Business Case'!C11*$C346*'Business Case'!C12*$B346)-('Business Case'!B11*$C346*'Business Case'!B12*$B346))-'Business Case'!C15*$F346</f>
        <v>-13472583.8866172</v>
      </c>
      <c r="J346" s="39" t="n">
        <f aca="false">(('Business Case'!D11*$C346*'Business Case'!D12*$B346)-'Business Case'!D11*$C346*'Business Case'!D13*$D346-'Business Case'!D14*$E346)-MAX(0,(('Business Case'!D11*$C346*'Business Case'!D12*$B346)-'Business Case'!D11*$C346*'Business Case'!D13*$D346-'Business Case'!D14*$E346))*'Business Case'!$B$7-'Business Case'!$B$8*(('Business Case'!D11*$C346*'Business Case'!D12*$B346)-('Business Case'!C11*$C346*'Business Case'!C12*$B346))-'Business Case'!D15*$F346</f>
        <v>288122564.938567</v>
      </c>
      <c r="K346" s="39" t="n">
        <f aca="false">(('Business Case'!E11*$C346*'Business Case'!E12*$B346)-'Business Case'!E11*$C346*'Business Case'!E13*$D346-'Business Case'!E14*$E346)-MAX(0,(('Business Case'!E11*$C346*'Business Case'!E12*$B346)-'Business Case'!E11*$C346*'Business Case'!E13*$D346-'Business Case'!E14*$E346))*'Business Case'!$B$7-'Business Case'!$B$8*(('Business Case'!E11*$C346*'Business Case'!E12*$B346)-('Business Case'!D11*$C346*'Business Case'!D12*$B346))-'Business Case'!E15*$F346</f>
        <v>643922703.618693</v>
      </c>
      <c r="L346" s="39" t="n">
        <f aca="false">(('Business Case'!F11*$C346*'Business Case'!F12*$B346)-'Business Case'!F11*$C346*'Business Case'!F13*$D346-'Business Case'!F14*$E346)-MAX(0,(('Business Case'!F11*$C346*'Business Case'!F12*$B346)-'Business Case'!F11*$C346*'Business Case'!F13*$D346-'Business Case'!F14*$E346))*'Business Case'!$B$7-'Business Case'!$B$8*(('Business Case'!F11*$C346*'Business Case'!F12*$B346)-('Business Case'!E11*$C346*'Business Case'!E12*$B346))-'Business Case'!F15*$F346</f>
        <v>778874763.602917</v>
      </c>
      <c r="M346" s="39" t="n">
        <f aca="false">(('Business Case'!G11*$C346*'Business Case'!G12*$B346)-'Business Case'!G11*$C346*'Business Case'!G13*$D346-'Business Case'!G14*$E346)-MAX(0,(('Business Case'!G11*$C346*'Business Case'!G12*$B346)-'Business Case'!G11*$C346*'Business Case'!G13*$D346-'Business Case'!G14*$E346))*'Business Case'!$B$7-'Business Case'!$B$8*(('Business Case'!G11*$C346*'Business Case'!G12*$B346)-('Business Case'!F11*$C346*'Business Case'!F12*$B346))-'Business Case'!G15*$F346+'Business Case'!$B$8*('Business Case'!G11*$C346*'Business Case'!G12*$B346)</f>
        <v>968186654.003312</v>
      </c>
      <c r="N346" s="39" t="n">
        <f aca="false">IF(COUNT('Business Case'!B11:G11)=0,"",H346+NPV(G346,I346:M346))</f>
        <v>-398270307.12053</v>
      </c>
      <c r="P346" s="40" t="n">
        <f aca="true">RAND()</f>
        <v>0.540710260144829</v>
      </c>
      <c r="Q346" s="40" t="n">
        <f aca="true">RAND()</f>
        <v>0.692625420586943</v>
      </c>
      <c r="R346" s="40" t="n">
        <f aca="true">RAND()</f>
        <v>0.312852156066389</v>
      </c>
      <c r="S346" s="40" t="n">
        <f aca="true">RAND()</f>
        <v>0.904656817840372</v>
      </c>
      <c r="T346" s="40" t="n">
        <f aca="true">RAND()</f>
        <v>0.633028302364669</v>
      </c>
      <c r="U346" s="40" t="n">
        <f aca="true">RAND()</f>
        <v>0.776288551717053</v>
      </c>
    </row>
    <row r="347" customFormat="false" ht="15" hidden="false" customHeight="false" outlineLevel="0" collapsed="false">
      <c r="A347" s="36" t="n">
        <v>267</v>
      </c>
      <c r="B347" s="37" t="n">
        <f aca="false">1+IF($G$6=$E$6,$F$6,IF(P347&lt;($F$6-$E$6)/($G$6-$E$6),$E$6+SQRT(P347*($G$6-$E$6)*($F$6-$E$6)),$G$6-SQRT((1-P347)*($G$6-$E$6)*($G$6-$F$6))))</f>
        <v>0.949315379366393</v>
      </c>
      <c r="C347" s="37" t="n">
        <f aca="false">1+IF($G$7=$E$7,$F$7,IF(Q347&lt;($F$7-$E$7)/($G$7-$E$7),$E$7+SQRT(Q347*($G$7-$E$7)*($F$7-$E$7)),$G$7-SQRT((1-Q347)*($G$7-$E$7)*($G$7-$F$7))))</f>
        <v>1.06210456126866</v>
      </c>
      <c r="D347" s="37" t="n">
        <f aca="false">1+IF($G$8=$E$8,$F$8,IF(R347&lt;($F$8-$E$8)/($G$8-$E$8),$E$8+SQRT(R347*($G$8-$E$8)*($F$8-$E$8)),$G$8-SQRT((1-R347)*($G$8-$E$8)*($G$8-$F$8))))</f>
        <v>1.05116055007241</v>
      </c>
      <c r="E347" s="37" t="n">
        <f aca="false">1+IF($G$9=$E$9,$F$9,IF(S347&lt;($F$9-$E$9)/($G$9-$E$9),$E$9+SQRT(S347*($G$9-$E$9)*($F$9-$E$9)),$G$9-SQRT((1-S347)*($G$9-$E$9)*($G$9-$F$9))))</f>
        <v>0.973459337001116</v>
      </c>
      <c r="F347" s="37" t="n">
        <f aca="false">1+IF($G$10=$E$10,$F$10,IF(T347&lt;($F$10-$E$10)/($G$10-$E$10),$E$10+SQRT(T347*($G$10-$E$10)*($F$10-$E$10)),$G$10-SQRT((1-T347)*($G$10-$E$10)*($G$10-$F$10))))</f>
        <v>0.974372353931187</v>
      </c>
      <c r="G347" s="38" t="n">
        <f aca="false">IF($G$11=$E$11,$F$11,IF(U347&lt;($F$11-$E$11)/($G$11-$E$11),$E$11+SQRT(U347*($G$11-$E$11)*($F$11-$E$11)),$G$11-SQRT((1-U347)*($G$11-$E$11)*($G$11-$F$11))))</f>
        <v>0.106376010319473</v>
      </c>
      <c r="H347" s="39" t="n">
        <f aca="false">(('Business Case'!B11*$C347*'Business Case'!B12*$B347)-'Business Case'!B11*$C347*'Business Case'!B13*$D347-'Business Case'!B14*$E347)-MAX(0,(('Business Case'!B11*$C347*'Business Case'!B12*$B347)-'Business Case'!B11*$C347*'Business Case'!B13*$D347-'Business Case'!B14*$E347))*'Business Case'!$B$7-'Business Case'!$B$8*('Business Case'!B11*$C347*'Business Case'!B12*$B347)-'Business Case'!B15*$F347</f>
        <v>-1948744707.86237</v>
      </c>
      <c r="I347" s="39" t="n">
        <f aca="false">(('Business Case'!C11*$C347*'Business Case'!C12*$B347)-'Business Case'!C11*$C347*'Business Case'!C13*$D347-'Business Case'!C14*$E347)-MAX(0,(('Business Case'!C11*$C347*'Business Case'!C12*$B347)-'Business Case'!C11*$C347*'Business Case'!C13*$D347-'Business Case'!C14*$E347))*'Business Case'!$B$7-'Business Case'!$B$8*(('Business Case'!C11*$C347*'Business Case'!C12*$B347)-('Business Case'!B11*$C347*'Business Case'!B12*$B347))-'Business Case'!C15*$F347</f>
        <v>-33813661.7921647</v>
      </c>
      <c r="J347" s="39" t="n">
        <f aca="false">(('Business Case'!D11*$C347*'Business Case'!D12*$B347)-'Business Case'!D11*$C347*'Business Case'!D13*$D347-'Business Case'!D14*$E347)-MAX(0,(('Business Case'!D11*$C347*'Business Case'!D12*$B347)-'Business Case'!D11*$C347*'Business Case'!D13*$D347-'Business Case'!D14*$E347))*'Business Case'!$B$7-'Business Case'!$B$8*(('Business Case'!D11*$C347*'Business Case'!D12*$B347)-('Business Case'!C11*$C347*'Business Case'!C12*$B347))-'Business Case'!D15*$F347</f>
        <v>220504660.093619</v>
      </c>
      <c r="K347" s="39" t="n">
        <f aca="false">(('Business Case'!E11*$C347*'Business Case'!E12*$B347)-'Business Case'!E11*$C347*'Business Case'!E13*$D347-'Business Case'!E14*$E347)-MAX(0,(('Business Case'!E11*$C347*'Business Case'!E12*$B347)-'Business Case'!E11*$C347*'Business Case'!E13*$D347-'Business Case'!E14*$E347))*'Business Case'!$B$7-'Business Case'!$B$8*(('Business Case'!E11*$C347*'Business Case'!E12*$B347)-('Business Case'!D11*$C347*'Business Case'!D12*$B347))-'Business Case'!E15*$F347</f>
        <v>523541599.675961</v>
      </c>
      <c r="L347" s="39" t="n">
        <f aca="false">(('Business Case'!F11*$C347*'Business Case'!F12*$B347)-'Business Case'!F11*$C347*'Business Case'!F13*$D347-'Business Case'!F14*$E347)-MAX(0,(('Business Case'!F11*$C347*'Business Case'!F12*$B347)-'Business Case'!F11*$C347*'Business Case'!F13*$D347-'Business Case'!F14*$E347))*'Business Case'!$B$7-'Business Case'!$B$8*(('Business Case'!F11*$C347*'Business Case'!F12*$B347)-('Business Case'!E11*$C347*'Business Case'!E12*$B347))-'Business Case'!F15*$F347</f>
        <v>643160260.680069</v>
      </c>
      <c r="M347" s="39" t="n">
        <f aca="false">(('Business Case'!G11*$C347*'Business Case'!G12*$B347)-'Business Case'!G11*$C347*'Business Case'!G13*$D347-'Business Case'!G14*$E347)-MAX(0,(('Business Case'!G11*$C347*'Business Case'!G12*$B347)-'Business Case'!G11*$C347*'Business Case'!G13*$D347-'Business Case'!G14*$E347))*'Business Case'!$B$7-'Business Case'!$B$8*(('Business Case'!G11*$C347*'Business Case'!G12*$B347)-('Business Case'!F11*$C347*'Business Case'!F12*$B347))-'Business Case'!G15*$F347+'Business Case'!$B$8*('Business Case'!G11*$C347*'Business Case'!G12*$B347)</f>
        <v>834812639.412062</v>
      </c>
      <c r="N347" s="39" t="n">
        <f aca="false">IF(COUNT('Business Case'!B11:G11)=0,"",H347+NPV(G347,I347:M347))</f>
        <v>-479747404.77716</v>
      </c>
      <c r="P347" s="40" t="n">
        <f aca="true">RAND()</f>
        <v>0.162133776136748</v>
      </c>
      <c r="Q347" s="40" t="n">
        <f aca="true">RAND()</f>
        <v>0.88554654592927</v>
      </c>
      <c r="R347" s="40" t="n">
        <f aca="true">RAND()</f>
        <v>0.840980542051359</v>
      </c>
      <c r="S347" s="40" t="n">
        <f aca="true">RAND()</f>
        <v>0.215850967705738</v>
      </c>
      <c r="T347" s="40" t="n">
        <f aca="true">RAND()</f>
        <v>0.0396007757431377</v>
      </c>
      <c r="U347" s="40" t="n">
        <f aca="true">RAND()</f>
        <v>0.627938074382897</v>
      </c>
    </row>
    <row r="348" customFormat="false" ht="15" hidden="false" customHeight="false" outlineLevel="0" collapsed="false">
      <c r="A348" s="36" t="n">
        <v>268</v>
      </c>
      <c r="B348" s="37" t="n">
        <f aca="false">1+IF($G$6=$E$6,$F$6,IF(P348&lt;($F$6-$E$6)/($G$6-$E$6),$E$6+SQRT(P348*($G$6-$E$6)*($F$6-$E$6)),$G$6-SQRT((1-P348)*($G$6-$E$6)*($G$6-$F$6))))</f>
        <v>1.00287773987385</v>
      </c>
      <c r="C348" s="37" t="n">
        <f aca="false">1+IF($G$7=$E$7,$F$7,IF(Q348&lt;($F$7-$E$7)/($G$7-$E$7),$E$7+SQRT(Q348*($G$7-$E$7)*($F$7-$E$7)),$G$7-SQRT((1-Q348)*($G$7-$E$7)*($G$7-$F$7))))</f>
        <v>0.992050499395668</v>
      </c>
      <c r="D348" s="37" t="n">
        <f aca="false">1+IF($G$8=$E$8,$F$8,IF(R348&lt;($F$8-$E$8)/($G$8-$E$8),$E$8+SQRT(R348*($G$8-$E$8)*($F$8-$E$8)),$G$8-SQRT((1-R348)*($G$8-$E$8)*($G$8-$F$8))))</f>
        <v>1.05839386287083</v>
      </c>
      <c r="E348" s="37" t="n">
        <f aca="false">1+IF($G$9=$E$9,$F$9,IF(S348&lt;($F$9-$E$9)/($G$9-$E$9),$E$9+SQRT(S348*($G$9-$E$9)*($F$9-$E$9)),$G$9-SQRT((1-S348)*($G$9-$E$9)*($G$9-$F$9))))</f>
        <v>0.983557276045008</v>
      </c>
      <c r="F348" s="37" t="n">
        <f aca="false">1+IF($G$10=$E$10,$F$10,IF(T348&lt;($F$10-$E$10)/($G$10-$E$10),$E$10+SQRT(T348*($G$10-$E$10)*($F$10-$E$10)),$G$10-SQRT((1-T348)*($G$10-$E$10)*($G$10-$F$10))))</f>
        <v>1.09231425941638</v>
      </c>
      <c r="G348" s="38" t="n">
        <f aca="false">IF($G$11=$E$11,$F$11,IF(U348&lt;($F$11-$E$11)/($G$11-$E$11),$E$11+SQRT(U348*($G$11-$E$11)*($F$11-$E$11)),$G$11-SQRT((1-U348)*($G$11-$E$11)*($G$11-$F$11))))</f>
        <v>0.0869129096345064</v>
      </c>
      <c r="H348" s="39" t="n">
        <f aca="false">(('Business Case'!B11*$C348*'Business Case'!B12*$B348)-'Business Case'!B11*$C348*'Business Case'!B13*$D348-'Business Case'!B14*$E348)-MAX(0,(('Business Case'!B11*$C348*'Business Case'!B12*$B348)-'Business Case'!B11*$C348*'Business Case'!B13*$D348-'Business Case'!B14*$E348))*'Business Case'!$B$7-'Business Case'!$B$8*('Business Case'!B11*$C348*'Business Case'!B12*$B348)-'Business Case'!B15*$F348</f>
        <v>-2184628518.83276</v>
      </c>
      <c r="I348" s="39" t="n">
        <f aca="false">(('Business Case'!C11*$C348*'Business Case'!C12*$B348)-'Business Case'!C11*$C348*'Business Case'!C13*$D348-'Business Case'!C14*$E348)-MAX(0,(('Business Case'!C11*$C348*'Business Case'!C12*$B348)-'Business Case'!C11*$C348*'Business Case'!C13*$D348-'Business Case'!C14*$E348))*'Business Case'!$B$7-'Business Case'!$B$8*(('Business Case'!C11*$C348*'Business Case'!C12*$B348)-('Business Case'!B11*$C348*'Business Case'!B12*$B348))-'Business Case'!C15*$F348</f>
        <v>-23275882.9985979</v>
      </c>
      <c r="J348" s="39" t="n">
        <f aca="false">(('Business Case'!D11*$C348*'Business Case'!D12*$B348)-'Business Case'!D11*$C348*'Business Case'!D13*$D348-'Business Case'!D14*$E348)-MAX(0,(('Business Case'!D11*$C348*'Business Case'!D12*$B348)-'Business Case'!D11*$C348*'Business Case'!D13*$D348-'Business Case'!D14*$E348))*'Business Case'!$B$7-'Business Case'!$B$8*(('Business Case'!D11*$C348*'Business Case'!D12*$B348)-('Business Case'!C11*$C348*'Business Case'!C12*$B348))-'Business Case'!D15*$F348</f>
        <v>254117398.599097</v>
      </c>
      <c r="K348" s="39" t="n">
        <f aca="false">(('Business Case'!E11*$C348*'Business Case'!E12*$B348)-'Business Case'!E11*$C348*'Business Case'!E13*$D348-'Business Case'!E14*$E348)-MAX(0,(('Business Case'!E11*$C348*'Business Case'!E12*$B348)-'Business Case'!E11*$C348*'Business Case'!E13*$D348-'Business Case'!E14*$E348))*'Business Case'!$B$7-'Business Case'!$B$8*(('Business Case'!E11*$C348*'Business Case'!E12*$B348)-('Business Case'!D11*$C348*'Business Case'!D12*$B348))-'Business Case'!E15*$F348</f>
        <v>586126393.16761</v>
      </c>
      <c r="L348" s="39" t="n">
        <f aca="false">(('Business Case'!F11*$C348*'Business Case'!F12*$B348)-'Business Case'!F11*$C348*'Business Case'!F13*$D348-'Business Case'!F14*$E348)-MAX(0,(('Business Case'!F11*$C348*'Business Case'!F12*$B348)-'Business Case'!F11*$C348*'Business Case'!F13*$D348-'Business Case'!F14*$E348))*'Business Case'!$B$7-'Business Case'!$B$8*(('Business Case'!F11*$C348*'Business Case'!F12*$B348)-('Business Case'!E11*$C348*'Business Case'!E12*$B348))-'Business Case'!F15*$F348</f>
        <v>712974749.700877</v>
      </c>
      <c r="M348" s="39" t="n">
        <f aca="false">(('Business Case'!G11*$C348*'Business Case'!G12*$B348)-'Business Case'!G11*$C348*'Business Case'!G13*$D348-'Business Case'!G14*$E348)-MAX(0,(('Business Case'!G11*$C348*'Business Case'!G12*$B348)-'Business Case'!G11*$C348*'Business Case'!G13*$D348-'Business Case'!G14*$E348))*'Business Case'!$B$7-'Business Case'!$B$8*(('Business Case'!G11*$C348*'Business Case'!G12*$B348)-('Business Case'!F11*$C348*'Business Case'!F12*$B348))-'Business Case'!G15*$F348+'Business Case'!$B$8*('Business Case'!G11*$C348*'Business Case'!G12*$B348)</f>
        <v>902086361.038076</v>
      </c>
      <c r="N348" s="39" t="n">
        <f aca="false">IF(COUNT('Business Case'!B11:G11)=0,"",H348+NPV(G348,I348:M348))</f>
        <v>-428956615.080174</v>
      </c>
      <c r="P348" s="40" t="n">
        <f aca="true">RAND()</f>
        <v>0.70393234674718</v>
      </c>
      <c r="Q348" s="40" t="n">
        <f aca="true">RAND()</f>
        <v>0.631803660720437</v>
      </c>
      <c r="R348" s="40" t="n">
        <f aca="true">RAND()</f>
        <v>0.884595290212585</v>
      </c>
      <c r="S348" s="40" t="n">
        <f aca="true">RAND()</f>
        <v>0.279272735202464</v>
      </c>
      <c r="T348" s="40" t="n">
        <f aca="true">RAND()</f>
        <v>0.668469429554607</v>
      </c>
      <c r="U348" s="40" t="n">
        <f aca="true">RAND()</f>
        <v>0.0477883196148507</v>
      </c>
    </row>
    <row r="349" customFormat="false" ht="15" hidden="false" customHeight="false" outlineLevel="0" collapsed="false">
      <c r="A349" s="36" t="n">
        <v>269</v>
      </c>
      <c r="B349" s="37" t="n">
        <f aca="false">1+IF($G$6=$E$6,$F$6,IF(P349&lt;($F$6-$E$6)/($G$6-$E$6),$E$6+SQRT(P349*($G$6-$E$6)*($F$6-$E$6)),$G$6-SQRT((1-P349)*($G$6-$E$6)*($G$6-$F$6))))</f>
        <v>0.914285659862024</v>
      </c>
      <c r="C349" s="37" t="n">
        <f aca="false">1+IF($G$7=$E$7,$F$7,IF(Q349&lt;($F$7-$E$7)/($G$7-$E$7),$E$7+SQRT(Q349*($G$7-$E$7)*($F$7-$E$7)),$G$7-SQRT((1-Q349)*($G$7-$E$7)*($G$7-$F$7))))</f>
        <v>0.804528330410616</v>
      </c>
      <c r="D349" s="37" t="n">
        <f aca="false">1+IF($G$8=$E$8,$F$8,IF(R349&lt;($F$8-$E$8)/($G$8-$E$8),$E$8+SQRT(R349*($G$8-$E$8)*($F$8-$E$8)),$G$8-SQRT((1-R349)*($G$8-$E$8)*($G$8-$F$8))))</f>
        <v>1.00487346735971</v>
      </c>
      <c r="E349" s="37" t="n">
        <f aca="false">1+IF($G$9=$E$9,$F$9,IF(S349&lt;($F$9-$E$9)/($G$9-$E$9),$E$9+SQRT(S349*($G$9-$E$9)*($F$9-$E$9)),$G$9-SQRT((1-S349)*($G$9-$E$9)*($G$9-$F$9))))</f>
        <v>1.04633028846993</v>
      </c>
      <c r="F349" s="37" t="n">
        <f aca="false">1+IF($G$10=$E$10,$F$10,IF(T349&lt;($F$10-$E$10)/($G$10-$E$10),$E$10+SQRT(T349*($G$10-$E$10)*($F$10-$E$10)),$G$10-SQRT((1-T349)*($G$10-$E$10)*($G$10-$F$10))))</f>
        <v>1.07287252106985</v>
      </c>
      <c r="G349" s="38" t="n">
        <f aca="false">IF($G$11=$E$11,$F$11,IF(U349&lt;($F$11-$E$11)/($G$11-$E$11),$E$11+SQRT(U349*($G$11-$E$11)*($F$11-$E$11)),$G$11-SQRT((1-U349)*($G$11-$E$11)*($G$11-$F$11))))</f>
        <v>0.0963358320271826</v>
      </c>
      <c r="H349" s="39" t="n">
        <f aca="false">(('Business Case'!B11*$C349*'Business Case'!B12*$B349)-'Business Case'!B11*$C349*'Business Case'!B13*$D349-'Business Case'!B14*$E349)-MAX(0,(('Business Case'!B11*$C349*'Business Case'!B12*$B349)-'Business Case'!B11*$C349*'Business Case'!B13*$D349-'Business Case'!B14*$E349))*'Business Case'!$B$7-'Business Case'!$B$8*('Business Case'!B11*$C349*'Business Case'!B12*$B349)-'Business Case'!B15*$F349</f>
        <v>-2145745042.13971</v>
      </c>
      <c r="I349" s="39" t="n">
        <f aca="false">(('Business Case'!C11*$C349*'Business Case'!C12*$B349)-'Business Case'!C11*$C349*'Business Case'!C13*$D349-'Business Case'!C14*$E349)-MAX(0,(('Business Case'!C11*$C349*'Business Case'!C12*$B349)-'Business Case'!C11*$C349*'Business Case'!C13*$D349-'Business Case'!C14*$E349))*'Business Case'!$B$7-'Business Case'!$B$8*(('Business Case'!C11*$C349*'Business Case'!C12*$B349)-('Business Case'!B11*$C349*'Business Case'!B12*$B349))-'Business Case'!C15*$F349</f>
        <v>-105584863.063658</v>
      </c>
      <c r="J349" s="39" t="n">
        <f aca="false">(('Business Case'!D11*$C349*'Business Case'!D12*$B349)-'Business Case'!D11*$C349*'Business Case'!D13*$D349-'Business Case'!D14*$E349)-MAX(0,(('Business Case'!D11*$C349*'Business Case'!D12*$B349)-'Business Case'!D11*$C349*'Business Case'!D13*$D349-'Business Case'!D14*$E349))*'Business Case'!$B$7-'Business Case'!$B$8*(('Business Case'!D11*$C349*'Business Case'!D12*$B349)-('Business Case'!C11*$C349*'Business Case'!C12*$B349))-'Business Case'!D15*$F349</f>
        <v>83037575.2088742</v>
      </c>
      <c r="K349" s="39" t="n">
        <f aca="false">(('Business Case'!E11*$C349*'Business Case'!E12*$B349)-'Business Case'!E11*$C349*'Business Case'!E13*$D349-'Business Case'!E14*$E349)-MAX(0,(('Business Case'!E11*$C349*'Business Case'!E12*$B349)-'Business Case'!E11*$C349*'Business Case'!E13*$D349-'Business Case'!E14*$E349))*'Business Case'!$B$7-'Business Case'!$B$8*(('Business Case'!E11*$C349*'Business Case'!E12*$B349)-('Business Case'!D11*$C349*'Business Case'!D12*$B349))-'Business Case'!E15*$F349</f>
        <v>325303639.534899</v>
      </c>
      <c r="L349" s="39" t="n">
        <f aca="false">(('Business Case'!F11*$C349*'Business Case'!F12*$B349)-'Business Case'!F11*$C349*'Business Case'!F13*$D349-'Business Case'!F14*$E349)-MAX(0,(('Business Case'!F11*$C349*'Business Case'!F12*$B349)-'Business Case'!F11*$C349*'Business Case'!F13*$D349-'Business Case'!F14*$E349))*'Business Case'!$B$7-'Business Case'!$B$8*(('Business Case'!F11*$C349*'Business Case'!F12*$B349)-('Business Case'!E11*$C349*'Business Case'!E12*$B349))-'Business Case'!F15*$F349</f>
        <v>413599040.431597</v>
      </c>
      <c r="M349" s="39" t="n">
        <f aca="false">(('Business Case'!G11*$C349*'Business Case'!G12*$B349)-'Business Case'!G11*$C349*'Business Case'!G13*$D349-'Business Case'!G14*$E349)-MAX(0,(('Business Case'!G11*$C349*'Business Case'!G12*$B349)-'Business Case'!G11*$C349*'Business Case'!G13*$D349-'Business Case'!G14*$E349))*'Business Case'!$B$7-'Business Case'!$B$8*(('Business Case'!G11*$C349*'Business Case'!G12*$B349)-('Business Case'!F11*$C349*'Business Case'!F12*$B349))-'Business Case'!G15*$F349+'Business Case'!$B$8*('Business Case'!G11*$C349*'Business Case'!G12*$B349)</f>
        <v>553415941.863793</v>
      </c>
      <c r="N349" s="39" t="n">
        <f aca="false">IF(COUNT('Business Case'!B11:G11)=0,"",H349+NPV(G349,I349:M349))</f>
        <v>-1290404403.01261</v>
      </c>
      <c r="P349" s="40" t="n">
        <f aca="true">RAND()</f>
        <v>0.0136053385128955</v>
      </c>
      <c r="Q349" s="40" t="n">
        <f aca="true">RAND()</f>
        <v>0.0809346063587471</v>
      </c>
      <c r="R349" s="40" t="n">
        <f aca="true">RAND()</f>
        <v>0.396729519189068</v>
      </c>
      <c r="S349" s="40" t="n">
        <f aca="true">RAND()</f>
        <v>0.713402424300576</v>
      </c>
      <c r="T349" s="40" t="n">
        <f aca="true">RAND()</f>
        <v>0.581678082771339</v>
      </c>
      <c r="U349" s="40" t="n">
        <f aca="true">RAND()</f>
        <v>0.266859408020324</v>
      </c>
    </row>
    <row r="350" customFormat="false" ht="15" hidden="false" customHeight="false" outlineLevel="0" collapsed="false">
      <c r="A350" s="36" t="n">
        <v>270</v>
      </c>
      <c r="B350" s="37" t="n">
        <f aca="false">1+IF($G$6=$E$6,$F$6,IF(P350&lt;($F$6-$E$6)/($G$6-$E$6),$E$6+SQRT(P350*($G$6-$E$6)*($F$6-$E$6)),$G$6-SQRT((1-P350)*($G$6-$E$6)*($G$6-$F$6))))</f>
        <v>0.996537384874431</v>
      </c>
      <c r="C350" s="37" t="n">
        <f aca="false">1+IF($G$7=$E$7,$F$7,IF(Q350&lt;($F$7-$E$7)/($G$7-$E$7),$E$7+SQRT(Q350*($G$7-$E$7)*($F$7-$E$7)),$G$7-SQRT((1-Q350)*($G$7-$E$7)*($G$7-$F$7))))</f>
        <v>0.970955489104413</v>
      </c>
      <c r="D350" s="37" t="n">
        <f aca="false">1+IF($G$8=$E$8,$F$8,IF(R350&lt;($F$8-$E$8)/($G$8-$E$8),$E$8+SQRT(R350*($G$8-$E$8)*($F$8-$E$8)),$G$8-SQRT((1-R350)*($G$8-$E$8)*($G$8-$F$8))))</f>
        <v>1.02608080967175</v>
      </c>
      <c r="E350" s="37" t="n">
        <f aca="false">1+IF($G$9=$E$9,$F$9,IF(S350&lt;($F$9-$E$9)/($G$9-$E$9),$E$9+SQRT(S350*($G$9-$E$9)*($F$9-$E$9)),$G$9-SQRT((1-S350)*($G$9-$E$9)*($G$9-$F$9))))</f>
        <v>1.05847622975393</v>
      </c>
      <c r="F350" s="37" t="n">
        <f aca="false">1+IF($G$10=$E$10,$F$10,IF(T350&lt;($F$10-$E$10)/($G$10-$E$10),$E$10+SQRT(T350*($G$10-$E$10)*($F$10-$E$10)),$G$10-SQRT((1-T350)*($G$10-$E$10)*($G$10-$F$10))))</f>
        <v>1.17772396095518</v>
      </c>
      <c r="G350" s="38" t="n">
        <f aca="false">IF($G$11=$E$11,$F$11,IF(U350&lt;($F$11-$E$11)/($G$11-$E$11),$E$11+SQRT(U350*($G$11-$E$11)*($F$11-$E$11)),$G$11-SQRT((1-U350)*($G$11-$E$11)*($G$11-$F$11))))</f>
        <v>0.112051742856151</v>
      </c>
      <c r="H350" s="39" t="n">
        <f aca="false">(('Business Case'!B11*$C350*'Business Case'!B12*$B350)-'Business Case'!B11*$C350*'Business Case'!B13*$D350-'Business Case'!B14*$E350)-MAX(0,(('Business Case'!B11*$C350*'Business Case'!B12*$B350)-'Business Case'!B11*$C350*'Business Case'!B13*$D350-'Business Case'!B14*$E350))*'Business Case'!$B$7-'Business Case'!$B$8*('Business Case'!B11*$C350*'Business Case'!B12*$B350)-'Business Case'!B15*$F350</f>
        <v>-2355447921.91036</v>
      </c>
      <c r="I350" s="39" t="n">
        <f aca="false">(('Business Case'!C11*$C350*'Business Case'!C12*$B350)-'Business Case'!C11*$C350*'Business Case'!C13*$D350-'Business Case'!C14*$E350)-MAX(0,(('Business Case'!C11*$C350*'Business Case'!C12*$B350)-'Business Case'!C11*$C350*'Business Case'!C13*$D350-'Business Case'!C14*$E350))*'Business Case'!$B$7-'Business Case'!$B$8*(('Business Case'!C11*$C350*'Business Case'!C12*$B350)-('Business Case'!B11*$C350*'Business Case'!B12*$B350))-'Business Case'!C15*$F350</f>
        <v>-35934103.2215141</v>
      </c>
      <c r="J350" s="39" t="n">
        <f aca="false">(('Business Case'!D11*$C350*'Business Case'!D12*$B350)-'Business Case'!D11*$C350*'Business Case'!D13*$D350-'Business Case'!D14*$E350)-MAX(0,(('Business Case'!D11*$C350*'Business Case'!D12*$B350)-'Business Case'!D11*$C350*'Business Case'!D13*$D350-'Business Case'!D14*$E350))*'Business Case'!$B$7-'Business Case'!$B$8*(('Business Case'!D11*$C350*'Business Case'!D12*$B350)-('Business Case'!C11*$C350*'Business Case'!C12*$B350))-'Business Case'!D15*$F350</f>
        <v>246579553.657431</v>
      </c>
      <c r="K350" s="39" t="n">
        <f aca="false">(('Business Case'!E11*$C350*'Business Case'!E12*$B350)-'Business Case'!E11*$C350*'Business Case'!E13*$D350-'Business Case'!E14*$E350)-MAX(0,(('Business Case'!E11*$C350*'Business Case'!E12*$B350)-'Business Case'!E11*$C350*'Business Case'!E13*$D350-'Business Case'!E14*$E350))*'Business Case'!$B$7-'Business Case'!$B$8*(('Business Case'!E11*$C350*'Business Case'!E12*$B350)-('Business Case'!D11*$C350*'Business Case'!D12*$B350))-'Business Case'!E15*$F350</f>
        <v>587979408.584134</v>
      </c>
      <c r="L350" s="39" t="n">
        <f aca="false">(('Business Case'!F11*$C350*'Business Case'!F12*$B350)-'Business Case'!F11*$C350*'Business Case'!F13*$D350-'Business Case'!F14*$E350)-MAX(0,(('Business Case'!F11*$C350*'Business Case'!F12*$B350)-'Business Case'!F11*$C350*'Business Case'!F13*$D350-'Business Case'!F14*$E350))*'Business Case'!$B$7-'Business Case'!$B$8*(('Business Case'!F11*$C350*'Business Case'!F12*$B350)-('Business Case'!E11*$C350*'Business Case'!E12*$B350))-'Business Case'!F15*$F350</f>
        <v>715590656.966404</v>
      </c>
      <c r="M350" s="39" t="n">
        <f aca="false">(('Business Case'!G11*$C350*'Business Case'!G12*$B350)-'Business Case'!G11*$C350*'Business Case'!G13*$D350-'Business Case'!G14*$E350)-MAX(0,(('Business Case'!G11*$C350*'Business Case'!G12*$B350)-'Business Case'!G11*$C350*'Business Case'!G13*$D350-'Business Case'!G14*$E350))*'Business Case'!$B$7-'Business Case'!$B$8*(('Business Case'!G11*$C350*'Business Case'!G12*$B350)-('Business Case'!F11*$C350*'Business Case'!F12*$B350))-'Business Case'!G15*$F350+'Business Case'!$B$8*('Business Case'!G11*$C350*'Business Case'!G12*$B350)</f>
        <v>899510818.790821</v>
      </c>
      <c r="N350" s="39" t="n">
        <f aca="false">IF(COUNT('Business Case'!B11:G11)=0,"",H350+NPV(G350,I350:M350))</f>
        <v>-763997248.453313</v>
      </c>
      <c r="P350" s="40" t="n">
        <f aca="true">RAND()</f>
        <v>0.621297778559603</v>
      </c>
      <c r="Q350" s="40" t="n">
        <f aca="true">RAND()</f>
        <v>0.543828719080087</v>
      </c>
      <c r="R350" s="40" t="n">
        <f aca="true">RAND()</f>
        <v>0.635730220081111</v>
      </c>
      <c r="S350" s="40" t="n">
        <f aca="true">RAND()</f>
        <v>0.776623986131866</v>
      </c>
      <c r="T350" s="40" t="n">
        <f aca="true">RAND()</f>
        <v>0.930348989066551</v>
      </c>
      <c r="U350" s="40" t="n">
        <f aca="true">RAND()</f>
        <v>0.785240043665509</v>
      </c>
    </row>
    <row r="351" customFormat="false" ht="15" hidden="false" customHeight="false" outlineLevel="0" collapsed="false">
      <c r="A351" s="36" t="n">
        <v>271</v>
      </c>
      <c r="B351" s="37" t="n">
        <f aca="false">1+IF($G$6=$E$6,$F$6,IF(P351&lt;($F$6-$E$6)/($G$6-$E$6),$E$6+SQRT(P351*($G$6-$E$6)*($F$6-$E$6)),$G$6-SQRT((1-P351)*($G$6-$E$6)*($G$6-$F$6))))</f>
        <v>0.967153992599739</v>
      </c>
      <c r="C351" s="37" t="n">
        <f aca="false">1+IF($G$7=$E$7,$F$7,IF(Q351&lt;($F$7-$E$7)/($G$7-$E$7),$E$7+SQRT(Q351*($G$7-$E$7)*($F$7-$E$7)),$G$7-SQRT((1-Q351)*($G$7-$E$7)*($G$7-$F$7))))</f>
        <v>0.859493753881315</v>
      </c>
      <c r="D351" s="37" t="n">
        <f aca="false">1+IF($G$8=$E$8,$F$8,IF(R351&lt;($F$8-$E$8)/($G$8-$E$8),$E$8+SQRT(R351*($G$8-$E$8)*($F$8-$E$8)),$G$8-SQRT((1-R351)*($G$8-$E$8)*($G$8-$F$8))))</f>
        <v>1.06768605789687</v>
      </c>
      <c r="E351" s="37" t="n">
        <f aca="false">1+IF($G$9=$E$9,$F$9,IF(S351&lt;($F$9-$E$9)/($G$9-$E$9),$E$9+SQRT(S351*($G$9-$E$9)*($F$9-$E$9)),$G$9-SQRT((1-S351)*($G$9-$E$9)*($G$9-$F$9))))</f>
        <v>1.10485020479077</v>
      </c>
      <c r="F351" s="37" t="n">
        <f aca="false">1+IF($G$10=$E$10,$F$10,IF(T351&lt;($F$10-$E$10)/($G$10-$E$10),$E$10+SQRT(T351*($G$10-$E$10)*($F$10-$E$10)),$G$10-SQRT((1-T351)*($G$10-$E$10)*($G$10-$F$10))))</f>
        <v>1.1477526796209</v>
      </c>
      <c r="G351" s="38" t="n">
        <f aca="false">IF($G$11=$E$11,$F$11,IF(U351&lt;($F$11-$E$11)/($G$11-$E$11),$E$11+SQRT(U351*($G$11-$E$11)*($F$11-$E$11)),$G$11-SQRT((1-U351)*($G$11-$E$11)*($G$11-$F$11))))</f>
        <v>0.0981809004127697</v>
      </c>
      <c r="H351" s="39" t="n">
        <f aca="false">(('Business Case'!B11*$C351*'Business Case'!B12*$B351)-'Business Case'!B11*$C351*'Business Case'!B13*$D351-'Business Case'!B14*$E351)-MAX(0,(('Business Case'!B11*$C351*'Business Case'!B12*$B351)-'Business Case'!B11*$C351*'Business Case'!B13*$D351-'Business Case'!B14*$E351))*'Business Case'!$B$7-'Business Case'!$B$8*('Business Case'!B11*$C351*'Business Case'!B12*$B351)-'Business Case'!B15*$F351</f>
        <v>-2295505359.2418</v>
      </c>
      <c r="I351" s="39" t="n">
        <f aca="false">(('Business Case'!C11*$C351*'Business Case'!C12*$B351)-'Business Case'!C11*$C351*'Business Case'!C13*$D351-'Business Case'!C14*$E351)-MAX(0,(('Business Case'!C11*$C351*'Business Case'!C12*$B351)-'Business Case'!C11*$C351*'Business Case'!C13*$D351-'Business Case'!C14*$E351))*'Business Case'!$B$7-'Business Case'!$B$8*(('Business Case'!C11*$C351*'Business Case'!C12*$B351)-('Business Case'!B11*$C351*'Business Case'!B12*$B351))-'Business Case'!C15*$F351</f>
        <v>-103886903.831743</v>
      </c>
      <c r="J351" s="39" t="n">
        <f aca="false">(('Business Case'!D11*$C351*'Business Case'!D12*$B351)-'Business Case'!D11*$C351*'Business Case'!D13*$D351-'Business Case'!D14*$E351)-MAX(0,(('Business Case'!D11*$C351*'Business Case'!D12*$B351)-'Business Case'!D11*$C351*'Business Case'!D13*$D351-'Business Case'!D14*$E351))*'Business Case'!$B$7-'Business Case'!$B$8*(('Business Case'!D11*$C351*'Business Case'!D12*$B351)-('Business Case'!C11*$C351*'Business Case'!C12*$B351))-'Business Case'!D15*$F351</f>
        <v>107203823.784746</v>
      </c>
      <c r="K351" s="39" t="n">
        <f aca="false">(('Business Case'!E11*$C351*'Business Case'!E12*$B351)-'Business Case'!E11*$C351*'Business Case'!E13*$D351-'Business Case'!E14*$E351)-MAX(0,(('Business Case'!E11*$C351*'Business Case'!E12*$B351)-'Business Case'!E11*$C351*'Business Case'!E13*$D351-'Business Case'!E14*$E351))*'Business Case'!$B$7-'Business Case'!$B$8*(('Business Case'!E11*$C351*'Business Case'!E12*$B351)-('Business Case'!D11*$C351*'Business Case'!D12*$B351))-'Business Case'!E15*$F351</f>
        <v>375682185.38228</v>
      </c>
      <c r="L351" s="39" t="n">
        <f aca="false">(('Business Case'!F11*$C351*'Business Case'!F12*$B351)-'Business Case'!F11*$C351*'Business Case'!F13*$D351-'Business Case'!F14*$E351)-MAX(0,(('Business Case'!F11*$C351*'Business Case'!F12*$B351)-'Business Case'!F11*$C351*'Business Case'!F13*$D351-'Business Case'!F14*$E351))*'Business Case'!$B$7-'Business Case'!$B$8*(('Business Case'!F11*$C351*'Business Case'!F12*$B351)-('Business Case'!E11*$C351*'Business Case'!E12*$B351))-'Business Case'!F15*$F351</f>
        <v>474774204.164374</v>
      </c>
      <c r="M351" s="39" t="n">
        <f aca="false">(('Business Case'!G11*$C351*'Business Case'!G12*$B351)-'Business Case'!G11*$C351*'Business Case'!G13*$D351-'Business Case'!G14*$E351)-MAX(0,(('Business Case'!G11*$C351*'Business Case'!G12*$B351)-'Business Case'!G11*$C351*'Business Case'!G13*$D351-'Business Case'!G14*$E351))*'Business Case'!$B$7-'Business Case'!$B$8*(('Business Case'!G11*$C351*'Business Case'!G12*$B351)-('Business Case'!F11*$C351*'Business Case'!F12*$B351))-'Business Case'!G15*$F351+'Business Case'!$B$8*('Business Case'!G11*$C351*'Business Case'!G12*$B351)</f>
        <v>632780640.16899</v>
      </c>
      <c r="N351" s="39" t="n">
        <f aca="false">IF(COUNT('Business Case'!B11:G11)=0,"",H351+NPV(G351,I351:M351))</f>
        <v>-1294948816.20624</v>
      </c>
      <c r="P351" s="40" t="n">
        <f aca="true">RAND()</f>
        <v>0.30064391480572</v>
      </c>
      <c r="Q351" s="40" t="n">
        <f aca="true">RAND()</f>
        <v>0.188431537238173</v>
      </c>
      <c r="R351" s="40" t="n">
        <f aca="true">RAND()</f>
        <v>0.930387276383725</v>
      </c>
      <c r="S351" s="40" t="n">
        <f aca="true">RAND()</f>
        <v>0.945639893135053</v>
      </c>
      <c r="T351" s="40" t="n">
        <f aca="true">RAND()</f>
        <v>0.860606473003914</v>
      </c>
      <c r="U351" s="40" t="n">
        <f aca="true">RAND()</f>
        <v>0.330545139819049</v>
      </c>
    </row>
    <row r="352" customFormat="false" ht="15" hidden="false" customHeight="false" outlineLevel="0" collapsed="false">
      <c r="A352" s="36" t="n">
        <v>272</v>
      </c>
      <c r="B352" s="37" t="n">
        <f aca="false">1+IF($G$6=$E$6,$F$6,IF(P352&lt;($F$6-$E$6)/($G$6-$E$6),$E$6+SQRT(P352*($G$6-$E$6)*($F$6-$E$6)),$G$6-SQRT((1-P352)*($G$6-$E$6)*($G$6-$F$6))))</f>
        <v>1.04096464267309</v>
      </c>
      <c r="C352" s="37" t="n">
        <f aca="false">1+IF($G$7=$E$7,$F$7,IF(Q352&lt;($F$7-$E$7)/($G$7-$E$7),$E$7+SQRT(Q352*($G$7-$E$7)*($F$7-$E$7)),$G$7-SQRT((1-Q352)*($G$7-$E$7)*($G$7-$F$7))))</f>
        <v>1.07344053044791</v>
      </c>
      <c r="D352" s="37" t="n">
        <f aca="false">1+IF($G$8=$E$8,$F$8,IF(R352&lt;($F$8-$E$8)/($G$8-$E$8),$E$8+SQRT(R352*($G$8-$E$8)*($F$8-$E$8)),$G$8-SQRT((1-R352)*($G$8-$E$8)*($G$8-$F$8))))</f>
        <v>1.05219784851718</v>
      </c>
      <c r="E352" s="37" t="n">
        <f aca="false">1+IF($G$9=$E$9,$F$9,IF(S352&lt;($F$9-$E$9)/($G$9-$E$9),$E$9+SQRT(S352*($G$9-$E$9)*($F$9-$E$9)),$G$9-SQRT((1-S352)*($G$9-$E$9)*($G$9-$F$9))))</f>
        <v>1.04565257626943</v>
      </c>
      <c r="F352" s="37" t="n">
        <f aca="false">1+IF($G$10=$E$10,$F$10,IF(T352&lt;($F$10-$E$10)/($G$10-$E$10),$E$10+SQRT(T352*($G$10-$E$10)*($F$10-$E$10)),$G$10-SQRT((1-T352)*($G$10-$E$10)*($G$10-$F$10))))</f>
        <v>1.0081980996746</v>
      </c>
      <c r="G352" s="38" t="n">
        <f aca="false">IF($G$11=$E$11,$F$11,IF(U352&lt;($F$11-$E$11)/($G$11-$E$11),$E$11+SQRT(U352*($G$11-$E$11)*($F$11-$E$11)),$G$11-SQRT((1-U352)*($G$11-$E$11)*($G$11-$F$11))))</f>
        <v>0.0930907761386741</v>
      </c>
      <c r="H352" s="39" t="n">
        <f aca="false">(('Business Case'!B11*$C352*'Business Case'!B12*$B352)-'Business Case'!B11*$C352*'Business Case'!B13*$D352-'Business Case'!B14*$E352)-MAX(0,(('Business Case'!B11*$C352*'Business Case'!B12*$B352)-'Business Case'!B11*$C352*'Business Case'!B13*$D352-'Business Case'!B14*$E352))*'Business Case'!$B$7-'Business Case'!$B$8*('Business Case'!B11*$C352*'Business Case'!B12*$B352)-'Business Case'!B15*$F352</f>
        <v>-2016396199.3492</v>
      </c>
      <c r="I352" s="39" t="n">
        <f aca="false">(('Business Case'!C11*$C352*'Business Case'!C12*$B352)-'Business Case'!C11*$C352*'Business Case'!C13*$D352-'Business Case'!C14*$E352)-MAX(0,(('Business Case'!C11*$C352*'Business Case'!C12*$B352)-'Business Case'!C11*$C352*'Business Case'!C13*$D352-'Business Case'!C14*$E352))*'Business Case'!$B$7-'Business Case'!$B$8*(('Business Case'!C11*$C352*'Business Case'!C12*$B352)-('Business Case'!B11*$C352*'Business Case'!B12*$B352))-'Business Case'!C15*$F352</f>
        <v>29604681.7783643</v>
      </c>
      <c r="J352" s="39" t="n">
        <f aca="false">(('Business Case'!D11*$C352*'Business Case'!D12*$B352)-'Business Case'!D11*$C352*'Business Case'!D13*$D352-'Business Case'!D14*$E352)-MAX(0,(('Business Case'!D11*$C352*'Business Case'!D12*$B352)-'Business Case'!D11*$C352*'Business Case'!D13*$D352-'Business Case'!D14*$E352))*'Business Case'!$B$7-'Business Case'!$B$8*(('Business Case'!D11*$C352*'Business Case'!D12*$B352)-('Business Case'!C11*$C352*'Business Case'!C12*$B352))-'Business Case'!D15*$F352</f>
        <v>366647692.874431</v>
      </c>
      <c r="K352" s="39" t="n">
        <f aca="false">(('Business Case'!E11*$C352*'Business Case'!E12*$B352)-'Business Case'!E11*$C352*'Business Case'!E13*$D352-'Business Case'!E14*$E352)-MAX(0,(('Business Case'!E11*$C352*'Business Case'!E12*$B352)-'Business Case'!E11*$C352*'Business Case'!E13*$D352-'Business Case'!E14*$E352))*'Business Case'!$B$7-'Business Case'!$B$8*(('Business Case'!E11*$C352*'Business Case'!E12*$B352)-('Business Case'!D11*$C352*'Business Case'!D12*$B352))-'Business Case'!E15*$F352</f>
        <v>754100608.954228</v>
      </c>
      <c r="L352" s="39" t="n">
        <f aca="false">(('Business Case'!F11*$C352*'Business Case'!F12*$B352)-'Business Case'!F11*$C352*'Business Case'!F13*$D352-'Business Case'!F14*$E352)-MAX(0,(('Business Case'!F11*$C352*'Business Case'!F12*$B352)-'Business Case'!F11*$C352*'Business Case'!F13*$D352-'Business Case'!F14*$E352))*'Business Case'!$B$7-'Business Case'!$B$8*(('Business Case'!F11*$C352*'Business Case'!F12*$B352)-('Business Case'!E11*$C352*'Business Case'!E12*$B352))-'Business Case'!F15*$F352</f>
        <v>905066094.65607</v>
      </c>
      <c r="M352" s="39" t="n">
        <f aca="false">(('Business Case'!G11*$C352*'Business Case'!G12*$B352)-'Business Case'!G11*$C352*'Business Case'!G13*$D352-'Business Case'!G14*$E352)-MAX(0,(('Business Case'!G11*$C352*'Business Case'!G12*$B352)-'Business Case'!G11*$C352*'Business Case'!G13*$D352-'Business Case'!G14*$E352))*'Business Case'!$B$7-'Business Case'!$B$8*(('Business Case'!G11*$C352*'Business Case'!G12*$B352)-('Business Case'!F11*$C352*'Business Case'!F12*$B352))-'Business Case'!G15*$F352+'Business Case'!$B$8*('Business Case'!G11*$C352*'Business Case'!G12*$B352)</f>
        <v>1117464079.00675</v>
      </c>
      <c r="N352" s="39" t="n">
        <f aca="false">IF(COUNT('Business Case'!B11:G11)=0,"",H352+NPV(G352,I352:M352))</f>
        <v>244938585.663454</v>
      </c>
      <c r="P352" s="40" t="n">
        <f aca="true">RAND()</f>
        <v>0.989114975730016</v>
      </c>
      <c r="Q352" s="40" t="n">
        <f aca="true">RAND()</f>
        <v>0.913165149954106</v>
      </c>
      <c r="R352" s="40" t="n">
        <f aca="true">RAND()</f>
        <v>0.847663620907571</v>
      </c>
      <c r="S352" s="40" t="n">
        <f aca="true">RAND()</f>
        <v>0.709643070954464</v>
      </c>
      <c r="T352" s="40" t="n">
        <f aca="true">RAND()</f>
        <v>0.220424546653673</v>
      </c>
      <c r="U352" s="40" t="n">
        <f aca="true">RAND()</f>
        <v>0.171368419912878</v>
      </c>
    </row>
    <row r="353" customFormat="false" ht="15" hidden="false" customHeight="false" outlineLevel="0" collapsed="false">
      <c r="A353" s="36" t="n">
        <v>273</v>
      </c>
      <c r="B353" s="37" t="n">
        <f aca="false">1+IF($G$6=$E$6,$F$6,IF(P353&lt;($F$6-$E$6)/($G$6-$E$6),$E$6+SQRT(P353*($G$6-$E$6)*($F$6-$E$6)),$G$6-SQRT((1-P353)*($G$6-$E$6)*($G$6-$F$6))))</f>
        <v>0.960198004588716</v>
      </c>
      <c r="C353" s="37" t="n">
        <f aca="false">1+IF($G$7=$E$7,$F$7,IF(Q353&lt;($F$7-$E$7)/($G$7-$E$7),$E$7+SQRT(Q353*($G$7-$E$7)*($F$7-$E$7)),$G$7-SQRT((1-Q353)*($G$7-$E$7)*($G$7-$F$7))))</f>
        <v>0.84082414249786</v>
      </c>
      <c r="D353" s="37" t="n">
        <f aca="false">1+IF($G$8=$E$8,$F$8,IF(R353&lt;($F$8-$E$8)/($G$8-$E$8),$E$8+SQRT(R353*($G$8-$E$8)*($F$8-$E$8)),$G$8-SQRT((1-R353)*($G$8-$E$8)*($G$8-$F$8))))</f>
        <v>1.06978256707499</v>
      </c>
      <c r="E353" s="37" t="n">
        <f aca="false">1+IF($G$9=$E$9,$F$9,IF(S353&lt;($F$9-$E$9)/($G$9-$E$9),$E$9+SQRT(S353*($G$9-$E$9)*($F$9-$E$9)),$G$9-SQRT((1-S353)*($G$9-$E$9)*($G$9-$F$9))))</f>
        <v>0.991234455760912</v>
      </c>
      <c r="F353" s="37" t="n">
        <f aca="false">1+IF($G$10=$E$10,$F$10,IF(T353&lt;($F$10-$E$10)/($G$10-$E$10),$E$10+SQRT(T353*($G$10-$E$10)*($F$10-$E$10)),$G$10-SQRT((1-T353)*($G$10-$E$10)*($G$10-$F$10))))</f>
        <v>1.04363616670815</v>
      </c>
      <c r="G353" s="38" t="n">
        <f aca="false">IF($G$11=$E$11,$F$11,IF(U353&lt;($F$11-$E$11)/($G$11-$E$11),$E$11+SQRT(U353*($G$11-$E$11)*($F$11-$E$11)),$G$11-SQRT((1-U353)*($G$11-$E$11)*($G$11-$F$11))))</f>
        <v>0.112190299702173</v>
      </c>
      <c r="H353" s="39" t="n">
        <f aca="false">(('Business Case'!B11*$C353*'Business Case'!B12*$B353)-'Business Case'!B11*$C353*'Business Case'!B13*$D353-'Business Case'!B14*$E353)-MAX(0,(('Business Case'!B11*$C353*'Business Case'!B12*$B353)-'Business Case'!B11*$C353*'Business Case'!B13*$D353-'Business Case'!B14*$E353))*'Business Case'!$B$7-'Business Case'!$B$8*('Business Case'!B11*$C353*'Business Case'!B12*$B353)-'Business Case'!B15*$F353</f>
        <v>-2087272333.41631</v>
      </c>
      <c r="I353" s="39" t="n">
        <f aca="false">(('Business Case'!C11*$C353*'Business Case'!C12*$B353)-'Business Case'!C11*$C353*'Business Case'!C13*$D353-'Business Case'!C14*$E353)-MAX(0,(('Business Case'!C11*$C353*'Business Case'!C12*$B353)-'Business Case'!C11*$C353*'Business Case'!C13*$D353-'Business Case'!C14*$E353))*'Business Case'!$B$7-'Business Case'!$B$8*(('Business Case'!C11*$C353*'Business Case'!C12*$B353)-('Business Case'!B11*$C353*'Business Case'!B12*$B353))-'Business Case'!C15*$F353</f>
        <v>-86358054.1441058</v>
      </c>
      <c r="J353" s="39" t="n">
        <f aca="false">(('Business Case'!D11*$C353*'Business Case'!D12*$B353)-'Business Case'!D11*$C353*'Business Case'!D13*$D353-'Business Case'!D14*$E353)-MAX(0,(('Business Case'!D11*$C353*'Business Case'!D12*$B353)-'Business Case'!D11*$C353*'Business Case'!D13*$D353-'Business Case'!D14*$E353))*'Business Case'!$B$7-'Business Case'!$B$8*(('Business Case'!D11*$C353*'Business Case'!D12*$B353)-('Business Case'!C11*$C353*'Business Case'!C12*$B353))-'Business Case'!D15*$F353</f>
        <v>114454469.285088</v>
      </c>
      <c r="K353" s="39" t="n">
        <f aca="false">(('Business Case'!E11*$C353*'Business Case'!E12*$B353)-'Business Case'!E11*$C353*'Business Case'!E13*$D353-'Business Case'!E14*$E353)-MAX(0,(('Business Case'!E11*$C353*'Business Case'!E12*$B353)-'Business Case'!E11*$C353*'Business Case'!E13*$D353-'Business Case'!E14*$E353))*'Business Case'!$B$7-'Business Case'!$B$8*(('Business Case'!E11*$C353*'Business Case'!E12*$B353)-('Business Case'!D11*$C353*'Business Case'!D12*$B353))-'Business Case'!E15*$F353</f>
        <v>367448801.049689</v>
      </c>
      <c r="L353" s="39" t="n">
        <f aca="false">(('Business Case'!F11*$C353*'Business Case'!F12*$B353)-'Business Case'!F11*$C353*'Business Case'!F13*$D353-'Business Case'!F14*$E353)-MAX(0,(('Business Case'!F11*$C353*'Business Case'!F12*$B353)-'Business Case'!F11*$C353*'Business Case'!F13*$D353-'Business Case'!F14*$E353))*'Business Case'!$B$7-'Business Case'!$B$8*(('Business Case'!F11*$C353*'Business Case'!F12*$B353)-('Business Case'!E11*$C353*'Business Case'!E12*$B353))-'Business Case'!F15*$F353</f>
        <v>462288589.721608</v>
      </c>
      <c r="M353" s="39" t="n">
        <f aca="false">(('Business Case'!G11*$C353*'Business Case'!G12*$B353)-'Business Case'!G11*$C353*'Business Case'!G13*$D353-'Business Case'!G14*$E353)-MAX(0,(('Business Case'!G11*$C353*'Business Case'!G12*$B353)-'Business Case'!G11*$C353*'Business Case'!G13*$D353-'Business Case'!G14*$E353))*'Business Case'!$B$7-'Business Case'!$B$8*(('Business Case'!G11*$C353*'Business Case'!G12*$B353)-('Business Case'!F11*$C353*'Business Case'!F12*$B353))-'Business Case'!G15*$F353+'Business Case'!$B$8*('Business Case'!G11*$C353*'Business Case'!G12*$B353)</f>
        <v>615751134.463643</v>
      </c>
      <c r="N353" s="39" t="n">
        <f aca="false">IF(COUNT('Business Case'!B11:G11)=0,"",H353+NPV(G353,I353:M353))</f>
        <v>-1141333403.06166</v>
      </c>
      <c r="P353" s="40" t="n">
        <f aca="true">RAND()</f>
        <v>0.24158665043087</v>
      </c>
      <c r="Q353" s="40" t="n">
        <f aca="true">RAND()</f>
        <v>0.14689954896487</v>
      </c>
      <c r="R353" s="40" t="n">
        <f aca="true">RAND()</f>
        <v>0.939127116494851</v>
      </c>
      <c r="S353" s="40" t="n">
        <f aca="true">RAND()</f>
        <v>0.332949036719592</v>
      </c>
      <c r="T353" s="40" t="n">
        <f aca="true">RAND()</f>
        <v>0.432186244121265</v>
      </c>
      <c r="U353" s="40" t="n">
        <f aca="true">RAND()</f>
        <v>0.788543050201063</v>
      </c>
    </row>
    <row r="354" customFormat="false" ht="15" hidden="false" customHeight="false" outlineLevel="0" collapsed="false">
      <c r="A354" s="36" t="n">
        <v>274</v>
      </c>
      <c r="B354" s="37" t="n">
        <f aca="false">1+IF($G$6=$E$6,$F$6,IF(P354&lt;($F$6-$E$6)/($G$6-$E$6),$E$6+SQRT(P354*($G$6-$E$6)*($F$6-$E$6)),$G$6-SQRT((1-P354)*($G$6-$E$6)*($G$6-$F$6))))</f>
        <v>0.982980526663365</v>
      </c>
      <c r="C354" s="37" t="n">
        <f aca="false">1+IF($G$7=$E$7,$F$7,IF(Q354&lt;($F$7-$E$7)/($G$7-$E$7),$E$7+SQRT(Q354*($G$7-$E$7)*($F$7-$E$7)),$G$7-SQRT((1-Q354)*($G$7-$E$7)*($G$7-$F$7))))</f>
        <v>0.744918316418085</v>
      </c>
      <c r="D354" s="37" t="n">
        <f aca="false">1+IF($G$8=$E$8,$F$8,IF(R354&lt;($F$8-$E$8)/($G$8-$E$8),$E$8+SQRT(R354*($G$8-$E$8)*($F$8-$E$8)),$G$8-SQRT((1-R354)*($G$8-$E$8)*($G$8-$F$8))))</f>
        <v>0.983254750913879</v>
      </c>
      <c r="E354" s="37" t="n">
        <f aca="false">1+IF($G$9=$E$9,$F$9,IF(S354&lt;($F$9-$E$9)/($G$9-$E$9),$E$9+SQRT(S354*($G$9-$E$9)*($F$9-$E$9)),$G$9-SQRT((1-S354)*($G$9-$E$9)*($G$9-$F$9))))</f>
        <v>1.11145264594523</v>
      </c>
      <c r="F354" s="37" t="n">
        <f aca="false">1+IF($G$10=$E$10,$F$10,IF(T354&lt;($F$10-$E$10)/($G$10-$E$10),$E$10+SQRT(T354*($G$10-$E$10)*($F$10-$E$10)),$G$10-SQRT((1-T354)*($G$10-$E$10)*($G$10-$F$10))))</f>
        <v>1.02738942123932</v>
      </c>
      <c r="G354" s="38" t="n">
        <f aca="false">IF($G$11=$E$11,$F$11,IF(U354&lt;($F$11-$E$11)/($G$11-$E$11),$E$11+SQRT(U354*($G$11-$E$11)*($F$11-$E$11)),$G$11-SQRT((1-U354)*($G$11-$E$11)*($G$11-$F$11))))</f>
        <v>0.116865161781865</v>
      </c>
      <c r="H354" s="39" t="n">
        <f aca="false">(('Business Case'!B11*$C354*'Business Case'!B12*$B354)-'Business Case'!B11*$C354*'Business Case'!B13*$D354-'Business Case'!B14*$E354)-MAX(0,(('Business Case'!B11*$C354*'Business Case'!B12*$B354)-'Business Case'!B11*$C354*'Business Case'!B13*$D354-'Business Case'!B14*$E354))*'Business Case'!$B$7-'Business Case'!$B$8*('Business Case'!B11*$C354*'Business Case'!B12*$B354)-'Business Case'!B15*$F354</f>
        <v>-2054778842.47864</v>
      </c>
      <c r="I354" s="39" t="n">
        <f aca="false">(('Business Case'!C11*$C354*'Business Case'!C12*$B354)-'Business Case'!C11*$C354*'Business Case'!C13*$D354-'Business Case'!C14*$E354)-MAX(0,(('Business Case'!C11*$C354*'Business Case'!C12*$B354)-'Business Case'!C11*$C354*'Business Case'!C13*$D354-'Business Case'!C14*$E354))*'Business Case'!$B$7-'Business Case'!$B$8*(('Business Case'!C11*$C354*'Business Case'!C12*$B354)-('Business Case'!B11*$C354*'Business Case'!B12*$B354))-'Business Case'!C15*$F354</f>
        <v>-73942370.979367</v>
      </c>
      <c r="J354" s="39" t="n">
        <f aca="false">(('Business Case'!D11*$C354*'Business Case'!D12*$B354)-'Business Case'!D11*$C354*'Business Case'!D13*$D354-'Business Case'!D14*$E354)-MAX(0,(('Business Case'!D11*$C354*'Business Case'!D12*$B354)-'Business Case'!D11*$C354*'Business Case'!D13*$D354-'Business Case'!D14*$E354))*'Business Case'!$B$7-'Business Case'!$B$8*(('Business Case'!D11*$C354*'Business Case'!D12*$B354)-('Business Case'!C11*$C354*'Business Case'!C12*$B354))-'Business Case'!D15*$F354</f>
        <v>150862098.33445</v>
      </c>
      <c r="K354" s="39" t="n">
        <f aca="false">(('Business Case'!E11*$C354*'Business Case'!E12*$B354)-'Business Case'!E11*$C354*'Business Case'!E13*$D354-'Business Case'!E14*$E354)-MAX(0,(('Business Case'!E11*$C354*'Business Case'!E12*$B354)-'Business Case'!E11*$C354*'Business Case'!E13*$D354-'Business Case'!E14*$E354))*'Business Case'!$B$7-'Business Case'!$B$8*(('Business Case'!E11*$C354*'Business Case'!E12*$B354)-('Business Case'!D11*$C354*'Business Case'!D12*$B354))-'Business Case'!E15*$F354</f>
        <v>427036038.710233</v>
      </c>
      <c r="L354" s="39" t="n">
        <f aca="false">(('Business Case'!F11*$C354*'Business Case'!F12*$B354)-'Business Case'!F11*$C354*'Business Case'!F13*$D354-'Business Case'!F14*$E354)-MAX(0,(('Business Case'!F11*$C354*'Business Case'!F12*$B354)-'Business Case'!F11*$C354*'Business Case'!F13*$D354-'Business Case'!F14*$E354))*'Business Case'!$B$7-'Business Case'!$B$8*(('Business Case'!F11*$C354*'Business Case'!F12*$B354)-('Business Case'!E11*$C354*'Business Case'!E12*$B354))-'Business Case'!F15*$F354</f>
        <v>527277083.092066</v>
      </c>
      <c r="M354" s="39" t="n">
        <f aca="false">(('Business Case'!G11*$C354*'Business Case'!G12*$B354)-'Business Case'!G11*$C354*'Business Case'!G13*$D354-'Business Case'!G14*$E354)-MAX(0,(('Business Case'!G11*$C354*'Business Case'!G12*$B354)-'Business Case'!G11*$C354*'Business Case'!G13*$D354-'Business Case'!G14*$E354))*'Business Case'!$B$7-'Business Case'!$B$8*(('Business Case'!G11*$C354*'Business Case'!G12*$B354)-('Business Case'!F11*$C354*'Business Case'!F12*$B354))-'Business Case'!G15*$F354+'Business Case'!$B$8*('Business Case'!G11*$C354*'Business Case'!G12*$B354)</f>
        <v>666461300.116814</v>
      </c>
      <c r="N354" s="39" t="n">
        <f aca="false">IF(COUNT('Business Case'!B11:G11)=0,"",H354+NPV(G354,I354:M354))</f>
        <v>-971141902.885259</v>
      </c>
      <c r="P354" s="40" t="n">
        <f aca="true">RAND()</f>
        <v>0.45905118702196</v>
      </c>
      <c r="Q354" s="40" t="n">
        <f aca="true">RAND()</f>
        <v>0.0149455937024832</v>
      </c>
      <c r="R354" s="40" t="n">
        <f aca="true">RAND()</f>
        <v>0.147450461112551</v>
      </c>
      <c r="S354" s="40" t="n">
        <f aca="true">RAND()</f>
        <v>0.960376039876698</v>
      </c>
      <c r="T354" s="40" t="n">
        <f aca="true">RAND()</f>
        <v>0.339260402984462</v>
      </c>
      <c r="U354" s="40" t="n">
        <f aca="true">RAND()</f>
        <v>0.884984016655613</v>
      </c>
    </row>
    <row r="355" customFormat="false" ht="15" hidden="false" customHeight="false" outlineLevel="0" collapsed="false">
      <c r="A355" s="36" t="n">
        <v>275</v>
      </c>
      <c r="B355" s="37" t="n">
        <f aca="false">1+IF($G$6=$E$6,$F$6,IF(P355&lt;($F$6-$E$6)/($G$6-$E$6),$E$6+SQRT(P355*($G$6-$E$6)*($F$6-$E$6)),$G$6-SQRT((1-P355)*($G$6-$E$6)*($G$6-$F$6))))</f>
        <v>0.941645881398429</v>
      </c>
      <c r="C355" s="37" t="n">
        <f aca="false">1+IF($G$7=$E$7,$F$7,IF(Q355&lt;($F$7-$E$7)/($G$7-$E$7),$E$7+SQRT(Q355*($G$7-$E$7)*($F$7-$E$7)),$G$7-SQRT((1-Q355)*($G$7-$E$7)*($G$7-$F$7))))</f>
        <v>1.09947377651917</v>
      </c>
      <c r="D355" s="37" t="n">
        <f aca="false">1+IF($G$8=$E$8,$F$8,IF(R355&lt;($F$8-$E$8)/($G$8-$E$8),$E$8+SQRT(R355*($G$8-$E$8)*($F$8-$E$8)),$G$8-SQRT((1-R355)*($G$8-$E$8)*($G$8-$F$8))))</f>
        <v>1.00967552030953</v>
      </c>
      <c r="E355" s="37" t="n">
        <f aca="false">1+IF($G$9=$E$9,$F$9,IF(S355&lt;($F$9-$E$9)/($G$9-$E$9),$E$9+SQRT(S355*($G$9-$E$9)*($F$9-$E$9)),$G$9-SQRT((1-S355)*($G$9-$E$9)*($G$9-$F$9))))</f>
        <v>1.09186416013169</v>
      </c>
      <c r="F355" s="37" t="n">
        <f aca="false">1+IF($G$10=$E$10,$F$10,IF(T355&lt;($F$10-$E$10)/($G$10-$E$10),$E$10+SQRT(T355*($G$10-$E$10)*($F$10-$E$10)),$G$10-SQRT((1-T355)*($G$10-$E$10)*($G$10-$F$10))))</f>
        <v>1.23361321899347</v>
      </c>
      <c r="G355" s="38" t="n">
        <f aca="false">IF($G$11=$E$11,$F$11,IF(U355&lt;($F$11-$E$11)/($G$11-$E$11),$E$11+SQRT(U355*($G$11-$E$11)*($F$11-$E$11)),$G$11-SQRT((1-U355)*($G$11-$E$11)*($G$11-$F$11))))</f>
        <v>0.100830606791404</v>
      </c>
      <c r="H355" s="39" t="n">
        <f aca="false">(('Business Case'!B11*$C355*'Business Case'!B12*$B355)-'Business Case'!B11*$C355*'Business Case'!B13*$D355-'Business Case'!B14*$E355)-MAX(0,(('Business Case'!B11*$C355*'Business Case'!B12*$B355)-'Business Case'!B11*$C355*'Business Case'!B13*$D355-'Business Case'!B14*$E355))*'Business Case'!$B$7-'Business Case'!$B$8*('Business Case'!B11*$C355*'Business Case'!B12*$B355)-'Business Case'!B15*$F355</f>
        <v>-2467226437.98693</v>
      </c>
      <c r="I355" s="39" t="n">
        <f aca="false">(('Business Case'!C11*$C355*'Business Case'!C12*$B355)-'Business Case'!C11*$C355*'Business Case'!C13*$D355-'Business Case'!C14*$E355)-MAX(0,(('Business Case'!C11*$C355*'Business Case'!C12*$B355)-'Business Case'!C11*$C355*'Business Case'!C13*$D355-'Business Case'!C14*$E355))*'Business Case'!$B$7-'Business Case'!$B$8*(('Business Case'!C11*$C355*'Business Case'!C12*$B355)-('Business Case'!B11*$C355*'Business Case'!B12*$B355))-'Business Case'!C15*$F355</f>
        <v>-52586054.0047807</v>
      </c>
      <c r="J355" s="39" t="n">
        <f aca="false">(('Business Case'!D11*$C355*'Business Case'!D12*$B355)-'Business Case'!D11*$C355*'Business Case'!D13*$D355-'Business Case'!D14*$E355)-MAX(0,(('Business Case'!D11*$C355*'Business Case'!D12*$B355)-'Business Case'!D11*$C355*'Business Case'!D13*$D355-'Business Case'!D14*$E355))*'Business Case'!$B$7-'Business Case'!$B$8*(('Business Case'!D11*$C355*'Business Case'!D12*$B355)-('Business Case'!C11*$C355*'Business Case'!C12*$B355))-'Business Case'!D15*$F355</f>
        <v>227123024.642945</v>
      </c>
      <c r="K355" s="39" t="n">
        <f aca="false">(('Business Case'!E11*$C355*'Business Case'!E12*$B355)-'Business Case'!E11*$C355*'Business Case'!E13*$D355-'Business Case'!E14*$E355)-MAX(0,(('Business Case'!E11*$C355*'Business Case'!E12*$B355)-'Business Case'!E11*$C355*'Business Case'!E13*$D355-'Business Case'!E14*$E355))*'Business Case'!$B$7-'Business Case'!$B$8*(('Business Case'!E11*$C355*'Business Case'!E12*$B355)-('Business Case'!D11*$C355*'Business Case'!D12*$B355))-'Business Case'!E15*$F355</f>
        <v>568512764.240344</v>
      </c>
      <c r="L355" s="39" t="n">
        <f aca="false">(('Business Case'!F11*$C355*'Business Case'!F12*$B355)-'Business Case'!F11*$C355*'Business Case'!F13*$D355-'Business Case'!F14*$E355)-MAX(0,(('Business Case'!F11*$C355*'Business Case'!F12*$B355)-'Business Case'!F11*$C355*'Business Case'!F13*$D355-'Business Case'!F14*$E355))*'Business Case'!$B$7-'Business Case'!$B$8*(('Business Case'!F11*$C355*'Business Case'!F12*$B355)-('Business Case'!E11*$C355*'Business Case'!E12*$B355))-'Business Case'!F15*$F355</f>
        <v>697529608.577875</v>
      </c>
      <c r="M355" s="39" t="n">
        <f aca="false">(('Business Case'!G11*$C355*'Business Case'!G12*$B355)-'Business Case'!G11*$C355*'Business Case'!G13*$D355-'Business Case'!G14*$E355)-MAX(0,(('Business Case'!G11*$C355*'Business Case'!G12*$B355)-'Business Case'!G11*$C355*'Business Case'!G13*$D355-'Business Case'!G14*$E355))*'Business Case'!$B$7-'Business Case'!$B$8*(('Business Case'!G11*$C355*'Business Case'!G12*$B355)-('Business Case'!F11*$C355*'Business Case'!F12*$B355))-'Business Case'!G15*$F355+'Business Case'!$B$8*('Business Case'!G11*$C355*'Business Case'!G12*$B355)</f>
        <v>894322274.913467</v>
      </c>
      <c r="N355" s="39" t="n">
        <f aca="false">IF(COUNT('Business Case'!B11:G11)=0,"",H355+NPV(G355,I355:M355))</f>
        <v>-873210296.533811</v>
      </c>
      <c r="P355" s="40" t="n">
        <f aca="true">RAND()</f>
        <v>0.115625295830132</v>
      </c>
      <c r="Q355" s="40" t="n">
        <f aca="true">RAND()</f>
        <v>0.962179270233561</v>
      </c>
      <c r="R355" s="40" t="n">
        <f aca="true">RAND()</f>
        <v>0.45609922457636</v>
      </c>
      <c r="S355" s="40" t="n">
        <f aca="true">RAND()</f>
        <v>0.909872643274822</v>
      </c>
      <c r="T355" s="40" t="n">
        <f aca="true">RAND()</f>
        <v>0.996419645443252</v>
      </c>
      <c r="U355" s="40" t="n">
        <f aca="true">RAND()</f>
        <v>0.432764333228213</v>
      </c>
    </row>
    <row r="356" customFormat="false" ht="15" hidden="false" customHeight="false" outlineLevel="0" collapsed="false">
      <c r="A356" s="36" t="n">
        <v>276</v>
      </c>
      <c r="B356" s="37" t="n">
        <f aca="false">1+IF($G$6=$E$6,$F$6,IF(P356&lt;($F$6-$E$6)/($G$6-$E$6),$E$6+SQRT(P356*($G$6-$E$6)*($F$6-$E$6)),$G$6-SQRT((1-P356)*($G$6-$E$6)*($G$6-$F$6))))</f>
        <v>0.903877733147129</v>
      </c>
      <c r="C356" s="37" t="n">
        <f aca="false">1+IF($G$7=$E$7,$F$7,IF(Q356&lt;($F$7-$E$7)/($G$7-$E$7),$E$7+SQRT(Q356*($G$7-$E$7)*($F$7-$E$7)),$G$7-SQRT((1-Q356)*($G$7-$E$7)*($G$7-$F$7))))</f>
        <v>0.943485909663392</v>
      </c>
      <c r="D356" s="37" t="n">
        <f aca="false">1+IF($G$8=$E$8,$F$8,IF(R356&lt;($F$8-$E$8)/($G$8-$E$8),$E$8+SQRT(R356*($G$8-$E$8)*($F$8-$E$8)),$G$8-SQRT((1-R356)*($G$8-$E$8)*($G$8-$F$8))))</f>
        <v>1.03141649720963</v>
      </c>
      <c r="E356" s="37" t="n">
        <f aca="false">1+IF($G$9=$E$9,$F$9,IF(S356&lt;($F$9-$E$9)/($G$9-$E$9),$E$9+SQRT(S356*($G$9-$E$9)*($F$9-$E$9)),$G$9-SQRT((1-S356)*($G$9-$E$9)*($G$9-$F$9))))</f>
        <v>0.95352953099567</v>
      </c>
      <c r="F356" s="37" t="n">
        <f aca="false">1+IF($G$10=$E$10,$F$10,IF(T356&lt;($F$10-$E$10)/($G$10-$E$10),$E$10+SQRT(T356*($G$10-$E$10)*($F$10-$E$10)),$G$10-SQRT((1-T356)*($G$10-$E$10)*($G$10-$F$10))))</f>
        <v>1.03687493554411</v>
      </c>
      <c r="G356" s="38" t="n">
        <f aca="false">IF($G$11=$E$11,$F$11,IF(U356&lt;($F$11-$E$11)/($G$11-$E$11),$E$11+SQRT(U356*($G$11-$E$11)*($F$11-$E$11)),$G$11-SQRT((1-U356)*($G$11-$E$11)*($G$11-$F$11))))</f>
        <v>0.117603376363563</v>
      </c>
      <c r="H356" s="39" t="n">
        <f aca="false">(('Business Case'!B11*$C356*'Business Case'!B12*$B356)-'Business Case'!B11*$C356*'Business Case'!B13*$D356-'Business Case'!B14*$E356)-MAX(0,(('Business Case'!B11*$C356*'Business Case'!B12*$B356)-'Business Case'!B11*$C356*'Business Case'!B13*$D356-'Business Case'!B14*$E356))*'Business Case'!$B$7-'Business Case'!$B$8*('Business Case'!B11*$C356*'Business Case'!B12*$B356)-'Business Case'!B15*$F356</f>
        <v>-2073749871.08821</v>
      </c>
      <c r="I356" s="39" t="n">
        <f aca="false">(('Business Case'!C11*$C356*'Business Case'!C12*$B356)-'Business Case'!C11*$C356*'Business Case'!C13*$D356-'Business Case'!C14*$E356)-MAX(0,(('Business Case'!C11*$C356*'Business Case'!C12*$B356)-'Business Case'!C11*$C356*'Business Case'!C13*$D356-'Business Case'!C14*$E356))*'Business Case'!$B$7-'Business Case'!$B$8*(('Business Case'!C11*$C356*'Business Case'!C12*$B356)-('Business Case'!B11*$C356*'Business Case'!B12*$B356))-'Business Case'!C15*$F356</f>
        <v>-83150223.9466581</v>
      </c>
      <c r="J356" s="39" t="n">
        <f aca="false">(('Business Case'!D11*$C356*'Business Case'!D12*$B356)-'Business Case'!D11*$C356*'Business Case'!D13*$D356-'Business Case'!D14*$E356)-MAX(0,(('Business Case'!D11*$C356*'Business Case'!D12*$B356)-'Business Case'!D11*$C356*'Business Case'!D13*$D356-'Business Case'!D14*$E356))*'Business Case'!$B$7-'Business Case'!$B$8*(('Business Case'!D11*$C356*'Business Case'!D12*$B356)-('Business Case'!C11*$C356*'Business Case'!C12*$B356))-'Business Case'!D15*$F356</f>
        <v>117187884.698539</v>
      </c>
      <c r="K356" s="39" t="n">
        <f aca="false">(('Business Case'!E11*$C356*'Business Case'!E12*$B356)-'Business Case'!E11*$C356*'Business Case'!E13*$D356-'Business Case'!E14*$E356)-MAX(0,(('Business Case'!E11*$C356*'Business Case'!E12*$B356)-'Business Case'!E11*$C356*'Business Case'!E13*$D356-'Business Case'!E14*$E356))*'Business Case'!$B$7-'Business Case'!$B$8*(('Business Case'!E11*$C356*'Business Case'!E12*$B356)-('Business Case'!D11*$C356*'Business Case'!D12*$B356))-'Business Case'!E15*$F356</f>
        <v>369369740.120942</v>
      </c>
      <c r="L356" s="39" t="n">
        <f aca="false">(('Business Case'!F11*$C356*'Business Case'!F12*$B356)-'Business Case'!F11*$C356*'Business Case'!F13*$D356-'Business Case'!F14*$E356)-MAX(0,(('Business Case'!F11*$C356*'Business Case'!F12*$B356)-'Business Case'!F11*$C356*'Business Case'!F13*$D356-'Business Case'!F14*$E356))*'Business Case'!$B$7-'Business Case'!$B$8*(('Business Case'!F11*$C356*'Business Case'!F12*$B356)-('Business Case'!E11*$C356*'Business Case'!E12*$B356))-'Business Case'!F15*$F356</f>
        <v>465621736.155914</v>
      </c>
      <c r="M356" s="39" t="n">
        <f aca="false">(('Business Case'!G11*$C356*'Business Case'!G12*$B356)-'Business Case'!G11*$C356*'Business Case'!G13*$D356-'Business Case'!G14*$E356)-MAX(0,(('Business Case'!G11*$C356*'Business Case'!G12*$B356)-'Business Case'!G11*$C356*'Business Case'!G13*$D356-'Business Case'!G14*$E356))*'Business Case'!$B$7-'Business Case'!$B$8*(('Business Case'!G11*$C356*'Business Case'!G12*$B356)-('Business Case'!F11*$C356*'Business Case'!F12*$B356))-'Business Case'!G15*$F356+'Business Case'!$B$8*('Business Case'!G11*$C356*'Business Case'!G12*$B356)</f>
        <v>627721181.83207</v>
      </c>
      <c r="N356" s="39" t="n">
        <f aca="false">IF(COUNT('Business Case'!B11:G11)=0,"",H356+NPV(G356,I356:M356))</f>
        <v>-1131243887.09502</v>
      </c>
      <c r="P356" s="40" t="n">
        <f aca="true">RAND()</f>
        <v>0.00100245429068974</v>
      </c>
      <c r="Q356" s="40" t="n">
        <f aca="true">RAND()</f>
        <v>0.439151023737846</v>
      </c>
      <c r="R356" s="40" t="n">
        <f aca="true">RAND()</f>
        <v>0.686420209666885</v>
      </c>
      <c r="S356" s="40" t="n">
        <f aca="true">RAND()</f>
        <v>0.114616427544655</v>
      </c>
      <c r="T356" s="40" t="n">
        <f aca="true">RAND()</f>
        <v>0.394369425342284</v>
      </c>
      <c r="U356" s="40" t="n">
        <f aca="true">RAND()</f>
        <v>0.89754914827768</v>
      </c>
    </row>
    <row r="357" customFormat="false" ht="15" hidden="false" customHeight="false" outlineLevel="0" collapsed="false">
      <c r="A357" s="36" t="n">
        <v>277</v>
      </c>
      <c r="B357" s="37" t="n">
        <f aca="false">1+IF($G$6=$E$6,$F$6,IF(P357&lt;($F$6-$E$6)/($G$6-$E$6),$E$6+SQRT(P357*($G$6-$E$6)*($F$6-$E$6)),$G$6-SQRT((1-P357)*($G$6-$E$6)*($G$6-$F$6))))</f>
        <v>0.933278201656268</v>
      </c>
      <c r="C357" s="37" t="n">
        <f aca="false">1+IF($G$7=$E$7,$F$7,IF(Q357&lt;($F$7-$E$7)/($G$7-$E$7),$E$7+SQRT(Q357*($G$7-$E$7)*($F$7-$E$7)),$G$7-SQRT((1-Q357)*($G$7-$E$7)*($G$7-$F$7))))</f>
        <v>1.01227449372984</v>
      </c>
      <c r="D357" s="37" t="n">
        <f aca="false">1+IF($G$8=$E$8,$F$8,IF(R357&lt;($F$8-$E$8)/($G$8-$E$8),$E$8+SQRT(R357*($G$8-$E$8)*($F$8-$E$8)),$G$8-SQRT((1-R357)*($G$8-$E$8)*($G$8-$F$8))))</f>
        <v>1.00860399398311</v>
      </c>
      <c r="E357" s="37" t="n">
        <f aca="false">1+IF($G$9=$E$9,$F$9,IF(S357&lt;($F$9-$E$9)/($G$9-$E$9),$E$9+SQRT(S357*($G$9-$E$9)*($F$9-$E$9)),$G$9-SQRT((1-S357)*($G$9-$E$9)*($G$9-$F$9))))</f>
        <v>0.994935998146716</v>
      </c>
      <c r="F357" s="37" t="n">
        <f aca="false">1+IF($G$10=$E$10,$F$10,IF(T357&lt;($F$10-$E$10)/($G$10-$E$10),$E$10+SQRT(T357*($G$10-$E$10)*($F$10-$E$10)),$G$10-SQRT((1-T357)*($G$10-$E$10)*($G$10-$F$10))))</f>
        <v>1.0110215307586</v>
      </c>
      <c r="G357" s="38" t="n">
        <f aca="false">IF($G$11=$E$11,$F$11,IF(U357&lt;($F$11-$E$11)/($G$11-$E$11),$E$11+SQRT(U357*($G$11-$E$11)*($F$11-$E$11)),$G$11-SQRT((1-U357)*($G$11-$E$11)*($G$11-$F$11))))</f>
        <v>0.0920466019695325</v>
      </c>
      <c r="H357" s="39" t="n">
        <f aca="false">(('Business Case'!B11*$C357*'Business Case'!B12*$B357)-'Business Case'!B11*$C357*'Business Case'!B13*$D357-'Business Case'!B14*$E357)-MAX(0,(('Business Case'!B11*$C357*'Business Case'!B12*$B357)-'Business Case'!B11*$C357*'Business Case'!B13*$D357-'Business Case'!B14*$E357))*'Business Case'!$B$7-'Business Case'!$B$8*('Business Case'!B11*$C357*'Business Case'!B12*$B357)-'Business Case'!B15*$F357</f>
        <v>-2022043061.51721</v>
      </c>
      <c r="I357" s="39" t="n">
        <f aca="false">(('Business Case'!C11*$C357*'Business Case'!C12*$B357)-'Business Case'!C11*$C357*'Business Case'!C13*$D357-'Business Case'!C14*$E357)-MAX(0,(('Business Case'!C11*$C357*'Business Case'!C12*$B357)-'Business Case'!C11*$C357*'Business Case'!C13*$D357-'Business Case'!C14*$E357))*'Business Case'!$B$7-'Business Case'!$B$8*(('Business Case'!C11*$C357*'Business Case'!C12*$B357)-('Business Case'!B11*$C357*'Business Case'!B12*$B357))-'Business Case'!C15*$F357</f>
        <v>-40414290.3793138</v>
      </c>
      <c r="J357" s="39" t="n">
        <f aca="false">(('Business Case'!D11*$C357*'Business Case'!D12*$B357)-'Business Case'!D11*$C357*'Business Case'!D13*$D357-'Business Case'!D14*$E357)-MAX(0,(('Business Case'!D11*$C357*'Business Case'!D12*$B357)-'Business Case'!D11*$C357*'Business Case'!D13*$D357-'Business Case'!D14*$E357))*'Business Case'!$B$7-'Business Case'!$B$8*(('Business Case'!D11*$C357*'Business Case'!D12*$B357)-('Business Case'!C11*$C357*'Business Case'!C12*$B357))-'Business Case'!D15*$F357</f>
        <v>210728467.251358</v>
      </c>
      <c r="K357" s="39" t="n">
        <f aca="false">(('Business Case'!E11*$C357*'Business Case'!E12*$B357)-'Business Case'!E11*$C357*'Business Case'!E13*$D357-'Business Case'!E14*$E357)-MAX(0,(('Business Case'!E11*$C357*'Business Case'!E12*$B357)-'Business Case'!E11*$C357*'Business Case'!E13*$D357-'Business Case'!E14*$E357))*'Business Case'!$B$7-'Business Case'!$B$8*(('Business Case'!E11*$C357*'Business Case'!E12*$B357)-('Business Case'!D11*$C357*'Business Case'!D12*$B357))-'Business Case'!E15*$F357</f>
        <v>512422301.419959</v>
      </c>
      <c r="L357" s="39" t="n">
        <f aca="false">(('Business Case'!F11*$C357*'Business Case'!F12*$B357)-'Business Case'!F11*$C357*'Business Case'!F13*$D357-'Business Case'!F14*$E357)-MAX(0,(('Business Case'!F11*$C357*'Business Case'!F12*$B357)-'Business Case'!F11*$C357*'Business Case'!F13*$D357-'Business Case'!F14*$E357))*'Business Case'!$B$7-'Business Case'!$B$8*(('Business Case'!F11*$C357*'Business Case'!F12*$B357)-('Business Case'!E11*$C357*'Business Case'!E12*$B357))-'Business Case'!F15*$F357</f>
        <v>628786551.295291</v>
      </c>
      <c r="M357" s="39" t="n">
        <f aca="false">(('Business Case'!G11*$C357*'Business Case'!G12*$B357)-'Business Case'!G11*$C357*'Business Case'!G13*$D357-'Business Case'!G14*$E357)-MAX(0,(('Business Case'!G11*$C357*'Business Case'!G12*$B357)-'Business Case'!G11*$C357*'Business Case'!G13*$D357-'Business Case'!G14*$E357))*'Business Case'!$B$7-'Business Case'!$B$8*(('Business Case'!G11*$C357*'Business Case'!G12*$B357)-('Business Case'!F11*$C357*'Business Case'!F12*$B357))-'Business Case'!G15*$F357+'Business Case'!$B$8*('Business Case'!G11*$C357*'Business Case'!G12*$B357)</f>
        <v>808361536.620051</v>
      </c>
      <c r="N357" s="39" t="n">
        <f aca="false">IF(COUNT('Business Case'!B11:G11)=0,"",H357+NPV(G357,I357:M357))</f>
        <v>-526292342.784076</v>
      </c>
      <c r="P357" s="40" t="n">
        <f aca="true">RAND()</f>
        <v>0.073829247031684</v>
      </c>
      <c r="Q357" s="40" t="n">
        <f aca="true">RAND()</f>
        <v>0.71898792477968</v>
      </c>
      <c r="R357" s="40" t="n">
        <f aca="true">RAND()</f>
        <v>0.443118005610739</v>
      </c>
      <c r="S357" s="40" t="n">
        <f aca="true">RAND()</f>
        <v>0.36051374976453</v>
      </c>
      <c r="T357" s="40" t="n">
        <f aca="true">RAND()</f>
        <v>0.238523883187194</v>
      </c>
      <c r="U357" s="40" t="n">
        <f aca="true">RAND()</f>
        <v>0.145120619012343</v>
      </c>
    </row>
    <row r="358" customFormat="false" ht="15" hidden="false" customHeight="false" outlineLevel="0" collapsed="false">
      <c r="A358" s="36" t="n">
        <v>278</v>
      </c>
      <c r="B358" s="37" t="n">
        <f aca="false">1+IF($G$6=$E$6,$F$6,IF(P358&lt;($F$6-$E$6)/($G$6-$E$6),$E$6+SQRT(P358*($G$6-$E$6)*($F$6-$E$6)),$G$6-SQRT((1-P358)*($G$6-$E$6)*($G$6-$F$6))))</f>
        <v>0.98172145705155</v>
      </c>
      <c r="C358" s="37" t="n">
        <f aca="false">1+IF($G$7=$E$7,$F$7,IF(Q358&lt;($F$7-$E$7)/($G$7-$E$7),$E$7+SQRT(Q358*($G$7-$E$7)*($F$7-$E$7)),$G$7-SQRT((1-Q358)*($G$7-$E$7)*($G$7-$F$7))))</f>
        <v>0.985365611896952</v>
      </c>
      <c r="D358" s="37" t="n">
        <f aca="false">1+IF($G$8=$E$8,$F$8,IF(R358&lt;($F$8-$E$8)/($G$8-$E$8),$E$8+SQRT(R358*($G$8-$E$8)*($F$8-$E$8)),$G$8-SQRT((1-R358)*($G$8-$E$8)*($G$8-$F$8))))</f>
        <v>1.00140818755923</v>
      </c>
      <c r="E358" s="37" t="n">
        <f aca="false">1+IF($G$9=$E$9,$F$9,IF(S358&lt;($F$9-$E$9)/($G$9-$E$9),$E$9+SQRT(S358*($G$9-$E$9)*($F$9-$E$9)),$G$9-SQRT((1-S358)*($G$9-$E$9)*($G$9-$F$9))))</f>
        <v>1.08601087200457</v>
      </c>
      <c r="F358" s="37" t="n">
        <f aca="false">1+IF($G$10=$E$10,$F$10,IF(T358&lt;($F$10-$E$10)/($G$10-$E$10),$E$10+SQRT(T358*($G$10-$E$10)*($F$10-$E$10)),$G$10-SQRT((1-T358)*($G$10-$E$10)*($G$10-$F$10))))</f>
        <v>1.20669817065758</v>
      </c>
      <c r="G358" s="38" t="n">
        <f aca="false">IF($G$11=$E$11,$F$11,IF(U358&lt;($F$11-$E$11)/($G$11-$E$11),$E$11+SQRT(U358*($G$11-$E$11)*($F$11-$E$11)),$G$11-SQRT((1-U358)*($G$11-$E$11)*($G$11-$F$11))))</f>
        <v>0.0864145693801941</v>
      </c>
      <c r="H358" s="39" t="n">
        <f aca="false">(('Business Case'!B11*$C358*'Business Case'!B12*$B358)-'Business Case'!B11*$C358*'Business Case'!B13*$D358-'Business Case'!B14*$E358)-MAX(0,(('Business Case'!B11*$C358*'Business Case'!B12*$B358)-'Business Case'!B11*$C358*'Business Case'!B13*$D358-'Business Case'!B14*$E358))*'Business Case'!$B$7-'Business Case'!$B$8*('Business Case'!B11*$C358*'Business Case'!B12*$B358)-'Business Case'!B15*$F358</f>
        <v>-2413396341.31517</v>
      </c>
      <c r="I358" s="39" t="n">
        <f aca="false">(('Business Case'!C11*$C358*'Business Case'!C12*$B358)-'Business Case'!C11*$C358*'Business Case'!C13*$D358-'Business Case'!C14*$E358)-MAX(0,(('Business Case'!C11*$C358*'Business Case'!C12*$B358)-'Business Case'!C11*$C358*'Business Case'!C13*$D358-'Business Case'!C14*$E358))*'Business Case'!$B$7-'Business Case'!$B$8*(('Business Case'!C11*$C358*'Business Case'!C12*$B358)-('Business Case'!B11*$C358*'Business Case'!B12*$B358))-'Business Case'!C15*$F358</f>
        <v>-38053879.8229042</v>
      </c>
      <c r="J358" s="39" t="n">
        <f aca="false">(('Business Case'!D11*$C358*'Business Case'!D12*$B358)-'Business Case'!D11*$C358*'Business Case'!D13*$D358-'Business Case'!D14*$E358)-MAX(0,(('Business Case'!D11*$C358*'Business Case'!D12*$B358)-'Business Case'!D11*$C358*'Business Case'!D13*$D358-'Business Case'!D14*$E358))*'Business Case'!$B$7-'Business Case'!$B$8*(('Business Case'!D11*$C358*'Business Case'!D12*$B358)-('Business Case'!C11*$C358*'Business Case'!C12*$B358))-'Business Case'!D15*$F358</f>
        <v>249140464.0292</v>
      </c>
      <c r="K358" s="39" t="n">
        <f aca="false">(('Business Case'!E11*$C358*'Business Case'!E12*$B358)-'Business Case'!E11*$C358*'Business Case'!E13*$D358-'Business Case'!E14*$E358)-MAX(0,(('Business Case'!E11*$C358*'Business Case'!E12*$B358)-'Business Case'!E11*$C358*'Business Case'!E13*$D358-'Business Case'!E14*$E358))*'Business Case'!$B$7-'Business Case'!$B$8*(('Business Case'!E11*$C358*'Business Case'!E12*$B358)-('Business Case'!D11*$C358*'Business Case'!D12*$B358))-'Business Case'!E15*$F358</f>
        <v>596669716.414183</v>
      </c>
      <c r="L358" s="39" t="n">
        <f aca="false">(('Business Case'!F11*$C358*'Business Case'!F12*$B358)-'Business Case'!F11*$C358*'Business Case'!F13*$D358-'Business Case'!F14*$E358)-MAX(0,(('Business Case'!F11*$C358*'Business Case'!F12*$B358)-'Business Case'!F11*$C358*'Business Case'!F13*$D358-'Business Case'!F14*$E358))*'Business Case'!$B$7-'Business Case'!$B$8*(('Business Case'!F11*$C358*'Business Case'!F12*$B358)-('Business Case'!E11*$C358*'Business Case'!E12*$B358))-'Business Case'!F15*$F358</f>
        <v>725832938.105018</v>
      </c>
      <c r="M358" s="39" t="n">
        <f aca="false">(('Business Case'!G11*$C358*'Business Case'!G12*$B358)-'Business Case'!G11*$C358*'Business Case'!G13*$D358-'Business Case'!G14*$E358)-MAX(0,(('Business Case'!G11*$C358*'Business Case'!G12*$B358)-'Business Case'!G11*$C358*'Business Case'!G13*$D358-'Business Case'!G14*$E358))*'Business Case'!$B$7-'Business Case'!$B$8*(('Business Case'!G11*$C358*'Business Case'!G12*$B358)-('Business Case'!F11*$C358*'Business Case'!F12*$B358))-'Business Case'!G15*$F358+'Business Case'!$B$8*('Business Case'!G11*$C358*'Business Case'!G12*$B358)</f>
        <v>909707693.675751</v>
      </c>
      <c r="N358" s="39" t="n">
        <f aca="false">IF(COUNT('Business Case'!B11:G11)=0,"",H358+NPV(G358,I358:M358))</f>
        <v>-649936798.771747</v>
      </c>
      <c r="P358" s="40" t="n">
        <f aca="true">RAND()</f>
        <v>0.44522643617522</v>
      </c>
      <c r="Q358" s="40" t="n">
        <f aca="true">RAND()</f>
        <v>0.603211351506086</v>
      </c>
      <c r="R358" s="40" t="n">
        <f aca="true">RAND()</f>
        <v>0.351976967976263</v>
      </c>
      <c r="S358" s="40" t="n">
        <f aca="true">RAND()</f>
        <v>0.890810439956922</v>
      </c>
      <c r="T358" s="40" t="n">
        <f aca="true">RAND()</f>
        <v>0.974999354341337</v>
      </c>
      <c r="U358" s="40" t="n">
        <f aca="true">RAND()</f>
        <v>0.0411467003333241</v>
      </c>
    </row>
    <row r="359" customFormat="false" ht="15" hidden="false" customHeight="false" outlineLevel="0" collapsed="false">
      <c r="A359" s="36" t="n">
        <v>279</v>
      </c>
      <c r="B359" s="37" t="n">
        <f aca="false">1+IF($G$6=$E$6,$F$6,IF(P359&lt;($F$6-$E$6)/($G$6-$E$6),$E$6+SQRT(P359*($G$6-$E$6)*($F$6-$E$6)),$G$6-SQRT((1-P359)*($G$6-$E$6)*($G$6-$F$6))))</f>
        <v>1.00816710878693</v>
      </c>
      <c r="C359" s="37" t="n">
        <f aca="false">1+IF($G$7=$E$7,$F$7,IF(Q359&lt;($F$7-$E$7)/($G$7-$E$7),$E$7+SQRT(Q359*($G$7-$E$7)*($F$7-$E$7)),$G$7-SQRT((1-Q359)*($G$7-$E$7)*($G$7-$F$7))))</f>
        <v>1.11609752600035</v>
      </c>
      <c r="D359" s="37" t="n">
        <f aca="false">1+IF($G$8=$E$8,$F$8,IF(R359&lt;($F$8-$E$8)/($G$8-$E$8),$E$8+SQRT(R359*($G$8-$E$8)*($F$8-$E$8)),$G$8-SQRT((1-R359)*($G$8-$E$8)*($G$8-$F$8))))</f>
        <v>0.978684728111803</v>
      </c>
      <c r="E359" s="37" t="n">
        <f aca="false">1+IF($G$9=$E$9,$F$9,IF(S359&lt;($F$9-$E$9)/($G$9-$E$9),$E$9+SQRT(S359*($G$9-$E$9)*($F$9-$E$9)),$G$9-SQRT((1-S359)*($G$9-$E$9)*($G$9-$F$9))))</f>
        <v>0.967450585611116</v>
      </c>
      <c r="F359" s="37" t="n">
        <f aca="false">1+IF($G$10=$E$10,$F$10,IF(T359&lt;($F$10-$E$10)/($G$10-$E$10),$E$10+SQRT(T359*($G$10-$E$10)*($F$10-$E$10)),$G$10-SQRT((1-T359)*($G$10-$E$10)*($G$10-$F$10))))</f>
        <v>0.998469182284295</v>
      </c>
      <c r="G359" s="38" t="n">
        <f aca="false">IF($G$11=$E$11,$F$11,IF(U359&lt;($F$11-$E$11)/($G$11-$E$11),$E$11+SQRT(U359*($G$11-$E$11)*($F$11-$E$11)),$G$11-SQRT((1-U359)*($G$11-$E$11)*($G$11-$F$11))))</f>
        <v>0.119118944557847</v>
      </c>
      <c r="H359" s="39" t="n">
        <f aca="false">(('Business Case'!B11*$C359*'Business Case'!B12*$B359)-'Business Case'!B11*$C359*'Business Case'!B13*$D359-'Business Case'!B14*$E359)-MAX(0,(('Business Case'!B11*$C359*'Business Case'!B12*$B359)-'Business Case'!B11*$C359*'Business Case'!B13*$D359-'Business Case'!B14*$E359))*'Business Case'!$B$7-'Business Case'!$B$8*('Business Case'!B11*$C359*'Business Case'!B12*$B359)-'Business Case'!B15*$F359</f>
        <v>-1996938364.56859</v>
      </c>
      <c r="I359" s="39" t="n">
        <f aca="false">(('Business Case'!C11*$C359*'Business Case'!C12*$B359)-'Business Case'!C11*$C359*'Business Case'!C13*$D359-'Business Case'!C14*$E359)-MAX(0,(('Business Case'!C11*$C359*'Business Case'!C12*$B359)-'Business Case'!C11*$C359*'Business Case'!C13*$D359-'Business Case'!C14*$E359))*'Business Case'!$B$7-'Business Case'!$B$8*(('Business Case'!C11*$C359*'Business Case'!C12*$B359)-('Business Case'!B11*$C359*'Business Case'!B12*$B359))-'Business Case'!C15*$F359</f>
        <v>66706779.148466</v>
      </c>
      <c r="J359" s="39" t="n">
        <f aca="false">(('Business Case'!D11*$C359*'Business Case'!D12*$B359)-'Business Case'!D11*$C359*'Business Case'!D13*$D359-'Business Case'!D14*$E359)-MAX(0,(('Business Case'!D11*$C359*'Business Case'!D12*$B359)-'Business Case'!D11*$C359*'Business Case'!D13*$D359-'Business Case'!D14*$E359))*'Business Case'!$B$7-'Business Case'!$B$8*(('Business Case'!D11*$C359*'Business Case'!D12*$B359)-('Business Case'!C11*$C359*'Business Case'!C12*$B359))-'Business Case'!D15*$F359</f>
        <v>429162982.176141</v>
      </c>
      <c r="K359" s="39" t="n">
        <f aca="false">(('Business Case'!E11*$C359*'Business Case'!E12*$B359)-'Business Case'!E11*$C359*'Business Case'!E13*$D359-'Business Case'!E14*$E359)-MAX(0,(('Business Case'!E11*$C359*'Business Case'!E12*$B359)-'Business Case'!E11*$C359*'Business Case'!E13*$D359-'Business Case'!E14*$E359))*'Business Case'!$B$7-'Business Case'!$B$8*(('Business Case'!E11*$C359*'Business Case'!E12*$B359)-('Business Case'!D11*$C359*'Business Case'!D12*$B359))-'Business Case'!E15*$F359</f>
        <v>841542644.318031</v>
      </c>
      <c r="L359" s="39" t="n">
        <f aca="false">(('Business Case'!F11*$C359*'Business Case'!F12*$B359)-'Business Case'!F11*$C359*'Business Case'!F13*$D359-'Business Case'!F14*$E359)-MAX(0,(('Business Case'!F11*$C359*'Business Case'!F12*$B359)-'Business Case'!F11*$C359*'Business Case'!F13*$D359-'Business Case'!F14*$E359))*'Business Case'!$B$7-'Business Case'!$B$8*(('Business Case'!F11*$C359*'Business Case'!F12*$B359)-('Business Case'!E11*$C359*'Business Case'!E12*$B359))-'Business Case'!F15*$F359</f>
        <v>1001248733.57851</v>
      </c>
      <c r="M359" s="39" t="n">
        <f aca="false">(('Business Case'!G11*$C359*'Business Case'!G12*$B359)-'Business Case'!G11*$C359*'Business Case'!G13*$D359-'Business Case'!G14*$E359)-MAX(0,(('Business Case'!G11*$C359*'Business Case'!G12*$B359)-'Business Case'!G11*$C359*'Business Case'!G13*$D359-'Business Case'!G14*$E359))*'Business Case'!$B$7-'Business Case'!$B$8*(('Business Case'!G11*$C359*'Business Case'!G12*$B359)-('Business Case'!F11*$C359*'Business Case'!F12*$B359))-'Business Case'!G15*$F359+'Business Case'!$B$8*('Business Case'!G11*$C359*'Business Case'!G12*$B359)</f>
        <v>1215129185.62706</v>
      </c>
      <c r="N359" s="39" t="n">
        <f aca="false">IF(COUNT('Business Case'!B11:G11)=0,"",H359+NPV(G359,I359:M359))</f>
        <v>336275606.184059</v>
      </c>
      <c r="P359" s="40" t="n">
        <f aca="true">RAND()</f>
        <v>0.766667895034036</v>
      </c>
      <c r="Q359" s="40" t="n">
        <f aca="true">RAND()</f>
        <v>0.982972181580784</v>
      </c>
      <c r="R359" s="40" t="n">
        <f aca="true">RAND()</f>
        <v>0.109708483579744</v>
      </c>
      <c r="S359" s="40" t="n">
        <f aca="true">RAND()</f>
        <v>0.181983259971301</v>
      </c>
      <c r="T359" s="40" t="n">
        <f aca="true">RAND()</f>
        <v>0.156617442087213</v>
      </c>
      <c r="U359" s="40" t="n">
        <f aca="true">RAND()</f>
        <v>0.921068421643202</v>
      </c>
    </row>
    <row r="360" customFormat="false" ht="15" hidden="false" customHeight="false" outlineLevel="0" collapsed="false">
      <c r="A360" s="36" t="n">
        <v>280</v>
      </c>
      <c r="B360" s="37" t="n">
        <f aca="false">1+IF($G$6=$E$6,$F$6,IF(P360&lt;($F$6-$E$6)/($G$6-$E$6),$E$6+SQRT(P360*($G$6-$E$6)*($F$6-$E$6)),$G$6-SQRT((1-P360)*($G$6-$E$6)*($G$6-$F$6))))</f>
        <v>1.03208356500126</v>
      </c>
      <c r="C360" s="37" t="n">
        <f aca="false">1+IF($G$7=$E$7,$F$7,IF(Q360&lt;($F$7-$E$7)/($G$7-$E$7),$E$7+SQRT(Q360*($G$7-$E$7)*($F$7-$E$7)),$G$7-SQRT((1-Q360)*($G$7-$E$7)*($G$7-$F$7))))</f>
        <v>0.829552326786035</v>
      </c>
      <c r="D360" s="37" t="n">
        <f aca="false">1+IF($G$8=$E$8,$F$8,IF(R360&lt;($F$8-$E$8)/($G$8-$E$8),$E$8+SQRT(R360*($G$8-$E$8)*($F$8-$E$8)),$G$8-SQRT((1-R360)*($G$8-$E$8)*($G$8-$F$8))))</f>
        <v>1.0555896986426</v>
      </c>
      <c r="E360" s="37" t="n">
        <f aca="false">1+IF($G$9=$E$9,$F$9,IF(S360&lt;($F$9-$E$9)/($G$9-$E$9),$E$9+SQRT(S360*($G$9-$E$9)*($F$9-$E$9)),$G$9-SQRT((1-S360)*($G$9-$E$9)*($G$9-$F$9))))</f>
        <v>1.00046212451149</v>
      </c>
      <c r="F360" s="37" t="n">
        <f aca="false">1+IF($G$10=$E$10,$F$10,IF(T360&lt;($F$10-$E$10)/($G$10-$E$10),$E$10+SQRT(T360*($G$10-$E$10)*($F$10-$E$10)),$G$10-SQRT((1-T360)*($G$10-$E$10)*($G$10-$F$10))))</f>
        <v>1.04738925004306</v>
      </c>
      <c r="G360" s="38" t="n">
        <f aca="false">IF($G$11=$E$11,$F$11,IF(U360&lt;($F$11-$E$11)/($G$11-$E$11),$E$11+SQRT(U360*($G$11-$E$11)*($F$11-$E$11)),$G$11-SQRT((1-U360)*($G$11-$E$11)*($G$11-$F$11))))</f>
        <v>0.103406748335543</v>
      </c>
      <c r="H360" s="39" t="n">
        <f aca="false">(('Business Case'!B11*$C360*'Business Case'!B12*$B360)-'Business Case'!B11*$C360*'Business Case'!B13*$D360-'Business Case'!B14*$E360)-MAX(0,(('Business Case'!B11*$C360*'Business Case'!B12*$B360)-'Business Case'!B11*$C360*'Business Case'!B13*$D360-'Business Case'!B14*$E360))*'Business Case'!$B$7-'Business Case'!$B$8*('Business Case'!B11*$C360*'Business Case'!B12*$B360)-'Business Case'!B15*$F360</f>
        <v>-2094778500.08613</v>
      </c>
      <c r="I360" s="39" t="n">
        <f aca="false">(('Business Case'!C11*$C360*'Business Case'!C12*$B360)-'Business Case'!C11*$C360*'Business Case'!C13*$D360-'Business Case'!C14*$E360)-MAX(0,(('Business Case'!C11*$C360*'Business Case'!C12*$B360)-'Business Case'!C11*$C360*'Business Case'!C13*$D360-'Business Case'!C14*$E360))*'Business Case'!$B$7-'Business Case'!$B$8*(('Business Case'!C11*$C360*'Business Case'!C12*$B360)-('Business Case'!B11*$C360*'Business Case'!B12*$B360))-'Business Case'!C15*$F360</f>
        <v>-38397066.371904</v>
      </c>
      <c r="J360" s="39" t="n">
        <f aca="false">(('Business Case'!D11*$C360*'Business Case'!D12*$B360)-'Business Case'!D11*$C360*'Business Case'!D13*$D360-'Business Case'!D14*$E360)-MAX(0,(('Business Case'!D11*$C360*'Business Case'!D12*$B360)-'Business Case'!D11*$C360*'Business Case'!D13*$D360-'Business Case'!D14*$E360))*'Business Case'!$B$7-'Business Case'!$B$8*(('Business Case'!D11*$C360*'Business Case'!D12*$B360)-('Business Case'!C11*$C360*'Business Case'!C12*$B360))-'Business Case'!D15*$F360</f>
        <v>214594220.379176</v>
      </c>
      <c r="K360" s="39" t="n">
        <f aca="false">(('Business Case'!E11*$C360*'Business Case'!E12*$B360)-'Business Case'!E11*$C360*'Business Case'!E13*$D360-'Business Case'!E14*$E360)-MAX(0,(('Business Case'!E11*$C360*'Business Case'!E12*$B360)-'Business Case'!E11*$C360*'Business Case'!E13*$D360-'Business Case'!E14*$E360))*'Business Case'!$B$7-'Business Case'!$B$8*(('Business Case'!E11*$C360*'Business Case'!E12*$B360)-('Business Case'!D11*$C360*'Business Case'!D12*$B360))-'Business Case'!E15*$F360</f>
        <v>519954969.63241</v>
      </c>
      <c r="L360" s="39" t="n">
        <f aca="false">(('Business Case'!F11*$C360*'Business Case'!F12*$B360)-'Business Case'!F11*$C360*'Business Case'!F13*$D360-'Business Case'!F14*$E360)-MAX(0,(('Business Case'!F11*$C360*'Business Case'!F12*$B360)-'Business Case'!F11*$C360*'Business Case'!F13*$D360-'Business Case'!F14*$E360))*'Business Case'!$B$7-'Business Case'!$B$8*(('Business Case'!F11*$C360*'Business Case'!F12*$B360)-('Business Case'!E11*$C360*'Business Case'!E12*$B360))-'Business Case'!F15*$F360</f>
        <v>633874541.224867</v>
      </c>
      <c r="M360" s="39" t="n">
        <f aca="false">(('Business Case'!G11*$C360*'Business Case'!G12*$B360)-'Business Case'!G11*$C360*'Business Case'!G13*$D360-'Business Case'!G14*$E360)-MAX(0,(('Business Case'!G11*$C360*'Business Case'!G12*$B360)-'Business Case'!G11*$C360*'Business Case'!G13*$D360-'Business Case'!G14*$E360))*'Business Case'!$B$7-'Business Case'!$B$8*(('Business Case'!G11*$C360*'Business Case'!G12*$B360)-('Business Case'!F11*$C360*'Business Case'!F12*$B360))-'Business Case'!G15*$F360+'Business Case'!$B$8*('Business Case'!G11*$C360*'Business Case'!G12*$B360)</f>
        <v>796614825.93973</v>
      </c>
      <c r="N360" s="39" t="n">
        <f aca="false">IF(COUNT('Business Case'!B11:G11)=0,"",H360+NPV(G360,I360:M360))</f>
        <v>-651608379.750298</v>
      </c>
      <c r="P360" s="40" t="n">
        <f aca="true">RAND()</f>
        <v>0.957200180924808</v>
      </c>
      <c r="Q360" s="40" t="n">
        <f aca="true">RAND()</f>
        <v>0.124324484264263</v>
      </c>
      <c r="R360" s="40" t="n">
        <f aca="true">RAND()</f>
        <v>0.868515008889684</v>
      </c>
      <c r="S360" s="40" t="n">
        <f aca="true">RAND()</f>
        <v>0.40369130118351</v>
      </c>
      <c r="T360" s="40" t="n">
        <f aca="true">RAND()</f>
        <v>0.452651786691841</v>
      </c>
      <c r="U360" s="40" t="n">
        <f aca="true">RAND()</f>
        <v>0.528532643940567</v>
      </c>
    </row>
    <row r="361" customFormat="false" ht="15" hidden="false" customHeight="false" outlineLevel="0" collapsed="false">
      <c r="A361" s="36" t="n">
        <v>281</v>
      </c>
      <c r="B361" s="37" t="n">
        <f aca="false">1+IF($G$6=$E$6,$F$6,IF(P361&lt;($F$6-$E$6)/($G$6-$E$6),$E$6+SQRT(P361*($G$6-$E$6)*($F$6-$E$6)),$G$6-SQRT((1-P361)*($G$6-$E$6)*($G$6-$F$6))))</f>
        <v>1.0232566026739</v>
      </c>
      <c r="C361" s="37" t="n">
        <f aca="false">1+IF($G$7=$E$7,$F$7,IF(Q361&lt;($F$7-$E$7)/($G$7-$E$7),$E$7+SQRT(Q361*($G$7-$E$7)*($F$7-$E$7)),$G$7-SQRT((1-Q361)*($G$7-$E$7)*($G$7-$F$7))))</f>
        <v>0.930065291430213</v>
      </c>
      <c r="D361" s="37" t="n">
        <f aca="false">1+IF($G$8=$E$8,$F$8,IF(R361&lt;($F$8-$E$8)/($G$8-$E$8),$E$8+SQRT(R361*($G$8-$E$8)*($F$8-$E$8)),$G$8-SQRT((1-R361)*($G$8-$E$8)*($G$8-$F$8))))</f>
        <v>1.0324230494243</v>
      </c>
      <c r="E361" s="37" t="n">
        <f aca="false">1+IF($G$9=$E$9,$F$9,IF(S361&lt;($F$9-$E$9)/($G$9-$E$9),$E$9+SQRT(S361*($G$9-$E$9)*($F$9-$E$9)),$G$9-SQRT((1-S361)*($G$9-$E$9)*($G$9-$F$9))))</f>
        <v>1.02839758844128</v>
      </c>
      <c r="F361" s="37" t="n">
        <f aca="false">1+IF($G$10=$E$10,$F$10,IF(T361&lt;($F$10-$E$10)/($G$10-$E$10),$E$10+SQRT(T361*($G$10-$E$10)*($F$10-$E$10)),$G$10-SQRT((1-T361)*($G$10-$E$10)*($G$10-$F$10))))</f>
        <v>1.19277342966246</v>
      </c>
      <c r="G361" s="38" t="n">
        <f aca="false">IF($G$11=$E$11,$F$11,IF(U361&lt;($F$11-$E$11)/($G$11-$E$11),$E$11+SQRT(U361*($G$11-$E$11)*($F$11-$E$11)),$G$11-SQRT((1-U361)*($G$11-$E$11)*($G$11-$F$11))))</f>
        <v>0.0927376421386655</v>
      </c>
      <c r="H361" s="39" t="n">
        <f aca="false">(('Business Case'!B11*$C361*'Business Case'!B12*$B361)-'Business Case'!B11*$C361*'Business Case'!B13*$D361-'Business Case'!B14*$E361)-MAX(0,(('Business Case'!B11*$C361*'Business Case'!B12*$B361)-'Business Case'!B11*$C361*'Business Case'!B13*$D361-'Business Case'!B14*$E361))*'Business Case'!$B$7-'Business Case'!$B$8*('Business Case'!B11*$C361*'Business Case'!B12*$B361)-'Business Case'!B15*$F361</f>
        <v>-2385546859.32491</v>
      </c>
      <c r="I361" s="39" t="n">
        <f aca="false">(('Business Case'!C11*$C361*'Business Case'!C12*$B361)-'Business Case'!C11*$C361*'Business Case'!C13*$D361-'Business Case'!C14*$E361)-MAX(0,(('Business Case'!C11*$C361*'Business Case'!C12*$B361)-'Business Case'!C11*$C361*'Business Case'!C13*$D361-'Business Case'!C14*$E361))*'Business Case'!$B$7-'Business Case'!$B$8*(('Business Case'!C11*$C361*'Business Case'!C12*$B361)-('Business Case'!B11*$C361*'Business Case'!B12*$B361))-'Business Case'!C15*$F361</f>
        <v>-26900530.8970095</v>
      </c>
      <c r="J361" s="39" t="n">
        <f aca="false">(('Business Case'!D11*$C361*'Business Case'!D12*$B361)-'Business Case'!D11*$C361*'Business Case'!D13*$D361-'Business Case'!D14*$E361)-MAX(0,(('Business Case'!D11*$C361*'Business Case'!D12*$B361)-'Business Case'!D11*$C361*'Business Case'!D13*$D361-'Business Case'!D14*$E361))*'Business Case'!$B$7-'Business Case'!$B$8*(('Business Case'!D11*$C361*'Business Case'!D12*$B361)-('Business Case'!C11*$C361*'Business Case'!C12*$B361))-'Business Case'!D15*$F361</f>
        <v>261050310.395954</v>
      </c>
      <c r="K361" s="39" t="n">
        <f aca="false">(('Business Case'!E11*$C361*'Business Case'!E12*$B361)-'Business Case'!E11*$C361*'Business Case'!E13*$D361-'Business Case'!E14*$E361)-MAX(0,(('Business Case'!E11*$C361*'Business Case'!E12*$B361)-'Business Case'!E11*$C361*'Business Case'!E13*$D361-'Business Case'!E14*$E361))*'Business Case'!$B$7-'Business Case'!$B$8*(('Business Case'!E11*$C361*'Business Case'!E12*$B361)-('Business Case'!D11*$C361*'Business Case'!D12*$B361))-'Business Case'!E15*$F361</f>
        <v>608639823.17204</v>
      </c>
      <c r="L361" s="39" t="n">
        <f aca="false">(('Business Case'!F11*$C361*'Business Case'!F12*$B361)-'Business Case'!F11*$C361*'Business Case'!F13*$D361-'Business Case'!F14*$E361)-MAX(0,(('Business Case'!F11*$C361*'Business Case'!F12*$B361)-'Business Case'!F11*$C361*'Business Case'!F13*$D361-'Business Case'!F14*$E361))*'Business Case'!$B$7-'Business Case'!$B$8*(('Business Case'!F11*$C361*'Business Case'!F12*$B361)-('Business Case'!E11*$C361*'Business Case'!E12*$B361))-'Business Case'!F15*$F361</f>
        <v>737514031.70128</v>
      </c>
      <c r="M361" s="39" t="n">
        <f aca="false">(('Business Case'!G11*$C361*'Business Case'!G12*$B361)-'Business Case'!G11*$C361*'Business Case'!G13*$D361-'Business Case'!G14*$E361)-MAX(0,(('Business Case'!G11*$C361*'Business Case'!G12*$B361)-'Business Case'!G11*$C361*'Business Case'!G13*$D361-'Business Case'!G14*$E361))*'Business Case'!$B$7-'Business Case'!$B$8*(('Business Case'!G11*$C361*'Business Case'!G12*$B361)-('Business Case'!F11*$C361*'Business Case'!F12*$B361))-'Business Case'!G15*$F361+'Business Case'!$B$8*('Business Case'!G11*$C361*'Business Case'!G12*$B361)</f>
        <v>918412302.90833</v>
      </c>
      <c r="N361" s="39" t="n">
        <f aca="false">IF(COUNT('Business Case'!B11:G11)=0,"",H361+NPV(G361,I361:M361))</f>
        <v>-618362476.53957</v>
      </c>
      <c r="P361" s="40" t="n">
        <f aca="true">RAND()</f>
        <v>0.904638759927776</v>
      </c>
      <c r="Q361" s="40" t="n">
        <f aca="true">RAND()</f>
        <v>0.392074357932362</v>
      </c>
      <c r="R361" s="40" t="n">
        <f aca="true">RAND()</f>
        <v>0.695557050059285</v>
      </c>
      <c r="S361" s="40" t="n">
        <f aca="true">RAND()</f>
        <v>0.6056760934161</v>
      </c>
      <c r="T361" s="40" t="n">
        <f aca="true">RAND()</f>
        <v>0.95633492863203</v>
      </c>
      <c r="U361" s="40" t="n">
        <f aca="true">RAND()</f>
        <v>0.162247527252706</v>
      </c>
    </row>
    <row r="362" customFormat="false" ht="15" hidden="false" customHeight="false" outlineLevel="0" collapsed="false">
      <c r="A362" s="36" t="n">
        <v>282</v>
      </c>
      <c r="B362" s="37" t="n">
        <f aca="false">1+IF($G$6=$E$6,$F$6,IF(P362&lt;($F$6-$E$6)/($G$6-$E$6),$E$6+SQRT(P362*($G$6-$E$6)*($F$6-$E$6)),$G$6-SQRT((1-P362)*($G$6-$E$6)*($G$6-$F$6))))</f>
        <v>1.03652468431528</v>
      </c>
      <c r="C362" s="37" t="n">
        <f aca="false">1+IF($G$7=$E$7,$F$7,IF(Q362&lt;($F$7-$E$7)/($G$7-$E$7),$E$7+SQRT(Q362*($G$7-$E$7)*($F$7-$E$7)),$G$7-SQRT((1-Q362)*($G$7-$E$7)*($G$7-$F$7))))</f>
        <v>1.08341193781542</v>
      </c>
      <c r="D362" s="37" t="n">
        <f aca="false">1+IF($G$8=$E$8,$F$8,IF(R362&lt;($F$8-$E$8)/($G$8-$E$8),$E$8+SQRT(R362*($G$8-$E$8)*($F$8-$E$8)),$G$8-SQRT((1-R362)*($G$8-$E$8)*($G$8-$F$8))))</f>
        <v>1.01936866542692</v>
      </c>
      <c r="E362" s="37" t="n">
        <f aca="false">1+IF($G$9=$E$9,$F$9,IF(S362&lt;($F$9-$E$9)/($G$9-$E$9),$E$9+SQRT(S362*($G$9-$E$9)*($F$9-$E$9)),$G$9-SQRT((1-S362)*($G$9-$E$9)*($G$9-$F$9))))</f>
        <v>0.978695532072229</v>
      </c>
      <c r="F362" s="37" t="n">
        <f aca="false">1+IF($G$10=$E$10,$F$10,IF(T362&lt;($F$10-$E$10)/($G$10-$E$10),$E$10+SQRT(T362*($G$10-$E$10)*($F$10-$E$10)),$G$10-SQRT((1-T362)*($G$10-$E$10)*($G$10-$F$10))))</f>
        <v>1.12730259204682</v>
      </c>
      <c r="G362" s="38" t="n">
        <f aca="false">IF($G$11=$E$11,$F$11,IF(U362&lt;($F$11-$E$11)/($G$11-$E$11),$E$11+SQRT(U362*($G$11-$E$11)*($F$11-$E$11)),$G$11-SQRT((1-U362)*($G$11-$E$11)*($G$11-$F$11))))</f>
        <v>0.107775002999687</v>
      </c>
      <c r="H362" s="39" t="n">
        <f aca="false">(('Business Case'!B11*$C362*'Business Case'!B12*$B362)-'Business Case'!B11*$C362*'Business Case'!B13*$D362-'Business Case'!B14*$E362)-MAX(0,(('Business Case'!B11*$C362*'Business Case'!B12*$B362)-'Business Case'!B11*$C362*'Business Case'!B13*$D362-'Business Case'!B14*$E362))*'Business Case'!$B$7-'Business Case'!$B$8*('Business Case'!B11*$C362*'Business Case'!B12*$B362)-'Business Case'!B15*$F362</f>
        <v>-2254605184.09363</v>
      </c>
      <c r="I362" s="39" t="n">
        <f aca="false">(('Business Case'!C11*$C362*'Business Case'!C12*$B362)-'Business Case'!C11*$C362*'Business Case'!C13*$D362-'Business Case'!C14*$E362)-MAX(0,(('Business Case'!C11*$C362*'Business Case'!C12*$B362)-'Business Case'!C11*$C362*'Business Case'!C13*$D362-'Business Case'!C14*$E362))*'Business Case'!$B$7-'Business Case'!$B$8*(('Business Case'!C11*$C362*'Business Case'!C12*$B362)-('Business Case'!B11*$C362*'Business Case'!B12*$B362))-'Business Case'!C15*$F362</f>
        <v>44325402.4890116</v>
      </c>
      <c r="J362" s="39" t="n">
        <f aca="false">(('Business Case'!D11*$C362*'Business Case'!D12*$B362)-'Business Case'!D11*$C362*'Business Case'!D13*$D362-'Business Case'!D14*$E362)-MAX(0,(('Business Case'!D11*$C362*'Business Case'!D12*$B362)-'Business Case'!D11*$C362*'Business Case'!D13*$D362-'Business Case'!D14*$E362))*'Business Case'!$B$7-'Business Case'!$B$8*(('Business Case'!D11*$C362*'Business Case'!D12*$B362)-('Business Case'!C11*$C362*'Business Case'!C12*$B362))-'Business Case'!D15*$F362</f>
        <v>398767018.803715</v>
      </c>
      <c r="K362" s="39" t="n">
        <f aca="false">(('Business Case'!E11*$C362*'Business Case'!E12*$B362)-'Business Case'!E11*$C362*'Business Case'!E13*$D362-'Business Case'!E14*$E362)-MAX(0,(('Business Case'!E11*$C362*'Business Case'!E12*$B362)-'Business Case'!E11*$C362*'Business Case'!E13*$D362-'Business Case'!E14*$E362))*'Business Case'!$B$7-'Business Case'!$B$8*(('Business Case'!E11*$C362*'Business Case'!E12*$B362)-('Business Case'!D11*$C362*'Business Case'!D12*$B362))-'Business Case'!E15*$F362</f>
        <v>809573764.720759</v>
      </c>
      <c r="L362" s="39" t="n">
        <f aca="false">(('Business Case'!F11*$C362*'Business Case'!F12*$B362)-'Business Case'!F11*$C362*'Business Case'!F13*$D362-'Business Case'!F14*$E362)-MAX(0,(('Business Case'!F11*$C362*'Business Case'!F12*$B362)-'Business Case'!F11*$C362*'Business Case'!F13*$D362-'Business Case'!F14*$E362))*'Business Case'!$B$7-'Business Case'!$B$8*(('Business Case'!F11*$C362*'Business Case'!F12*$B362)-('Business Case'!E11*$C362*'Business Case'!E12*$B362))-'Business Case'!F15*$F362</f>
        <v>966531270.132554</v>
      </c>
      <c r="M362" s="39" t="n">
        <f aca="false">(('Business Case'!G11*$C362*'Business Case'!G12*$B362)-'Business Case'!G11*$C362*'Business Case'!G13*$D362-'Business Case'!G14*$E362)-MAX(0,(('Business Case'!G11*$C362*'Business Case'!G12*$B362)-'Business Case'!G11*$C362*'Business Case'!G13*$D362-'Business Case'!G14*$E362))*'Business Case'!$B$7-'Business Case'!$B$8*(('Business Case'!G11*$C362*'Business Case'!G12*$B362)-('Business Case'!F11*$C362*'Business Case'!F12*$B362))-'Business Case'!G15*$F362+'Business Case'!$B$8*('Business Case'!G11*$C362*'Business Case'!G12*$B362)</f>
        <v>1179987919.98713</v>
      </c>
      <c r="N362" s="39" t="n">
        <f aca="false">IF(COUNT('Business Case'!B11:G11)=0,"",H362+NPV(G362,I362:M362))</f>
        <v>55025812.4032116</v>
      </c>
      <c r="P362" s="40" t="n">
        <f aca="true">RAND()</f>
        <v>0.975788782292956</v>
      </c>
      <c r="Q362" s="40" t="n">
        <f aca="true">RAND()</f>
        <v>0.934311555177815</v>
      </c>
      <c r="R362" s="40" t="n">
        <f aca="true">RAND()</f>
        <v>0.566572525664292</v>
      </c>
      <c r="S362" s="40" t="n">
        <f aca="true">RAND()</f>
        <v>0.247719470725246</v>
      </c>
      <c r="T362" s="40" t="n">
        <f aca="true">RAND()</f>
        <v>0.7992712810876</v>
      </c>
      <c r="U362" s="40" t="n">
        <f aca="true">RAND()</f>
        <v>0.670699672224065</v>
      </c>
    </row>
    <row r="363" customFormat="false" ht="15" hidden="false" customHeight="false" outlineLevel="0" collapsed="false">
      <c r="A363" s="36" t="n">
        <v>283</v>
      </c>
      <c r="B363" s="37" t="n">
        <f aca="false">1+IF($G$6=$E$6,$F$6,IF(P363&lt;($F$6-$E$6)/($G$6-$E$6),$E$6+SQRT(P363*($G$6-$E$6)*($F$6-$E$6)),$G$6-SQRT((1-P363)*($G$6-$E$6)*($G$6-$F$6))))</f>
        <v>0.984716600494249</v>
      </c>
      <c r="C363" s="37" t="n">
        <f aca="false">1+IF($G$7=$E$7,$F$7,IF(Q363&lt;($F$7-$E$7)/($G$7-$E$7),$E$7+SQRT(Q363*($G$7-$E$7)*($F$7-$E$7)),$G$7-SQRT((1-Q363)*($G$7-$E$7)*($G$7-$F$7))))</f>
        <v>1.02496617088024</v>
      </c>
      <c r="D363" s="37" t="n">
        <f aca="false">1+IF($G$8=$E$8,$F$8,IF(R363&lt;($F$8-$E$8)/($G$8-$E$8),$E$8+SQRT(R363*($G$8-$E$8)*($F$8-$E$8)),$G$8-SQRT((1-R363)*($G$8-$E$8)*($G$8-$F$8))))</f>
        <v>1.01292508452702</v>
      </c>
      <c r="E363" s="37" t="n">
        <f aca="false">1+IF($G$9=$E$9,$F$9,IF(S363&lt;($F$9-$E$9)/($G$9-$E$9),$E$9+SQRT(S363*($G$9-$E$9)*($F$9-$E$9)),$G$9-SQRT((1-S363)*($G$9-$E$9)*($G$9-$F$9))))</f>
        <v>1.08998427113969</v>
      </c>
      <c r="F363" s="37" t="n">
        <f aca="false">1+IF($G$10=$E$10,$F$10,IF(T363&lt;($F$10-$E$10)/($G$10-$E$10),$E$10+SQRT(T363*($G$10-$E$10)*($F$10-$E$10)),$G$10-SQRT((1-T363)*($G$10-$E$10)*($G$10-$F$10))))</f>
        <v>0.965019101566463</v>
      </c>
      <c r="G363" s="38" t="n">
        <f aca="false">IF($G$11=$E$11,$F$11,IF(U363&lt;($F$11-$E$11)/($G$11-$E$11),$E$11+SQRT(U363*($G$11-$E$11)*($F$11-$E$11)),$G$11-SQRT((1-U363)*($G$11-$E$11)*($G$11-$F$11))))</f>
        <v>0.0994703893874065</v>
      </c>
      <c r="H363" s="39" t="n">
        <f aca="false">(('Business Case'!B11*$C363*'Business Case'!B12*$B363)-'Business Case'!B11*$C363*'Business Case'!B13*$D363-'Business Case'!B14*$E363)-MAX(0,(('Business Case'!B11*$C363*'Business Case'!B12*$B363)-'Business Case'!B11*$C363*'Business Case'!B13*$D363-'Business Case'!B14*$E363))*'Business Case'!$B$7-'Business Case'!$B$8*('Business Case'!B11*$C363*'Business Case'!B12*$B363)-'Business Case'!B15*$F363</f>
        <v>-1930038203.13293</v>
      </c>
      <c r="I363" s="39" t="n">
        <f aca="false">(('Business Case'!C11*$C363*'Business Case'!C12*$B363)-'Business Case'!C11*$C363*'Business Case'!C13*$D363-'Business Case'!C14*$E363)-MAX(0,(('Business Case'!C11*$C363*'Business Case'!C12*$B363)-'Business Case'!C11*$C363*'Business Case'!C13*$D363-'Business Case'!C14*$E363))*'Business Case'!$B$7-'Business Case'!$B$8*(('Business Case'!C11*$C363*'Business Case'!C12*$B363)-('Business Case'!B11*$C363*'Business Case'!B12*$B363))-'Business Case'!C15*$F363</f>
        <v>-8611975.48323046</v>
      </c>
      <c r="J363" s="39" t="n">
        <f aca="false">(('Business Case'!D11*$C363*'Business Case'!D12*$B363)-'Business Case'!D11*$C363*'Business Case'!D13*$D363-'Business Case'!D14*$E363)-MAX(0,(('Business Case'!D11*$C363*'Business Case'!D12*$B363)-'Business Case'!D11*$C363*'Business Case'!D13*$D363-'Business Case'!D14*$E363))*'Business Case'!$B$7-'Business Case'!$B$8*(('Business Case'!D11*$C363*'Business Case'!D12*$B363)-('Business Case'!C11*$C363*'Business Case'!C12*$B363))-'Business Case'!D15*$F363</f>
        <v>286595896.931065</v>
      </c>
      <c r="K363" s="39" t="n">
        <f aca="false">(('Business Case'!E11*$C363*'Business Case'!E12*$B363)-'Business Case'!E11*$C363*'Business Case'!E13*$D363-'Business Case'!E14*$E363)-MAX(0,(('Business Case'!E11*$C363*'Business Case'!E12*$B363)-'Business Case'!E11*$C363*'Business Case'!E13*$D363-'Business Case'!E14*$E363))*'Business Case'!$B$7-'Business Case'!$B$8*(('Business Case'!E11*$C363*'Business Case'!E12*$B363)-('Business Case'!D11*$C363*'Business Case'!D12*$B363))-'Business Case'!E15*$F363</f>
        <v>630054724.423684</v>
      </c>
      <c r="L363" s="39" t="n">
        <f aca="false">(('Business Case'!F11*$C363*'Business Case'!F12*$B363)-'Business Case'!F11*$C363*'Business Case'!F13*$D363-'Business Case'!F14*$E363)-MAX(0,(('Business Case'!F11*$C363*'Business Case'!F12*$B363)-'Business Case'!F11*$C363*'Business Case'!F13*$D363-'Business Case'!F14*$E363))*'Business Case'!$B$7-'Business Case'!$B$8*(('Business Case'!F11*$C363*'Business Case'!F12*$B363)-('Business Case'!E11*$C363*'Business Case'!E12*$B363))-'Business Case'!F15*$F363</f>
        <v>763338798.15166</v>
      </c>
      <c r="M363" s="39" t="n">
        <f aca="false">(('Business Case'!G11*$C363*'Business Case'!G12*$B363)-'Business Case'!G11*$C363*'Business Case'!G13*$D363-'Business Case'!G14*$E363)-MAX(0,(('Business Case'!G11*$C363*'Business Case'!G12*$B363)-'Business Case'!G11*$C363*'Business Case'!G13*$D363-'Business Case'!G14*$E363))*'Business Case'!$B$7-'Business Case'!$B$8*(('Business Case'!G11*$C363*'Business Case'!G12*$B363)-('Business Case'!F11*$C363*'Business Case'!F12*$B363))-'Business Case'!G15*$F363+'Business Case'!$B$8*('Business Case'!G11*$C363*'Business Case'!G12*$B363)</f>
        <v>955186770.895984</v>
      </c>
      <c r="N363" s="39" t="n">
        <f aca="false">IF(COUNT('Business Case'!B11:G11)=0,"",H363+NPV(G363,I363:M363))</f>
        <v>-109831224.177507</v>
      </c>
      <c r="P363" s="40" t="n">
        <f aca="true">RAND()</f>
        <v>0.478460159953478</v>
      </c>
      <c r="Q363" s="40" t="n">
        <f aca="true">RAND()</f>
        <v>0.768393208528158</v>
      </c>
      <c r="R363" s="40" t="n">
        <f aca="true">RAND()</f>
        <v>0.494530606358208</v>
      </c>
      <c r="S363" s="40" t="n">
        <f aca="true">RAND()</f>
        <v>0.903949661049753</v>
      </c>
      <c r="T363" s="40" t="n">
        <f aca="true">RAND()</f>
        <v>0.0150382274575828</v>
      </c>
      <c r="U363" s="40" t="n">
        <f aca="true">RAND()</f>
        <v>0.379096062897233</v>
      </c>
    </row>
    <row r="364" customFormat="false" ht="15" hidden="false" customHeight="false" outlineLevel="0" collapsed="false">
      <c r="A364" s="36" t="n">
        <v>284</v>
      </c>
      <c r="B364" s="37" t="n">
        <f aca="false">1+IF($G$6=$E$6,$F$6,IF(P364&lt;($F$6-$E$6)/($G$6-$E$6),$E$6+SQRT(P364*($G$6-$E$6)*($F$6-$E$6)),$G$6-SQRT((1-P364)*($G$6-$E$6)*($G$6-$F$6))))</f>
        <v>0.977839697037976</v>
      </c>
      <c r="C364" s="37" t="n">
        <f aca="false">1+IF($G$7=$E$7,$F$7,IF(Q364&lt;($F$7-$E$7)/($G$7-$E$7),$E$7+SQRT(Q364*($G$7-$E$7)*($F$7-$E$7)),$G$7-SQRT((1-Q364)*($G$7-$E$7)*($G$7-$F$7))))</f>
        <v>1.10330189223031</v>
      </c>
      <c r="D364" s="37" t="n">
        <f aca="false">1+IF($G$8=$E$8,$F$8,IF(R364&lt;($F$8-$E$8)/($G$8-$E$8),$E$8+SQRT(R364*($G$8-$E$8)*($F$8-$E$8)),$G$8-SQRT((1-R364)*($G$8-$E$8)*($G$8-$F$8))))</f>
        <v>0.98956249134136</v>
      </c>
      <c r="E364" s="37" t="n">
        <f aca="false">1+IF($G$9=$E$9,$F$9,IF(S364&lt;($F$9-$E$9)/($G$9-$E$9),$E$9+SQRT(S364*($G$9-$E$9)*($F$9-$E$9)),$G$9-SQRT((1-S364)*($G$9-$E$9)*($G$9-$F$9))))</f>
        <v>0.979532545093101</v>
      </c>
      <c r="F364" s="37" t="n">
        <f aca="false">1+IF($G$10=$E$10,$F$10,IF(T364&lt;($F$10-$E$10)/($G$10-$E$10),$E$10+SQRT(T364*($G$10-$E$10)*($F$10-$E$10)),$G$10-SQRT((1-T364)*($G$10-$E$10)*($G$10-$F$10))))</f>
        <v>1.12533582642484</v>
      </c>
      <c r="G364" s="38" t="n">
        <f aca="false">IF($G$11=$E$11,$F$11,IF(U364&lt;($F$11-$E$11)/($G$11-$E$11),$E$11+SQRT(U364*($G$11-$E$11)*($F$11-$E$11)),$G$11-SQRT((1-U364)*($G$11-$E$11)*($G$11-$F$11))))</f>
        <v>0.1132278090511</v>
      </c>
      <c r="H364" s="39" t="n">
        <f aca="false">(('Business Case'!B11*$C364*'Business Case'!B12*$B364)-'Business Case'!B11*$C364*'Business Case'!B13*$D364-'Business Case'!B14*$E364)-MAX(0,(('Business Case'!B11*$C364*'Business Case'!B12*$B364)-'Business Case'!B11*$C364*'Business Case'!B13*$D364-'Business Case'!B14*$E364))*'Business Case'!$B$7-'Business Case'!$B$8*('Business Case'!B11*$C364*'Business Case'!B12*$B364)-'Business Case'!B15*$F364</f>
        <v>-2250671652.84968</v>
      </c>
      <c r="I364" s="39" t="n">
        <f aca="false">(('Business Case'!C11*$C364*'Business Case'!C12*$B364)-'Business Case'!C11*$C364*'Business Case'!C13*$D364-'Business Case'!C14*$E364)-MAX(0,(('Business Case'!C11*$C364*'Business Case'!C12*$B364)-'Business Case'!C11*$C364*'Business Case'!C13*$D364-'Business Case'!C14*$E364))*'Business Case'!$B$7-'Business Case'!$B$8*(('Business Case'!C11*$C364*'Business Case'!C12*$B364)-('Business Case'!B11*$C364*'Business Case'!B12*$B364))-'Business Case'!C15*$F364</f>
        <v>16999789.1007924</v>
      </c>
      <c r="J364" s="39" t="n">
        <f aca="false">(('Business Case'!D11*$C364*'Business Case'!D12*$B364)-'Business Case'!D11*$C364*'Business Case'!D13*$D364-'Business Case'!D14*$E364)-MAX(0,(('Business Case'!D11*$C364*'Business Case'!D12*$B364)-'Business Case'!D11*$C364*'Business Case'!D13*$D364-'Business Case'!D14*$E364))*'Business Case'!$B$7-'Business Case'!$B$8*(('Business Case'!D11*$C364*'Business Case'!D12*$B364)-('Business Case'!C11*$C364*'Business Case'!C12*$B364))-'Business Case'!D15*$F364</f>
        <v>341750396.552297</v>
      </c>
      <c r="K364" s="39" t="n">
        <f aca="false">(('Business Case'!E11*$C364*'Business Case'!E12*$B364)-'Business Case'!E11*$C364*'Business Case'!E13*$D364-'Business Case'!E14*$E364)-MAX(0,(('Business Case'!E11*$C364*'Business Case'!E12*$B364)-'Business Case'!E11*$C364*'Business Case'!E13*$D364-'Business Case'!E14*$E364))*'Business Case'!$B$7-'Business Case'!$B$8*(('Business Case'!E11*$C364*'Business Case'!E12*$B364)-('Business Case'!D11*$C364*'Business Case'!D12*$B364))-'Business Case'!E15*$F364</f>
        <v>722767795.325043</v>
      </c>
      <c r="L364" s="39" t="n">
        <f aca="false">(('Business Case'!F11*$C364*'Business Case'!F12*$B364)-'Business Case'!F11*$C364*'Business Case'!F13*$D364-'Business Case'!F14*$E364)-MAX(0,(('Business Case'!F11*$C364*'Business Case'!F12*$B364)-'Business Case'!F11*$C364*'Business Case'!F13*$D364-'Business Case'!F14*$E364))*'Business Case'!$B$7-'Business Case'!$B$8*(('Business Case'!F11*$C364*'Business Case'!F12*$B364)-('Business Case'!E11*$C364*'Business Case'!E12*$B364))-'Business Case'!F15*$F364</f>
        <v>868303136.339537</v>
      </c>
      <c r="M364" s="39" t="n">
        <f aca="false">(('Business Case'!G11*$C364*'Business Case'!G12*$B364)-'Business Case'!G11*$C364*'Business Case'!G13*$D364-'Business Case'!G14*$E364)-MAX(0,(('Business Case'!G11*$C364*'Business Case'!G12*$B364)-'Business Case'!G11*$C364*'Business Case'!G13*$D364-'Business Case'!G14*$E364))*'Business Case'!$B$7-'Business Case'!$B$8*(('Business Case'!G11*$C364*'Business Case'!G12*$B364)-('Business Case'!F11*$C364*'Business Case'!F12*$B364))-'Business Case'!G15*$F364+'Business Case'!$B$8*('Business Case'!G11*$C364*'Business Case'!G12*$B364)</f>
        <v>1073371398.25816</v>
      </c>
      <c r="N364" s="39" t="n">
        <f aca="false">IF(COUNT('Business Case'!B11:G11)=0,"",H364+NPV(G364,I364:M364))</f>
        <v>-242551499.825235</v>
      </c>
      <c r="P364" s="40" t="n">
        <f aca="true">RAND()</f>
        <v>0.403934562330928</v>
      </c>
      <c r="Q364" s="40" t="n">
        <f aca="true">RAND()</f>
        <v>0.967693136751557</v>
      </c>
      <c r="R364" s="40" t="n">
        <f aca="true">RAND()</f>
        <v>0.208692096151359</v>
      </c>
      <c r="S364" s="40" t="n">
        <f aca="true">RAND()</f>
        <v>0.253017029159444</v>
      </c>
      <c r="T364" s="40" t="n">
        <f aca="true">RAND()</f>
        <v>0.792784584357631</v>
      </c>
      <c r="U364" s="40" t="n">
        <f aca="true">RAND()</f>
        <v>0.812462407182421</v>
      </c>
    </row>
    <row r="365" customFormat="false" ht="15" hidden="false" customHeight="false" outlineLevel="0" collapsed="false">
      <c r="A365" s="36" t="n">
        <v>285</v>
      </c>
      <c r="B365" s="37" t="n">
        <f aca="false">1+IF($G$6=$E$6,$F$6,IF(P365&lt;($F$6-$E$6)/($G$6-$E$6),$E$6+SQRT(P365*($G$6-$E$6)*($F$6-$E$6)),$G$6-SQRT((1-P365)*($G$6-$E$6)*($G$6-$F$6))))</f>
        <v>0.969690725354959</v>
      </c>
      <c r="C365" s="37" t="n">
        <f aca="false">1+IF($G$7=$E$7,$F$7,IF(Q365&lt;($F$7-$E$7)/($G$7-$E$7),$E$7+SQRT(Q365*($G$7-$E$7)*($F$7-$E$7)),$G$7-SQRT((1-Q365)*($G$7-$E$7)*($G$7-$F$7))))</f>
        <v>1.00301225415948</v>
      </c>
      <c r="D365" s="37" t="n">
        <f aca="false">1+IF($G$8=$E$8,$F$8,IF(R365&lt;($F$8-$E$8)/($G$8-$E$8),$E$8+SQRT(R365*($G$8-$E$8)*($F$8-$E$8)),$G$8-SQRT((1-R365)*($G$8-$E$8)*($G$8-$F$8))))</f>
        <v>1.00076465399637</v>
      </c>
      <c r="E365" s="37" t="n">
        <f aca="false">1+IF($G$9=$E$9,$F$9,IF(S365&lt;($F$9-$E$9)/($G$9-$E$9),$E$9+SQRT(S365*($G$9-$E$9)*($F$9-$E$9)),$G$9-SQRT((1-S365)*($G$9-$E$9)*($G$9-$F$9))))</f>
        <v>1.00931913629128</v>
      </c>
      <c r="F365" s="37" t="n">
        <f aca="false">1+IF($G$10=$E$10,$F$10,IF(T365&lt;($F$10-$E$10)/($G$10-$E$10),$E$10+SQRT(T365*($G$10-$E$10)*($F$10-$E$10)),$G$10-SQRT((1-T365)*($G$10-$E$10)*($G$10-$F$10))))</f>
        <v>1.01098362060062</v>
      </c>
      <c r="G365" s="38" t="n">
        <f aca="false">IF($G$11=$E$11,$F$11,IF(U365&lt;($F$11-$E$11)/($G$11-$E$11),$E$11+SQRT(U365*($G$11-$E$11)*($F$11-$E$11)),$G$11-SQRT((1-U365)*($G$11-$E$11)*($G$11-$F$11))))</f>
        <v>0.115206157999085</v>
      </c>
      <c r="H365" s="39" t="n">
        <f aca="false">(('Business Case'!B11*$C365*'Business Case'!B12*$B365)-'Business Case'!B11*$C365*'Business Case'!B13*$D365-'Business Case'!B14*$E365)-MAX(0,(('Business Case'!B11*$C365*'Business Case'!B12*$B365)-'Business Case'!B11*$C365*'Business Case'!B13*$D365-'Business Case'!B14*$E365))*'Business Case'!$B$7-'Business Case'!$B$8*('Business Case'!B11*$C365*'Business Case'!B12*$B365)-'Business Case'!B15*$F365</f>
        <v>-2021967241.20124</v>
      </c>
      <c r="I365" s="39" t="n">
        <f aca="false">(('Business Case'!C11*$C365*'Business Case'!C12*$B365)-'Business Case'!C11*$C365*'Business Case'!C13*$D365-'Business Case'!C14*$E365)-MAX(0,(('Business Case'!C11*$C365*'Business Case'!C12*$B365)-'Business Case'!C11*$C365*'Business Case'!C13*$D365-'Business Case'!C14*$E365))*'Business Case'!$B$7-'Business Case'!$B$8*(('Business Case'!C11*$C365*'Business Case'!C12*$B365)-('Business Case'!B11*$C365*'Business Case'!B12*$B365))-'Business Case'!C15*$F365</f>
        <v>-12259392.5042614</v>
      </c>
      <c r="J365" s="39" t="n">
        <f aca="false">(('Business Case'!D11*$C365*'Business Case'!D12*$B365)-'Business Case'!D11*$C365*'Business Case'!D13*$D365-'Business Case'!D14*$E365)-MAX(0,(('Business Case'!D11*$C365*'Business Case'!D12*$B365)-'Business Case'!D11*$C365*'Business Case'!D13*$D365-'Business Case'!D14*$E365))*'Business Case'!$B$7-'Business Case'!$B$8*(('Business Case'!D11*$C365*'Business Case'!D12*$B365)-('Business Case'!C11*$C365*'Business Case'!C12*$B365))-'Business Case'!D15*$F365</f>
        <v>270524947.737658</v>
      </c>
      <c r="K365" s="39" t="n">
        <f aca="false">(('Business Case'!E11*$C365*'Business Case'!E12*$B365)-'Business Case'!E11*$C365*'Business Case'!E13*$D365-'Business Case'!E14*$E365)-MAX(0,(('Business Case'!E11*$C365*'Business Case'!E12*$B365)-'Business Case'!E11*$C365*'Business Case'!E13*$D365-'Business Case'!E14*$E365))*'Business Case'!$B$7-'Business Case'!$B$8*(('Business Case'!E11*$C365*'Business Case'!E12*$B365)-('Business Case'!D11*$C365*'Business Case'!D12*$B365))-'Business Case'!E15*$F365</f>
        <v>603858469.009609</v>
      </c>
      <c r="L365" s="39" t="n">
        <f aca="false">(('Business Case'!F11*$C365*'Business Case'!F12*$B365)-'Business Case'!F11*$C365*'Business Case'!F13*$D365-'Business Case'!F14*$E365)-MAX(0,(('Business Case'!F11*$C365*'Business Case'!F12*$B365)-'Business Case'!F11*$C365*'Business Case'!F13*$D365-'Business Case'!F14*$E365))*'Business Case'!$B$7-'Business Case'!$B$8*(('Business Case'!F11*$C365*'Business Case'!F12*$B365)-('Business Case'!E11*$C365*'Business Case'!E12*$B365))-'Business Case'!F15*$F365</f>
        <v>731733375.427248</v>
      </c>
      <c r="M365" s="39" t="n">
        <f aca="false">(('Business Case'!G11*$C365*'Business Case'!G12*$B365)-'Business Case'!G11*$C365*'Business Case'!G13*$D365-'Business Case'!G14*$E365)-MAX(0,(('Business Case'!G11*$C365*'Business Case'!G12*$B365)-'Business Case'!G11*$C365*'Business Case'!G13*$D365-'Business Case'!G14*$E365))*'Business Case'!$B$7-'Business Case'!$B$8*(('Business Case'!G11*$C365*'Business Case'!G12*$B365)-('Business Case'!F11*$C365*'Business Case'!F12*$B365))-'Business Case'!G15*$F365+'Business Case'!$B$8*('Business Case'!G11*$C365*'Business Case'!G12*$B365)</f>
        <v>916607403.614075</v>
      </c>
      <c r="N365" s="39" t="n">
        <f aca="false">IF(COUNT('Business Case'!B11:G11)=0,"",H365+NPV(G365,I365:M365))</f>
        <v>-375599743.682328</v>
      </c>
      <c r="P365" s="40" t="n">
        <f aca="true">RAND()</f>
        <v>0.323786480033352</v>
      </c>
      <c r="Q365" s="40" t="n">
        <f aca="true">RAND()</f>
        <v>0.679920038114408</v>
      </c>
      <c r="R365" s="40" t="n">
        <f aca="true">RAND()</f>
        <v>0.34348974023605</v>
      </c>
      <c r="S365" s="40" t="n">
        <f aca="true">RAND()</f>
        <v>0.472237188964525</v>
      </c>
      <c r="T365" s="40" t="n">
        <f aca="true">RAND()</f>
        <v>0.238282271717492</v>
      </c>
      <c r="U365" s="40" t="n">
        <f aca="true">RAND()</f>
        <v>0.854094825901301</v>
      </c>
    </row>
    <row r="366" customFormat="false" ht="15" hidden="false" customHeight="false" outlineLevel="0" collapsed="false">
      <c r="A366" s="36" t="n">
        <v>286</v>
      </c>
      <c r="B366" s="37" t="n">
        <f aca="false">1+IF($G$6=$E$6,$F$6,IF(P366&lt;($F$6-$E$6)/($G$6-$E$6),$E$6+SQRT(P366*($G$6-$E$6)*($F$6-$E$6)),$G$6-SQRT((1-P366)*($G$6-$E$6)*($G$6-$F$6))))</f>
        <v>1.00690504069472</v>
      </c>
      <c r="C366" s="37" t="n">
        <f aca="false">1+IF($G$7=$E$7,$F$7,IF(Q366&lt;($F$7-$E$7)/($G$7-$E$7),$E$7+SQRT(Q366*($G$7-$E$7)*($F$7-$E$7)),$G$7-SQRT((1-Q366)*($G$7-$E$7)*($G$7-$F$7))))</f>
        <v>0.908116869153419</v>
      </c>
      <c r="D366" s="37" t="n">
        <f aca="false">1+IF($G$8=$E$8,$F$8,IF(R366&lt;($F$8-$E$8)/($G$8-$E$8),$E$8+SQRT(R366*($G$8-$E$8)*($F$8-$E$8)),$G$8-SQRT((1-R366)*($G$8-$E$8)*($G$8-$F$8))))</f>
        <v>0.975798438045192</v>
      </c>
      <c r="E366" s="37" t="n">
        <f aca="false">1+IF($G$9=$E$9,$F$9,IF(S366&lt;($F$9-$E$9)/($G$9-$E$9),$E$9+SQRT(S366*($G$9-$E$9)*($F$9-$E$9)),$G$9-SQRT((1-S366)*($G$9-$E$9)*($G$9-$F$9))))</f>
        <v>1.12596843942522</v>
      </c>
      <c r="F366" s="37" t="n">
        <f aca="false">1+IF($G$10=$E$10,$F$10,IF(T366&lt;($F$10-$E$10)/($G$10-$E$10),$E$10+SQRT(T366*($G$10-$E$10)*($F$10-$E$10)),$G$10-SQRT((1-T366)*($G$10-$E$10)*($G$10-$F$10))))</f>
        <v>1.02340768479168</v>
      </c>
      <c r="G366" s="38" t="n">
        <f aca="false">IF($G$11=$E$11,$F$11,IF(U366&lt;($F$11-$E$11)/($G$11-$E$11),$E$11+SQRT(U366*($G$11-$E$11)*($F$11-$E$11)),$G$11-SQRT((1-U366)*($G$11-$E$11)*($G$11-$F$11))))</f>
        <v>0.107832707477264</v>
      </c>
      <c r="H366" s="39" t="n">
        <f aca="false">(('Business Case'!B11*$C366*'Business Case'!B12*$B366)-'Business Case'!B11*$C366*'Business Case'!B13*$D366-'Business Case'!B14*$E366)-MAX(0,(('Business Case'!B11*$C366*'Business Case'!B12*$B366)-'Business Case'!B11*$C366*'Business Case'!B13*$D366-'Business Case'!B14*$E366))*'Business Case'!$B$7-'Business Case'!$B$8*('Business Case'!B11*$C366*'Business Case'!B12*$B366)-'Business Case'!B15*$F366</f>
        <v>-2046815369.58336</v>
      </c>
      <c r="I366" s="39" t="n">
        <f aca="false">(('Business Case'!C11*$C366*'Business Case'!C12*$B366)-'Business Case'!C11*$C366*'Business Case'!C13*$D366-'Business Case'!C14*$E366)-MAX(0,(('Business Case'!C11*$C366*'Business Case'!C12*$B366)-'Business Case'!C11*$C366*'Business Case'!C13*$D366-'Business Case'!C14*$E366))*'Business Case'!$B$7-'Business Case'!$B$8*(('Business Case'!C11*$C366*'Business Case'!C12*$B366)-('Business Case'!B11*$C366*'Business Case'!B12*$B366))-'Business Case'!C15*$F366</f>
        <v>-14538454.5451014</v>
      </c>
      <c r="J366" s="39" t="n">
        <f aca="false">(('Business Case'!D11*$C366*'Business Case'!D12*$B366)-'Business Case'!D11*$C366*'Business Case'!D13*$D366-'Business Case'!D14*$E366)-MAX(0,(('Business Case'!D11*$C366*'Business Case'!D12*$B366)-'Business Case'!D11*$C366*'Business Case'!D13*$D366-'Business Case'!D14*$E366))*'Business Case'!$B$7-'Business Case'!$B$8*(('Business Case'!D11*$C366*'Business Case'!D12*$B366)-('Business Case'!C11*$C366*'Business Case'!C12*$B366))-'Business Case'!D15*$F366</f>
        <v>280778417.043442</v>
      </c>
      <c r="K366" s="39" t="n">
        <f aca="false">(('Business Case'!E11*$C366*'Business Case'!E12*$B366)-'Business Case'!E11*$C366*'Business Case'!E13*$D366-'Business Case'!E14*$E366)-MAX(0,(('Business Case'!E11*$C366*'Business Case'!E12*$B366)-'Business Case'!E11*$C366*'Business Case'!E13*$D366-'Business Case'!E14*$E366))*'Business Case'!$B$7-'Business Case'!$B$8*(('Business Case'!E11*$C366*'Business Case'!E12*$B366)-('Business Case'!D11*$C366*'Business Case'!D12*$B366))-'Business Case'!E15*$F366</f>
        <v>627265672.871569</v>
      </c>
      <c r="L366" s="39" t="n">
        <f aca="false">(('Business Case'!F11*$C366*'Business Case'!F12*$B366)-'Business Case'!F11*$C366*'Business Case'!F13*$D366-'Business Case'!F14*$E366)-MAX(0,(('Business Case'!F11*$C366*'Business Case'!F12*$B366)-'Business Case'!F11*$C366*'Business Case'!F13*$D366-'Business Case'!F14*$E366))*'Business Case'!$B$7-'Business Case'!$B$8*(('Business Case'!F11*$C366*'Business Case'!F12*$B366)-('Business Case'!E11*$C366*'Business Case'!E12*$B366))-'Business Case'!F15*$F366</f>
        <v>757305860.446557</v>
      </c>
      <c r="M366" s="39" t="n">
        <f aca="false">(('Business Case'!G11*$C366*'Business Case'!G12*$B366)-'Business Case'!G11*$C366*'Business Case'!G13*$D366-'Business Case'!G14*$E366)-MAX(0,(('Business Case'!G11*$C366*'Business Case'!G12*$B366)-'Business Case'!G11*$C366*'Business Case'!G13*$D366-'Business Case'!G14*$E366))*'Business Case'!$B$7-'Business Case'!$B$8*(('Business Case'!G11*$C366*'Business Case'!G12*$B366)-('Business Case'!F11*$C366*'Business Case'!F12*$B366))-'Business Case'!G15*$F366+'Business Case'!$B$8*('Business Case'!G11*$C366*'Business Case'!G12*$B366)</f>
        <v>931112627.529997</v>
      </c>
      <c r="N366" s="39" t="n">
        <f aca="false">IF(COUNT('Business Case'!B11:G11)=0,"",H366+NPV(G366,I366:M366))</f>
        <v>-309039440.439274</v>
      </c>
      <c r="P366" s="40" t="n">
        <f aca="true">RAND()</f>
        <v>0.752376597663524</v>
      </c>
      <c r="Q366" s="40" t="n">
        <f aca="true">RAND()</f>
        <v>0.320834305379418</v>
      </c>
      <c r="R366" s="40" t="n">
        <f aca="true">RAND()</f>
        <v>0.0887412540762111</v>
      </c>
      <c r="S366" s="40" t="n">
        <f aca="true">RAND()</f>
        <v>0.984599575902412</v>
      </c>
      <c r="T366" s="40" t="n">
        <f aca="true">RAND()</f>
        <v>0.315412302513784</v>
      </c>
      <c r="U366" s="40" t="n">
        <f aca="true">RAND()</f>
        <v>0.672407428140976</v>
      </c>
    </row>
    <row r="367" customFormat="false" ht="15" hidden="false" customHeight="false" outlineLevel="0" collapsed="false">
      <c r="A367" s="36" t="n">
        <v>287</v>
      </c>
      <c r="B367" s="37" t="n">
        <f aca="false">1+IF($G$6=$E$6,$F$6,IF(P367&lt;($F$6-$E$6)/($G$6-$E$6),$E$6+SQRT(P367*($G$6-$E$6)*($F$6-$E$6)),$G$6-SQRT((1-P367)*($G$6-$E$6)*($G$6-$F$6))))</f>
        <v>0.957913710239076</v>
      </c>
      <c r="C367" s="37" t="n">
        <f aca="false">1+IF($G$7=$E$7,$F$7,IF(Q367&lt;($F$7-$E$7)/($G$7-$E$7),$E$7+SQRT(Q367*($G$7-$E$7)*($F$7-$E$7)),$G$7-SQRT((1-Q367)*($G$7-$E$7)*($G$7-$F$7))))</f>
        <v>0.835780359240042</v>
      </c>
      <c r="D367" s="37" t="n">
        <f aca="false">1+IF($G$8=$E$8,$F$8,IF(R367&lt;($F$8-$E$8)/($G$8-$E$8),$E$8+SQRT(R367*($G$8-$E$8)*($F$8-$E$8)),$G$8-SQRT((1-R367)*($G$8-$E$8)*($G$8-$F$8))))</f>
        <v>1.05296038167021</v>
      </c>
      <c r="E367" s="37" t="n">
        <f aca="false">1+IF($G$9=$E$9,$F$9,IF(S367&lt;($F$9-$E$9)/($G$9-$E$9),$E$9+SQRT(S367*($G$9-$E$9)*($F$9-$E$9)),$G$9-SQRT((1-S367)*($G$9-$E$9)*($G$9-$F$9))))</f>
        <v>0.929026667622176</v>
      </c>
      <c r="F367" s="37" t="n">
        <f aca="false">1+IF($G$10=$E$10,$F$10,IF(T367&lt;($F$10-$E$10)/($G$10-$E$10),$E$10+SQRT(T367*($G$10-$E$10)*($F$10-$E$10)),$G$10-SQRT((1-T367)*($G$10-$E$10)*($G$10-$F$10))))</f>
        <v>1.17637517428507</v>
      </c>
      <c r="G367" s="38" t="n">
        <f aca="false">IF($G$11=$E$11,$F$11,IF(U367&lt;($F$11-$E$11)/($G$11-$E$11),$E$11+SQRT(U367*($G$11-$E$11)*($F$11-$E$11)),$G$11-SQRT((1-U367)*($G$11-$E$11)*($G$11-$F$11))))</f>
        <v>0.0854966516457137</v>
      </c>
      <c r="H367" s="39" t="n">
        <f aca="false">(('Business Case'!B11*$C367*'Business Case'!B12*$B367)-'Business Case'!B11*$C367*'Business Case'!B13*$D367-'Business Case'!B14*$E367)-MAX(0,(('Business Case'!B11*$C367*'Business Case'!B12*$B367)-'Business Case'!B11*$C367*'Business Case'!B13*$D367-'Business Case'!B14*$E367))*'Business Case'!$B$7-'Business Case'!$B$8*('Business Case'!B11*$C367*'Business Case'!B12*$B367)-'Business Case'!B15*$F367</f>
        <v>-2352750348.57014</v>
      </c>
      <c r="I367" s="39" t="n">
        <f aca="false">(('Business Case'!C11*$C367*'Business Case'!C12*$B367)-'Business Case'!C11*$C367*'Business Case'!C13*$D367-'Business Case'!C14*$E367)-MAX(0,(('Business Case'!C11*$C367*'Business Case'!C12*$B367)-'Business Case'!C11*$C367*'Business Case'!C13*$D367-'Business Case'!C14*$E367))*'Business Case'!$B$7-'Business Case'!$B$8*(('Business Case'!C11*$C367*'Business Case'!C12*$B367)-('Business Case'!B11*$C367*'Business Case'!B12*$B367))-'Business Case'!C15*$F367</f>
        <v>-86006900.3585415</v>
      </c>
      <c r="J367" s="39" t="n">
        <f aca="false">(('Business Case'!D11*$C367*'Business Case'!D12*$B367)-'Business Case'!D11*$C367*'Business Case'!D13*$D367-'Business Case'!D14*$E367)-MAX(0,(('Business Case'!D11*$C367*'Business Case'!D12*$B367)-'Business Case'!D11*$C367*'Business Case'!D13*$D367-'Business Case'!D14*$E367))*'Business Case'!$B$7-'Business Case'!$B$8*(('Business Case'!D11*$C367*'Business Case'!D12*$B367)-('Business Case'!C11*$C367*'Business Case'!C12*$B367))-'Business Case'!D15*$F367</f>
        <v>119234696.145877</v>
      </c>
      <c r="K367" s="39" t="n">
        <f aca="false">(('Business Case'!E11*$C367*'Business Case'!E12*$B367)-'Business Case'!E11*$C367*'Business Case'!E13*$D367-'Business Case'!E14*$E367)-MAX(0,(('Business Case'!E11*$C367*'Business Case'!E12*$B367)-'Business Case'!E11*$C367*'Business Case'!E13*$D367-'Business Case'!E14*$E367))*'Business Case'!$B$7-'Business Case'!$B$8*(('Business Case'!E11*$C367*'Business Case'!E12*$B367)-('Business Case'!D11*$C367*'Business Case'!D12*$B367))-'Business Case'!E15*$F367</f>
        <v>383295051.364549</v>
      </c>
      <c r="L367" s="39" t="n">
        <f aca="false">(('Business Case'!F11*$C367*'Business Case'!F12*$B367)-'Business Case'!F11*$C367*'Business Case'!F13*$D367-'Business Case'!F14*$E367)-MAX(0,(('Business Case'!F11*$C367*'Business Case'!F12*$B367)-'Business Case'!F11*$C367*'Business Case'!F13*$D367-'Business Case'!F14*$E367))*'Business Case'!$B$7-'Business Case'!$B$8*(('Business Case'!F11*$C367*'Business Case'!F12*$B367)-('Business Case'!E11*$C367*'Business Case'!E12*$B367))-'Business Case'!F15*$F367</f>
        <v>479377841.731741</v>
      </c>
      <c r="M367" s="39" t="n">
        <f aca="false">(('Business Case'!G11*$C367*'Business Case'!G12*$B367)-'Business Case'!G11*$C367*'Business Case'!G13*$D367-'Business Case'!G14*$E367)-MAX(0,(('Business Case'!G11*$C367*'Business Case'!G12*$B367)-'Business Case'!G11*$C367*'Business Case'!G13*$D367-'Business Case'!G14*$E367))*'Business Case'!$B$7-'Business Case'!$B$8*(('Business Case'!G11*$C367*'Business Case'!G12*$B367)-('Business Case'!F11*$C367*'Business Case'!F12*$B367))-'Business Case'!G15*$F367+'Business Case'!$B$8*('Business Case'!G11*$C367*'Business Case'!G12*$B367)</f>
        <v>631556928.4932</v>
      </c>
      <c r="N367" s="39" t="n">
        <f aca="false">IF(COUNT('Business Case'!B11:G11)=0,"",H367+NPV(G367,I367:M367))</f>
        <v>-1266789968.57983</v>
      </c>
      <c r="P367" s="40" t="n">
        <f aca="true">RAND()</f>
        <v>0.223599855577043</v>
      </c>
      <c r="Q367" s="40" t="n">
        <f aca="true">RAND()</f>
        <v>0.136565229298924</v>
      </c>
      <c r="R367" s="40" t="n">
        <f aca="true">RAND()</f>
        <v>0.852484953825849</v>
      </c>
      <c r="S367" s="40" t="n">
        <f aca="true">RAND()</f>
        <v>0.0337018973299307</v>
      </c>
      <c r="T367" s="40" t="n">
        <f aca="true">RAND()</f>
        <v>0.927725133845949</v>
      </c>
      <c r="U367" s="40" t="n">
        <f aca="true">RAND()</f>
        <v>0.0302131793143276</v>
      </c>
    </row>
    <row r="368" customFormat="false" ht="15" hidden="false" customHeight="false" outlineLevel="0" collapsed="false">
      <c r="A368" s="36" t="n">
        <v>288</v>
      </c>
      <c r="B368" s="37" t="n">
        <f aca="false">1+IF($G$6=$E$6,$F$6,IF(P368&lt;($F$6-$E$6)/($G$6-$E$6),$E$6+SQRT(P368*($G$6-$E$6)*($F$6-$E$6)),$G$6-SQRT((1-P368)*($G$6-$E$6)*($G$6-$F$6))))</f>
        <v>1.01910501977757</v>
      </c>
      <c r="C368" s="37" t="n">
        <f aca="false">1+IF($G$7=$E$7,$F$7,IF(Q368&lt;($F$7-$E$7)/($G$7-$E$7),$E$7+SQRT(Q368*($G$7-$E$7)*($F$7-$E$7)),$G$7-SQRT((1-Q368)*($G$7-$E$7)*($G$7-$F$7))))</f>
        <v>0.955293763470497</v>
      </c>
      <c r="D368" s="37" t="n">
        <f aca="false">1+IF($G$8=$E$8,$F$8,IF(R368&lt;($F$8-$E$8)/($G$8-$E$8),$E$8+SQRT(R368*($G$8-$E$8)*($F$8-$E$8)),$G$8-SQRT((1-R368)*($G$8-$E$8)*($G$8-$F$8))))</f>
        <v>1.02587476753167</v>
      </c>
      <c r="E368" s="37" t="n">
        <f aca="false">1+IF($G$9=$E$9,$F$9,IF(S368&lt;($F$9-$E$9)/($G$9-$E$9),$E$9+SQRT(S368*($G$9-$E$9)*($F$9-$E$9)),$G$9-SQRT((1-S368)*($G$9-$E$9)*($G$9-$F$9))))</f>
        <v>1.00915907677942</v>
      </c>
      <c r="F368" s="37" t="n">
        <f aca="false">1+IF($G$10=$E$10,$F$10,IF(T368&lt;($F$10-$E$10)/($G$10-$E$10),$E$10+SQRT(T368*($G$10-$E$10)*($F$10-$E$10)),$G$10-SQRT((1-T368)*($G$10-$E$10)*($G$10-$F$10))))</f>
        <v>1.05193101845743</v>
      </c>
      <c r="G368" s="38" t="n">
        <f aca="false">IF($G$11=$E$11,$F$11,IF(U368&lt;($F$11-$E$11)/($G$11-$E$11),$E$11+SQRT(U368*($G$11-$E$11)*($F$11-$E$11)),$G$11-SQRT((1-U368)*($G$11-$E$11)*($G$11-$F$11))))</f>
        <v>0.0941365475021148</v>
      </c>
      <c r="H368" s="39" t="n">
        <f aca="false">(('Business Case'!B11*$C368*'Business Case'!B12*$B368)-'Business Case'!B11*$C368*'Business Case'!B13*$D368-'Business Case'!B14*$E368)-MAX(0,(('Business Case'!B11*$C368*'Business Case'!B12*$B368)-'Business Case'!B11*$C368*'Business Case'!B13*$D368-'Business Case'!B14*$E368))*'Business Case'!$B$7-'Business Case'!$B$8*('Business Case'!B11*$C368*'Business Case'!B12*$B368)-'Business Case'!B15*$F368</f>
        <v>-2103862036.91486</v>
      </c>
      <c r="I368" s="39" t="n">
        <f aca="false">(('Business Case'!C11*$C368*'Business Case'!C12*$B368)-'Business Case'!C11*$C368*'Business Case'!C13*$D368-'Business Case'!C14*$E368)-MAX(0,(('Business Case'!C11*$C368*'Business Case'!C12*$B368)-'Business Case'!C11*$C368*'Business Case'!C13*$D368-'Business Case'!C14*$E368))*'Business Case'!$B$7-'Business Case'!$B$8*(('Business Case'!C11*$C368*'Business Case'!C12*$B368)-('Business Case'!B11*$C368*'Business Case'!B12*$B368))-'Business Case'!C15*$F368</f>
        <v>-3448522.56027494</v>
      </c>
      <c r="J368" s="39" t="n">
        <f aca="false">(('Business Case'!D11*$C368*'Business Case'!D12*$B368)-'Business Case'!D11*$C368*'Business Case'!D13*$D368-'Business Case'!D14*$E368)-MAX(0,(('Business Case'!D11*$C368*'Business Case'!D12*$B368)-'Business Case'!D11*$C368*'Business Case'!D13*$D368-'Business Case'!D14*$E368))*'Business Case'!$B$7-'Business Case'!$B$8*(('Business Case'!D11*$C368*'Business Case'!D12*$B368)-('Business Case'!C11*$C368*'Business Case'!C12*$B368))-'Business Case'!D15*$F368</f>
        <v>292267033.121251</v>
      </c>
      <c r="K368" s="39" t="n">
        <f aca="false">(('Business Case'!E11*$C368*'Business Case'!E12*$B368)-'Business Case'!E11*$C368*'Business Case'!E13*$D368-'Business Case'!E14*$E368)-MAX(0,(('Business Case'!E11*$C368*'Business Case'!E12*$B368)-'Business Case'!E11*$C368*'Business Case'!E13*$D368-'Business Case'!E14*$E368))*'Business Case'!$B$7-'Business Case'!$B$8*(('Business Case'!E11*$C368*'Business Case'!E12*$B368)-('Business Case'!D11*$C368*'Business Case'!D12*$B368))-'Business Case'!E15*$F368</f>
        <v>640579139.725649</v>
      </c>
      <c r="L368" s="39" t="n">
        <f aca="false">(('Business Case'!F11*$C368*'Business Case'!F12*$B368)-'Business Case'!F11*$C368*'Business Case'!F13*$D368-'Business Case'!F14*$E368)-MAX(0,(('Business Case'!F11*$C368*'Business Case'!F12*$B368)-'Business Case'!F11*$C368*'Business Case'!F13*$D368-'Business Case'!F14*$E368))*'Business Case'!$B$7-'Business Case'!$B$8*(('Business Case'!F11*$C368*'Business Case'!F12*$B368)-('Business Case'!E11*$C368*'Business Case'!E12*$B368))-'Business Case'!F15*$F368</f>
        <v>772796695.404841</v>
      </c>
      <c r="M368" s="39" t="n">
        <f aca="false">(('Business Case'!G11*$C368*'Business Case'!G12*$B368)-'Business Case'!G11*$C368*'Business Case'!G13*$D368-'Business Case'!G14*$E368)-MAX(0,(('Business Case'!G11*$C368*'Business Case'!G12*$B368)-'Business Case'!G11*$C368*'Business Case'!G13*$D368-'Business Case'!G14*$E368))*'Business Case'!$B$7-'Business Case'!$B$8*(('Business Case'!G11*$C368*'Business Case'!G12*$B368)-('Business Case'!F11*$C368*'Business Case'!F12*$B368))-'Business Case'!G15*$F368+'Business Case'!$B$8*('Business Case'!G11*$C368*'Business Case'!G12*$B368)</f>
        <v>957848066.224267</v>
      </c>
      <c r="N368" s="39" t="n">
        <f aca="false">IF(COUNT('Business Case'!B11:G11)=0,"",H368+NPV(G368,I368:M368))</f>
        <v>-223726927.273899</v>
      </c>
      <c r="P368" s="40" t="n">
        <f aca="true">RAND()</f>
        <v>0.872733359607425</v>
      </c>
      <c r="Q368" s="40" t="n">
        <f aca="true">RAND()</f>
        <v>0.482777079014297</v>
      </c>
      <c r="R368" s="40" t="n">
        <f aca="true">RAND()</f>
        <v>0.633696660767743</v>
      </c>
      <c r="S368" s="40" t="n">
        <f aca="true">RAND()</f>
        <v>0.471035582569985</v>
      </c>
      <c r="T368" s="40" t="n">
        <f aca="true">RAND()</f>
        <v>0.476915714009174</v>
      </c>
      <c r="U368" s="40" t="n">
        <f aca="true">RAND()</f>
        <v>0.199841975279548</v>
      </c>
    </row>
    <row r="369" customFormat="false" ht="15" hidden="false" customHeight="false" outlineLevel="0" collapsed="false">
      <c r="A369" s="36" t="n">
        <v>289</v>
      </c>
      <c r="B369" s="37" t="n">
        <f aca="false">1+IF($G$6=$E$6,$F$6,IF(P369&lt;($F$6-$E$6)/($G$6-$E$6),$E$6+SQRT(P369*($G$6-$E$6)*($F$6-$E$6)),$G$6-SQRT((1-P369)*($G$6-$E$6)*($G$6-$F$6))))</f>
        <v>0.986142677716156</v>
      </c>
      <c r="C369" s="37" t="n">
        <f aca="false">1+IF($G$7=$E$7,$F$7,IF(Q369&lt;($F$7-$E$7)/($G$7-$E$7),$E$7+SQRT(Q369*($G$7-$E$7)*($F$7-$E$7)),$G$7-SQRT((1-Q369)*($G$7-$E$7)*($G$7-$F$7))))</f>
        <v>0.851068267608103</v>
      </c>
      <c r="D369" s="37" t="n">
        <f aca="false">1+IF($G$8=$E$8,$F$8,IF(R369&lt;($F$8-$E$8)/($G$8-$E$8),$E$8+SQRT(R369*($G$8-$E$8)*($F$8-$E$8)),$G$8-SQRT((1-R369)*($G$8-$E$8)*($G$8-$F$8))))</f>
        <v>0.994180327838628</v>
      </c>
      <c r="E369" s="37" t="n">
        <f aca="false">1+IF($G$9=$E$9,$F$9,IF(S369&lt;($F$9-$E$9)/($G$9-$E$9),$E$9+SQRT(S369*($G$9-$E$9)*($F$9-$E$9)),$G$9-SQRT((1-S369)*($G$9-$E$9)*($G$9-$F$9))))</f>
        <v>0.995847353482546</v>
      </c>
      <c r="F369" s="37" t="n">
        <f aca="false">1+IF($G$10=$E$10,$F$10,IF(T369&lt;($F$10-$E$10)/($G$10-$E$10),$E$10+SQRT(T369*($G$10-$E$10)*($F$10-$E$10)),$G$10-SQRT((1-T369)*($G$10-$E$10)*($G$10-$F$10))))</f>
        <v>1.06713858514382</v>
      </c>
      <c r="G369" s="38" t="n">
        <f aca="false">IF($G$11=$E$11,$F$11,IF(U369&lt;($F$11-$E$11)/($G$11-$E$11),$E$11+SQRT(U369*($G$11-$E$11)*($F$11-$E$11)),$G$11-SQRT((1-U369)*($G$11-$E$11)*($G$11-$F$11))))</f>
        <v>0.0987988560841669</v>
      </c>
      <c r="H369" s="39" t="n">
        <f aca="false">(('Business Case'!B11*$C369*'Business Case'!B12*$B369)-'Business Case'!B11*$C369*'Business Case'!B13*$D369-'Business Case'!B14*$E369)-MAX(0,(('Business Case'!B11*$C369*'Business Case'!B12*$B369)-'Business Case'!B11*$C369*'Business Case'!B13*$D369-'Business Case'!B14*$E369))*'Business Case'!$B$7-'Business Case'!$B$8*('Business Case'!B11*$C369*'Business Case'!B12*$B369)-'Business Case'!B15*$F369</f>
        <v>-2134277170.28765</v>
      </c>
      <c r="I369" s="39" t="n">
        <f aca="false">(('Business Case'!C11*$C369*'Business Case'!C12*$B369)-'Business Case'!C11*$C369*'Business Case'!C13*$D369-'Business Case'!C14*$E369)-MAX(0,(('Business Case'!C11*$C369*'Business Case'!C12*$B369)-'Business Case'!C11*$C369*'Business Case'!C13*$D369-'Business Case'!C14*$E369))*'Business Case'!$B$7-'Business Case'!$B$8*(('Business Case'!C11*$C369*'Business Case'!C12*$B369)-('Business Case'!B11*$C369*'Business Case'!B12*$B369))-'Business Case'!C15*$F369</f>
        <v>-37548273.9775009</v>
      </c>
      <c r="J369" s="39" t="n">
        <f aca="false">(('Business Case'!D11*$C369*'Business Case'!D12*$B369)-'Business Case'!D11*$C369*'Business Case'!D13*$D369-'Business Case'!D14*$E369)-MAX(0,(('Business Case'!D11*$C369*'Business Case'!D12*$B369)-'Business Case'!D11*$C369*'Business Case'!D13*$D369-'Business Case'!D14*$E369))*'Business Case'!$B$7-'Business Case'!$B$8*(('Business Case'!D11*$C369*'Business Case'!D12*$B369)-('Business Case'!C11*$C369*'Business Case'!C12*$B369))-'Business Case'!D15*$F369</f>
        <v>216734806.763736</v>
      </c>
      <c r="K369" s="39" t="n">
        <f aca="false">(('Business Case'!E11*$C369*'Business Case'!E12*$B369)-'Business Case'!E11*$C369*'Business Case'!E13*$D369-'Business Case'!E14*$E369)-MAX(0,(('Business Case'!E11*$C369*'Business Case'!E12*$B369)-'Business Case'!E11*$C369*'Business Case'!E13*$D369-'Business Case'!E14*$E369))*'Business Case'!$B$7-'Business Case'!$B$8*(('Business Case'!E11*$C369*'Business Case'!E12*$B369)-('Business Case'!D11*$C369*'Business Case'!D12*$B369))-'Business Case'!E15*$F369</f>
        <v>524374816.762165</v>
      </c>
      <c r="L369" s="39" t="n">
        <f aca="false">(('Business Case'!F11*$C369*'Business Case'!F12*$B369)-'Business Case'!F11*$C369*'Business Case'!F13*$D369-'Business Case'!F14*$E369)-MAX(0,(('Business Case'!F11*$C369*'Business Case'!F12*$B369)-'Business Case'!F11*$C369*'Business Case'!F13*$D369-'Business Case'!F14*$E369))*'Business Case'!$B$7-'Business Case'!$B$8*(('Business Case'!F11*$C369*'Business Case'!F12*$B369)-('Business Case'!E11*$C369*'Business Case'!E12*$B369))-'Business Case'!F15*$F369</f>
        <v>638141178.702003</v>
      </c>
      <c r="M369" s="39" t="n">
        <f aca="false">(('Business Case'!G11*$C369*'Business Case'!G12*$B369)-'Business Case'!G11*$C369*'Business Case'!G13*$D369-'Business Case'!G14*$E369)-MAX(0,(('Business Case'!G11*$C369*'Business Case'!G12*$B369)-'Business Case'!G11*$C369*'Business Case'!G13*$D369-'Business Case'!G14*$E369))*'Business Case'!$B$7-'Business Case'!$B$8*(('Business Case'!G11*$C369*'Business Case'!G12*$B369)-('Business Case'!F11*$C369*'Business Case'!F12*$B369))-'Business Case'!G15*$F369+'Business Case'!$B$8*('Business Case'!G11*$C369*'Business Case'!G12*$B369)</f>
        <v>797670521.345508</v>
      </c>
      <c r="N369" s="39" t="n">
        <f aca="false">IF(COUNT('Business Case'!B11:G11)=0,"",H369+NPV(G369,I369:M369))</f>
        <v>-657902171.02373</v>
      </c>
      <c r="P369" s="40" t="n">
        <f aca="true">RAND()</f>
        <v>0.494704061607296</v>
      </c>
      <c r="Q369" s="40" t="n">
        <f aca="true">RAND()</f>
        <v>0.169049047986026</v>
      </c>
      <c r="R369" s="40" t="n">
        <f aca="true">RAND()</f>
        <v>0.260253515723822</v>
      </c>
      <c r="S369" s="40" t="n">
        <f aca="true">RAND()</f>
        <v>0.367468606784325</v>
      </c>
      <c r="T369" s="40" t="n">
        <f aca="true">RAND()</f>
        <v>0.55415603942396</v>
      </c>
      <c r="U369" s="40" t="n">
        <f aca="true">RAND()</f>
        <v>0.353396990073219</v>
      </c>
    </row>
    <row r="370" customFormat="false" ht="15" hidden="false" customHeight="false" outlineLevel="0" collapsed="false">
      <c r="A370" s="36" t="n">
        <v>290</v>
      </c>
      <c r="B370" s="37" t="n">
        <f aca="false">1+IF($G$6=$E$6,$F$6,IF(P370&lt;($F$6-$E$6)/($G$6-$E$6),$E$6+SQRT(P370*($G$6-$E$6)*($F$6-$E$6)),$G$6-SQRT((1-P370)*($G$6-$E$6)*($G$6-$F$6))))</f>
        <v>1.00149651422503</v>
      </c>
      <c r="C370" s="37" t="n">
        <f aca="false">1+IF($G$7=$E$7,$F$7,IF(Q370&lt;($F$7-$E$7)/($G$7-$E$7),$E$7+SQRT(Q370*($G$7-$E$7)*($F$7-$E$7)),$G$7-SQRT((1-Q370)*($G$7-$E$7)*($G$7-$F$7))))</f>
        <v>0.905871103843826</v>
      </c>
      <c r="D370" s="37" t="n">
        <f aca="false">1+IF($G$8=$E$8,$F$8,IF(R370&lt;($F$8-$E$8)/($G$8-$E$8),$E$8+SQRT(R370*($G$8-$E$8)*($F$8-$E$8)),$G$8-SQRT((1-R370)*($G$8-$E$8)*($G$8-$F$8))))</f>
        <v>1.04179299586401</v>
      </c>
      <c r="E370" s="37" t="n">
        <f aca="false">1+IF($G$9=$E$9,$F$9,IF(S370&lt;($F$9-$E$9)/($G$9-$E$9),$E$9+SQRT(S370*($G$9-$E$9)*($F$9-$E$9)),$G$9-SQRT((1-S370)*($G$9-$E$9)*($G$9-$F$9))))</f>
        <v>1.09046223460084</v>
      </c>
      <c r="F370" s="37" t="n">
        <f aca="false">1+IF($G$10=$E$10,$F$10,IF(T370&lt;($F$10-$E$10)/($G$10-$E$10),$E$10+SQRT(T370*($G$10-$E$10)*($F$10-$E$10)),$G$10-SQRT((1-T370)*($G$10-$E$10)*($G$10-$F$10))))</f>
        <v>1.12891143474328</v>
      </c>
      <c r="G370" s="38" t="n">
        <f aca="false">IF($G$11=$E$11,$F$11,IF(U370&lt;($F$11-$E$11)/($G$11-$E$11),$E$11+SQRT(U370*($G$11-$E$11)*($F$11-$E$11)),$G$11-SQRT((1-U370)*($G$11-$E$11)*($G$11-$F$11))))</f>
        <v>0.103928806360454</v>
      </c>
      <c r="H370" s="39" t="n">
        <f aca="false">(('Business Case'!B11*$C370*'Business Case'!B12*$B370)-'Business Case'!B11*$C370*'Business Case'!B13*$D370-'Business Case'!B14*$E370)-MAX(0,(('Business Case'!B11*$C370*'Business Case'!B12*$B370)-'Business Case'!B11*$C370*'Business Case'!B13*$D370-'Business Case'!B14*$E370))*'Business Case'!$B$7-'Business Case'!$B$8*('Business Case'!B11*$C370*'Business Case'!B12*$B370)-'Business Case'!B15*$F370</f>
        <v>-2257822869.48656</v>
      </c>
      <c r="I370" s="39" t="n">
        <f aca="false">(('Business Case'!C11*$C370*'Business Case'!C12*$B370)-'Business Case'!C11*$C370*'Business Case'!C13*$D370-'Business Case'!C14*$E370)-MAX(0,(('Business Case'!C11*$C370*'Business Case'!C12*$B370)-'Business Case'!C11*$C370*'Business Case'!C13*$D370-'Business Case'!C14*$E370))*'Business Case'!$B$7-'Business Case'!$B$8*(('Business Case'!C11*$C370*'Business Case'!C12*$B370)-('Business Case'!B11*$C370*'Business Case'!B12*$B370))-'Business Case'!C15*$F370</f>
        <v>-55015826.4121477</v>
      </c>
      <c r="J370" s="39" t="n">
        <f aca="false">(('Business Case'!D11*$C370*'Business Case'!D12*$B370)-'Business Case'!D11*$C370*'Business Case'!D13*$D370-'Business Case'!D14*$E370)-MAX(0,(('Business Case'!D11*$C370*'Business Case'!D12*$B370)-'Business Case'!D11*$C370*'Business Case'!D13*$D370-'Business Case'!D14*$E370))*'Business Case'!$B$7-'Business Case'!$B$8*(('Business Case'!D11*$C370*'Business Case'!D12*$B370)-('Business Case'!C11*$C370*'Business Case'!C12*$B370))-'Business Case'!D15*$F370</f>
        <v>204953855.277331</v>
      </c>
      <c r="K370" s="39" t="n">
        <f aca="false">(('Business Case'!E11*$C370*'Business Case'!E12*$B370)-'Business Case'!E11*$C370*'Business Case'!E13*$D370-'Business Case'!E14*$E370)-MAX(0,(('Business Case'!E11*$C370*'Business Case'!E12*$B370)-'Business Case'!E11*$C370*'Business Case'!E13*$D370-'Business Case'!E14*$E370))*'Business Case'!$B$7-'Business Case'!$B$8*(('Business Case'!E11*$C370*'Business Case'!E12*$B370)-('Business Case'!D11*$C370*'Business Case'!D12*$B370))-'Business Case'!E15*$F370</f>
        <v>521369108.703973</v>
      </c>
      <c r="L370" s="39" t="n">
        <f aca="false">(('Business Case'!F11*$C370*'Business Case'!F12*$B370)-'Business Case'!F11*$C370*'Business Case'!F13*$D370-'Business Case'!F14*$E370)-MAX(0,(('Business Case'!F11*$C370*'Business Case'!F12*$B370)-'Business Case'!F11*$C370*'Business Case'!F13*$D370-'Business Case'!F14*$E370))*'Business Case'!$B$7-'Business Case'!$B$8*(('Business Case'!F11*$C370*'Business Case'!F12*$B370)-('Business Case'!E11*$C370*'Business Case'!E12*$B370))-'Business Case'!F15*$F370</f>
        <v>639379425.845171</v>
      </c>
      <c r="M370" s="39" t="n">
        <f aca="false">(('Business Case'!G11*$C370*'Business Case'!G12*$B370)-'Business Case'!G11*$C370*'Business Case'!G13*$D370-'Business Case'!G14*$E370)-MAX(0,(('Business Case'!G11*$C370*'Business Case'!G12*$B370)-'Business Case'!G11*$C370*'Business Case'!G13*$D370-'Business Case'!G14*$E370))*'Business Case'!$B$7-'Business Case'!$B$8*(('Business Case'!G11*$C370*'Business Case'!G12*$B370)-('Business Case'!F11*$C370*'Business Case'!F12*$B370))-'Business Case'!G15*$F370+'Business Case'!$B$8*('Business Case'!G11*$C370*'Business Case'!G12*$B370)</f>
        <v>811825087.024384</v>
      </c>
      <c r="N370" s="39" t="n">
        <f aca="false">IF(COUNT('Business Case'!B11:G11)=0,"",H370+NPV(G370,I370:M370))</f>
        <v>-826240188.293612</v>
      </c>
      <c r="P370" s="40" t="n">
        <f aca="true">RAND()</f>
        <v>0.686321582356922</v>
      </c>
      <c r="Q370" s="40" t="n">
        <f aca="true">RAND()</f>
        <v>0.313947491836114</v>
      </c>
      <c r="R370" s="40" t="n">
        <f aca="true">RAND()</f>
        <v>0.774129644634203</v>
      </c>
      <c r="S370" s="40" t="n">
        <f aca="true">RAND()</f>
        <v>0.905473453100661</v>
      </c>
      <c r="T370" s="40" t="n">
        <f aca="true">RAND()</f>
        <v>0.804500791520928</v>
      </c>
      <c r="U370" s="40" t="n">
        <f aca="true">RAND()</f>
        <v>0.546861908139528</v>
      </c>
    </row>
    <row r="371" customFormat="false" ht="15" hidden="false" customHeight="false" outlineLevel="0" collapsed="false">
      <c r="A371" s="36" t="n">
        <v>291</v>
      </c>
      <c r="B371" s="37" t="n">
        <f aca="false">1+IF($G$6=$E$6,$F$6,IF(P371&lt;($F$6-$E$6)/($G$6-$E$6),$E$6+SQRT(P371*($G$6-$E$6)*($F$6-$E$6)),$G$6-SQRT((1-P371)*($G$6-$E$6)*($G$6-$F$6))))</f>
        <v>0.972916385258119</v>
      </c>
      <c r="C371" s="37" t="n">
        <f aca="false">1+IF($G$7=$E$7,$F$7,IF(Q371&lt;($F$7-$E$7)/($G$7-$E$7),$E$7+SQRT(Q371*($G$7-$E$7)*($F$7-$E$7)),$G$7-SQRT((1-Q371)*($G$7-$E$7)*($G$7-$F$7))))</f>
        <v>0.918451529898489</v>
      </c>
      <c r="D371" s="37" t="n">
        <f aca="false">1+IF($G$8=$E$8,$F$8,IF(R371&lt;($F$8-$E$8)/($G$8-$E$8),$E$8+SQRT(R371*($G$8-$E$8)*($F$8-$E$8)),$G$8-SQRT((1-R371)*($G$8-$E$8)*($G$8-$F$8))))</f>
        <v>1.02313079918298</v>
      </c>
      <c r="E371" s="37" t="n">
        <f aca="false">1+IF($G$9=$E$9,$F$9,IF(S371&lt;($F$9-$E$9)/($G$9-$E$9),$E$9+SQRT(S371*($G$9-$E$9)*($F$9-$E$9)),$G$9-SQRT((1-S371)*($G$9-$E$9)*($G$9-$F$9))))</f>
        <v>1.00722367600951</v>
      </c>
      <c r="F371" s="37" t="n">
        <f aca="false">1+IF($G$10=$E$10,$F$10,IF(T371&lt;($F$10-$E$10)/($G$10-$E$10),$E$10+SQRT(T371*($G$10-$E$10)*($F$10-$E$10)),$G$10-SQRT((1-T371)*($G$10-$E$10)*($G$10-$F$10))))</f>
        <v>1.04944966876811</v>
      </c>
      <c r="G371" s="38" t="n">
        <f aca="false">IF($G$11=$E$11,$F$11,IF(U371&lt;($F$11-$E$11)/($G$11-$E$11),$E$11+SQRT(U371*($G$11-$E$11)*($F$11-$E$11)),$G$11-SQRT((1-U371)*($G$11-$E$11)*($G$11-$F$11))))</f>
        <v>0.109712317140599</v>
      </c>
      <c r="H371" s="39" t="n">
        <f aca="false">(('Business Case'!B11*$C371*'Business Case'!B12*$B371)-'Business Case'!B11*$C371*'Business Case'!B13*$D371-'Business Case'!B14*$E371)-MAX(0,(('Business Case'!B11*$C371*'Business Case'!B12*$B371)-'Business Case'!B11*$C371*'Business Case'!B13*$D371-'Business Case'!B14*$E371))*'Business Case'!$B$7-'Business Case'!$B$8*('Business Case'!B11*$C371*'Business Case'!B12*$B371)-'Business Case'!B15*$F371</f>
        <v>-2098899337.53623</v>
      </c>
      <c r="I371" s="39" t="n">
        <f aca="false">(('Business Case'!C11*$C371*'Business Case'!C12*$B371)-'Business Case'!C11*$C371*'Business Case'!C13*$D371-'Business Case'!C14*$E371)-MAX(0,(('Business Case'!C11*$C371*'Business Case'!C12*$B371)-'Business Case'!C11*$C371*'Business Case'!C13*$D371-'Business Case'!C14*$E371))*'Business Case'!$B$7-'Business Case'!$B$8*(('Business Case'!C11*$C371*'Business Case'!C12*$B371)-('Business Case'!B11*$C371*'Business Case'!B12*$B371))-'Business Case'!C15*$F371</f>
        <v>-43640856.5348814</v>
      </c>
      <c r="J371" s="39" t="n">
        <f aca="false">(('Business Case'!D11*$C371*'Business Case'!D12*$B371)-'Business Case'!D11*$C371*'Business Case'!D13*$D371-'Business Case'!D14*$E371)-MAX(0,(('Business Case'!D11*$C371*'Business Case'!D12*$B371)-'Business Case'!D11*$C371*'Business Case'!D13*$D371-'Business Case'!D14*$E371))*'Business Case'!$B$7-'Business Case'!$B$8*(('Business Case'!D11*$C371*'Business Case'!D12*$B371)-('Business Case'!C11*$C371*'Business Case'!C12*$B371))-'Business Case'!D15*$F371</f>
        <v>207213468.498989</v>
      </c>
      <c r="K371" s="39" t="n">
        <f aca="false">(('Business Case'!E11*$C371*'Business Case'!E12*$B371)-'Business Case'!E11*$C371*'Business Case'!E13*$D371-'Business Case'!E14*$E371)-MAX(0,(('Business Case'!E11*$C371*'Business Case'!E12*$B371)-'Business Case'!E11*$C371*'Business Case'!E13*$D371-'Business Case'!E14*$E371))*'Business Case'!$B$7-'Business Case'!$B$8*(('Business Case'!E11*$C371*'Business Case'!E12*$B371)-('Business Case'!D11*$C371*'Business Case'!D12*$B371))-'Business Case'!E15*$F371</f>
        <v>510540276.971265</v>
      </c>
      <c r="L371" s="39" t="n">
        <f aca="false">(('Business Case'!F11*$C371*'Business Case'!F12*$B371)-'Business Case'!F11*$C371*'Business Case'!F13*$D371-'Business Case'!F14*$E371)-MAX(0,(('Business Case'!F11*$C371*'Business Case'!F12*$B371)-'Business Case'!F11*$C371*'Business Case'!F13*$D371-'Business Case'!F14*$E371))*'Business Case'!$B$7-'Business Case'!$B$8*(('Business Case'!F11*$C371*'Business Case'!F12*$B371)-('Business Case'!E11*$C371*'Business Case'!E12*$B371))-'Business Case'!F15*$F371</f>
        <v>625040390.624814</v>
      </c>
      <c r="M371" s="39" t="n">
        <f aca="false">(('Business Case'!G11*$C371*'Business Case'!G12*$B371)-'Business Case'!G11*$C371*'Business Case'!G13*$D371-'Business Case'!G14*$E371)-MAX(0,(('Business Case'!G11*$C371*'Business Case'!G12*$B371)-'Business Case'!G11*$C371*'Business Case'!G13*$D371-'Business Case'!G14*$E371))*'Business Case'!$B$7-'Business Case'!$B$8*(('Business Case'!G11*$C371*'Business Case'!G12*$B371)-('Business Case'!F11*$C371*'Business Case'!F12*$B371))-'Business Case'!G15*$F371+'Business Case'!$B$8*('Business Case'!G11*$C371*'Business Case'!G12*$B371)</f>
        <v>794891419.823903</v>
      </c>
      <c r="N371" s="39" t="n">
        <f aca="false">IF(COUNT('Business Case'!B11:G11)=0,"",H371+NPV(G371,I371:M371))</f>
        <v>-711864528.829394</v>
      </c>
      <c r="P371" s="40" t="n">
        <f aca="true">RAND()</f>
        <v>0.354453282607362</v>
      </c>
      <c r="Q371" s="40" t="n">
        <f aca="true">RAND()</f>
        <v>0.353489414185115</v>
      </c>
      <c r="R371" s="40" t="n">
        <f aca="true">RAND()</f>
        <v>0.606075064383463</v>
      </c>
      <c r="S371" s="40" t="n">
        <f aca="true">RAND()</f>
        <v>0.45639790154033</v>
      </c>
      <c r="T371" s="40" t="n">
        <f aca="true">RAND()</f>
        <v>0.463727528570415</v>
      </c>
      <c r="U371" s="40" t="n">
        <f aca="true">RAND()</f>
        <v>0.725606616130902</v>
      </c>
    </row>
    <row r="372" customFormat="false" ht="15" hidden="false" customHeight="false" outlineLevel="0" collapsed="false">
      <c r="A372" s="36" t="n">
        <v>292</v>
      </c>
      <c r="B372" s="37" t="n">
        <f aca="false">1+IF($G$6=$E$6,$F$6,IF(P372&lt;($F$6-$E$6)/($G$6-$E$6),$E$6+SQRT(P372*($G$6-$E$6)*($F$6-$E$6)),$G$6-SQRT((1-P372)*($G$6-$E$6)*($G$6-$F$6))))</f>
        <v>0.935341929442504</v>
      </c>
      <c r="C372" s="37" t="n">
        <f aca="false">1+IF($G$7=$E$7,$F$7,IF(Q372&lt;($F$7-$E$7)/($G$7-$E$7),$E$7+SQRT(Q372*($G$7-$E$7)*($F$7-$E$7)),$G$7-SQRT((1-Q372)*($G$7-$E$7)*($G$7-$F$7))))</f>
        <v>1.08392040631867</v>
      </c>
      <c r="D372" s="37" t="n">
        <f aca="false">1+IF($G$8=$E$8,$F$8,IF(R372&lt;($F$8-$E$8)/($G$8-$E$8),$E$8+SQRT(R372*($G$8-$E$8)*($F$8-$E$8)),$G$8-SQRT((1-R372)*($G$8-$E$8)*($G$8-$F$8))))</f>
        <v>0.964158911545909</v>
      </c>
      <c r="E372" s="37" t="n">
        <f aca="false">1+IF($G$9=$E$9,$F$9,IF(S372&lt;($F$9-$E$9)/($G$9-$E$9),$E$9+SQRT(S372*($G$9-$E$9)*($F$9-$E$9)),$G$9-SQRT((1-S372)*($G$9-$E$9)*($G$9-$F$9))))</f>
        <v>1.01716677291313</v>
      </c>
      <c r="F372" s="37" t="n">
        <f aca="false">1+IF($G$10=$E$10,$F$10,IF(T372&lt;($F$10-$E$10)/($G$10-$E$10),$E$10+SQRT(T372*($G$10-$E$10)*($F$10-$E$10)),$G$10-SQRT((1-T372)*($G$10-$E$10)*($G$10-$F$10))))</f>
        <v>1.11481083849125</v>
      </c>
      <c r="G372" s="38" t="n">
        <f aca="false">IF($G$11=$E$11,$F$11,IF(U372&lt;($F$11-$E$11)/($G$11-$E$11),$E$11+SQRT(U372*($G$11-$E$11)*($F$11-$E$11)),$G$11-SQRT((1-U372)*($G$11-$E$11)*($G$11-$F$11))))</f>
        <v>0.108941314782645</v>
      </c>
      <c r="H372" s="39" t="n">
        <f aca="false">(('Business Case'!B11*$C372*'Business Case'!B12*$B372)-'Business Case'!B11*$C372*'Business Case'!B13*$D372-'Business Case'!B14*$E372)-MAX(0,(('Business Case'!B11*$C372*'Business Case'!B12*$B372)-'Business Case'!B11*$C372*'Business Case'!B13*$D372-'Business Case'!B14*$E372))*'Business Case'!$B$7-'Business Case'!$B$8*('Business Case'!B11*$C372*'Business Case'!B12*$B372)-'Business Case'!B15*$F372</f>
        <v>-2229621676.98249</v>
      </c>
      <c r="I372" s="39" t="n">
        <f aca="false">(('Business Case'!C11*$C372*'Business Case'!C12*$B372)-'Business Case'!C11*$C372*'Business Case'!C13*$D372-'Business Case'!C14*$E372)-MAX(0,(('Business Case'!C11*$C372*'Business Case'!C12*$B372)-'Business Case'!C11*$C372*'Business Case'!C13*$D372-'Business Case'!C14*$E372))*'Business Case'!$B$7-'Business Case'!$B$8*(('Business Case'!C11*$C372*'Business Case'!C12*$B372)-('Business Case'!B11*$C372*'Business Case'!B12*$B372))-'Business Case'!C15*$F372</f>
        <v>-13267632.4179738</v>
      </c>
      <c r="J372" s="39" t="n">
        <f aca="false">(('Business Case'!D11*$C372*'Business Case'!D12*$B372)-'Business Case'!D11*$C372*'Business Case'!D13*$D372-'Business Case'!D14*$E372)-MAX(0,(('Business Case'!D11*$C372*'Business Case'!D12*$B372)-'Business Case'!D11*$C372*'Business Case'!D13*$D372-'Business Case'!D14*$E372))*'Business Case'!$B$7-'Business Case'!$B$8*(('Business Case'!D11*$C372*'Business Case'!D12*$B372)-('Business Case'!C11*$C372*'Business Case'!C12*$B372))-'Business Case'!D15*$F372</f>
        <v>282144202.947577</v>
      </c>
      <c r="K372" s="39" t="n">
        <f aca="false">(('Business Case'!E11*$C372*'Business Case'!E12*$B372)-'Business Case'!E11*$C372*'Business Case'!E13*$D372-'Business Case'!E14*$E372)-MAX(0,(('Business Case'!E11*$C372*'Business Case'!E12*$B372)-'Business Case'!E11*$C372*'Business Case'!E13*$D372-'Business Case'!E14*$E372))*'Business Case'!$B$7-'Business Case'!$B$8*(('Business Case'!E11*$C372*'Business Case'!E12*$B372)-('Business Case'!D11*$C372*'Business Case'!D12*$B372))-'Business Case'!E15*$F372</f>
        <v>633296580.237691</v>
      </c>
      <c r="L372" s="39" t="n">
        <f aca="false">(('Business Case'!F11*$C372*'Business Case'!F12*$B372)-'Business Case'!F11*$C372*'Business Case'!F13*$D372-'Business Case'!F14*$E372)-MAX(0,(('Business Case'!F11*$C372*'Business Case'!F12*$B372)-'Business Case'!F11*$C372*'Business Case'!F13*$D372-'Business Case'!F14*$E372))*'Business Case'!$B$7-'Business Case'!$B$8*(('Business Case'!F11*$C372*'Business Case'!F12*$B372)-('Business Case'!E11*$C372*'Business Case'!E12*$B372))-'Business Case'!F15*$F372</f>
        <v>766805371.243643</v>
      </c>
      <c r="M372" s="39" t="n">
        <f aca="false">(('Business Case'!G11*$C372*'Business Case'!G12*$B372)-'Business Case'!G11*$C372*'Business Case'!G13*$D372-'Business Case'!G14*$E372)-MAX(0,(('Business Case'!G11*$C372*'Business Case'!G12*$B372)-'Business Case'!G11*$C372*'Business Case'!G13*$D372-'Business Case'!G14*$E372))*'Business Case'!$B$7-'Business Case'!$B$8*(('Business Case'!G11*$C372*'Business Case'!G12*$B372)-('Business Case'!F11*$C372*'Business Case'!F12*$B372))-'Business Case'!G15*$F372+'Business Case'!$B$8*('Business Case'!G11*$C372*'Business Case'!G12*$B372)</f>
        <v>959515356.93954</v>
      </c>
      <c r="N372" s="39" t="n">
        <f aca="false">IF(COUNT('Business Case'!B11:G11)=0,"",H372+NPV(G372,I372:M372))</f>
        <v>-468566330.767129</v>
      </c>
      <c r="P372" s="40" t="n">
        <f aca="true">RAND()</f>
        <v>0.0832701317812596</v>
      </c>
      <c r="Q372" s="40" t="n">
        <f aca="true">RAND()</f>
        <v>0.935310922946828</v>
      </c>
      <c r="R372" s="40" t="n">
        <f aca="true">RAND()</f>
        <v>0.0267299701553169</v>
      </c>
      <c r="S372" s="40" t="n">
        <f aca="true">RAND()</f>
        <v>0.529475567511659</v>
      </c>
      <c r="T372" s="40" t="n">
        <f aca="true">RAND()</f>
        <v>0.756318541474131</v>
      </c>
      <c r="U372" s="40" t="n">
        <f aca="true">RAND()</f>
        <v>0.704354517944243</v>
      </c>
    </row>
    <row r="373" customFormat="false" ht="15" hidden="false" customHeight="false" outlineLevel="0" collapsed="false">
      <c r="A373" s="36" t="n">
        <v>293</v>
      </c>
      <c r="B373" s="37" t="n">
        <f aca="false">1+IF($G$6=$E$6,$F$6,IF(P373&lt;($F$6-$E$6)/($G$6-$E$6),$E$6+SQRT(P373*($G$6-$E$6)*($F$6-$E$6)),$G$6-SQRT((1-P373)*($G$6-$E$6)*($G$6-$F$6))))</f>
        <v>1.01259278070259</v>
      </c>
      <c r="C373" s="37" t="n">
        <f aca="false">1+IF($G$7=$E$7,$F$7,IF(Q373&lt;($F$7-$E$7)/($G$7-$E$7),$E$7+SQRT(Q373*($G$7-$E$7)*($F$7-$E$7)),$G$7-SQRT((1-Q373)*($G$7-$E$7)*($G$7-$F$7))))</f>
        <v>0.829299574881057</v>
      </c>
      <c r="D373" s="37" t="n">
        <f aca="false">1+IF($G$8=$E$8,$F$8,IF(R373&lt;($F$8-$E$8)/($G$8-$E$8),$E$8+SQRT(R373*($G$8-$E$8)*($F$8-$E$8)),$G$8-SQRT((1-R373)*($G$8-$E$8)*($G$8-$F$8))))</f>
        <v>1.01246849582102</v>
      </c>
      <c r="E373" s="37" t="n">
        <f aca="false">1+IF($G$9=$E$9,$F$9,IF(S373&lt;($F$9-$E$9)/($G$9-$E$9),$E$9+SQRT(S373*($G$9-$E$9)*($F$9-$E$9)),$G$9-SQRT((1-S373)*($G$9-$E$9)*($G$9-$F$9))))</f>
        <v>0.9805546389325</v>
      </c>
      <c r="F373" s="37" t="n">
        <f aca="false">1+IF($G$10=$E$10,$F$10,IF(T373&lt;($F$10-$E$10)/($G$10-$E$10),$E$10+SQRT(T373*($G$10-$E$10)*($F$10-$E$10)),$G$10-SQRT((1-T373)*($G$10-$E$10)*($G$10-$F$10))))</f>
        <v>0.986090995880256</v>
      </c>
      <c r="G373" s="38" t="n">
        <f aca="false">IF($G$11=$E$11,$F$11,IF(U373&lt;($F$11-$E$11)/($G$11-$E$11),$E$11+SQRT(U373*($G$11-$E$11)*($F$11-$E$11)),$G$11-SQRT((1-U373)*($G$11-$E$11)*($G$11-$F$11))))</f>
        <v>0.122561014601666</v>
      </c>
      <c r="H373" s="39" t="n">
        <f aca="false">(('Business Case'!B11*$C373*'Business Case'!B12*$B373)-'Business Case'!B11*$C373*'Business Case'!B13*$D373-'Business Case'!B14*$E373)-MAX(0,(('Business Case'!B11*$C373*'Business Case'!B12*$B373)-'Business Case'!B11*$C373*'Business Case'!B13*$D373-'Business Case'!B14*$E373))*'Business Case'!$B$7-'Business Case'!$B$8*('Business Case'!B11*$C373*'Business Case'!B12*$B373)-'Business Case'!B15*$F373</f>
        <v>-1972181991.76051</v>
      </c>
      <c r="I373" s="39" t="n">
        <f aca="false">(('Business Case'!C11*$C373*'Business Case'!C12*$B373)-'Business Case'!C11*$C373*'Business Case'!C13*$D373-'Business Case'!C14*$E373)-MAX(0,(('Business Case'!C11*$C373*'Business Case'!C12*$B373)-'Business Case'!C11*$C373*'Business Case'!C13*$D373-'Business Case'!C14*$E373))*'Business Case'!$B$7-'Business Case'!$B$8*(('Business Case'!C11*$C373*'Business Case'!C12*$B373)-('Business Case'!B11*$C373*'Business Case'!B12*$B373))-'Business Case'!C15*$F373</f>
        <v>-23594801.7614466</v>
      </c>
      <c r="J373" s="39" t="n">
        <f aca="false">(('Business Case'!D11*$C373*'Business Case'!D12*$B373)-'Business Case'!D11*$C373*'Business Case'!D13*$D373-'Business Case'!D14*$E373)-MAX(0,(('Business Case'!D11*$C373*'Business Case'!D12*$B373)-'Business Case'!D11*$C373*'Business Case'!D13*$D373-'Business Case'!D14*$E373))*'Business Case'!$B$7-'Business Case'!$B$8*(('Business Case'!D11*$C373*'Business Case'!D12*$B373)-('Business Case'!C11*$C373*'Business Case'!C12*$B373))-'Business Case'!D15*$F373</f>
        <v>234386630.532666</v>
      </c>
      <c r="K373" s="39" t="n">
        <f aca="false">(('Business Case'!E11*$C373*'Business Case'!E12*$B373)-'Business Case'!E11*$C373*'Business Case'!E13*$D373-'Business Case'!E14*$E373)-MAX(0,(('Business Case'!E11*$C373*'Business Case'!E12*$B373)-'Business Case'!E11*$C373*'Business Case'!E13*$D373-'Business Case'!E14*$E373))*'Business Case'!$B$7-'Business Case'!$B$8*(('Business Case'!E11*$C373*'Business Case'!E12*$B373)-('Business Case'!D11*$C373*'Business Case'!D12*$B373))-'Business Case'!E15*$F373</f>
        <v>541672612.620792</v>
      </c>
      <c r="L373" s="39" t="n">
        <f aca="false">(('Business Case'!F11*$C373*'Business Case'!F12*$B373)-'Business Case'!F11*$C373*'Business Case'!F13*$D373-'Business Case'!F14*$E373)-MAX(0,(('Business Case'!F11*$C373*'Business Case'!F12*$B373)-'Business Case'!F11*$C373*'Business Case'!F13*$D373-'Business Case'!F14*$E373))*'Business Case'!$B$7-'Business Case'!$B$8*(('Business Case'!F11*$C373*'Business Case'!F12*$B373)-('Business Case'!E11*$C373*'Business Case'!E12*$B373))-'Business Case'!F15*$F373</f>
        <v>656687933.259718</v>
      </c>
      <c r="M373" s="39" t="n">
        <f aca="false">(('Business Case'!G11*$C373*'Business Case'!G12*$B373)-'Business Case'!G11*$C373*'Business Case'!G13*$D373-'Business Case'!G14*$E373)-MAX(0,(('Business Case'!G11*$C373*'Business Case'!G12*$B373)-'Business Case'!G11*$C373*'Business Case'!G13*$D373-'Business Case'!G14*$E373))*'Business Case'!$B$7-'Business Case'!$B$8*(('Business Case'!G11*$C373*'Business Case'!G12*$B373)-('Business Case'!F11*$C373*'Business Case'!F12*$B373))-'Business Case'!G15*$F373+'Business Case'!$B$8*('Business Case'!G11*$C373*'Business Case'!G12*$B373)</f>
        <v>816306237.567937</v>
      </c>
      <c r="N373" s="39" t="n">
        <f aca="false">IF(COUNT('Business Case'!B11:G11)=0,"",H373+NPV(G373,I373:M373))</f>
        <v>-552805559.728094</v>
      </c>
      <c r="P373" s="40" t="n">
        <f aca="true">RAND()</f>
        <v>0.813426659258051</v>
      </c>
      <c r="Q373" s="40" t="n">
        <f aca="true">RAND()</f>
        <v>0.123839852329053</v>
      </c>
      <c r="R373" s="40" t="n">
        <f aca="true">RAND()</f>
        <v>0.489215718410962</v>
      </c>
      <c r="S373" s="40" t="n">
        <f aca="true">RAND()</f>
        <v>0.25956199414182</v>
      </c>
      <c r="T373" s="40" t="n">
        <f aca="true">RAND()</f>
        <v>0.0868373322419106</v>
      </c>
      <c r="U373" s="40" t="n">
        <f aca="true">RAND()</f>
        <v>0.963107664162245</v>
      </c>
    </row>
    <row r="374" customFormat="false" ht="15" hidden="false" customHeight="false" outlineLevel="0" collapsed="false">
      <c r="A374" s="36" t="n">
        <v>294</v>
      </c>
      <c r="B374" s="37" t="n">
        <f aca="false">1+IF($G$6=$E$6,$F$6,IF(P374&lt;($F$6-$E$6)/($G$6-$E$6),$E$6+SQRT(P374*($G$6-$E$6)*($F$6-$E$6)),$G$6-SQRT((1-P374)*($G$6-$E$6)*($G$6-$F$6))))</f>
        <v>1.00135182551059</v>
      </c>
      <c r="C374" s="37" t="n">
        <f aca="false">1+IF($G$7=$E$7,$F$7,IF(Q374&lt;($F$7-$E$7)/($G$7-$E$7),$E$7+SQRT(Q374*($G$7-$E$7)*($F$7-$E$7)),$G$7-SQRT((1-Q374)*($G$7-$E$7)*($G$7-$F$7))))</f>
        <v>0.921818433904955</v>
      </c>
      <c r="D374" s="37" t="n">
        <f aca="false">1+IF($G$8=$E$8,$F$8,IF(R374&lt;($F$8-$E$8)/($G$8-$E$8),$E$8+SQRT(R374*($G$8-$E$8)*($F$8-$E$8)),$G$8-SQRT((1-R374)*($G$8-$E$8)*($G$8-$F$8))))</f>
        <v>1.05859629321359</v>
      </c>
      <c r="E374" s="37" t="n">
        <f aca="false">1+IF($G$9=$E$9,$F$9,IF(S374&lt;($F$9-$E$9)/($G$9-$E$9),$E$9+SQRT(S374*($G$9-$E$9)*($F$9-$E$9)),$G$9-SQRT((1-S374)*($G$9-$E$9)*($G$9-$F$9))))</f>
        <v>1.02924849507575</v>
      </c>
      <c r="F374" s="37" t="n">
        <f aca="false">1+IF($G$10=$E$10,$F$10,IF(T374&lt;($F$10-$E$10)/($G$10-$E$10),$E$10+SQRT(T374*($G$10-$E$10)*($F$10-$E$10)),$G$10-SQRT((1-T374)*($G$10-$E$10)*($G$10-$F$10))))</f>
        <v>1.12530897692253</v>
      </c>
      <c r="G374" s="38" t="n">
        <f aca="false">IF($G$11=$E$11,$F$11,IF(U374&lt;($F$11-$E$11)/($G$11-$E$11),$E$11+SQRT(U374*($G$11-$E$11)*($F$11-$E$11)),$G$11-SQRT((1-U374)*($G$11-$E$11)*($G$11-$F$11))))</f>
        <v>0.109757966883681</v>
      </c>
      <c r="H374" s="39" t="n">
        <f aca="false">(('Business Case'!B11*$C374*'Business Case'!B12*$B374)-'Business Case'!B11*$C374*'Business Case'!B13*$D374-'Business Case'!B14*$E374)-MAX(0,(('Business Case'!B11*$C374*'Business Case'!B12*$B374)-'Business Case'!B11*$C374*'Business Case'!B13*$D374-'Business Case'!B14*$E374))*'Business Case'!$B$7-'Business Case'!$B$8*('Business Case'!B11*$C374*'Business Case'!B12*$B374)-'Business Case'!B15*$F374</f>
        <v>-2250617953.84506</v>
      </c>
      <c r="I374" s="39" t="n">
        <f aca="false">(('Business Case'!C11*$C374*'Business Case'!C12*$B374)-'Business Case'!C11*$C374*'Business Case'!C13*$D374-'Business Case'!C14*$E374)-MAX(0,(('Business Case'!C11*$C374*'Business Case'!C12*$B374)-'Business Case'!C11*$C374*'Business Case'!C13*$D374-'Business Case'!C14*$E374))*'Business Case'!$B$7-'Business Case'!$B$8*(('Business Case'!C11*$C374*'Business Case'!C12*$B374)-('Business Case'!B11*$C374*'Business Case'!B12*$B374))-'Business Case'!C15*$F374</f>
        <v>-50234081.1230014</v>
      </c>
      <c r="J374" s="39" t="n">
        <f aca="false">(('Business Case'!D11*$C374*'Business Case'!D12*$B374)-'Business Case'!D11*$C374*'Business Case'!D13*$D374-'Business Case'!D14*$E374)-MAX(0,(('Business Case'!D11*$C374*'Business Case'!D12*$B374)-'Business Case'!D11*$C374*'Business Case'!D13*$D374-'Business Case'!D14*$E374))*'Business Case'!$B$7-'Business Case'!$B$8*(('Business Case'!D11*$C374*'Business Case'!D12*$B374)-('Business Case'!C11*$C374*'Business Case'!C12*$B374))-'Business Case'!D15*$F374</f>
        <v>206273538.836731</v>
      </c>
      <c r="K374" s="39" t="n">
        <f aca="false">(('Business Case'!E11*$C374*'Business Case'!E12*$B374)-'Business Case'!E11*$C374*'Business Case'!E13*$D374-'Business Case'!E14*$E374)-MAX(0,(('Business Case'!E11*$C374*'Business Case'!E12*$B374)-'Business Case'!E11*$C374*'Business Case'!E13*$D374-'Business Case'!E14*$E374))*'Business Case'!$B$7-'Business Case'!$B$8*(('Business Case'!E11*$C374*'Business Case'!E12*$B374)-('Business Case'!D11*$C374*'Business Case'!D12*$B374))-'Business Case'!E15*$F374</f>
        <v>519046607.64259</v>
      </c>
      <c r="L374" s="39" t="n">
        <f aca="false">(('Business Case'!F11*$C374*'Business Case'!F12*$B374)-'Business Case'!F11*$C374*'Business Case'!F13*$D374-'Business Case'!F14*$E374)-MAX(0,(('Business Case'!F11*$C374*'Business Case'!F12*$B374)-'Business Case'!F11*$C374*'Business Case'!F13*$D374-'Business Case'!F14*$E374))*'Business Case'!$B$7-'Business Case'!$B$8*(('Business Case'!F11*$C374*'Business Case'!F12*$B374)-('Business Case'!E11*$C374*'Business Case'!E12*$B374))-'Business Case'!F15*$F374</f>
        <v>636450259.222974</v>
      </c>
      <c r="M374" s="39" t="n">
        <f aca="false">(('Business Case'!G11*$C374*'Business Case'!G12*$B374)-'Business Case'!G11*$C374*'Business Case'!G13*$D374-'Business Case'!G14*$E374)-MAX(0,(('Business Case'!G11*$C374*'Business Case'!G12*$B374)-'Business Case'!G11*$C374*'Business Case'!G13*$D374-'Business Case'!G14*$E374))*'Business Case'!$B$7-'Business Case'!$B$8*(('Business Case'!G11*$C374*'Business Case'!G12*$B374)-('Business Case'!F11*$C374*'Business Case'!F12*$B374))-'Business Case'!G15*$F374+'Business Case'!$B$8*('Business Case'!G11*$C374*'Business Case'!G12*$B374)</f>
        <v>811906372.988907</v>
      </c>
      <c r="N374" s="39" t="n">
        <f aca="false">IF(COUNT('Business Case'!B11:G11)=0,"",H374+NPV(G374,I374:M374))</f>
        <v>-846655781.346066</v>
      </c>
      <c r="P374" s="40" t="n">
        <f aca="true">RAND()</f>
        <v>0.684447349179674</v>
      </c>
      <c r="Q374" s="40" t="n">
        <f aca="true">RAND()</f>
        <v>0.364469760148495</v>
      </c>
      <c r="R374" s="40" t="n">
        <f aca="true">RAND()</f>
        <v>0.885715537622985</v>
      </c>
      <c r="S374" s="40" t="n">
        <f aca="true">RAND()</f>
        <v>0.611175308227452</v>
      </c>
      <c r="T374" s="40" t="n">
        <f aca="true">RAND()</f>
        <v>0.79269531685191</v>
      </c>
      <c r="U374" s="40" t="n">
        <f aca="true">RAND()</f>
        <v>0.726840063545228</v>
      </c>
    </row>
    <row r="375" customFormat="false" ht="15" hidden="false" customHeight="false" outlineLevel="0" collapsed="false">
      <c r="A375" s="36" t="n">
        <v>295</v>
      </c>
      <c r="B375" s="37" t="n">
        <f aca="false">1+IF($G$6=$E$6,$F$6,IF(P375&lt;($F$6-$E$6)/($G$6-$E$6),$E$6+SQRT(P375*($G$6-$E$6)*($F$6-$E$6)),$G$6-SQRT((1-P375)*($G$6-$E$6)*($G$6-$F$6))))</f>
        <v>0.969333226411402</v>
      </c>
      <c r="C375" s="37" t="n">
        <f aca="false">1+IF($G$7=$E$7,$F$7,IF(Q375&lt;($F$7-$E$7)/($G$7-$E$7),$E$7+SQRT(Q375*($G$7-$E$7)*($F$7-$E$7)),$G$7-SQRT((1-Q375)*($G$7-$E$7)*($G$7-$F$7))))</f>
        <v>0.987320167205166</v>
      </c>
      <c r="D375" s="37" t="n">
        <f aca="false">1+IF($G$8=$E$8,$F$8,IF(R375&lt;($F$8-$E$8)/($G$8-$E$8),$E$8+SQRT(R375*($G$8-$E$8)*($F$8-$E$8)),$G$8-SQRT((1-R375)*($G$8-$E$8)*($G$8-$F$8))))</f>
        <v>1.04316036676242</v>
      </c>
      <c r="E375" s="37" t="n">
        <f aca="false">1+IF($G$9=$E$9,$F$9,IF(S375&lt;($F$9-$E$9)/($G$9-$E$9),$E$9+SQRT(S375*($G$9-$E$9)*($F$9-$E$9)),$G$9-SQRT((1-S375)*($G$9-$E$9)*($G$9-$F$9))))</f>
        <v>1.06333047256368</v>
      </c>
      <c r="F375" s="37" t="n">
        <f aca="false">1+IF($G$10=$E$10,$F$10,IF(T375&lt;($F$10-$E$10)/($G$10-$E$10),$E$10+SQRT(T375*($G$10-$E$10)*($F$10-$E$10)),$G$10-SQRT((1-T375)*($G$10-$E$10)*($G$10-$F$10))))</f>
        <v>1.15196657858076</v>
      </c>
      <c r="G375" s="38" t="n">
        <f aca="false">IF($G$11=$E$11,$F$11,IF(U375&lt;($F$11-$E$11)/($G$11-$E$11),$E$11+SQRT(U375*($G$11-$E$11)*($F$11-$E$11)),$G$11-SQRT((1-U375)*($G$11-$E$11)*($G$11-$F$11))))</f>
        <v>0.117854152554488</v>
      </c>
      <c r="H375" s="39" t="n">
        <f aca="false">(('Business Case'!B11*$C375*'Business Case'!B12*$B375)-'Business Case'!B11*$C375*'Business Case'!B13*$D375-'Business Case'!B14*$E375)-MAX(0,(('Business Case'!B11*$C375*'Business Case'!B12*$B375)-'Business Case'!B11*$C375*'Business Case'!B13*$D375-'Business Case'!B14*$E375))*'Business Case'!$B$7-'Business Case'!$B$8*('Business Case'!B11*$C375*'Business Case'!B12*$B375)-'Business Case'!B15*$F375</f>
        <v>-2303933157.16152</v>
      </c>
      <c r="I375" s="39" t="n">
        <f aca="false">(('Business Case'!C11*$C375*'Business Case'!C12*$B375)-'Business Case'!C11*$C375*'Business Case'!C13*$D375-'Business Case'!C14*$E375)-MAX(0,(('Business Case'!C11*$C375*'Business Case'!C12*$B375)-'Business Case'!C11*$C375*'Business Case'!C13*$D375-'Business Case'!C14*$E375))*'Business Case'!$B$7-'Business Case'!$B$8*(('Business Case'!C11*$C375*'Business Case'!C12*$B375)-('Business Case'!B11*$C375*'Business Case'!B12*$B375))-'Business Case'!C15*$F375</f>
        <v>-59372255.1568872</v>
      </c>
      <c r="J375" s="39" t="n">
        <f aca="false">(('Business Case'!D11*$C375*'Business Case'!D12*$B375)-'Business Case'!D11*$C375*'Business Case'!D13*$D375-'Business Case'!D14*$E375)-MAX(0,(('Business Case'!D11*$C375*'Business Case'!D12*$B375)-'Business Case'!D11*$C375*'Business Case'!D13*$D375-'Business Case'!D14*$E375))*'Business Case'!$B$7-'Business Case'!$B$8*(('Business Case'!D11*$C375*'Business Case'!D12*$B375)-('Business Case'!C11*$C375*'Business Case'!C12*$B375))-'Business Case'!D15*$F375</f>
        <v>197270810.629206</v>
      </c>
      <c r="K375" s="39" t="n">
        <f aca="false">(('Business Case'!E11*$C375*'Business Case'!E12*$B375)-'Business Case'!E11*$C375*'Business Case'!E13*$D375-'Business Case'!E14*$E375)-MAX(0,(('Business Case'!E11*$C375*'Business Case'!E12*$B375)-'Business Case'!E11*$C375*'Business Case'!E13*$D375-'Business Case'!E14*$E375))*'Business Case'!$B$7-'Business Case'!$B$8*(('Business Case'!E11*$C375*'Business Case'!E12*$B375)-('Business Case'!D11*$C375*'Business Case'!D12*$B375))-'Business Case'!E15*$F375</f>
        <v>511512205.344337</v>
      </c>
      <c r="L375" s="39" t="n">
        <f aca="false">(('Business Case'!F11*$C375*'Business Case'!F12*$B375)-'Business Case'!F11*$C375*'Business Case'!F13*$D375-'Business Case'!F14*$E375)-MAX(0,(('Business Case'!F11*$C375*'Business Case'!F12*$B375)-'Business Case'!F11*$C375*'Business Case'!F13*$D375-'Business Case'!F14*$E375))*'Business Case'!$B$7-'Business Case'!$B$8*(('Business Case'!F11*$C375*'Business Case'!F12*$B375)-('Business Case'!E11*$C375*'Business Case'!E12*$B375))-'Business Case'!F15*$F375</f>
        <v>630135273.863934</v>
      </c>
      <c r="M375" s="39" t="n">
        <f aca="false">(('Business Case'!G11*$C375*'Business Case'!G12*$B375)-'Business Case'!G11*$C375*'Business Case'!G13*$D375-'Business Case'!G14*$E375)-MAX(0,(('Business Case'!G11*$C375*'Business Case'!G12*$B375)-'Business Case'!G11*$C375*'Business Case'!G13*$D375-'Business Case'!G14*$E375))*'Business Case'!$B$7-'Business Case'!$B$8*(('Business Case'!G11*$C375*'Business Case'!G12*$B375)-('Business Case'!F11*$C375*'Business Case'!F12*$B375))-'Business Case'!G15*$F375+'Business Case'!$B$8*('Business Case'!G11*$C375*'Business Case'!G12*$B375)</f>
        <v>812049863.447214</v>
      </c>
      <c r="N375" s="39" t="n">
        <f aca="false">IF(COUNT('Business Case'!B11:G11)=0,"",H375+NPV(G375,I375:M375))</f>
        <v>-964228761.209036</v>
      </c>
      <c r="P375" s="40" t="n">
        <f aca="true">RAND()</f>
        <v>0.320473085640977</v>
      </c>
      <c r="Q375" s="40" t="n">
        <f aca="true">RAND()</f>
        <v>0.61150280357633</v>
      </c>
      <c r="R375" s="40" t="n">
        <f aca="true">RAND()</f>
        <v>0.784617072894461</v>
      </c>
      <c r="S375" s="40" t="n">
        <f aca="true">RAND()</f>
        <v>0.799690480372405</v>
      </c>
      <c r="T375" s="40" t="n">
        <f aca="true">RAND()</f>
        <v>0.871859310464496</v>
      </c>
      <c r="U375" s="40" t="n">
        <f aca="true">RAND()</f>
        <v>0.901652259886898</v>
      </c>
    </row>
    <row r="376" customFormat="false" ht="15" hidden="false" customHeight="false" outlineLevel="0" collapsed="false">
      <c r="A376" s="36" t="n">
        <v>296</v>
      </c>
      <c r="B376" s="37" t="n">
        <f aca="false">1+IF($G$6=$E$6,$F$6,IF(P376&lt;($F$6-$E$6)/($G$6-$E$6),$E$6+SQRT(P376*($G$6-$E$6)*($F$6-$E$6)),$G$6-SQRT((1-P376)*($G$6-$E$6)*($G$6-$F$6))))</f>
        <v>0.980138962607333</v>
      </c>
      <c r="C376" s="37" t="n">
        <f aca="false">1+IF($G$7=$E$7,$F$7,IF(Q376&lt;($F$7-$E$7)/($G$7-$E$7),$E$7+SQRT(Q376*($G$7-$E$7)*($F$7-$E$7)),$G$7-SQRT((1-Q376)*($G$7-$E$7)*($G$7-$F$7))))</f>
        <v>0.938904724768514</v>
      </c>
      <c r="D376" s="37" t="n">
        <f aca="false">1+IF($G$8=$E$8,$F$8,IF(R376&lt;($F$8-$E$8)/($G$8-$E$8),$E$8+SQRT(R376*($G$8-$E$8)*($F$8-$E$8)),$G$8-SQRT((1-R376)*($G$8-$E$8)*($G$8-$F$8))))</f>
        <v>1.02680059853412</v>
      </c>
      <c r="E376" s="37" t="n">
        <f aca="false">1+IF($G$9=$E$9,$F$9,IF(S376&lt;($F$9-$E$9)/($G$9-$E$9),$E$9+SQRT(S376*($G$9-$E$9)*($F$9-$E$9)),$G$9-SQRT((1-S376)*($G$9-$E$9)*($G$9-$F$9))))</f>
        <v>0.985649573162991</v>
      </c>
      <c r="F376" s="37" t="n">
        <f aca="false">1+IF($G$10=$E$10,$F$10,IF(T376&lt;($F$10-$E$10)/($G$10-$E$10),$E$10+SQRT(T376*($G$10-$E$10)*($F$10-$E$10)),$G$10-SQRT((1-T376)*($G$10-$E$10)*($G$10-$F$10))))</f>
        <v>1.08284186564011</v>
      </c>
      <c r="G376" s="38" t="n">
        <f aca="false">IF($G$11=$E$11,$F$11,IF(U376&lt;($F$11-$E$11)/($G$11-$E$11),$E$11+SQRT(U376*($G$11-$E$11)*($F$11-$E$11)),$G$11-SQRT((1-U376)*($G$11-$E$11)*($G$11-$F$11))))</f>
        <v>0.106695658914976</v>
      </c>
      <c r="H376" s="39" t="n">
        <f aca="false">(('Business Case'!B11*$C376*'Business Case'!B12*$B376)-'Business Case'!B11*$C376*'Business Case'!B13*$D376-'Business Case'!B14*$E376)-MAX(0,(('Business Case'!B11*$C376*'Business Case'!B12*$B376)-'Business Case'!B11*$C376*'Business Case'!B13*$D376-'Business Case'!B14*$E376))*'Business Case'!$B$7-'Business Case'!$B$8*('Business Case'!B11*$C376*'Business Case'!B12*$B376)-'Business Case'!B15*$F376</f>
        <v>-2165683731.28021</v>
      </c>
      <c r="I376" s="39" t="n">
        <f aca="false">(('Business Case'!C11*$C376*'Business Case'!C12*$B376)-'Business Case'!C11*$C376*'Business Case'!C13*$D376-'Business Case'!C14*$E376)-MAX(0,(('Business Case'!C11*$C376*'Business Case'!C12*$B376)-'Business Case'!C11*$C376*'Business Case'!C13*$D376-'Business Case'!C14*$E376))*'Business Case'!$B$7-'Business Case'!$B$8*(('Business Case'!C11*$C376*'Business Case'!C12*$B376)-('Business Case'!B11*$C376*'Business Case'!B12*$B376))-'Business Case'!C15*$F376</f>
        <v>-35918514.7239866</v>
      </c>
      <c r="J376" s="39" t="n">
        <f aca="false">(('Business Case'!D11*$C376*'Business Case'!D12*$B376)-'Business Case'!D11*$C376*'Business Case'!D13*$D376-'Business Case'!D14*$E376)-MAX(0,(('Business Case'!D11*$C376*'Business Case'!D12*$B376)-'Business Case'!D11*$C376*'Business Case'!D13*$D376-'Business Case'!D14*$E376))*'Business Case'!$B$7-'Business Case'!$B$8*(('Business Case'!D11*$C376*'Business Case'!D12*$B376)-('Business Case'!C11*$C376*'Business Case'!C12*$B376))-'Business Case'!D15*$F376</f>
        <v>224312654.635278</v>
      </c>
      <c r="K376" s="39" t="n">
        <f aca="false">(('Business Case'!E11*$C376*'Business Case'!E12*$B376)-'Business Case'!E11*$C376*'Business Case'!E13*$D376-'Business Case'!E14*$E376)-MAX(0,(('Business Case'!E11*$C376*'Business Case'!E12*$B376)-'Business Case'!E11*$C376*'Business Case'!E13*$D376-'Business Case'!E14*$E376))*'Business Case'!$B$7-'Business Case'!$B$8*(('Business Case'!E11*$C376*'Business Case'!E12*$B376)-('Business Case'!D11*$C376*'Business Case'!D12*$B376))-'Business Case'!E15*$F376</f>
        <v>538685917.276547</v>
      </c>
      <c r="L376" s="39" t="n">
        <f aca="false">(('Business Case'!F11*$C376*'Business Case'!F12*$B376)-'Business Case'!F11*$C376*'Business Case'!F13*$D376-'Business Case'!F14*$E376)-MAX(0,(('Business Case'!F11*$C376*'Business Case'!F12*$B376)-'Business Case'!F11*$C376*'Business Case'!F13*$D376-'Business Case'!F14*$E376))*'Business Case'!$B$7-'Business Case'!$B$8*(('Business Case'!F11*$C376*'Business Case'!F12*$B376)-('Business Case'!E11*$C376*'Business Case'!E12*$B376))-'Business Case'!F15*$F376</f>
        <v>657233725.873277</v>
      </c>
      <c r="M376" s="39" t="n">
        <f aca="false">(('Business Case'!G11*$C376*'Business Case'!G12*$B376)-'Business Case'!G11*$C376*'Business Case'!G13*$D376-'Business Case'!G14*$E376)-MAX(0,(('Business Case'!G11*$C376*'Business Case'!G12*$B376)-'Business Case'!G11*$C376*'Business Case'!G13*$D376-'Business Case'!G14*$E376))*'Business Case'!$B$7-'Business Case'!$B$8*(('Business Case'!G11*$C376*'Business Case'!G12*$B376)-('Business Case'!F11*$C376*'Business Case'!F12*$B376))-'Business Case'!G15*$F376+'Business Case'!$B$8*('Business Case'!G11*$C376*'Business Case'!G12*$B376)</f>
        <v>832156195.99664</v>
      </c>
      <c r="N376" s="39" t="n">
        <f aca="false">IF(COUNT('Business Case'!B11:G11)=0,"",H376+NPV(G376,I376:M376))</f>
        <v>-678177279.787718</v>
      </c>
      <c r="P376" s="40" t="n">
        <f aca="true">RAND()</f>
        <v>0.428150221851962</v>
      </c>
      <c r="Q376" s="40" t="n">
        <f aca="true">RAND()</f>
        <v>0.422781240864587</v>
      </c>
      <c r="R376" s="40" t="n">
        <f aca="true">RAND()</f>
        <v>0.642789841669083</v>
      </c>
      <c r="S376" s="40" t="n">
        <f aca="true">RAND()</f>
        <v>0.293433975320103</v>
      </c>
      <c r="T376" s="40" t="n">
        <f aca="true">RAND()</f>
        <v>0.627442108230928</v>
      </c>
      <c r="U376" s="40" t="n">
        <f aca="true">RAND()</f>
        <v>0.637938457728573</v>
      </c>
    </row>
    <row r="377" customFormat="false" ht="15" hidden="false" customHeight="false" outlineLevel="0" collapsed="false">
      <c r="A377" s="36" t="n">
        <v>297</v>
      </c>
      <c r="B377" s="37" t="n">
        <f aca="false">1+IF($G$6=$E$6,$F$6,IF(P377&lt;($F$6-$E$6)/($G$6-$E$6),$E$6+SQRT(P377*($G$6-$E$6)*($F$6-$E$6)),$G$6-SQRT((1-P377)*($G$6-$E$6)*($G$6-$F$6))))</f>
        <v>0.94732710981692</v>
      </c>
      <c r="C377" s="37" t="n">
        <f aca="false">1+IF($G$7=$E$7,$F$7,IF(Q377&lt;($F$7-$E$7)/($G$7-$E$7),$E$7+SQRT(Q377*($G$7-$E$7)*($F$7-$E$7)),$G$7-SQRT((1-Q377)*($G$7-$E$7)*($G$7-$F$7))))</f>
        <v>1.0107764135914</v>
      </c>
      <c r="D377" s="37" t="n">
        <f aca="false">1+IF($G$8=$E$8,$F$8,IF(R377&lt;($F$8-$E$8)/($G$8-$E$8),$E$8+SQRT(R377*($G$8-$E$8)*($F$8-$E$8)),$G$8-SQRT((1-R377)*($G$8-$E$8)*($G$8-$F$8))))</f>
        <v>1.00109403786402</v>
      </c>
      <c r="E377" s="37" t="n">
        <f aca="false">1+IF($G$9=$E$9,$F$9,IF(S377&lt;($F$9-$E$9)/($G$9-$E$9),$E$9+SQRT(S377*($G$9-$E$9)*($F$9-$E$9)),$G$9-SQRT((1-S377)*($G$9-$E$9)*($G$9-$F$9))))</f>
        <v>1.00945453265395</v>
      </c>
      <c r="F377" s="37" t="n">
        <f aca="false">1+IF($G$10=$E$10,$F$10,IF(T377&lt;($F$10-$E$10)/($G$10-$E$10),$E$10+SQRT(T377*($G$10-$E$10)*($F$10-$E$10)),$G$10-SQRT((1-T377)*($G$10-$E$10)*($G$10-$F$10))))</f>
        <v>1.03556934209663</v>
      </c>
      <c r="G377" s="38" t="n">
        <f aca="false">IF($G$11=$E$11,$F$11,IF(U377&lt;($F$11-$E$11)/($G$11-$E$11),$E$11+SQRT(U377*($G$11-$E$11)*($F$11-$E$11)),$G$11-SQRT((1-U377)*($G$11-$E$11)*($G$11-$F$11))))</f>
        <v>0.101606748919965</v>
      </c>
      <c r="H377" s="39" t="n">
        <f aca="false">(('Business Case'!B11*$C377*'Business Case'!B12*$B377)-'Business Case'!B11*$C377*'Business Case'!B13*$D377-'Business Case'!B14*$E377)-MAX(0,(('Business Case'!B11*$C377*'Business Case'!B12*$B377)-'Business Case'!B11*$C377*'Business Case'!B13*$D377-'Business Case'!B14*$E377))*'Business Case'!$B$7-'Business Case'!$B$8*('Business Case'!B11*$C377*'Business Case'!B12*$B377)-'Business Case'!B15*$F377</f>
        <v>-2071138684.19327</v>
      </c>
      <c r="I377" s="39" t="n">
        <f aca="false">(('Business Case'!C11*$C377*'Business Case'!C12*$B377)-'Business Case'!C11*$C377*'Business Case'!C13*$D377-'Business Case'!C14*$E377)-MAX(0,(('Business Case'!C11*$C377*'Business Case'!C12*$B377)-'Business Case'!C11*$C377*'Business Case'!C13*$D377-'Business Case'!C14*$E377))*'Business Case'!$B$7-'Business Case'!$B$8*(('Business Case'!C11*$C377*'Business Case'!C12*$B377)-('Business Case'!B11*$C377*'Business Case'!B12*$B377))-'Business Case'!C15*$F377</f>
        <v>-30451943.1758832</v>
      </c>
      <c r="J377" s="39" t="n">
        <f aca="false">(('Business Case'!D11*$C377*'Business Case'!D12*$B377)-'Business Case'!D11*$C377*'Business Case'!D13*$D377-'Business Case'!D14*$E377)-MAX(0,(('Business Case'!D11*$C377*'Business Case'!D12*$B377)-'Business Case'!D11*$C377*'Business Case'!D13*$D377-'Business Case'!D14*$E377))*'Business Case'!$B$7-'Business Case'!$B$8*(('Business Case'!D11*$C377*'Business Case'!D12*$B377)-('Business Case'!C11*$C377*'Business Case'!C12*$B377))-'Business Case'!D15*$F377</f>
        <v>235836143.382569</v>
      </c>
      <c r="K377" s="39" t="n">
        <f aca="false">(('Business Case'!E11*$C377*'Business Case'!E12*$B377)-'Business Case'!E11*$C377*'Business Case'!E13*$D377-'Business Case'!E14*$E377)-MAX(0,(('Business Case'!E11*$C377*'Business Case'!E12*$B377)-'Business Case'!E11*$C377*'Business Case'!E13*$D377-'Business Case'!E14*$E377))*'Business Case'!$B$7-'Business Case'!$B$8*(('Business Case'!E11*$C377*'Business Case'!E12*$B377)-('Business Case'!D11*$C377*'Business Case'!D12*$B377))-'Business Case'!E15*$F377</f>
        <v>553902697.045853</v>
      </c>
      <c r="L377" s="39" t="n">
        <f aca="false">(('Business Case'!F11*$C377*'Business Case'!F12*$B377)-'Business Case'!F11*$C377*'Business Case'!F13*$D377-'Business Case'!F14*$E377)-MAX(0,(('Business Case'!F11*$C377*'Business Case'!F12*$B377)-'Business Case'!F11*$C377*'Business Case'!F13*$D377-'Business Case'!F14*$E377))*'Business Case'!$B$7-'Business Case'!$B$8*(('Business Case'!F11*$C377*'Business Case'!F12*$B377)-('Business Case'!E11*$C377*'Business Case'!E12*$B377))-'Business Case'!F15*$F377</f>
        <v>675757833.219525</v>
      </c>
      <c r="M377" s="39" t="n">
        <f aca="false">(('Business Case'!G11*$C377*'Business Case'!G12*$B377)-'Business Case'!G11*$C377*'Business Case'!G13*$D377-'Business Case'!G14*$E377)-MAX(0,(('Business Case'!G11*$C377*'Business Case'!G12*$B377)-'Business Case'!G11*$C377*'Business Case'!G13*$D377-'Business Case'!G14*$E377))*'Business Case'!$B$7-'Business Case'!$B$8*(('Business Case'!G11*$C377*'Business Case'!G12*$B377)-('Business Case'!F11*$C377*'Business Case'!F12*$B377))-'Business Case'!G15*$F377+'Business Case'!$B$8*('Business Case'!G11*$C377*'Business Case'!G12*$B377)</f>
        <v>857766256.817553</v>
      </c>
      <c r="N377" s="39" t="n">
        <f aca="false">IF(COUNT('Business Case'!B11:G11)=0,"",H377+NPV(G377,I377:M377))</f>
        <v>-502509826.983821</v>
      </c>
      <c r="P377" s="40" t="n">
        <f aca="true">RAND()</f>
        <v>0.149323688241522</v>
      </c>
      <c r="Q377" s="40" t="n">
        <f aca="true">RAND()</f>
        <v>0.712841377592978</v>
      </c>
      <c r="R377" s="40" t="n">
        <f aca="true">RAND()</f>
        <v>0.347840710263677</v>
      </c>
      <c r="S377" s="40" t="n">
        <f aca="true">RAND()</f>
        <v>0.473252576226154</v>
      </c>
      <c r="T377" s="40" t="n">
        <f aca="true">RAND()</f>
        <v>0.386926572681731</v>
      </c>
      <c r="U377" s="40" t="n">
        <f aca="true">RAND()</f>
        <v>0.46254886207074</v>
      </c>
    </row>
    <row r="378" customFormat="false" ht="15" hidden="false" customHeight="false" outlineLevel="0" collapsed="false">
      <c r="A378" s="36" t="n">
        <v>298</v>
      </c>
      <c r="B378" s="37" t="n">
        <f aca="false">1+IF($G$6=$E$6,$F$6,IF(P378&lt;($F$6-$E$6)/($G$6-$E$6),$E$6+SQRT(P378*($G$6-$E$6)*($F$6-$E$6)),$G$6-SQRT((1-P378)*($G$6-$E$6)*($G$6-$F$6))))</f>
        <v>1.01776235379601</v>
      </c>
      <c r="C378" s="37" t="n">
        <f aca="false">1+IF($G$7=$E$7,$F$7,IF(Q378&lt;($F$7-$E$7)/($G$7-$E$7),$E$7+SQRT(Q378*($G$7-$E$7)*($F$7-$E$7)),$G$7-SQRT((1-Q378)*($G$7-$E$7)*($G$7-$F$7))))</f>
        <v>0.946596902142639</v>
      </c>
      <c r="D378" s="37" t="n">
        <f aca="false">1+IF($G$8=$E$8,$F$8,IF(R378&lt;($F$8-$E$8)/($G$8-$E$8),$E$8+SQRT(R378*($G$8-$E$8)*($F$8-$E$8)),$G$8-SQRT((1-R378)*($G$8-$E$8)*($G$8-$F$8))))</f>
        <v>1.06292493902226</v>
      </c>
      <c r="E378" s="37" t="n">
        <f aca="false">1+IF($G$9=$E$9,$F$9,IF(S378&lt;($F$9-$E$9)/($G$9-$E$9),$E$9+SQRT(S378*($G$9-$E$9)*($F$9-$E$9)),$G$9-SQRT((1-S378)*($G$9-$E$9)*($G$9-$F$9))))</f>
        <v>0.96649533132222</v>
      </c>
      <c r="F378" s="37" t="n">
        <f aca="false">1+IF($G$10=$E$10,$F$10,IF(T378&lt;($F$10-$E$10)/($G$10-$E$10),$E$10+SQRT(T378*($G$10-$E$10)*($F$10-$E$10)),$G$10-SQRT((1-T378)*($G$10-$E$10)*($G$10-$F$10))))</f>
        <v>1.14294953999061</v>
      </c>
      <c r="G378" s="38" t="n">
        <f aca="false">IF($G$11=$E$11,$F$11,IF(U378&lt;($F$11-$E$11)/($G$11-$E$11),$E$11+SQRT(U378*($G$11-$E$11)*($F$11-$E$11)),$G$11-SQRT((1-U378)*($G$11-$E$11)*($G$11-$F$11))))</f>
        <v>0.0921810669237021</v>
      </c>
      <c r="H378" s="39" t="n">
        <f aca="false">(('Business Case'!B11*$C378*'Business Case'!B12*$B378)-'Business Case'!B11*$C378*'Business Case'!B13*$D378-'Business Case'!B14*$E378)-MAX(0,(('Business Case'!B11*$C378*'Business Case'!B12*$B378)-'Business Case'!B11*$C378*'Business Case'!B13*$D378-'Business Case'!B14*$E378))*'Business Case'!$B$7-'Business Case'!$B$8*('Business Case'!B11*$C378*'Business Case'!B12*$B378)-'Business Case'!B15*$F378</f>
        <v>-2285899079.98122</v>
      </c>
      <c r="I378" s="39" t="n">
        <f aca="false">(('Business Case'!C11*$C378*'Business Case'!C12*$B378)-'Business Case'!C11*$C378*'Business Case'!C13*$D378-'Business Case'!C14*$E378)-MAX(0,(('Business Case'!C11*$C378*'Business Case'!C12*$B378)-'Business Case'!C11*$C378*'Business Case'!C13*$D378-'Business Case'!C14*$E378))*'Business Case'!$B$7-'Business Case'!$B$8*(('Business Case'!C11*$C378*'Business Case'!C12*$B378)-('Business Case'!B11*$C378*'Business Case'!B12*$B378))-'Business Case'!C15*$F378</f>
        <v>-27645250.4482543</v>
      </c>
      <c r="J378" s="39" t="n">
        <f aca="false">(('Business Case'!D11*$C378*'Business Case'!D12*$B378)-'Business Case'!D11*$C378*'Business Case'!D13*$D378-'Business Case'!D14*$E378)-MAX(0,(('Business Case'!D11*$C378*'Business Case'!D12*$B378)-'Business Case'!D11*$C378*'Business Case'!D13*$D378-'Business Case'!D14*$E378))*'Business Case'!$B$7-'Business Case'!$B$8*(('Business Case'!D11*$C378*'Business Case'!D12*$B378)-('Business Case'!C11*$C378*'Business Case'!C12*$B378))-'Business Case'!D15*$F378</f>
        <v>246383299.449453</v>
      </c>
      <c r="K378" s="39" t="n">
        <f aca="false">(('Business Case'!E11*$C378*'Business Case'!E12*$B378)-'Business Case'!E11*$C378*'Business Case'!E13*$D378-'Business Case'!E14*$E378)-MAX(0,(('Business Case'!E11*$C378*'Business Case'!E12*$B378)-'Business Case'!E11*$C378*'Business Case'!E13*$D378-'Business Case'!E14*$E378))*'Business Case'!$B$7-'Business Case'!$B$8*(('Business Case'!E11*$C378*'Business Case'!E12*$B378)-('Business Case'!D11*$C378*'Business Case'!D12*$B378))-'Business Case'!E15*$F378</f>
        <v>577559326.346692</v>
      </c>
      <c r="L378" s="39" t="n">
        <f aca="false">(('Business Case'!F11*$C378*'Business Case'!F12*$B378)-'Business Case'!F11*$C378*'Business Case'!F13*$D378-'Business Case'!F14*$E378)-MAX(0,(('Business Case'!F11*$C378*'Business Case'!F12*$B378)-'Business Case'!F11*$C378*'Business Case'!F13*$D378-'Business Case'!F14*$E378))*'Business Case'!$B$7-'Business Case'!$B$8*(('Business Case'!F11*$C378*'Business Case'!F12*$B378)-('Business Case'!E11*$C378*'Business Case'!E12*$B378))-'Business Case'!F15*$F378</f>
        <v>702197649.801182</v>
      </c>
      <c r="M378" s="39" t="n">
        <f aca="false">(('Business Case'!G11*$C378*'Business Case'!G12*$B378)-'Business Case'!G11*$C378*'Business Case'!G13*$D378-'Business Case'!G14*$E378)-MAX(0,(('Business Case'!G11*$C378*'Business Case'!G12*$B378)-'Business Case'!G11*$C378*'Business Case'!G13*$D378-'Business Case'!G14*$E378))*'Business Case'!$B$7-'Business Case'!$B$8*(('Business Case'!G11*$C378*'Business Case'!G12*$B378)-('Business Case'!F11*$C378*'Business Case'!F12*$B378))-'Business Case'!G15*$F378+'Business Case'!$B$8*('Business Case'!G11*$C378*'Business Case'!G12*$B378)</f>
        <v>885322753.988413</v>
      </c>
      <c r="N378" s="39" t="n">
        <f aca="false">IF(COUNT('Business Case'!B11:G11)=0,"",H378+NPV(G378,I378:M378))</f>
        <v>-598177921.046105</v>
      </c>
      <c r="P378" s="40" t="n">
        <f aca="true">RAND()</f>
        <v>0.861431222296845</v>
      </c>
      <c r="Q378" s="40" t="n">
        <f aca="true">RAND()</f>
        <v>0.450444682565526</v>
      </c>
      <c r="R378" s="40" t="n">
        <f aca="true">RAND()</f>
        <v>0.908362656899781</v>
      </c>
      <c r="S378" s="40" t="n">
        <f aca="true">RAND()</f>
        <v>0.176865163506073</v>
      </c>
      <c r="T378" s="40" t="n">
        <f aca="true">RAND()</f>
        <v>0.847202653490374</v>
      </c>
      <c r="U378" s="40" t="n">
        <f aca="true">RAND()</f>
        <v>0.148378391399708</v>
      </c>
    </row>
    <row r="379" customFormat="false" ht="15" hidden="false" customHeight="false" outlineLevel="0" collapsed="false">
      <c r="A379" s="36" t="n">
        <v>299</v>
      </c>
      <c r="B379" s="37" t="n">
        <f aca="false">1+IF($G$6=$E$6,$F$6,IF(P379&lt;($F$6-$E$6)/($G$6-$E$6),$E$6+SQRT(P379*($G$6-$E$6)*($F$6-$E$6)),$G$6-SQRT((1-P379)*($G$6-$E$6)*($G$6-$F$6))))</f>
        <v>0.920027658587507</v>
      </c>
      <c r="C379" s="37" t="n">
        <f aca="false">1+IF($G$7=$E$7,$F$7,IF(Q379&lt;($F$7-$E$7)/($G$7-$E$7),$E$7+SQRT(Q379*($G$7-$E$7)*($F$7-$E$7)),$G$7-SQRT((1-Q379)*($G$7-$E$7)*($G$7-$F$7))))</f>
        <v>0.983977304608019</v>
      </c>
      <c r="D379" s="37" t="n">
        <f aca="false">1+IF($G$8=$E$8,$F$8,IF(R379&lt;($F$8-$E$8)/($G$8-$E$8),$E$8+SQRT(R379*($G$8-$E$8)*($F$8-$E$8)),$G$8-SQRT((1-R379)*($G$8-$E$8)*($G$8-$F$8))))</f>
        <v>1.01002560855618</v>
      </c>
      <c r="E379" s="37" t="n">
        <f aca="false">1+IF($G$9=$E$9,$F$9,IF(S379&lt;($F$9-$E$9)/($G$9-$E$9),$E$9+SQRT(S379*($G$9-$E$9)*($F$9-$E$9)),$G$9-SQRT((1-S379)*($G$9-$E$9)*($G$9-$F$9))))</f>
        <v>1.0118633490782</v>
      </c>
      <c r="F379" s="37" t="n">
        <f aca="false">1+IF($G$10=$E$10,$F$10,IF(T379&lt;($F$10-$E$10)/($G$10-$E$10),$E$10+SQRT(T379*($G$10-$E$10)*($F$10-$E$10)),$G$10-SQRT((1-T379)*($G$10-$E$10)*($G$10-$F$10))))</f>
        <v>1.09539131550419</v>
      </c>
      <c r="G379" s="38" t="n">
        <f aca="false">IF($G$11=$E$11,$F$11,IF(U379&lt;($F$11-$E$11)/($G$11-$E$11),$E$11+SQRT(U379*($G$11-$E$11)*($F$11-$E$11)),$G$11-SQRT((1-U379)*($G$11-$E$11)*($G$11-$F$11))))</f>
        <v>0.0847289532473038</v>
      </c>
      <c r="H379" s="39" t="n">
        <f aca="false">(('Business Case'!B11*$C379*'Business Case'!B12*$B379)-'Business Case'!B11*$C379*'Business Case'!B13*$D379-'Business Case'!B14*$E379)-MAX(0,(('Business Case'!B11*$C379*'Business Case'!B12*$B379)-'Business Case'!B11*$C379*'Business Case'!B13*$D379-'Business Case'!B14*$E379))*'Business Case'!$B$7-'Business Case'!$B$8*('Business Case'!B11*$C379*'Business Case'!B12*$B379)-'Business Case'!B15*$F379</f>
        <v>-2190782631.00838</v>
      </c>
      <c r="I379" s="39" t="n">
        <f aca="false">(('Business Case'!C11*$C379*'Business Case'!C12*$B379)-'Business Case'!C11*$C379*'Business Case'!C13*$D379-'Business Case'!C14*$E379)-MAX(0,(('Business Case'!C11*$C379*'Business Case'!C12*$B379)-'Business Case'!C11*$C379*'Business Case'!C13*$D379-'Business Case'!C14*$E379))*'Business Case'!$B$7-'Business Case'!$B$8*(('Business Case'!C11*$C379*'Business Case'!C12*$B379)-('Business Case'!B11*$C379*'Business Case'!B12*$B379))-'Business Case'!C15*$F379</f>
        <v>-67629191.7816209</v>
      </c>
      <c r="J379" s="39" t="n">
        <f aca="false">(('Business Case'!D11*$C379*'Business Case'!D12*$B379)-'Business Case'!D11*$C379*'Business Case'!D13*$D379-'Business Case'!D14*$E379)-MAX(0,(('Business Case'!D11*$C379*'Business Case'!D12*$B379)-'Business Case'!D11*$C379*'Business Case'!D13*$D379-'Business Case'!D14*$E379))*'Business Case'!$B$7-'Business Case'!$B$8*(('Business Case'!D11*$C379*'Business Case'!D12*$B379)-('Business Case'!C11*$C379*'Business Case'!C12*$B379))-'Business Case'!D15*$F379</f>
        <v>165097759.866803</v>
      </c>
      <c r="K379" s="39" t="n">
        <f aca="false">(('Business Case'!E11*$C379*'Business Case'!E12*$B379)-'Business Case'!E11*$C379*'Business Case'!E13*$D379-'Business Case'!E14*$E379)-MAX(0,(('Business Case'!E11*$C379*'Business Case'!E12*$B379)-'Business Case'!E11*$C379*'Business Case'!E13*$D379-'Business Case'!E14*$E379))*'Business Case'!$B$7-'Business Case'!$B$8*(('Business Case'!E11*$C379*'Business Case'!E12*$B379)-('Business Case'!D11*$C379*'Business Case'!D12*$B379))-'Business Case'!E15*$F379</f>
        <v>452594277.290436</v>
      </c>
      <c r="L379" s="39" t="n">
        <f aca="false">(('Business Case'!F11*$C379*'Business Case'!F12*$B379)-'Business Case'!F11*$C379*'Business Case'!F13*$D379-'Business Case'!F14*$E379)-MAX(0,(('Business Case'!F11*$C379*'Business Case'!F12*$B379)-'Business Case'!F11*$C379*'Business Case'!F13*$D379-'Business Case'!F14*$E379))*'Business Case'!$B$7-'Business Case'!$B$8*(('Business Case'!F11*$C379*'Business Case'!F12*$B379)-('Business Case'!E11*$C379*'Business Case'!E12*$B379))-'Business Case'!F15*$F379</f>
        <v>561456623.600382</v>
      </c>
      <c r="M379" s="39" t="n">
        <f aca="false">(('Business Case'!G11*$C379*'Business Case'!G12*$B379)-'Business Case'!G11*$C379*'Business Case'!G13*$D379-'Business Case'!G14*$E379)-MAX(0,(('Business Case'!G11*$C379*'Business Case'!G12*$B379)-'Business Case'!G11*$C379*'Business Case'!G13*$D379-'Business Case'!G14*$E379))*'Business Case'!$B$7-'Business Case'!$B$8*(('Business Case'!G11*$C379*'Business Case'!G12*$B379)-('Business Case'!F11*$C379*'Business Case'!F12*$B379))-'Business Case'!G15*$F379+'Business Case'!$B$8*('Business Case'!G11*$C379*'Business Case'!G12*$B379)</f>
        <v>733533450.282969</v>
      </c>
      <c r="N379" s="39" t="n">
        <f aca="false">IF(COUNT('Business Case'!B11:G11)=0,"",H379+NPV(G379,I379:M379))</f>
        <v>-864229986.013907</v>
      </c>
      <c r="P379" s="40" t="n">
        <f aca="true">RAND()</f>
        <v>0.0267404738998503</v>
      </c>
      <c r="Q379" s="40" t="n">
        <f aca="true">RAND()</f>
        <v>0.59735636690693</v>
      </c>
      <c r="R379" s="40" t="n">
        <f aca="true">RAND()</f>
        <v>0.460307258954286</v>
      </c>
      <c r="S379" s="40" t="n">
        <f aca="true">RAND()</f>
        <v>0.491153751256221</v>
      </c>
      <c r="T379" s="40" t="n">
        <f aca="true">RAND()</f>
        <v>0.681282062379669</v>
      </c>
      <c r="U379" s="40" t="n">
        <f aca="true">RAND()</f>
        <v>0.0223629988151853</v>
      </c>
    </row>
    <row r="380" customFormat="false" ht="15" hidden="false" customHeight="false" outlineLevel="0" collapsed="false">
      <c r="A380" s="36" t="n">
        <v>300</v>
      </c>
      <c r="B380" s="37" t="n">
        <f aca="false">1+IF($G$6=$E$6,$F$6,IF(P380&lt;($F$6-$E$6)/($G$6-$E$6),$E$6+SQRT(P380*($G$6-$E$6)*($F$6-$E$6)),$G$6-SQRT((1-P380)*($G$6-$E$6)*($G$6-$F$6))))</f>
        <v>0.986344560491236</v>
      </c>
      <c r="C380" s="37" t="n">
        <f aca="false">1+IF($G$7=$E$7,$F$7,IF(Q380&lt;($F$7-$E$7)/($G$7-$E$7),$E$7+SQRT(Q380*($G$7-$E$7)*($F$7-$E$7)),$G$7-SQRT((1-Q380)*($G$7-$E$7)*($G$7-$F$7))))</f>
        <v>0.950968724743356</v>
      </c>
      <c r="D380" s="37" t="n">
        <f aca="false">1+IF($G$8=$E$8,$F$8,IF(R380&lt;($F$8-$E$8)/($G$8-$E$8),$E$8+SQRT(R380*($G$8-$E$8)*($F$8-$E$8)),$G$8-SQRT((1-R380)*($G$8-$E$8)*($G$8-$F$8))))</f>
        <v>1.00536177582071</v>
      </c>
      <c r="E380" s="37" t="n">
        <f aca="false">1+IF($G$9=$E$9,$F$9,IF(S380&lt;($F$9-$E$9)/($G$9-$E$9),$E$9+SQRT(S380*($G$9-$E$9)*($F$9-$E$9)),$G$9-SQRT((1-S380)*($G$9-$E$9)*($G$9-$F$9))))</f>
        <v>1.06716529353597</v>
      </c>
      <c r="F380" s="37" t="n">
        <f aca="false">1+IF($G$10=$E$10,$F$10,IF(T380&lt;($F$10-$E$10)/($G$10-$E$10),$E$10+SQRT(T380*($G$10-$E$10)*($F$10-$E$10)),$G$10-SQRT((1-T380)*($G$10-$E$10)*($G$10-$F$10))))</f>
        <v>1.02284769261113</v>
      </c>
      <c r="G380" s="38" t="n">
        <f aca="false">IF($G$11=$E$11,$F$11,IF(U380&lt;($F$11-$E$11)/($G$11-$E$11),$E$11+SQRT(U380*($G$11-$E$11)*($F$11-$E$11)),$G$11-SQRT((1-U380)*($G$11-$E$11)*($G$11-$F$11))))</f>
        <v>0.108089091487608</v>
      </c>
      <c r="H380" s="39" t="n">
        <f aca="false">(('Business Case'!B11*$C380*'Business Case'!B12*$B380)-'Business Case'!B11*$C380*'Business Case'!B13*$D380-'Business Case'!B14*$E380)-MAX(0,(('Business Case'!B11*$C380*'Business Case'!B12*$B380)-'Business Case'!B11*$C380*'Business Case'!B13*$D380-'Business Case'!B14*$E380))*'Business Case'!$B$7-'Business Case'!$B$8*('Business Case'!B11*$C380*'Business Case'!B12*$B380)-'Business Case'!B15*$F380</f>
        <v>-2045695385.22226</v>
      </c>
      <c r="I380" s="39" t="n">
        <f aca="false">(('Business Case'!C11*$C380*'Business Case'!C12*$B380)-'Business Case'!C11*$C380*'Business Case'!C13*$D380-'Business Case'!C14*$E380)-MAX(0,(('Business Case'!C11*$C380*'Business Case'!C12*$B380)-'Business Case'!C11*$C380*'Business Case'!C13*$D380-'Business Case'!C14*$E380))*'Business Case'!$B$7-'Business Case'!$B$8*(('Business Case'!C11*$C380*'Business Case'!C12*$B380)-('Business Case'!B11*$C380*'Business Case'!B12*$B380))-'Business Case'!C15*$F380</f>
        <v>-23815361.0500934</v>
      </c>
      <c r="J380" s="39" t="n">
        <f aca="false">(('Business Case'!D11*$C380*'Business Case'!D12*$B380)-'Business Case'!D11*$C380*'Business Case'!D13*$D380-'Business Case'!D14*$E380)-MAX(0,(('Business Case'!D11*$C380*'Business Case'!D12*$B380)-'Business Case'!D11*$C380*'Business Case'!D13*$D380-'Business Case'!D14*$E380))*'Business Case'!$B$7-'Business Case'!$B$8*(('Business Case'!D11*$C380*'Business Case'!D12*$B380)-('Business Case'!C11*$C380*'Business Case'!C12*$B380))-'Business Case'!D15*$F380</f>
        <v>255029981.749216</v>
      </c>
      <c r="K380" s="39" t="n">
        <f aca="false">(('Business Case'!E11*$C380*'Business Case'!E12*$B380)-'Business Case'!E11*$C380*'Business Case'!E13*$D380-'Business Case'!E14*$E380)-MAX(0,(('Business Case'!E11*$C380*'Business Case'!E12*$B380)-'Business Case'!E11*$C380*'Business Case'!E13*$D380-'Business Case'!E14*$E380))*'Business Case'!$B$7-'Business Case'!$B$8*(('Business Case'!E11*$C380*'Business Case'!E12*$B380)-('Business Case'!D11*$C380*'Business Case'!D12*$B380))-'Business Case'!E15*$F380</f>
        <v>585017709.179083</v>
      </c>
      <c r="L380" s="39" t="n">
        <f aca="false">(('Business Case'!F11*$C380*'Business Case'!F12*$B380)-'Business Case'!F11*$C380*'Business Case'!F13*$D380-'Business Case'!F14*$E380)-MAX(0,(('Business Case'!F11*$C380*'Business Case'!F12*$B380)-'Business Case'!F11*$C380*'Business Case'!F13*$D380-'Business Case'!F14*$E380))*'Business Case'!$B$7-'Business Case'!$B$8*(('Business Case'!F11*$C380*'Business Case'!F12*$B380)-('Business Case'!E11*$C380*'Business Case'!E12*$B380))-'Business Case'!F15*$F380</f>
        <v>710382843.343836</v>
      </c>
      <c r="M380" s="39" t="n">
        <f aca="false">(('Business Case'!G11*$C380*'Business Case'!G12*$B380)-'Business Case'!G11*$C380*'Business Case'!G13*$D380-'Business Case'!G14*$E380)-MAX(0,(('Business Case'!G11*$C380*'Business Case'!G12*$B380)-'Business Case'!G11*$C380*'Business Case'!G13*$D380-'Business Case'!G14*$E380))*'Business Case'!$B$7-'Business Case'!$B$8*(('Business Case'!G11*$C380*'Business Case'!G12*$B380)-('Business Case'!F11*$C380*'Business Case'!F12*$B380))-'Business Case'!G15*$F380+'Business Case'!$B$8*('Business Case'!G11*$C380*'Business Case'!G12*$B380)</f>
        <v>888674619.451244</v>
      </c>
      <c r="N380" s="39" t="n">
        <f aca="false">IF(COUNT('Business Case'!B11:G11)=0,"",H380+NPV(G380,I380:M380))</f>
        <v>-426372610.781719</v>
      </c>
      <c r="P380" s="40" t="n">
        <f aca="true">RAND()</f>
        <v>0.497025541761645</v>
      </c>
      <c r="Q380" s="40" t="n">
        <f aca="true">RAND()</f>
        <v>0.466557783698566</v>
      </c>
      <c r="R380" s="40" t="n">
        <f aca="true">RAND()</f>
        <v>0.402907101612689</v>
      </c>
      <c r="S380" s="40" t="n">
        <f aca="true">RAND()</f>
        <v>0.817024304133823</v>
      </c>
      <c r="T380" s="40" t="n">
        <f aca="true">RAND()</f>
        <v>0.312024389972159</v>
      </c>
      <c r="U380" s="40" t="n">
        <f aca="true">RAND()</f>
        <v>0.679941392107717</v>
      </c>
    </row>
    <row r="381" customFormat="false" ht="15" hidden="false" customHeight="false" outlineLevel="0" collapsed="false">
      <c r="A381" s="36" t="n">
        <v>301</v>
      </c>
      <c r="B381" s="37" t="n">
        <f aca="false">1+IF($G$6=$E$6,$F$6,IF(P381&lt;($F$6-$E$6)/($G$6-$E$6),$E$6+SQRT(P381*($G$6-$E$6)*($F$6-$E$6)),$G$6-SQRT((1-P381)*($G$6-$E$6)*($G$6-$F$6))))</f>
        <v>0.98884644089071</v>
      </c>
      <c r="C381" s="37" t="n">
        <f aca="false">1+IF($G$7=$E$7,$F$7,IF(Q381&lt;($F$7-$E$7)/($G$7-$E$7),$E$7+SQRT(Q381*($G$7-$E$7)*($F$7-$E$7)),$G$7-SQRT((1-Q381)*($G$7-$E$7)*($G$7-$F$7))))</f>
        <v>0.922935099744073</v>
      </c>
      <c r="D381" s="37" t="n">
        <f aca="false">1+IF($G$8=$E$8,$F$8,IF(R381&lt;($F$8-$E$8)/($G$8-$E$8),$E$8+SQRT(R381*($G$8-$E$8)*($F$8-$E$8)),$G$8-SQRT((1-R381)*($G$8-$E$8)*($G$8-$F$8))))</f>
        <v>1.02999420889708</v>
      </c>
      <c r="E381" s="37" t="n">
        <f aca="false">1+IF($G$9=$E$9,$F$9,IF(S381&lt;($F$9-$E$9)/($G$9-$E$9),$E$9+SQRT(S381*($G$9-$E$9)*($F$9-$E$9)),$G$9-SQRT((1-S381)*($G$9-$E$9)*($G$9-$F$9))))</f>
        <v>1.01204283880143</v>
      </c>
      <c r="F381" s="37" t="n">
        <f aca="false">1+IF($G$10=$E$10,$F$10,IF(T381&lt;($F$10-$E$10)/($G$10-$E$10),$E$10+SQRT(T381*($G$10-$E$10)*($F$10-$E$10)),$G$10-SQRT((1-T381)*($G$10-$E$10)*($G$10-$F$10))))</f>
        <v>1.10938915730234</v>
      </c>
      <c r="G381" s="38" t="n">
        <f aca="false">IF($G$11=$E$11,$F$11,IF(U381&lt;($F$11-$E$11)/($G$11-$E$11),$E$11+SQRT(U381*($G$11-$E$11)*($F$11-$E$11)),$G$11-SQRT((1-U381)*($G$11-$E$11)*($G$11-$F$11))))</f>
        <v>0.103479938085359</v>
      </c>
      <c r="H381" s="39" t="n">
        <f aca="false">(('Business Case'!B11*$C381*'Business Case'!B12*$B381)-'Business Case'!B11*$C381*'Business Case'!B13*$D381-'Business Case'!B14*$E381)-MAX(0,(('Business Case'!B11*$C381*'Business Case'!B12*$B381)-'Business Case'!B11*$C381*'Business Case'!B13*$D381-'Business Case'!B14*$E381))*'Business Case'!$B$7-'Business Case'!$B$8*('Business Case'!B11*$C381*'Business Case'!B12*$B381)-'Business Case'!B15*$F381</f>
        <v>-2218778314.60467</v>
      </c>
      <c r="I381" s="39" t="n">
        <f aca="false">(('Business Case'!C11*$C381*'Business Case'!C12*$B381)-'Business Case'!C11*$C381*'Business Case'!C13*$D381-'Business Case'!C14*$E381)-MAX(0,(('Business Case'!C11*$C381*'Business Case'!C12*$B381)-'Business Case'!C11*$C381*'Business Case'!C13*$D381-'Business Case'!C14*$E381))*'Business Case'!$B$7-'Business Case'!$B$8*(('Business Case'!C11*$C381*'Business Case'!C12*$B381)-('Business Case'!B11*$C381*'Business Case'!B12*$B381))-'Business Case'!C15*$F381</f>
        <v>-41284227.9861177</v>
      </c>
      <c r="J381" s="39" t="n">
        <f aca="false">(('Business Case'!D11*$C381*'Business Case'!D12*$B381)-'Business Case'!D11*$C381*'Business Case'!D13*$D381-'Business Case'!D14*$E381)-MAX(0,(('Business Case'!D11*$C381*'Business Case'!D12*$B381)-'Business Case'!D11*$C381*'Business Case'!D13*$D381-'Business Case'!D14*$E381))*'Business Case'!$B$7-'Business Case'!$B$8*(('Business Case'!D11*$C381*'Business Case'!D12*$B381)-('Business Case'!C11*$C381*'Business Case'!C12*$B381))-'Business Case'!D15*$F381</f>
        <v>219594265.466255</v>
      </c>
      <c r="K381" s="39" t="n">
        <f aca="false">(('Business Case'!E11*$C381*'Business Case'!E12*$B381)-'Business Case'!E11*$C381*'Business Case'!E13*$D381-'Business Case'!E14*$E381)-MAX(0,(('Business Case'!E11*$C381*'Business Case'!E12*$B381)-'Business Case'!E11*$C381*'Business Case'!E13*$D381-'Business Case'!E14*$E381))*'Business Case'!$B$7-'Business Case'!$B$8*(('Business Case'!E11*$C381*'Business Case'!E12*$B381)-('Business Case'!D11*$C381*'Business Case'!D12*$B381))-'Business Case'!E15*$F381</f>
        <v>535942216.783745</v>
      </c>
      <c r="L381" s="39" t="n">
        <f aca="false">(('Business Case'!F11*$C381*'Business Case'!F12*$B381)-'Business Case'!F11*$C381*'Business Case'!F13*$D381-'Business Case'!F14*$E381)-MAX(0,(('Business Case'!F11*$C381*'Business Case'!F12*$B381)-'Business Case'!F11*$C381*'Business Case'!F13*$D381-'Business Case'!F14*$E381))*'Business Case'!$B$7-'Business Case'!$B$8*(('Business Case'!F11*$C381*'Business Case'!F12*$B381)-('Business Case'!E11*$C381*'Business Case'!E12*$B381))-'Business Case'!F15*$F381</f>
        <v>654442590.621665</v>
      </c>
      <c r="M381" s="39" t="n">
        <f aca="false">(('Business Case'!G11*$C381*'Business Case'!G12*$B381)-'Business Case'!G11*$C381*'Business Case'!G13*$D381-'Business Case'!G14*$E381)-MAX(0,(('Business Case'!G11*$C381*'Business Case'!G12*$B381)-'Business Case'!G11*$C381*'Business Case'!G13*$D381-'Business Case'!G14*$E381))*'Business Case'!$B$7-'Business Case'!$B$8*(('Business Case'!G11*$C381*'Business Case'!G12*$B381)-('Business Case'!F11*$C381*'Business Case'!F12*$B381))-'Business Case'!G15*$F381+'Business Case'!$B$8*('Business Case'!G11*$C381*'Business Case'!G12*$B381)</f>
        <v>827917408.734207</v>
      </c>
      <c r="N381" s="39" t="n">
        <f aca="false">IF(COUNT('Business Case'!B11:G11)=0,"",H381+NPV(G381,I381:M381))</f>
        <v>-729589431.08351</v>
      </c>
      <c r="P381" s="40" t="n">
        <f aca="true">RAND()</f>
        <v>0.526246003929762</v>
      </c>
      <c r="Q381" s="40" t="n">
        <f aca="true">RAND()</f>
        <v>0.368148582947407</v>
      </c>
      <c r="R381" s="40" t="n">
        <f aca="true">RAND()</f>
        <v>0.673279280803643</v>
      </c>
      <c r="S381" s="40" t="n">
        <f aca="true">RAND()</f>
        <v>0.492475244640863</v>
      </c>
      <c r="T381" s="40" t="n">
        <f aca="true">RAND()</f>
        <v>0.73638121221137</v>
      </c>
      <c r="U381" s="40" t="n">
        <f aca="true">RAND()</f>
        <v>0.531124210695725</v>
      </c>
    </row>
    <row r="382" customFormat="false" ht="15" hidden="false" customHeight="false" outlineLevel="0" collapsed="false">
      <c r="A382" s="36" t="n">
        <v>302</v>
      </c>
      <c r="B382" s="37" t="n">
        <f aca="false">1+IF($G$6=$E$6,$F$6,IF(P382&lt;($F$6-$E$6)/($G$6-$E$6),$E$6+SQRT(P382*($G$6-$E$6)*($F$6-$E$6)),$G$6-SQRT((1-P382)*($G$6-$E$6)*($G$6-$F$6))))</f>
        <v>1.03302411650873</v>
      </c>
      <c r="C382" s="37" t="n">
        <f aca="false">1+IF($G$7=$E$7,$F$7,IF(Q382&lt;($F$7-$E$7)/($G$7-$E$7),$E$7+SQRT(Q382*($G$7-$E$7)*($F$7-$E$7)),$G$7-SQRT((1-Q382)*($G$7-$E$7)*($G$7-$F$7))))</f>
        <v>0.965690500254264</v>
      </c>
      <c r="D382" s="37" t="n">
        <f aca="false">1+IF($G$8=$E$8,$F$8,IF(R382&lt;($F$8-$E$8)/($G$8-$E$8),$E$8+SQRT(R382*($G$8-$E$8)*($F$8-$E$8)),$G$8-SQRT((1-R382)*($G$8-$E$8)*($G$8-$F$8))))</f>
        <v>0.98698847944778</v>
      </c>
      <c r="E382" s="37" t="n">
        <f aca="false">1+IF($G$9=$E$9,$F$9,IF(S382&lt;($F$9-$E$9)/($G$9-$E$9),$E$9+SQRT(S382*($G$9-$E$9)*($F$9-$E$9)),$G$9-SQRT((1-S382)*($G$9-$E$9)*($G$9-$F$9))))</f>
        <v>0.96649891197301</v>
      </c>
      <c r="F382" s="37" t="n">
        <f aca="false">1+IF($G$10=$E$10,$F$10,IF(T382&lt;($F$10-$E$10)/($G$10-$E$10),$E$10+SQRT(T382*($G$10-$E$10)*($F$10-$E$10)),$G$10-SQRT((1-T382)*($G$10-$E$10)*($G$10-$F$10))))</f>
        <v>1.04266133999456</v>
      </c>
      <c r="G382" s="38" t="n">
        <f aca="false">IF($G$11=$E$11,$F$11,IF(U382&lt;($F$11-$E$11)/($G$11-$E$11),$E$11+SQRT(U382*($G$11-$E$11)*($F$11-$E$11)),$G$11-SQRT((1-U382)*($G$11-$E$11)*($G$11-$F$11))))</f>
        <v>0.0965618653277444</v>
      </c>
      <c r="H382" s="39" t="n">
        <f aca="false">(('Business Case'!B11*$C382*'Business Case'!B12*$B382)-'Business Case'!B11*$C382*'Business Case'!B13*$D382-'Business Case'!B14*$E382)-MAX(0,(('Business Case'!B11*$C382*'Business Case'!B12*$B382)-'Business Case'!B11*$C382*'Business Case'!B13*$D382-'Business Case'!B14*$E382))*'Business Case'!$B$7-'Business Case'!$B$8*('Business Case'!B11*$C382*'Business Case'!B12*$B382)-'Business Case'!B15*$F382</f>
        <v>-2085322679.98912</v>
      </c>
      <c r="I382" s="39" t="n">
        <f aca="false">(('Business Case'!C11*$C382*'Business Case'!C12*$B382)-'Business Case'!C11*$C382*'Business Case'!C13*$D382-'Business Case'!C14*$E382)-MAX(0,(('Business Case'!C11*$C382*'Business Case'!C12*$B382)-'Business Case'!C11*$C382*'Business Case'!C13*$D382-'Business Case'!C14*$E382))*'Business Case'!$B$7-'Business Case'!$B$8*(('Business Case'!C11*$C382*'Business Case'!C12*$B382)-('Business Case'!B11*$C382*'Business Case'!B12*$B382))-'Business Case'!C15*$F382</f>
        <v>35750274.3362421</v>
      </c>
      <c r="J382" s="39" t="n">
        <f aca="false">(('Business Case'!D11*$C382*'Business Case'!D12*$B382)-'Business Case'!D11*$C382*'Business Case'!D13*$D382-'Business Case'!D14*$E382)-MAX(0,(('Business Case'!D11*$C382*'Business Case'!D12*$B382)-'Business Case'!D11*$C382*'Business Case'!D13*$D382-'Business Case'!D14*$E382))*'Business Case'!$B$7-'Business Case'!$B$8*(('Business Case'!D11*$C382*'Business Case'!D12*$B382)-('Business Case'!C11*$C382*'Business Case'!C12*$B382))-'Business Case'!D15*$F382</f>
        <v>364917456.846361</v>
      </c>
      <c r="K382" s="39" t="n">
        <f aca="false">(('Business Case'!E11*$C382*'Business Case'!E12*$B382)-'Business Case'!E11*$C382*'Business Case'!E13*$D382-'Business Case'!E14*$E382)-MAX(0,(('Business Case'!E11*$C382*'Business Case'!E12*$B382)-'Business Case'!E11*$C382*'Business Case'!E13*$D382-'Business Case'!E14*$E382))*'Business Case'!$B$7-'Business Case'!$B$8*(('Business Case'!E11*$C382*'Business Case'!E12*$B382)-('Business Case'!D11*$C382*'Business Case'!D12*$B382))-'Business Case'!E15*$F382</f>
        <v>746217706.356207</v>
      </c>
      <c r="L382" s="39" t="n">
        <f aca="false">(('Business Case'!F11*$C382*'Business Case'!F12*$B382)-'Business Case'!F11*$C382*'Business Case'!F13*$D382-'Business Case'!F14*$E382)-MAX(0,(('Business Case'!F11*$C382*'Business Case'!F12*$B382)-'Business Case'!F11*$C382*'Business Case'!F13*$D382-'Business Case'!F14*$E382))*'Business Case'!$B$7-'Business Case'!$B$8*(('Business Case'!F11*$C382*'Business Case'!F12*$B382)-('Business Case'!E11*$C382*'Business Case'!E12*$B382))-'Business Case'!F15*$F382</f>
        <v>890416519.787485</v>
      </c>
      <c r="M382" s="39" t="n">
        <f aca="false">(('Business Case'!G11*$C382*'Business Case'!G12*$B382)-'Business Case'!G11*$C382*'Business Case'!G13*$D382-'Business Case'!G14*$E382)-MAX(0,(('Business Case'!G11*$C382*'Business Case'!G12*$B382)-'Business Case'!G11*$C382*'Business Case'!G13*$D382-'Business Case'!G14*$E382))*'Business Case'!$B$7-'Business Case'!$B$8*(('Business Case'!G11*$C382*'Business Case'!G12*$B382)-('Business Case'!F11*$C382*'Business Case'!F12*$B382))-'Business Case'!G15*$F382+'Business Case'!$B$8*('Business Case'!G11*$C382*'Business Case'!G12*$B382)</f>
        <v>1080036825.7243</v>
      </c>
      <c r="N382" s="39" t="n">
        <f aca="false">IF(COUNT('Business Case'!B11:G11)=0,"",H382+NPV(G382,I382:M382))</f>
        <v>113719688.066784</v>
      </c>
      <c r="P382" s="40" t="n">
        <f aca="true">RAND()</f>
        <v>0.961575917292092</v>
      </c>
      <c r="Q382" s="40" t="n">
        <f aca="true">RAND()</f>
        <v>0.522899569817488</v>
      </c>
      <c r="R382" s="40" t="n">
        <f aca="true">RAND()</f>
        <v>0.182419681581181</v>
      </c>
      <c r="S382" s="40" t="n">
        <f aca="true">RAND()</f>
        <v>0.176884211743767</v>
      </c>
      <c r="T382" s="40" t="n">
        <f aca="true">RAND()</f>
        <v>0.426809067561984</v>
      </c>
      <c r="U382" s="40" t="n">
        <f aca="true">RAND()</f>
        <v>0.274295383134343</v>
      </c>
    </row>
    <row r="383" customFormat="false" ht="15" hidden="false" customHeight="false" outlineLevel="0" collapsed="false">
      <c r="A383" s="36" t="n">
        <v>303</v>
      </c>
      <c r="B383" s="37" t="n">
        <f aca="false">1+IF($G$6=$E$6,$F$6,IF(P383&lt;($F$6-$E$6)/($G$6-$E$6),$E$6+SQRT(P383*($G$6-$E$6)*($F$6-$E$6)),$G$6-SQRT((1-P383)*($G$6-$E$6)*($G$6-$F$6))))</f>
        <v>0.996384221283101</v>
      </c>
      <c r="C383" s="37" t="n">
        <f aca="false">1+IF($G$7=$E$7,$F$7,IF(Q383&lt;($F$7-$E$7)/($G$7-$E$7),$E$7+SQRT(Q383*($G$7-$E$7)*($F$7-$E$7)),$G$7-SQRT((1-Q383)*($G$7-$E$7)*($G$7-$F$7))))</f>
        <v>0.980452057862503</v>
      </c>
      <c r="D383" s="37" t="n">
        <f aca="false">1+IF($G$8=$E$8,$F$8,IF(R383&lt;($F$8-$E$8)/($G$8-$E$8),$E$8+SQRT(R383*($G$8-$E$8)*($F$8-$E$8)),$G$8-SQRT((1-R383)*($G$8-$E$8)*($G$8-$F$8))))</f>
        <v>1.05236477966421</v>
      </c>
      <c r="E383" s="37" t="n">
        <f aca="false">1+IF($G$9=$E$9,$F$9,IF(S383&lt;($F$9-$E$9)/($G$9-$E$9),$E$9+SQRT(S383*($G$9-$E$9)*($F$9-$E$9)),$G$9-SQRT((1-S383)*($G$9-$E$9)*($G$9-$F$9))))</f>
        <v>1.12049713573991</v>
      </c>
      <c r="F383" s="37" t="n">
        <f aca="false">1+IF($G$10=$E$10,$F$10,IF(T383&lt;($F$10-$E$10)/($G$10-$E$10),$E$10+SQRT(T383*($G$10-$E$10)*($F$10-$E$10)),$G$10-SQRT((1-T383)*($G$10-$E$10)*($G$10-$F$10))))</f>
        <v>1.03510324862699</v>
      </c>
      <c r="G383" s="38" t="n">
        <f aca="false">IF($G$11=$E$11,$F$11,IF(U383&lt;($F$11-$E$11)/($G$11-$E$11),$E$11+SQRT(U383*($G$11-$E$11)*($F$11-$E$11)),$G$11-SQRT((1-U383)*($G$11-$E$11)*($G$11-$F$11))))</f>
        <v>0.0932135109259714</v>
      </c>
      <c r="H383" s="39" t="n">
        <f aca="false">(('Business Case'!B11*$C383*'Business Case'!B12*$B383)-'Business Case'!B11*$C383*'Business Case'!B13*$D383-'Business Case'!B14*$E383)-MAX(0,(('Business Case'!B11*$C383*'Business Case'!B12*$B383)-'Business Case'!B11*$C383*'Business Case'!B13*$D383-'Business Case'!B14*$E383))*'Business Case'!$B$7-'Business Case'!$B$8*('Business Case'!B11*$C383*'Business Case'!B12*$B383)-'Business Case'!B15*$F383</f>
        <v>-2070206497.25398</v>
      </c>
      <c r="I383" s="39" t="n">
        <f aca="false">(('Business Case'!C11*$C383*'Business Case'!C12*$B383)-'Business Case'!C11*$C383*'Business Case'!C13*$D383-'Business Case'!C14*$E383)-MAX(0,(('Business Case'!C11*$C383*'Business Case'!C12*$B383)-'Business Case'!C11*$C383*'Business Case'!C13*$D383-'Business Case'!C14*$E383))*'Business Case'!$B$7-'Business Case'!$B$8*(('Business Case'!C11*$C383*'Business Case'!C12*$B383)-('Business Case'!B11*$C383*'Business Case'!B12*$B383))-'Business Case'!C15*$F383</f>
        <v>-41526318.7239734</v>
      </c>
      <c r="J383" s="39" t="n">
        <f aca="false">(('Business Case'!D11*$C383*'Business Case'!D12*$B383)-'Business Case'!D11*$C383*'Business Case'!D13*$D383-'Business Case'!D14*$E383)-MAX(0,(('Business Case'!D11*$C383*'Business Case'!D12*$B383)-'Business Case'!D11*$C383*'Business Case'!D13*$D383-'Business Case'!D14*$E383))*'Business Case'!$B$7-'Business Case'!$B$8*(('Business Case'!D11*$C383*'Business Case'!D12*$B383)-('Business Case'!C11*$C383*'Business Case'!C12*$B383))-'Business Case'!D15*$F383</f>
        <v>230435236.932633</v>
      </c>
      <c r="K383" s="39" t="n">
        <f aca="false">(('Business Case'!E11*$C383*'Business Case'!E12*$B383)-'Business Case'!E11*$C383*'Business Case'!E13*$D383-'Business Case'!E14*$E383)-MAX(0,(('Business Case'!E11*$C383*'Business Case'!E12*$B383)-'Business Case'!E11*$C383*'Business Case'!E13*$D383-'Business Case'!E14*$E383))*'Business Case'!$B$7-'Business Case'!$B$8*(('Business Case'!E11*$C383*'Business Case'!E12*$B383)-('Business Case'!D11*$C383*'Business Case'!D12*$B383))-'Business Case'!E15*$F383</f>
        <v>554151955.02059</v>
      </c>
      <c r="L383" s="39" t="n">
        <f aca="false">(('Business Case'!F11*$C383*'Business Case'!F12*$B383)-'Business Case'!F11*$C383*'Business Case'!F13*$D383-'Business Case'!F14*$E383)-MAX(0,(('Business Case'!F11*$C383*'Business Case'!F12*$B383)-'Business Case'!F11*$C383*'Business Case'!F13*$D383-'Business Case'!F14*$E383))*'Business Case'!$B$7-'Business Case'!$B$8*(('Business Case'!F11*$C383*'Business Case'!F12*$B383)-('Business Case'!E11*$C383*'Business Case'!E12*$B383))-'Business Case'!F15*$F383</f>
        <v>678567711.449902</v>
      </c>
      <c r="M383" s="39" t="n">
        <f aca="false">(('Business Case'!G11*$C383*'Business Case'!G12*$B383)-'Business Case'!G11*$C383*'Business Case'!G13*$D383-'Business Case'!G14*$E383)-MAX(0,(('Business Case'!G11*$C383*'Business Case'!G12*$B383)-'Business Case'!G11*$C383*'Business Case'!G13*$D383-'Business Case'!G14*$E383))*'Business Case'!$B$7-'Business Case'!$B$8*(('Business Case'!G11*$C383*'Business Case'!G12*$B383)-('Business Case'!F11*$C383*'Business Case'!F12*$B383))-'Business Case'!G15*$F383+'Business Case'!$B$8*('Business Case'!G11*$C383*'Business Case'!G12*$B383)</f>
        <v>864258186.440678</v>
      </c>
      <c r="N383" s="39" t="n">
        <f aca="false">IF(COUNT('Business Case'!B11:G11)=0,"",H383+NPV(G383,I383:M383))</f>
        <v>-462645071.230568</v>
      </c>
      <c r="P383" s="40" t="n">
        <f aca="true">RAND()</f>
        <v>0.619327874156646</v>
      </c>
      <c r="Q383" s="40" t="n">
        <f aca="true">RAND()</f>
        <v>0.582617457476389</v>
      </c>
      <c r="R383" s="40" t="n">
        <f aca="true">RAND()</f>
        <v>0.848725718904074</v>
      </c>
      <c r="S383" s="40" t="n">
        <f aca="true">RAND()</f>
        <v>0.976788826678682</v>
      </c>
      <c r="T383" s="40" t="n">
        <f aca="true">RAND()</f>
        <v>0.384258483324355</v>
      </c>
      <c r="U383" s="40" t="n">
        <f aca="true">RAND()</f>
        <v>0.174596870990765</v>
      </c>
    </row>
    <row r="384" customFormat="false" ht="15" hidden="false" customHeight="false" outlineLevel="0" collapsed="false">
      <c r="A384" s="36" t="n">
        <v>304</v>
      </c>
      <c r="B384" s="37" t="n">
        <f aca="false">1+IF($G$6=$E$6,$F$6,IF(P384&lt;($F$6-$E$6)/($G$6-$E$6),$E$6+SQRT(P384*($G$6-$E$6)*($F$6-$E$6)),$G$6-SQRT((1-P384)*($G$6-$E$6)*($G$6-$F$6))))</f>
        <v>0.97599623199318</v>
      </c>
      <c r="C384" s="37" t="n">
        <f aca="false">1+IF($G$7=$E$7,$F$7,IF(Q384&lt;($F$7-$E$7)/($G$7-$E$7),$E$7+SQRT(Q384*($G$7-$E$7)*($F$7-$E$7)),$G$7-SQRT((1-Q384)*($G$7-$E$7)*($G$7-$F$7))))</f>
        <v>0.879237848806353</v>
      </c>
      <c r="D384" s="37" t="n">
        <f aca="false">1+IF($G$8=$E$8,$F$8,IF(R384&lt;($F$8-$E$8)/($G$8-$E$8),$E$8+SQRT(R384*($G$8-$E$8)*($F$8-$E$8)),$G$8-SQRT((1-R384)*($G$8-$E$8)*($G$8-$F$8))))</f>
        <v>1.03997113920088</v>
      </c>
      <c r="E384" s="37" t="n">
        <f aca="false">1+IF($G$9=$E$9,$F$9,IF(S384&lt;($F$9-$E$9)/($G$9-$E$9),$E$9+SQRT(S384*($G$9-$E$9)*($F$9-$E$9)),$G$9-SQRT((1-S384)*($G$9-$E$9)*($G$9-$F$9))))</f>
        <v>0.972057094547795</v>
      </c>
      <c r="F384" s="37" t="n">
        <f aca="false">1+IF($G$10=$E$10,$F$10,IF(T384&lt;($F$10-$E$10)/($G$10-$E$10),$E$10+SQRT(T384*($G$10-$E$10)*($F$10-$E$10)),$G$10-SQRT((1-T384)*($G$10-$E$10)*($G$10-$F$10))))</f>
        <v>1.17721423997873</v>
      </c>
      <c r="G384" s="38" t="n">
        <f aca="false">IF($G$11=$E$11,$F$11,IF(U384&lt;($F$11-$E$11)/($G$11-$E$11),$E$11+SQRT(U384*($G$11-$E$11)*($F$11-$E$11)),$G$11-SQRT((1-U384)*($G$11-$E$11)*($G$11-$F$11))))</f>
        <v>0.116596534110588</v>
      </c>
      <c r="H384" s="39" t="n">
        <f aca="false">(('Business Case'!B11*$C384*'Business Case'!B12*$B384)-'Business Case'!B11*$C384*'Business Case'!B13*$D384-'Business Case'!B14*$E384)-MAX(0,(('Business Case'!B11*$C384*'Business Case'!B12*$B384)-'Business Case'!B11*$C384*'Business Case'!B13*$D384-'Business Case'!B14*$E384))*'Business Case'!$B$7-'Business Case'!$B$8*('Business Case'!B11*$C384*'Business Case'!B12*$B384)-'Business Case'!B15*$F384</f>
        <v>-2354428479.95745</v>
      </c>
      <c r="I384" s="39" t="n">
        <f aca="false">(('Business Case'!C11*$C384*'Business Case'!C12*$B384)-'Business Case'!C11*$C384*'Business Case'!C13*$D384-'Business Case'!C14*$E384)-MAX(0,(('Business Case'!C11*$C384*'Business Case'!C12*$B384)-'Business Case'!C11*$C384*'Business Case'!C13*$D384-'Business Case'!C14*$E384))*'Business Case'!$B$7-'Business Case'!$B$8*(('Business Case'!C11*$C384*'Business Case'!C12*$B384)-('Business Case'!B11*$C384*'Business Case'!B12*$B384))-'Business Case'!C15*$F384</f>
        <v>-65651404.2780508</v>
      </c>
      <c r="J384" s="39" t="n">
        <f aca="false">(('Business Case'!D11*$C384*'Business Case'!D12*$B384)-'Business Case'!D11*$C384*'Business Case'!D13*$D384-'Business Case'!D14*$E384)-MAX(0,(('Business Case'!D11*$C384*'Business Case'!D12*$B384)-'Business Case'!D11*$C384*'Business Case'!D13*$D384-'Business Case'!D14*$E384))*'Business Case'!$B$7-'Business Case'!$B$8*(('Business Case'!D11*$C384*'Business Case'!D12*$B384)-('Business Case'!C11*$C384*'Business Case'!C12*$B384))-'Business Case'!D15*$F384</f>
        <v>169130740.062035</v>
      </c>
      <c r="K384" s="39" t="n">
        <f aca="false">(('Business Case'!E11*$C384*'Business Case'!E12*$B384)-'Business Case'!E11*$C384*'Business Case'!E13*$D384-'Business Case'!E14*$E384)-MAX(0,(('Business Case'!E11*$C384*'Business Case'!E12*$B384)-'Business Case'!E11*$C384*'Business Case'!E13*$D384-'Business Case'!E14*$E384))*'Business Case'!$B$7-'Business Case'!$B$8*(('Business Case'!E11*$C384*'Business Case'!E12*$B384)-('Business Case'!D11*$C384*'Business Case'!D12*$B384))-'Business Case'!E15*$F384</f>
        <v>462773596.401057</v>
      </c>
      <c r="L384" s="39" t="n">
        <f aca="false">(('Business Case'!F11*$C384*'Business Case'!F12*$B384)-'Business Case'!F11*$C384*'Business Case'!F13*$D384-'Business Case'!F14*$E384)-MAX(0,(('Business Case'!F11*$C384*'Business Case'!F12*$B384)-'Business Case'!F11*$C384*'Business Case'!F13*$D384-'Business Case'!F14*$E384))*'Business Case'!$B$7-'Business Case'!$B$8*(('Business Case'!F11*$C384*'Business Case'!F12*$B384)-('Business Case'!E11*$C384*'Business Case'!E12*$B384))-'Business Case'!F15*$F384</f>
        <v>570691381.69813</v>
      </c>
      <c r="M384" s="39" t="n">
        <f aca="false">(('Business Case'!G11*$C384*'Business Case'!G12*$B384)-'Business Case'!G11*$C384*'Business Case'!G13*$D384-'Business Case'!G14*$E384)-MAX(0,(('Business Case'!G11*$C384*'Business Case'!G12*$B384)-'Business Case'!G11*$C384*'Business Case'!G13*$D384-'Business Case'!G14*$E384))*'Business Case'!$B$7-'Business Case'!$B$8*(('Business Case'!G11*$C384*'Business Case'!G12*$B384)-('Business Case'!F11*$C384*'Business Case'!F12*$B384))-'Business Case'!G15*$F384+'Business Case'!$B$8*('Business Case'!G11*$C384*'Business Case'!G12*$B384)</f>
        <v>733805269.541877</v>
      </c>
      <c r="N384" s="39" t="n">
        <f aca="false">IF(COUNT('Business Case'!B11:G11)=0,"",H384+NPV(G384,I384:M384))</f>
        <v>-1155264636.38857</v>
      </c>
      <c r="P384" s="40" t="n">
        <f aca="true">RAND()</f>
        <v>0.385028485144083</v>
      </c>
      <c r="Q384" s="40" t="n">
        <f aca="true">RAND()</f>
        <v>0.237971899590586</v>
      </c>
      <c r="R384" s="40" t="n">
        <f aca="true">RAND()</f>
        <v>0.759769058077355</v>
      </c>
      <c r="S384" s="40" t="n">
        <f aca="true">RAND()</f>
        <v>0.207688994986795</v>
      </c>
      <c r="T384" s="40" t="n">
        <f aca="true">RAND()</f>
        <v>0.929363108508339</v>
      </c>
      <c r="U384" s="40" t="n">
        <f aca="true">RAND()</f>
        <v>0.880231401434247</v>
      </c>
    </row>
    <row r="385" customFormat="false" ht="15" hidden="false" customHeight="false" outlineLevel="0" collapsed="false">
      <c r="A385" s="36" t="n">
        <v>305</v>
      </c>
      <c r="B385" s="37" t="n">
        <f aca="false">1+IF($G$6=$E$6,$F$6,IF(P385&lt;($F$6-$E$6)/($G$6-$E$6),$E$6+SQRT(P385*($G$6-$E$6)*($F$6-$E$6)),$G$6-SQRT((1-P385)*($G$6-$E$6)*($G$6-$F$6))))</f>
        <v>1.03200339966282</v>
      </c>
      <c r="C385" s="37" t="n">
        <f aca="false">1+IF($G$7=$E$7,$F$7,IF(Q385&lt;($F$7-$E$7)/($G$7-$E$7),$E$7+SQRT(Q385*($G$7-$E$7)*($F$7-$E$7)),$G$7-SQRT((1-Q385)*($G$7-$E$7)*($G$7-$F$7))))</f>
        <v>0.996970109095341</v>
      </c>
      <c r="D385" s="37" t="n">
        <f aca="false">1+IF($G$8=$E$8,$F$8,IF(R385&lt;($F$8-$E$8)/($G$8-$E$8),$E$8+SQRT(R385*($G$8-$E$8)*($F$8-$E$8)),$G$8-SQRT((1-R385)*($G$8-$E$8)*($G$8-$F$8))))</f>
        <v>0.982052808535289</v>
      </c>
      <c r="E385" s="37" t="n">
        <f aca="false">1+IF($G$9=$E$9,$F$9,IF(S385&lt;($F$9-$E$9)/($G$9-$E$9),$E$9+SQRT(S385*($G$9-$E$9)*($F$9-$E$9)),$G$9-SQRT((1-S385)*($G$9-$E$9)*($G$9-$F$9))))</f>
        <v>0.975669819068889</v>
      </c>
      <c r="F385" s="37" t="n">
        <f aca="false">1+IF($G$10=$E$10,$F$10,IF(T385&lt;($F$10-$E$10)/($G$10-$E$10),$E$10+SQRT(T385*($G$10-$E$10)*($F$10-$E$10)),$G$10-SQRT((1-T385)*($G$10-$E$10)*($G$10-$F$10))))</f>
        <v>0.992746827378532</v>
      </c>
      <c r="G385" s="38" t="n">
        <f aca="false">IF($G$11=$E$11,$F$11,IF(U385&lt;($F$11-$E$11)/($G$11-$E$11),$E$11+SQRT(U385*($G$11-$E$11)*($F$11-$E$11)),$G$11-SQRT((1-U385)*($G$11-$E$11)*($G$11-$F$11))))</f>
        <v>0.0936848537100492</v>
      </c>
      <c r="H385" s="39" t="n">
        <f aca="false">(('Business Case'!B11*$C385*'Business Case'!B12*$B385)-'Business Case'!B11*$C385*'Business Case'!B13*$D385-'Business Case'!B14*$E385)-MAX(0,(('Business Case'!B11*$C385*'Business Case'!B12*$B385)-'Business Case'!B11*$C385*'Business Case'!B13*$D385-'Business Case'!B14*$E385))*'Business Case'!$B$7-'Business Case'!$B$8*('Business Case'!B11*$C385*'Business Case'!B12*$B385)-'Business Case'!B15*$F385</f>
        <v>-1985493654.75706</v>
      </c>
      <c r="I385" s="39" t="n">
        <f aca="false">(('Business Case'!C11*$C385*'Business Case'!C12*$B385)-'Business Case'!C11*$C385*'Business Case'!C13*$D385-'Business Case'!C14*$E385)-MAX(0,(('Business Case'!C11*$C385*'Business Case'!C12*$B385)-'Business Case'!C11*$C385*'Business Case'!C13*$D385-'Business Case'!C14*$E385))*'Business Case'!$B$7-'Business Case'!$B$8*(('Business Case'!C11*$C385*'Business Case'!C12*$B385)-('Business Case'!B11*$C385*'Business Case'!B12*$B385))-'Business Case'!C15*$F385</f>
        <v>50162826.8271592</v>
      </c>
      <c r="J385" s="39" t="n">
        <f aca="false">(('Business Case'!D11*$C385*'Business Case'!D12*$B385)-'Business Case'!D11*$C385*'Business Case'!D13*$D385-'Business Case'!D14*$E385)-MAX(0,(('Business Case'!D11*$C385*'Business Case'!D12*$B385)-'Business Case'!D11*$C385*'Business Case'!D13*$D385-'Business Case'!D14*$E385))*'Business Case'!$B$7-'Business Case'!$B$8*(('Business Case'!D11*$C385*'Business Case'!D12*$B385)-('Business Case'!C11*$C385*'Business Case'!C12*$B385))-'Business Case'!D15*$F385</f>
        <v>391677544.598384</v>
      </c>
      <c r="K385" s="39" t="n">
        <f aca="false">(('Business Case'!E11*$C385*'Business Case'!E12*$B385)-'Business Case'!E11*$C385*'Business Case'!E13*$D385-'Business Case'!E14*$E385)-MAX(0,(('Business Case'!E11*$C385*'Business Case'!E12*$B385)-'Business Case'!E11*$C385*'Business Case'!E13*$D385-'Business Case'!E14*$E385))*'Business Case'!$B$7-'Business Case'!$B$8*(('Business Case'!E11*$C385*'Business Case'!E12*$B385)-('Business Case'!D11*$C385*'Business Case'!D12*$B385))-'Business Case'!E15*$F385</f>
        <v>782829603.738534</v>
      </c>
      <c r="L385" s="39" t="n">
        <f aca="false">(('Business Case'!F11*$C385*'Business Case'!F12*$B385)-'Business Case'!F11*$C385*'Business Case'!F13*$D385-'Business Case'!F14*$E385)-MAX(0,(('Business Case'!F11*$C385*'Business Case'!F12*$B385)-'Business Case'!F11*$C385*'Business Case'!F13*$D385-'Business Case'!F14*$E385))*'Business Case'!$B$7-'Business Case'!$B$8*(('Business Case'!F11*$C385*'Business Case'!F12*$B385)-('Business Case'!E11*$C385*'Business Case'!E12*$B385))-'Business Case'!F15*$F385</f>
        <v>932225816.285353</v>
      </c>
      <c r="M385" s="39" t="n">
        <f aca="false">(('Business Case'!G11*$C385*'Business Case'!G12*$B385)-'Business Case'!G11*$C385*'Business Case'!G13*$D385-'Business Case'!G14*$E385)-MAX(0,(('Business Case'!G11*$C385*'Business Case'!G12*$B385)-'Business Case'!G11*$C385*'Business Case'!G13*$D385-'Business Case'!G14*$E385))*'Business Case'!$B$7-'Business Case'!$B$8*(('Business Case'!G11*$C385*'Business Case'!G12*$B385)-('Business Case'!F11*$C385*'Business Case'!F12*$B385))-'Business Case'!G15*$F385+'Business Case'!$B$8*('Business Case'!G11*$C385*'Business Case'!G12*$B385)</f>
        <v>1127794669.37894</v>
      </c>
      <c r="N385" s="39" t="n">
        <f aca="false">IF(COUNT('Business Case'!B11:G11)=0,"",H385+NPV(G385,I385:M385))</f>
        <v>358501389.389339</v>
      </c>
      <c r="P385" s="40" t="n">
        <f aca="true">RAND()</f>
        <v>0.956816316840532</v>
      </c>
      <c r="Q385" s="40" t="n">
        <f aca="true">RAND()</f>
        <v>0.653268486637768</v>
      </c>
      <c r="R385" s="40" t="n">
        <f aca="true">RAND()</f>
        <v>0.136984337999982</v>
      </c>
      <c r="S385" s="40" t="n">
        <f aca="true">RAND()</f>
        <v>0.229036860716736</v>
      </c>
      <c r="T385" s="40" t="n">
        <f aca="true">RAND()</f>
        <v>0.121819416728666</v>
      </c>
      <c r="U385" s="40" t="n">
        <f aca="true">RAND()</f>
        <v>0.187275221065448</v>
      </c>
    </row>
    <row r="386" customFormat="false" ht="15" hidden="false" customHeight="false" outlineLevel="0" collapsed="false">
      <c r="A386" s="36" t="n">
        <v>306</v>
      </c>
      <c r="B386" s="37" t="n">
        <f aca="false">1+IF($G$6=$E$6,$F$6,IF(P386&lt;($F$6-$E$6)/($G$6-$E$6),$E$6+SQRT(P386*($G$6-$E$6)*($F$6-$E$6)),$G$6-SQRT((1-P386)*($G$6-$E$6)*($G$6-$F$6))))</f>
        <v>0.945483455483819</v>
      </c>
      <c r="C386" s="37" t="n">
        <f aca="false">1+IF($G$7=$E$7,$F$7,IF(Q386&lt;($F$7-$E$7)/($G$7-$E$7),$E$7+SQRT(Q386*($G$7-$E$7)*($F$7-$E$7)),$G$7-SQRT((1-Q386)*($G$7-$E$7)*($G$7-$F$7))))</f>
        <v>1.05563147943286</v>
      </c>
      <c r="D386" s="37" t="n">
        <f aca="false">1+IF($G$8=$E$8,$F$8,IF(R386&lt;($F$8-$E$8)/($G$8-$E$8),$E$8+SQRT(R386*($G$8-$E$8)*($F$8-$E$8)),$G$8-SQRT((1-R386)*($G$8-$E$8)*($G$8-$F$8))))</f>
        <v>1.05571001238251</v>
      </c>
      <c r="E386" s="37" t="n">
        <f aca="false">1+IF($G$9=$E$9,$F$9,IF(S386&lt;($F$9-$E$9)/($G$9-$E$9),$E$9+SQRT(S386*($G$9-$E$9)*($F$9-$E$9)),$G$9-SQRT((1-S386)*($G$9-$E$9)*($G$9-$F$9))))</f>
        <v>0.930900994991466</v>
      </c>
      <c r="F386" s="37" t="n">
        <f aca="false">1+IF($G$10=$E$10,$F$10,IF(T386&lt;($F$10-$E$10)/($G$10-$E$10),$E$10+SQRT(T386*($G$10-$E$10)*($F$10-$E$10)),$G$10-SQRT((1-T386)*($G$10-$E$10)*($G$10-$F$10))))</f>
        <v>1.15675998831275</v>
      </c>
      <c r="G386" s="38" t="n">
        <f aca="false">IF($G$11=$E$11,$F$11,IF(U386&lt;($F$11-$E$11)/($G$11-$E$11),$E$11+SQRT(U386*($G$11-$E$11)*($F$11-$E$11)),$G$11-SQRT((1-U386)*($G$11-$E$11)*($G$11-$F$11))))</f>
        <v>0.108332251302514</v>
      </c>
      <c r="H386" s="39" t="n">
        <f aca="false">(('Business Case'!B11*$C386*'Business Case'!B12*$B386)-'Business Case'!B11*$C386*'Business Case'!B13*$D386-'Business Case'!B14*$E386)-MAX(0,(('Business Case'!B11*$C386*'Business Case'!B12*$B386)-'Business Case'!B11*$C386*'Business Case'!B13*$D386-'Business Case'!B14*$E386))*'Business Case'!$B$7-'Business Case'!$B$8*('Business Case'!B11*$C386*'Business Case'!B12*$B386)-'Business Case'!B15*$F386</f>
        <v>-2313519976.6255</v>
      </c>
      <c r="I386" s="39" t="n">
        <f aca="false">(('Business Case'!C11*$C386*'Business Case'!C12*$B386)-'Business Case'!C11*$C386*'Business Case'!C13*$D386-'Business Case'!C14*$E386)-MAX(0,(('Business Case'!C11*$C386*'Business Case'!C12*$B386)-'Business Case'!C11*$C386*'Business Case'!C13*$D386-'Business Case'!C14*$E386))*'Business Case'!$B$7-'Business Case'!$B$8*(('Business Case'!C11*$C386*'Business Case'!C12*$B386)-('Business Case'!B11*$C386*'Business Case'!B12*$B386))-'Business Case'!C15*$F386</f>
        <v>-52794089.9428197</v>
      </c>
      <c r="J386" s="39" t="n">
        <f aca="false">(('Business Case'!D11*$C386*'Business Case'!D12*$B386)-'Business Case'!D11*$C386*'Business Case'!D13*$D386-'Business Case'!D14*$E386)-MAX(0,(('Business Case'!D11*$C386*'Business Case'!D12*$B386)-'Business Case'!D11*$C386*'Business Case'!D13*$D386-'Business Case'!D14*$E386))*'Business Case'!$B$7-'Business Case'!$B$8*(('Business Case'!D11*$C386*'Business Case'!D12*$B386)-('Business Case'!C11*$C386*'Business Case'!C12*$B386))-'Business Case'!D15*$F386</f>
        <v>194202516.439966</v>
      </c>
      <c r="K386" s="39" t="n">
        <f aca="false">(('Business Case'!E11*$C386*'Business Case'!E12*$B386)-'Business Case'!E11*$C386*'Business Case'!E13*$D386-'Business Case'!E14*$E386)-MAX(0,(('Business Case'!E11*$C386*'Business Case'!E12*$B386)-'Business Case'!E11*$C386*'Business Case'!E13*$D386-'Business Case'!E14*$E386))*'Business Case'!$B$7-'Business Case'!$B$8*(('Business Case'!E11*$C386*'Business Case'!E12*$B386)-('Business Case'!D11*$C386*'Business Case'!D12*$B386))-'Business Case'!E15*$F386</f>
        <v>499037122.23839</v>
      </c>
      <c r="L386" s="39" t="n">
        <f aca="false">(('Business Case'!F11*$C386*'Business Case'!F12*$B386)-'Business Case'!F11*$C386*'Business Case'!F13*$D386-'Business Case'!F14*$E386)-MAX(0,(('Business Case'!F11*$C386*'Business Case'!F12*$B386)-'Business Case'!F11*$C386*'Business Case'!F13*$D386-'Business Case'!F14*$E386))*'Business Case'!$B$7-'Business Case'!$B$8*(('Business Case'!F11*$C386*'Business Case'!F12*$B386)-('Business Case'!E11*$C386*'Business Case'!E12*$B386))-'Business Case'!F15*$F386</f>
        <v>615863041.703681</v>
      </c>
      <c r="M386" s="39" t="n">
        <f aca="false">(('Business Case'!G11*$C386*'Business Case'!G12*$B386)-'Business Case'!G11*$C386*'Business Case'!G13*$D386-'Business Case'!G14*$E386)-MAX(0,(('Business Case'!G11*$C386*'Business Case'!G12*$B386)-'Business Case'!G11*$C386*'Business Case'!G13*$D386-'Business Case'!G14*$E386))*'Business Case'!$B$7-'Business Case'!$B$8*(('Business Case'!G11*$C386*'Business Case'!G12*$B386)-('Business Case'!F11*$C386*'Business Case'!F12*$B386))-'Business Case'!G15*$F386+'Business Case'!$B$8*('Business Case'!G11*$C386*'Business Case'!G12*$B386)</f>
        <v>805578487.061011</v>
      </c>
      <c r="N386" s="39" t="n">
        <f aca="false">IF(COUNT('Business Case'!B11:G11)=0,"",H386+NPV(G386,I386:M386))</f>
        <v>-946703922.87643</v>
      </c>
      <c r="P386" s="40" t="n">
        <f aca="true">RAND()</f>
        <v>0.137916314849905</v>
      </c>
      <c r="Q386" s="40" t="n">
        <f aca="true">RAND()</f>
        <v>0.868067886310659</v>
      </c>
      <c r="R386" s="40" t="n">
        <f aca="true">RAND()</f>
        <v>0.869226466456156</v>
      </c>
      <c r="S386" s="40" t="n">
        <f aca="true">RAND()</f>
        <v>0.0381948596585036</v>
      </c>
      <c r="T386" s="40" t="n">
        <f aca="true">RAND()</f>
        <v>0.884084002940814</v>
      </c>
      <c r="U386" s="40" t="n">
        <f aca="true">RAND()</f>
        <v>0.687005777588398</v>
      </c>
    </row>
    <row r="387" customFormat="false" ht="15" hidden="false" customHeight="false" outlineLevel="0" collapsed="false">
      <c r="A387" s="36" t="n">
        <v>307</v>
      </c>
      <c r="B387" s="37" t="n">
        <f aca="false">1+IF($G$6=$E$6,$F$6,IF(P387&lt;($F$6-$E$6)/($G$6-$E$6),$E$6+SQRT(P387*($G$6-$E$6)*($F$6-$E$6)),$G$6-SQRT((1-P387)*($G$6-$E$6)*($G$6-$F$6))))</f>
        <v>0.951557726160587</v>
      </c>
      <c r="C387" s="37" t="n">
        <f aca="false">1+IF($G$7=$E$7,$F$7,IF(Q387&lt;($F$7-$E$7)/($G$7-$E$7),$E$7+SQRT(Q387*($G$7-$E$7)*($F$7-$E$7)),$G$7-SQRT((1-Q387)*($G$7-$E$7)*($G$7-$F$7))))</f>
        <v>1.12433223094665</v>
      </c>
      <c r="D387" s="37" t="n">
        <f aca="false">1+IF($G$8=$E$8,$F$8,IF(R387&lt;($F$8-$E$8)/($G$8-$E$8),$E$8+SQRT(R387*($G$8-$E$8)*($F$8-$E$8)),$G$8-SQRT((1-R387)*($G$8-$E$8)*($G$8-$F$8))))</f>
        <v>0.989685677890909</v>
      </c>
      <c r="E387" s="37" t="n">
        <f aca="false">1+IF($G$9=$E$9,$F$9,IF(S387&lt;($F$9-$E$9)/($G$9-$E$9),$E$9+SQRT(S387*($G$9-$E$9)*($F$9-$E$9)),$G$9-SQRT((1-S387)*($G$9-$E$9)*($G$9-$F$9))))</f>
        <v>0.992204781144295</v>
      </c>
      <c r="F387" s="37" t="n">
        <f aca="false">1+IF($G$10=$E$10,$F$10,IF(T387&lt;($F$10-$E$10)/($G$10-$E$10),$E$10+SQRT(T387*($G$10-$E$10)*($F$10-$E$10)),$G$10-SQRT((1-T387)*($G$10-$E$10)*($G$10-$F$10))))</f>
        <v>1.00402854356632</v>
      </c>
      <c r="G387" s="38" t="n">
        <f aca="false">IF($G$11=$E$11,$F$11,IF(U387&lt;($F$11-$E$11)/($G$11-$E$11),$E$11+SQRT(U387*($G$11-$E$11)*($F$11-$E$11)),$G$11-SQRT((1-U387)*($G$11-$E$11)*($G$11-$F$11))))</f>
        <v>0.0953692053109184</v>
      </c>
      <c r="H387" s="39" t="n">
        <f aca="false">(('Business Case'!B11*$C387*'Business Case'!B12*$B387)-'Business Case'!B11*$C387*'Business Case'!B13*$D387-'Business Case'!B14*$E387)-MAX(0,(('Business Case'!B11*$C387*'Business Case'!B12*$B387)-'Business Case'!B11*$C387*'Business Case'!B13*$D387-'Business Case'!B14*$E387))*'Business Case'!$B$7-'Business Case'!$B$8*('Business Case'!B11*$C387*'Business Case'!B12*$B387)-'Business Case'!B15*$F387</f>
        <v>-2008057087.13264</v>
      </c>
      <c r="I387" s="39" t="n">
        <f aca="false">(('Business Case'!C11*$C387*'Business Case'!C12*$B387)-'Business Case'!C11*$C387*'Business Case'!C13*$D387-'Business Case'!C14*$E387)-MAX(0,(('Business Case'!C11*$C387*'Business Case'!C12*$B387)-'Business Case'!C11*$C387*'Business Case'!C13*$D387-'Business Case'!C14*$E387))*'Business Case'!$B$7-'Business Case'!$B$8*(('Business Case'!C11*$C387*'Business Case'!C12*$B387)-('Business Case'!B11*$C387*'Business Case'!B12*$B387))-'Business Case'!C15*$F387</f>
        <v>9710279.80629745</v>
      </c>
      <c r="J387" s="39" t="n">
        <f aca="false">(('Business Case'!D11*$C387*'Business Case'!D12*$B387)-'Business Case'!D11*$C387*'Business Case'!D13*$D387-'Business Case'!D14*$E387)-MAX(0,(('Business Case'!D11*$C387*'Business Case'!D12*$B387)-'Business Case'!D11*$C387*'Business Case'!D13*$D387-'Business Case'!D14*$E387))*'Business Case'!$B$7-'Business Case'!$B$8*(('Business Case'!D11*$C387*'Business Case'!D12*$B387)-('Business Case'!C11*$C387*'Business Case'!C12*$B387))-'Business Case'!D15*$F387</f>
        <v>316376840.223256</v>
      </c>
      <c r="K387" s="39" t="n">
        <f aca="false">(('Business Case'!E11*$C387*'Business Case'!E12*$B387)-'Business Case'!E11*$C387*'Business Case'!E13*$D387-'Business Case'!E14*$E387)-MAX(0,(('Business Case'!E11*$C387*'Business Case'!E12*$B387)-'Business Case'!E11*$C387*'Business Case'!E13*$D387-'Business Case'!E14*$E387))*'Business Case'!$B$7-'Business Case'!$B$8*(('Business Case'!E11*$C387*'Business Case'!E12*$B387)-('Business Case'!D11*$C387*'Business Case'!D12*$B387))-'Business Case'!E15*$F387</f>
        <v>673244827.81853</v>
      </c>
      <c r="L387" s="39" t="n">
        <f aca="false">(('Business Case'!F11*$C387*'Business Case'!F12*$B387)-'Business Case'!F11*$C387*'Business Case'!F13*$D387-'Business Case'!F14*$E387)-MAX(0,(('Business Case'!F11*$C387*'Business Case'!F12*$B387)-'Business Case'!F11*$C387*'Business Case'!F13*$D387-'Business Case'!F14*$E387))*'Business Case'!$B$7-'Business Case'!$B$8*(('Business Case'!F11*$C387*'Business Case'!F12*$B387)-('Business Case'!E11*$C387*'Business Case'!E12*$B387))-'Business Case'!F15*$F387</f>
        <v>812441618.874389</v>
      </c>
      <c r="M387" s="39" t="n">
        <f aca="false">(('Business Case'!G11*$C387*'Business Case'!G12*$B387)-'Business Case'!G11*$C387*'Business Case'!G13*$D387-'Business Case'!G14*$E387)-MAX(0,(('Business Case'!G11*$C387*'Business Case'!G12*$B387)-'Business Case'!G11*$C387*'Business Case'!G13*$D387-'Business Case'!G14*$E387))*'Business Case'!$B$7-'Business Case'!$B$8*(('Business Case'!G11*$C387*'Business Case'!G12*$B387)-('Business Case'!F11*$C387*'Business Case'!F12*$B387))-'Business Case'!G15*$F387+'Business Case'!$B$8*('Business Case'!G11*$C387*'Business Case'!G12*$B387)</f>
        <v>1015801942.25052</v>
      </c>
      <c r="N387" s="39" t="n">
        <f aca="false">IF(COUNT('Business Case'!B11:G11)=0,"",H387+NPV(G387,I387:M387))</f>
        <v>-14716408.8371227</v>
      </c>
      <c r="P387" s="40" t="n">
        <f aca="true">RAND()</f>
        <v>0.177213275123338</v>
      </c>
      <c r="Q387" s="40" t="n">
        <f aca="true">RAND()</f>
        <v>0.990239490841839</v>
      </c>
      <c r="R387" s="40" t="n">
        <f aca="true">RAND()</f>
        <v>0.209993737288128</v>
      </c>
      <c r="S387" s="40" t="n">
        <f aca="true">RAND()</f>
        <v>0.340068866634693</v>
      </c>
      <c r="T387" s="40" t="n">
        <f aca="true">RAND()</f>
        <v>0.193307234931938</v>
      </c>
      <c r="U387" s="40" t="n">
        <f aca="true">RAND()</f>
        <v>0.236212471889163</v>
      </c>
    </row>
    <row r="388" customFormat="false" ht="15" hidden="false" customHeight="false" outlineLevel="0" collapsed="false">
      <c r="A388" s="36" t="n">
        <v>308</v>
      </c>
      <c r="B388" s="37" t="n">
        <f aca="false">1+IF($G$6=$E$6,$F$6,IF(P388&lt;($F$6-$E$6)/($G$6-$E$6),$E$6+SQRT(P388*($G$6-$E$6)*($F$6-$E$6)),$G$6-SQRT((1-P388)*($G$6-$E$6)*($G$6-$F$6))))</f>
        <v>0.995099834255609</v>
      </c>
      <c r="C388" s="37" t="n">
        <f aca="false">1+IF($G$7=$E$7,$F$7,IF(Q388&lt;($F$7-$E$7)/($G$7-$E$7),$E$7+SQRT(Q388*($G$7-$E$7)*($F$7-$E$7)),$G$7-SQRT((1-Q388)*($G$7-$E$7)*($G$7-$F$7))))</f>
        <v>0.884092761894865</v>
      </c>
      <c r="D388" s="37" t="n">
        <f aca="false">1+IF($G$8=$E$8,$F$8,IF(R388&lt;($F$8-$E$8)/($G$8-$E$8),$E$8+SQRT(R388*($G$8-$E$8)*($F$8-$E$8)),$G$8-SQRT((1-R388)*($G$8-$E$8)*($G$8-$F$8))))</f>
        <v>0.977453853957211</v>
      </c>
      <c r="E388" s="37" t="n">
        <f aca="false">1+IF($G$9=$E$9,$F$9,IF(S388&lt;($F$9-$E$9)/($G$9-$E$9),$E$9+SQRT(S388*($G$9-$E$9)*($F$9-$E$9)),$G$9-SQRT((1-S388)*($G$9-$E$9)*($G$9-$F$9))))</f>
        <v>0.964186931291687</v>
      </c>
      <c r="F388" s="37" t="n">
        <f aca="false">1+IF($G$10=$E$10,$F$10,IF(T388&lt;($F$10-$E$10)/($G$10-$E$10),$E$10+SQRT(T388*($G$10-$E$10)*($F$10-$E$10)),$G$10-SQRT((1-T388)*($G$10-$E$10)*($G$10-$F$10))))</f>
        <v>1.20782735675727</v>
      </c>
      <c r="G388" s="38" t="n">
        <f aca="false">IF($G$11=$E$11,$F$11,IF(U388&lt;($F$11-$E$11)/($G$11-$E$11),$E$11+SQRT(U388*($G$11-$E$11)*($F$11-$E$11)),$G$11-SQRT((1-U388)*($G$11-$E$11)*($G$11-$F$11))))</f>
        <v>0.0946964464253969</v>
      </c>
      <c r="H388" s="39" t="n">
        <f aca="false">(('Business Case'!B11*$C388*'Business Case'!B12*$B388)-'Business Case'!B11*$C388*'Business Case'!B13*$D388-'Business Case'!B14*$E388)-MAX(0,(('Business Case'!B11*$C388*'Business Case'!B12*$B388)-'Business Case'!B11*$C388*'Business Case'!B13*$D388-'Business Case'!B14*$E388))*'Business Case'!$B$7-'Business Case'!$B$8*('Business Case'!B11*$C388*'Business Case'!B12*$B388)-'Business Case'!B15*$F388</f>
        <v>-2415654713.51454</v>
      </c>
      <c r="I388" s="39" t="n">
        <f aca="false">(('Business Case'!C11*$C388*'Business Case'!C12*$B388)-'Business Case'!C11*$C388*'Business Case'!C13*$D388-'Business Case'!C14*$E388)-MAX(0,(('Business Case'!C11*$C388*'Business Case'!C12*$B388)-'Business Case'!C11*$C388*'Business Case'!C13*$D388-'Business Case'!C14*$E388))*'Business Case'!$B$7-'Business Case'!$B$8*(('Business Case'!C11*$C388*'Business Case'!C12*$B388)-('Business Case'!B11*$C388*'Business Case'!B12*$B388))-'Business Case'!C15*$F388</f>
        <v>-25290387.1232447</v>
      </c>
      <c r="J388" s="39" t="n">
        <f aca="false">(('Business Case'!D11*$C388*'Business Case'!D12*$B388)-'Business Case'!D11*$C388*'Business Case'!D13*$D388-'Business Case'!D14*$E388)-MAX(0,(('Business Case'!D11*$C388*'Business Case'!D12*$B388)-'Business Case'!D11*$C388*'Business Case'!D13*$D388-'Business Case'!D14*$E388))*'Business Case'!$B$7-'Business Case'!$B$8*(('Business Case'!D11*$C388*'Business Case'!D12*$B388)-('Business Case'!C11*$C388*'Business Case'!C12*$B388))-'Business Case'!D15*$F388</f>
        <v>252916130.532248</v>
      </c>
      <c r="K388" s="39" t="n">
        <f aca="false">(('Business Case'!E11*$C388*'Business Case'!E12*$B388)-'Business Case'!E11*$C388*'Business Case'!E13*$D388-'Business Case'!E14*$E388)-MAX(0,(('Business Case'!E11*$C388*'Business Case'!E12*$B388)-'Business Case'!E11*$C388*'Business Case'!E13*$D388-'Business Case'!E14*$E388))*'Business Case'!$B$7-'Business Case'!$B$8*(('Business Case'!E11*$C388*'Business Case'!E12*$B388)-('Business Case'!D11*$C388*'Business Case'!D12*$B388))-'Business Case'!E15*$F388</f>
        <v>591514016.025603</v>
      </c>
      <c r="L388" s="39" t="n">
        <f aca="false">(('Business Case'!F11*$C388*'Business Case'!F12*$B388)-'Business Case'!F11*$C388*'Business Case'!F13*$D388-'Business Case'!F14*$E388)-MAX(0,(('Business Case'!F11*$C388*'Business Case'!F12*$B388)-'Business Case'!F11*$C388*'Business Case'!F13*$D388-'Business Case'!F14*$E388))*'Business Case'!$B$7-'Business Case'!$B$8*(('Business Case'!F11*$C388*'Business Case'!F12*$B388)-('Business Case'!E11*$C388*'Business Case'!E12*$B388))-'Business Case'!F15*$F388</f>
        <v>714654046.892989</v>
      </c>
      <c r="M388" s="39" t="n">
        <f aca="false">(('Business Case'!G11*$C388*'Business Case'!G12*$B388)-'Business Case'!G11*$C388*'Business Case'!G13*$D388-'Business Case'!G14*$E388)-MAX(0,(('Business Case'!G11*$C388*'Business Case'!G12*$B388)-'Business Case'!G11*$C388*'Business Case'!G13*$D388-'Business Case'!G14*$E388))*'Business Case'!$B$7-'Business Case'!$B$8*(('Business Case'!G11*$C388*'Business Case'!G12*$B388)-('Business Case'!F11*$C388*'Business Case'!F12*$B388))-'Business Case'!G15*$F388+'Business Case'!$B$8*('Business Case'!G11*$C388*'Business Case'!G12*$B388)</f>
        <v>881878934.295206</v>
      </c>
      <c r="N388" s="39" t="n">
        <f aca="false">IF(COUNT('Business Case'!B11:G11)=0,"",H388+NPV(G388,I388:M388))</f>
        <v>-718184114.59159</v>
      </c>
      <c r="P388" s="40" t="n">
        <f aca="true">RAND()</f>
        <v>0.602931898362948</v>
      </c>
      <c r="Q388" s="40" t="n">
        <f aca="true">RAND()</f>
        <v>0.251038110978367</v>
      </c>
      <c r="R388" s="40" t="n">
        <f aca="true">RAND()</f>
        <v>0.10049521294718</v>
      </c>
      <c r="S388" s="40" t="n">
        <f aca="true">RAND()</f>
        <v>0.16479848594575</v>
      </c>
      <c r="T388" s="40" t="n">
        <f aca="true">RAND()</f>
        <v>0.976286242158952</v>
      </c>
      <c r="U388" s="40" t="n">
        <f aca="true">RAND()</f>
        <v>0.21598553753456</v>
      </c>
    </row>
    <row r="389" customFormat="false" ht="15" hidden="false" customHeight="false" outlineLevel="0" collapsed="false">
      <c r="A389" s="36" t="n">
        <v>309</v>
      </c>
      <c r="B389" s="37" t="n">
        <f aca="false">1+IF($G$6=$E$6,$F$6,IF(P389&lt;($F$6-$E$6)/($G$6-$E$6),$E$6+SQRT(P389*($G$6-$E$6)*($F$6-$E$6)),$G$6-SQRT((1-P389)*($G$6-$E$6)*($G$6-$F$6))))</f>
        <v>0.996987711090361</v>
      </c>
      <c r="C389" s="37" t="n">
        <f aca="false">1+IF($G$7=$E$7,$F$7,IF(Q389&lt;($F$7-$E$7)/($G$7-$E$7),$E$7+SQRT(Q389*($G$7-$E$7)*($F$7-$E$7)),$G$7-SQRT((1-Q389)*($G$7-$E$7)*($G$7-$F$7))))</f>
        <v>0.986970621794438</v>
      </c>
      <c r="D389" s="37" t="n">
        <f aca="false">1+IF($G$8=$E$8,$F$8,IF(R389&lt;($F$8-$E$8)/($G$8-$E$8),$E$8+SQRT(R389*($G$8-$E$8)*($F$8-$E$8)),$G$8-SQRT((1-R389)*($G$8-$E$8)*($G$8-$F$8))))</f>
        <v>0.994424864621109</v>
      </c>
      <c r="E389" s="37" t="n">
        <f aca="false">1+IF($G$9=$E$9,$F$9,IF(S389&lt;($F$9-$E$9)/($G$9-$E$9),$E$9+SQRT(S389*($G$9-$E$9)*($F$9-$E$9)),$G$9-SQRT((1-S389)*($G$9-$E$9)*($G$9-$F$9))))</f>
        <v>1.0295848827703</v>
      </c>
      <c r="F389" s="37" t="n">
        <f aca="false">1+IF($G$10=$E$10,$F$10,IF(T389&lt;($F$10-$E$10)/($G$10-$E$10),$E$10+SQRT(T389*($G$10-$E$10)*($F$10-$E$10)),$G$10-SQRT((1-T389)*($G$10-$E$10)*($G$10-$F$10))))</f>
        <v>1.08054441161073</v>
      </c>
      <c r="G389" s="38" t="n">
        <f aca="false">IF($G$11=$E$11,$F$11,IF(U389&lt;($F$11-$E$11)/($G$11-$E$11),$E$11+SQRT(U389*($G$11-$E$11)*($F$11-$E$11)),$G$11-SQRT((1-U389)*($G$11-$E$11)*($G$11-$F$11))))</f>
        <v>0.104373811373578</v>
      </c>
      <c r="H389" s="39" t="n">
        <f aca="false">(('Business Case'!B11*$C389*'Business Case'!B12*$B389)-'Business Case'!B11*$C389*'Business Case'!B13*$D389-'Business Case'!B14*$E389)-MAX(0,(('Business Case'!B11*$C389*'Business Case'!B12*$B389)-'Business Case'!B11*$C389*'Business Case'!B13*$D389-'Business Case'!B14*$E389))*'Business Case'!$B$7-'Business Case'!$B$8*('Business Case'!B11*$C389*'Business Case'!B12*$B389)-'Business Case'!B15*$F389</f>
        <v>-2161088823.22146</v>
      </c>
      <c r="I389" s="39" t="n">
        <f aca="false">(('Business Case'!C11*$C389*'Business Case'!C12*$B389)-'Business Case'!C11*$C389*'Business Case'!C13*$D389-'Business Case'!C14*$E389)-MAX(0,(('Business Case'!C11*$C389*'Business Case'!C12*$B389)-'Business Case'!C11*$C389*'Business Case'!C13*$D389-'Business Case'!C14*$E389))*'Business Case'!$B$7-'Business Case'!$B$8*(('Business Case'!C11*$C389*'Business Case'!C12*$B389)-('Business Case'!B11*$C389*'Business Case'!B12*$B389))-'Business Case'!C15*$F389</f>
        <v>-1940142.87554027</v>
      </c>
      <c r="J389" s="39" t="n">
        <f aca="false">(('Business Case'!D11*$C389*'Business Case'!D12*$B389)-'Business Case'!D11*$C389*'Business Case'!D13*$D389-'Business Case'!D14*$E389)-MAX(0,(('Business Case'!D11*$C389*'Business Case'!D12*$B389)-'Business Case'!D11*$C389*'Business Case'!D13*$D389-'Business Case'!D14*$E389))*'Business Case'!$B$7-'Business Case'!$B$8*(('Business Case'!D11*$C389*'Business Case'!D12*$B389)-('Business Case'!C11*$C389*'Business Case'!C12*$B389))-'Business Case'!D15*$F389</f>
        <v>301591560.346033</v>
      </c>
      <c r="K389" s="39" t="n">
        <f aca="false">(('Business Case'!E11*$C389*'Business Case'!E12*$B389)-'Business Case'!E11*$C389*'Business Case'!E13*$D389-'Business Case'!E14*$E389)-MAX(0,(('Business Case'!E11*$C389*'Business Case'!E12*$B389)-'Business Case'!E11*$C389*'Business Case'!E13*$D389-'Business Case'!E14*$E389))*'Business Case'!$B$7-'Business Case'!$B$8*(('Business Case'!E11*$C389*'Business Case'!E12*$B389)-('Business Case'!D11*$C389*'Business Case'!D12*$B389))-'Business Case'!E15*$F389</f>
        <v>659150484.148143</v>
      </c>
      <c r="L389" s="39" t="n">
        <f aca="false">(('Business Case'!F11*$C389*'Business Case'!F12*$B389)-'Business Case'!F11*$C389*'Business Case'!F13*$D389-'Business Case'!F14*$E389)-MAX(0,(('Business Case'!F11*$C389*'Business Case'!F12*$B389)-'Business Case'!F11*$C389*'Business Case'!F13*$D389-'Business Case'!F14*$E389))*'Business Case'!$B$7-'Business Case'!$B$8*(('Business Case'!F11*$C389*'Business Case'!F12*$B389)-('Business Case'!E11*$C389*'Business Case'!E12*$B389))-'Business Case'!F15*$F389</f>
        <v>794334674.959404</v>
      </c>
      <c r="M389" s="39" t="n">
        <f aca="false">(('Business Case'!G11*$C389*'Business Case'!G12*$B389)-'Business Case'!G11*$C389*'Business Case'!G13*$D389-'Business Case'!G14*$E389)-MAX(0,(('Business Case'!G11*$C389*'Business Case'!G12*$B389)-'Business Case'!G11*$C389*'Business Case'!G13*$D389-'Business Case'!G14*$E389))*'Business Case'!$B$7-'Business Case'!$B$8*(('Business Case'!G11*$C389*'Business Case'!G12*$B389)-('Business Case'!F11*$C389*'Business Case'!F12*$B389))-'Business Case'!G15*$F389+'Business Case'!$B$8*('Business Case'!G11*$C389*'Business Case'!G12*$B389)</f>
        <v>981372935.181785</v>
      </c>
      <c r="N389" s="39" t="n">
        <f aca="false">IF(COUNT('Business Case'!B11:G11)=0,"",H389+NPV(G389,I389:M389))</f>
        <v>-294816579.905499</v>
      </c>
      <c r="P389" s="40" t="n">
        <f aca="true">RAND()</f>
        <v>0.627107740169822</v>
      </c>
      <c r="Q389" s="40" t="n">
        <f aca="true">RAND()</f>
        <v>0.610015835356195</v>
      </c>
      <c r="R389" s="40" t="n">
        <f aca="true">RAND()</f>
        <v>0.263142479547184</v>
      </c>
      <c r="S389" s="40" t="n">
        <f aca="true">RAND()</f>
        <v>0.613338654468189</v>
      </c>
      <c r="T389" s="40" t="n">
        <f aca="true">RAND()</f>
        <v>0.617130714181952</v>
      </c>
      <c r="U389" s="40" t="n">
        <f aca="true">RAND()</f>
        <v>0.562198970988682</v>
      </c>
    </row>
    <row r="390" customFormat="false" ht="15" hidden="false" customHeight="false" outlineLevel="0" collapsed="false">
      <c r="A390" s="36" t="n">
        <v>310</v>
      </c>
      <c r="B390" s="37" t="n">
        <f aca="false">1+IF($G$6=$E$6,$F$6,IF(P390&lt;($F$6-$E$6)/($G$6-$E$6),$E$6+SQRT(P390*($G$6-$E$6)*($F$6-$E$6)),$G$6-SQRT((1-P390)*($G$6-$E$6)*($G$6-$F$6))))</f>
        <v>0.976352376095788</v>
      </c>
      <c r="C390" s="37" t="n">
        <f aca="false">1+IF($G$7=$E$7,$F$7,IF(Q390&lt;($F$7-$E$7)/($G$7-$E$7),$E$7+SQRT(Q390*($G$7-$E$7)*($F$7-$E$7)),$G$7-SQRT((1-Q390)*($G$7-$E$7)*($G$7-$F$7))))</f>
        <v>1.07948816215131</v>
      </c>
      <c r="D390" s="37" t="n">
        <f aca="false">1+IF($G$8=$E$8,$F$8,IF(R390&lt;($F$8-$E$8)/($G$8-$E$8),$E$8+SQRT(R390*($G$8-$E$8)*($F$8-$E$8)),$G$8-SQRT((1-R390)*($G$8-$E$8)*($G$8-$F$8))))</f>
        <v>1.05096094114934</v>
      </c>
      <c r="E390" s="37" t="n">
        <f aca="false">1+IF($G$9=$E$9,$F$9,IF(S390&lt;($F$9-$E$9)/($G$9-$E$9),$E$9+SQRT(S390*($G$9-$E$9)*($F$9-$E$9)),$G$9-SQRT((1-S390)*($G$9-$E$9)*($G$9-$F$9))))</f>
        <v>0.992202158314678</v>
      </c>
      <c r="F390" s="37" t="n">
        <f aca="false">1+IF($G$10=$E$10,$F$10,IF(T390&lt;($F$10-$E$10)/($G$10-$E$10),$E$10+SQRT(T390*($G$10-$E$10)*($F$10-$E$10)),$G$10-SQRT((1-T390)*($G$10-$E$10)*($G$10-$F$10))))</f>
        <v>1.07690293452584</v>
      </c>
      <c r="G390" s="38" t="n">
        <f aca="false">IF($G$11=$E$11,$F$11,IF(U390&lt;($F$11-$E$11)/($G$11-$E$11),$E$11+SQRT(U390*($G$11-$E$11)*($F$11-$E$11)),$G$11-SQRT((1-U390)*($G$11-$E$11)*($G$11-$F$11))))</f>
        <v>0.105353930691693</v>
      </c>
      <c r="H390" s="39" t="n">
        <f aca="false">(('Business Case'!B11*$C390*'Business Case'!B12*$B390)-'Business Case'!B11*$C390*'Business Case'!B13*$D390-'Business Case'!B14*$E390)-MAX(0,(('Business Case'!B11*$C390*'Business Case'!B12*$B390)-'Business Case'!B11*$C390*'Business Case'!B13*$D390-'Business Case'!B14*$E390))*'Business Case'!$B$7-'Business Case'!$B$8*('Business Case'!B11*$C390*'Business Case'!B12*$B390)-'Business Case'!B15*$F390</f>
        <v>-2153805869.05168</v>
      </c>
      <c r="I390" s="39" t="n">
        <f aca="false">(('Business Case'!C11*$C390*'Business Case'!C12*$B390)-'Business Case'!C11*$C390*'Business Case'!C13*$D390-'Business Case'!C14*$E390)-MAX(0,(('Business Case'!C11*$C390*'Business Case'!C12*$B390)-'Business Case'!C11*$C390*'Business Case'!C13*$D390-'Business Case'!C14*$E390))*'Business Case'!$B$7-'Business Case'!$B$8*(('Business Case'!C11*$C390*'Business Case'!C12*$B390)-('Business Case'!B11*$C390*'Business Case'!B12*$B390))-'Business Case'!C15*$F390</f>
        <v>-20922149.4174022</v>
      </c>
      <c r="J390" s="39" t="n">
        <f aca="false">(('Business Case'!D11*$C390*'Business Case'!D12*$B390)-'Business Case'!D11*$C390*'Business Case'!D13*$D390-'Business Case'!D14*$E390)-MAX(0,(('Business Case'!D11*$C390*'Business Case'!D12*$B390)-'Business Case'!D11*$C390*'Business Case'!D13*$D390-'Business Case'!D14*$E390))*'Business Case'!$B$7-'Business Case'!$B$8*(('Business Case'!D11*$C390*'Business Case'!D12*$B390)-('Business Case'!C11*$C390*'Business Case'!C12*$B390))-'Business Case'!D15*$F390</f>
        <v>261574471.065346</v>
      </c>
      <c r="K390" s="39" t="n">
        <f aca="false">(('Business Case'!E11*$C390*'Business Case'!E12*$B390)-'Business Case'!E11*$C390*'Business Case'!E13*$D390-'Business Case'!E14*$E390)-MAX(0,(('Business Case'!E11*$C390*'Business Case'!E12*$B390)-'Business Case'!E11*$C390*'Business Case'!E13*$D390-'Business Case'!E14*$E390))*'Business Case'!$B$7-'Business Case'!$B$8*(('Business Case'!E11*$C390*'Business Case'!E12*$B390)-('Business Case'!D11*$C390*'Business Case'!D12*$B390))-'Business Case'!E15*$F390</f>
        <v>597916238.274386</v>
      </c>
      <c r="L390" s="39" t="n">
        <f aca="false">(('Business Case'!F11*$C390*'Business Case'!F12*$B390)-'Business Case'!F11*$C390*'Business Case'!F13*$D390-'Business Case'!F14*$E390)-MAX(0,(('Business Case'!F11*$C390*'Business Case'!F12*$B390)-'Business Case'!F11*$C390*'Business Case'!F13*$D390-'Business Case'!F14*$E390))*'Business Case'!$B$7-'Business Case'!$B$8*(('Business Case'!F11*$C390*'Business Case'!F12*$B390)-('Business Case'!E11*$C390*'Business Case'!E12*$B390))-'Business Case'!F15*$F390</f>
        <v>728506664.792115</v>
      </c>
      <c r="M390" s="39" t="n">
        <f aca="false">(('Business Case'!G11*$C390*'Business Case'!G12*$B390)-'Business Case'!G11*$C390*'Business Case'!G13*$D390-'Business Case'!G14*$E390)-MAX(0,(('Business Case'!G11*$C390*'Business Case'!G12*$B390)-'Business Case'!G11*$C390*'Business Case'!G13*$D390-'Business Case'!G14*$E390))*'Business Case'!$B$7-'Business Case'!$B$8*(('Business Case'!G11*$C390*'Business Case'!G12*$B390)-('Business Case'!F11*$C390*'Business Case'!F12*$B390))-'Business Case'!G15*$F390+'Business Case'!$B$8*('Business Case'!G11*$C390*'Business Case'!G12*$B390)</f>
        <v>928843539.754585</v>
      </c>
      <c r="N390" s="39" t="n">
        <f aca="false">IF(COUNT('Business Case'!B11:G11)=0,"",H390+NPV(G390,I390:M390))</f>
        <v>-465003316.360141</v>
      </c>
      <c r="P390" s="40" t="n">
        <f aca="true">RAND()</f>
        <v>0.388645689031505</v>
      </c>
      <c r="Q390" s="40" t="n">
        <f aca="true">RAND()</f>
        <v>0.92634193663999</v>
      </c>
      <c r="R390" s="40" t="n">
        <f aca="true">RAND()</f>
        <v>0.839678047136088</v>
      </c>
      <c r="S390" s="40" t="n">
        <f aca="true">RAND()</f>
        <v>0.340049519915395</v>
      </c>
      <c r="T390" s="40" t="n">
        <f aca="true">RAND()</f>
        <v>0.600498745656458</v>
      </c>
      <c r="U390" s="40" t="n">
        <f aca="true">RAND()</f>
        <v>0.595047511766753</v>
      </c>
    </row>
    <row r="391" customFormat="false" ht="15" hidden="false" customHeight="false" outlineLevel="0" collapsed="false">
      <c r="A391" s="36" t="n">
        <v>311</v>
      </c>
      <c r="B391" s="37" t="n">
        <f aca="false">1+IF($G$6=$E$6,$F$6,IF(P391&lt;($F$6-$E$6)/($G$6-$E$6),$E$6+SQRT(P391*($G$6-$E$6)*($F$6-$E$6)),$G$6-SQRT((1-P391)*($G$6-$E$6)*($G$6-$F$6))))</f>
        <v>0.933326087492473</v>
      </c>
      <c r="C391" s="37" t="n">
        <f aca="false">1+IF($G$7=$E$7,$F$7,IF(Q391&lt;($F$7-$E$7)/($G$7-$E$7),$E$7+SQRT(Q391*($G$7-$E$7)*($F$7-$E$7)),$G$7-SQRT((1-Q391)*($G$7-$E$7)*($G$7-$F$7))))</f>
        <v>1.11537061047348</v>
      </c>
      <c r="D391" s="37" t="n">
        <f aca="false">1+IF($G$8=$E$8,$F$8,IF(R391&lt;($F$8-$E$8)/($G$8-$E$8),$E$8+SQRT(R391*($G$8-$E$8)*($F$8-$E$8)),$G$8-SQRT((1-R391)*($G$8-$E$8)*($G$8-$F$8))))</f>
        <v>1.00928208689451</v>
      </c>
      <c r="E391" s="37" t="n">
        <f aca="false">1+IF($G$9=$E$9,$F$9,IF(S391&lt;($F$9-$E$9)/($G$9-$E$9),$E$9+SQRT(S391*($G$9-$E$9)*($F$9-$E$9)),$G$9-SQRT((1-S391)*($G$9-$E$9)*($G$9-$F$9))))</f>
        <v>0.944392756403926</v>
      </c>
      <c r="F391" s="37" t="n">
        <f aca="false">1+IF($G$10=$E$10,$F$10,IF(T391&lt;($F$10-$E$10)/($G$10-$E$10),$E$10+SQRT(T391*($G$10-$E$10)*($F$10-$E$10)),$G$10-SQRT((1-T391)*($G$10-$E$10)*($G$10-$F$10))))</f>
        <v>1.0922689162435</v>
      </c>
      <c r="G391" s="38" t="n">
        <f aca="false">IF($G$11=$E$11,$F$11,IF(U391&lt;($F$11-$E$11)/($G$11-$E$11),$E$11+SQRT(U391*($G$11-$E$11)*($F$11-$E$11)),$G$11-SQRT((1-U391)*($G$11-$E$11)*($G$11-$F$11))))</f>
        <v>0.0929343032294676</v>
      </c>
      <c r="H391" s="39" t="n">
        <f aca="false">(('Business Case'!B11*$C391*'Business Case'!B12*$B391)-'Business Case'!B11*$C391*'Business Case'!B13*$D391-'Business Case'!B14*$E391)-MAX(0,(('Business Case'!B11*$C391*'Business Case'!B12*$B391)-'Business Case'!B11*$C391*'Business Case'!B13*$D391-'Business Case'!B14*$E391))*'Business Case'!$B$7-'Business Case'!$B$8*('Business Case'!B11*$C391*'Business Case'!B12*$B391)-'Business Case'!B15*$F391</f>
        <v>-2184537832.48699</v>
      </c>
      <c r="I391" s="39" t="n">
        <f aca="false">(('Business Case'!C11*$C391*'Business Case'!C12*$B391)-'Business Case'!C11*$C391*'Business Case'!C13*$D391-'Business Case'!C14*$E391)-MAX(0,(('Business Case'!C11*$C391*'Business Case'!C12*$B391)-'Business Case'!C11*$C391*'Business Case'!C13*$D391-'Business Case'!C14*$E391))*'Business Case'!$B$7-'Business Case'!$B$8*(('Business Case'!C11*$C391*'Business Case'!C12*$B391)-('Business Case'!B11*$C391*'Business Case'!B12*$B391))-'Business Case'!C15*$F391</f>
        <v>-21108000.0075263</v>
      </c>
      <c r="J391" s="39" t="n">
        <f aca="false">(('Business Case'!D11*$C391*'Business Case'!D12*$B391)-'Business Case'!D11*$C391*'Business Case'!D13*$D391-'Business Case'!D14*$E391)-MAX(0,(('Business Case'!D11*$C391*'Business Case'!D12*$B391)-'Business Case'!D11*$C391*'Business Case'!D13*$D391-'Business Case'!D14*$E391))*'Business Case'!$B$7-'Business Case'!$B$8*(('Business Case'!D11*$C391*'Business Case'!D12*$B391)-('Business Case'!C11*$C391*'Business Case'!C12*$B391))-'Business Case'!D15*$F391</f>
        <v>255269214.226679</v>
      </c>
      <c r="K391" s="39" t="n">
        <f aca="false">(('Business Case'!E11*$C391*'Business Case'!E12*$B391)-'Business Case'!E11*$C391*'Business Case'!E13*$D391-'Business Case'!E14*$E391)-MAX(0,(('Business Case'!E11*$C391*'Business Case'!E12*$B391)-'Business Case'!E11*$C391*'Business Case'!E13*$D391-'Business Case'!E14*$E391))*'Business Case'!$B$7-'Business Case'!$B$8*(('Business Case'!E11*$C391*'Business Case'!E12*$B391)-('Business Case'!D11*$C391*'Business Case'!D12*$B391))-'Business Case'!E15*$F391</f>
        <v>586259874.273059</v>
      </c>
      <c r="L391" s="39" t="n">
        <f aca="false">(('Business Case'!F11*$C391*'Business Case'!F12*$B391)-'Business Case'!F11*$C391*'Business Case'!F13*$D391-'Business Case'!F14*$E391)-MAX(0,(('Business Case'!F11*$C391*'Business Case'!F12*$B391)-'Business Case'!F11*$C391*'Business Case'!F13*$D391-'Business Case'!F14*$E391))*'Business Case'!$B$7-'Business Case'!$B$8*(('Business Case'!F11*$C391*'Business Case'!F12*$B391)-('Business Case'!E11*$C391*'Business Case'!E12*$B391))-'Business Case'!F15*$F391</f>
        <v>714362727.455623</v>
      </c>
      <c r="M391" s="39" t="n">
        <f aca="false">(('Business Case'!G11*$C391*'Business Case'!G12*$B391)-'Business Case'!G11*$C391*'Business Case'!G13*$D391-'Business Case'!G14*$E391)-MAX(0,(('Business Case'!G11*$C391*'Business Case'!G12*$B391)-'Business Case'!G11*$C391*'Business Case'!G13*$D391-'Business Case'!G14*$E391))*'Business Case'!$B$7-'Business Case'!$B$8*(('Business Case'!G11*$C391*'Business Case'!G12*$B391)-('Business Case'!F11*$C391*'Business Case'!F12*$B391))-'Business Case'!G15*$F391+'Business Case'!$B$8*('Business Case'!G11*$C391*'Business Case'!G12*$B391)</f>
        <v>912236860.530349</v>
      </c>
      <c r="N391" s="39" t="n">
        <f aca="false">IF(COUNT('Business Case'!B11:G11)=0,"",H391+NPV(G391,I391:M391))</f>
        <v>-455449725.937575</v>
      </c>
      <c r="P391" s="40" t="n">
        <f aca="true">RAND()</f>
        <v>0.0740418738370631</v>
      </c>
      <c r="Q391" s="40" t="n">
        <f aca="true">RAND()</f>
        <v>0.982234153792898</v>
      </c>
      <c r="R391" s="40" t="n">
        <f aca="true">RAND()</f>
        <v>0.451350682785666</v>
      </c>
      <c r="S391" s="40" t="n">
        <f aca="true">RAND()</f>
        <v>0.0788286728455312</v>
      </c>
      <c r="T391" s="40" t="n">
        <f aca="true">RAND()</f>
        <v>0.668278736226651</v>
      </c>
      <c r="U391" s="40" t="n">
        <f aca="true">RAND()</f>
        <v>0.167296200031816</v>
      </c>
    </row>
    <row r="392" customFormat="false" ht="15" hidden="false" customHeight="false" outlineLevel="0" collapsed="false">
      <c r="A392" s="36" t="n">
        <v>312</v>
      </c>
      <c r="B392" s="37" t="n">
        <f aca="false">1+IF($G$6=$E$6,$F$6,IF(P392&lt;($F$6-$E$6)/($G$6-$E$6),$E$6+SQRT(P392*($G$6-$E$6)*($F$6-$E$6)),$G$6-SQRT((1-P392)*($G$6-$E$6)*($G$6-$F$6))))</f>
        <v>0.991436365439881</v>
      </c>
      <c r="C392" s="37" t="n">
        <f aca="false">1+IF($G$7=$E$7,$F$7,IF(Q392&lt;($F$7-$E$7)/($G$7-$E$7),$E$7+SQRT(Q392*($G$7-$E$7)*($F$7-$E$7)),$G$7-SQRT((1-Q392)*($G$7-$E$7)*($G$7-$F$7))))</f>
        <v>1.04336147914984</v>
      </c>
      <c r="D392" s="37" t="n">
        <f aca="false">1+IF($G$8=$E$8,$F$8,IF(R392&lt;($F$8-$E$8)/($G$8-$E$8),$E$8+SQRT(R392*($G$8-$E$8)*($F$8-$E$8)),$G$8-SQRT((1-R392)*($G$8-$E$8)*($G$8-$F$8))))</f>
        <v>1.0086522287867</v>
      </c>
      <c r="E392" s="37" t="n">
        <f aca="false">1+IF($G$9=$E$9,$F$9,IF(S392&lt;($F$9-$E$9)/($G$9-$E$9),$E$9+SQRT(S392*($G$9-$E$9)*($F$9-$E$9)),$G$9-SQRT((1-S392)*($G$9-$E$9)*($G$9-$F$9))))</f>
        <v>0.971669842595458</v>
      </c>
      <c r="F392" s="37" t="n">
        <f aca="false">1+IF($G$10=$E$10,$F$10,IF(T392&lt;($F$10-$E$10)/($G$10-$E$10),$E$10+SQRT(T392*($G$10-$E$10)*($F$10-$E$10)),$G$10-SQRT((1-T392)*($G$10-$E$10)*($G$10-$F$10))))</f>
        <v>0.999809596068429</v>
      </c>
      <c r="G392" s="38" t="n">
        <f aca="false">IF($G$11=$E$11,$F$11,IF(U392&lt;($F$11-$E$11)/($G$11-$E$11),$E$11+SQRT(U392*($G$11-$E$11)*($F$11-$E$11)),$G$11-SQRT((1-U392)*($G$11-$E$11)*($G$11-$F$11))))</f>
        <v>0.0920710723063978</v>
      </c>
      <c r="H392" s="39" t="n">
        <f aca="false">(('Business Case'!B11*$C392*'Business Case'!B12*$B392)-'Business Case'!B11*$C392*'Business Case'!B13*$D392-'Business Case'!B14*$E392)-MAX(0,(('Business Case'!B11*$C392*'Business Case'!B12*$B392)-'Business Case'!B11*$C392*'Business Case'!B13*$D392-'Business Case'!B14*$E392))*'Business Case'!$B$7-'Business Case'!$B$8*('Business Case'!B11*$C392*'Business Case'!B12*$B392)-'Business Case'!B15*$F392</f>
        <v>-1999619192.13686</v>
      </c>
      <c r="I392" s="39" t="n">
        <f aca="false">(('Business Case'!C11*$C392*'Business Case'!C12*$B392)-'Business Case'!C11*$C392*'Business Case'!C13*$D392-'Business Case'!C14*$E392)-MAX(0,(('Business Case'!C11*$C392*'Business Case'!C12*$B392)-'Business Case'!C11*$C392*'Business Case'!C13*$D392-'Business Case'!C14*$E392))*'Business Case'!$B$7-'Business Case'!$B$8*(('Business Case'!C11*$C392*'Business Case'!C12*$B392)-('Business Case'!B11*$C392*'Business Case'!B12*$B392))-'Business Case'!C15*$F392</f>
        <v>16753794.8363126</v>
      </c>
      <c r="J392" s="39" t="n">
        <f aca="false">(('Business Case'!D11*$C392*'Business Case'!D12*$B392)-'Business Case'!D11*$C392*'Business Case'!D13*$D392-'Business Case'!D14*$E392)-MAX(0,(('Business Case'!D11*$C392*'Business Case'!D12*$B392)-'Business Case'!D11*$C392*'Business Case'!D13*$D392-'Business Case'!D14*$E392))*'Business Case'!$B$7-'Business Case'!$B$8*(('Business Case'!D11*$C392*'Business Case'!D12*$B392)-('Business Case'!C11*$C392*'Business Case'!C12*$B392))-'Business Case'!D15*$F392</f>
        <v>325284671.316377</v>
      </c>
      <c r="K392" s="39" t="n">
        <f aca="false">(('Business Case'!E11*$C392*'Business Case'!E12*$B392)-'Business Case'!E11*$C392*'Business Case'!E13*$D392-'Business Case'!E14*$E392)-MAX(0,(('Business Case'!E11*$C392*'Business Case'!E12*$B392)-'Business Case'!E11*$C392*'Business Case'!E13*$D392-'Business Case'!E14*$E392))*'Business Case'!$B$7-'Business Case'!$B$8*(('Business Case'!E11*$C392*'Business Case'!E12*$B392)-('Business Case'!D11*$C392*'Business Case'!D12*$B392))-'Business Case'!E15*$F392</f>
        <v>683806027.599862</v>
      </c>
      <c r="L392" s="39" t="n">
        <f aca="false">(('Business Case'!F11*$C392*'Business Case'!F12*$B392)-'Business Case'!F11*$C392*'Business Case'!F13*$D392-'Business Case'!F14*$E392)-MAX(0,(('Business Case'!F11*$C392*'Business Case'!F12*$B392)-'Business Case'!F11*$C392*'Business Case'!F13*$D392-'Business Case'!F14*$E392))*'Business Case'!$B$7-'Business Case'!$B$8*(('Business Case'!F11*$C392*'Business Case'!F12*$B392)-('Business Case'!E11*$C392*'Business Case'!E12*$B392))-'Business Case'!F15*$F392</f>
        <v>822399433.373107</v>
      </c>
      <c r="M392" s="39" t="n">
        <f aca="false">(('Business Case'!G11*$C392*'Business Case'!G12*$B392)-'Business Case'!G11*$C392*'Business Case'!G13*$D392-'Business Case'!G14*$E392)-MAX(0,(('Business Case'!G11*$C392*'Business Case'!G12*$B392)-'Business Case'!G11*$C392*'Business Case'!G13*$D392-'Business Case'!G14*$E392))*'Business Case'!$B$7-'Business Case'!$B$8*(('Business Case'!G11*$C392*'Business Case'!G12*$B392)-('Business Case'!F11*$C392*'Business Case'!F12*$B392))-'Business Case'!G15*$F392+'Business Case'!$B$8*('Business Case'!G11*$C392*'Business Case'!G12*$B392)</f>
        <v>1019023224.9125</v>
      </c>
      <c r="N392" s="39" t="n">
        <f aca="false">IF(COUNT('Business Case'!B11:G11)=0,"",H392+NPV(G392,I392:M392))</f>
        <v>47735855.7617905</v>
      </c>
      <c r="P392" s="40" t="n">
        <f aca="true">RAND()</f>
        <v>0.557373928323693</v>
      </c>
      <c r="Q392" s="40" t="n">
        <f aca="true">RAND()</f>
        <v>0.831529272161317</v>
      </c>
      <c r="R392" s="40" t="n">
        <f aca="true">RAND()</f>
        <v>0.443705646290869</v>
      </c>
      <c r="S392" s="40" t="n">
        <f aca="true">RAND()</f>
        <v>0.205462653506311</v>
      </c>
      <c r="T392" s="40" t="n">
        <f aca="true">RAND()</f>
        <v>0.165399724033335</v>
      </c>
      <c r="U392" s="40" t="n">
        <f aca="true">RAND()</f>
        <v>0.145710786626285</v>
      </c>
    </row>
    <row r="393" customFormat="false" ht="15" hidden="false" customHeight="false" outlineLevel="0" collapsed="false">
      <c r="A393" s="36" t="n">
        <v>313</v>
      </c>
      <c r="B393" s="37" t="n">
        <f aca="false">1+IF($G$6=$E$6,$F$6,IF(P393&lt;($F$6-$E$6)/($G$6-$E$6),$E$6+SQRT(P393*($G$6-$E$6)*($F$6-$E$6)),$G$6-SQRT((1-P393)*($G$6-$E$6)*($G$6-$F$6))))</f>
        <v>0.943805021564356</v>
      </c>
      <c r="C393" s="37" t="n">
        <f aca="false">1+IF($G$7=$E$7,$F$7,IF(Q393&lt;($F$7-$E$7)/($G$7-$E$7),$E$7+SQRT(Q393*($G$7-$E$7)*($F$7-$E$7)),$G$7-SQRT((1-Q393)*($G$7-$E$7)*($G$7-$F$7))))</f>
        <v>1.1305926070743</v>
      </c>
      <c r="D393" s="37" t="n">
        <f aca="false">1+IF($G$8=$E$8,$F$8,IF(R393&lt;($F$8-$E$8)/($G$8-$E$8),$E$8+SQRT(R393*($G$8-$E$8)*($F$8-$E$8)),$G$8-SQRT((1-R393)*($G$8-$E$8)*($G$8-$F$8))))</f>
        <v>1.04745689082946</v>
      </c>
      <c r="E393" s="37" t="n">
        <f aca="false">1+IF($G$9=$E$9,$F$9,IF(S393&lt;($F$9-$E$9)/($G$9-$E$9),$E$9+SQRT(S393*($G$9-$E$9)*($F$9-$E$9)),$G$9-SQRT((1-S393)*($G$9-$E$9)*($G$9-$F$9))))</f>
        <v>1.03633220789584</v>
      </c>
      <c r="F393" s="37" t="n">
        <f aca="false">1+IF($G$10=$E$10,$F$10,IF(T393&lt;($F$10-$E$10)/($G$10-$E$10),$E$10+SQRT(T393*($G$10-$E$10)*($F$10-$E$10)),$G$10-SQRT((1-T393)*($G$10-$E$10)*($G$10-$F$10))))</f>
        <v>1.0371410059016</v>
      </c>
      <c r="G393" s="38" t="n">
        <f aca="false">IF($G$11=$E$11,$F$11,IF(U393&lt;($F$11-$E$11)/($G$11-$E$11),$E$11+SQRT(U393*($G$11-$E$11)*($F$11-$E$11)),$G$11-SQRT((1-U393)*($G$11-$E$11)*($G$11-$F$11))))</f>
        <v>0.114451891690425</v>
      </c>
      <c r="H393" s="39" t="n">
        <f aca="false">(('Business Case'!B11*$C393*'Business Case'!B12*$B393)-'Business Case'!B11*$C393*'Business Case'!B13*$D393-'Business Case'!B14*$E393)-MAX(0,(('Business Case'!B11*$C393*'Business Case'!B12*$B393)-'Business Case'!B11*$C393*'Business Case'!B13*$D393-'Business Case'!B14*$E393))*'Business Case'!$B$7-'Business Case'!$B$8*('Business Case'!B11*$C393*'Business Case'!B12*$B393)-'Business Case'!B15*$F393</f>
        <v>-2074282011.8032</v>
      </c>
      <c r="I393" s="39" t="n">
        <f aca="false">(('Business Case'!C11*$C393*'Business Case'!C12*$B393)-'Business Case'!C11*$C393*'Business Case'!C13*$D393-'Business Case'!C14*$E393)-MAX(0,(('Business Case'!C11*$C393*'Business Case'!C12*$B393)-'Business Case'!C11*$C393*'Business Case'!C13*$D393-'Business Case'!C14*$E393))*'Business Case'!$B$7-'Business Case'!$B$8*(('Business Case'!C11*$C393*'Business Case'!C12*$B393)-('Business Case'!B11*$C393*'Business Case'!B12*$B393))-'Business Case'!C15*$F393</f>
        <v>-38638478.2291687</v>
      </c>
      <c r="J393" s="39" t="n">
        <f aca="false">(('Business Case'!D11*$C393*'Business Case'!D12*$B393)-'Business Case'!D11*$C393*'Business Case'!D13*$D393-'Business Case'!D14*$E393)-MAX(0,(('Business Case'!D11*$C393*'Business Case'!D12*$B393)-'Business Case'!D11*$C393*'Business Case'!D13*$D393-'Business Case'!D14*$E393))*'Business Case'!$B$7-'Business Case'!$B$8*(('Business Case'!D11*$C393*'Business Case'!D12*$B393)-('Business Case'!C11*$C393*'Business Case'!C12*$B393))-'Business Case'!D15*$F393</f>
        <v>229119921.61264</v>
      </c>
      <c r="K393" s="39" t="n">
        <f aca="false">(('Business Case'!E11*$C393*'Business Case'!E12*$B393)-'Business Case'!E11*$C393*'Business Case'!E13*$D393-'Business Case'!E14*$E393)-MAX(0,(('Business Case'!E11*$C393*'Business Case'!E12*$B393)-'Business Case'!E11*$C393*'Business Case'!E13*$D393-'Business Case'!E14*$E393))*'Business Case'!$B$7-'Business Case'!$B$8*(('Business Case'!E11*$C393*'Business Case'!E12*$B393)-('Business Case'!D11*$C393*'Business Case'!D12*$B393))-'Business Case'!E15*$F393</f>
        <v>548735371.749529</v>
      </c>
      <c r="L393" s="39" t="n">
        <f aca="false">(('Business Case'!F11*$C393*'Business Case'!F12*$B393)-'Business Case'!F11*$C393*'Business Case'!F13*$D393-'Business Case'!F14*$E393)-MAX(0,(('Business Case'!F11*$C393*'Business Case'!F12*$B393)-'Business Case'!F11*$C393*'Business Case'!F13*$D393-'Business Case'!F14*$E393))*'Business Case'!$B$7-'Business Case'!$B$8*(('Business Case'!F11*$C393*'Business Case'!F12*$B393)-('Business Case'!E11*$C393*'Business Case'!E12*$B393))-'Business Case'!F15*$F393</f>
        <v>674865730.042151</v>
      </c>
      <c r="M393" s="39" t="n">
        <f aca="false">(('Business Case'!G11*$C393*'Business Case'!G12*$B393)-'Business Case'!G11*$C393*'Business Case'!G13*$D393-'Business Case'!G14*$E393)-MAX(0,(('Business Case'!G11*$C393*'Business Case'!G12*$B393)-'Business Case'!G11*$C393*'Business Case'!G13*$D393-'Business Case'!G14*$E393))*'Business Case'!$B$7-'Business Case'!$B$8*(('Business Case'!G11*$C393*'Business Case'!G12*$B393)-('Business Case'!F11*$C393*'Business Case'!F12*$B393))-'Business Case'!G15*$F393+'Business Case'!$B$8*('Business Case'!G11*$C393*'Business Case'!G12*$B393)</f>
        <v>877692300.941593</v>
      </c>
      <c r="N393" s="39" t="n">
        <f aca="false">IF(COUNT('Business Case'!B11:G11)=0,"",H393+NPV(G393,I393:M393))</f>
        <v>-579993989.971738</v>
      </c>
      <c r="P393" s="40" t="n">
        <f aca="true">RAND()</f>
        <v>0.127925327616914</v>
      </c>
      <c r="Q393" s="40" t="n">
        <f aca="true">RAND()</f>
        <v>0.994420045923369</v>
      </c>
      <c r="R393" s="40" t="n">
        <f aca="true">RAND()</f>
        <v>0.815948111912826</v>
      </c>
      <c r="S393" s="40" t="n">
        <f aca="true">RAND()</f>
        <v>0.655456881017727</v>
      </c>
      <c r="T393" s="40" t="n">
        <f aca="true">RAND()</f>
        <v>0.395880648418888</v>
      </c>
      <c r="U393" s="40" t="n">
        <f aca="true">RAND()</f>
        <v>0.838837551995822</v>
      </c>
    </row>
    <row r="394" customFormat="false" ht="15" hidden="false" customHeight="false" outlineLevel="0" collapsed="false">
      <c r="A394" s="36" t="n">
        <v>314</v>
      </c>
      <c r="B394" s="37" t="n">
        <f aca="false">1+IF($G$6=$E$6,$F$6,IF(P394&lt;($F$6-$E$6)/($G$6-$E$6),$E$6+SQRT(P394*($G$6-$E$6)*($F$6-$E$6)),$G$6-SQRT((1-P394)*($G$6-$E$6)*($G$6-$F$6))))</f>
        <v>1.01953516687801</v>
      </c>
      <c r="C394" s="37" t="n">
        <f aca="false">1+IF($G$7=$E$7,$F$7,IF(Q394&lt;($F$7-$E$7)/($G$7-$E$7),$E$7+SQRT(Q394*($G$7-$E$7)*($F$7-$E$7)),$G$7-SQRT((1-Q394)*($G$7-$E$7)*($G$7-$F$7))))</f>
        <v>0.830968863295777</v>
      </c>
      <c r="D394" s="37" t="n">
        <f aca="false">1+IF($G$8=$E$8,$F$8,IF(R394&lt;($F$8-$E$8)/($G$8-$E$8),$E$8+SQRT(R394*($G$8-$E$8)*($F$8-$E$8)),$G$8-SQRT((1-R394)*($G$8-$E$8)*($G$8-$F$8))))</f>
        <v>1.01370219102417</v>
      </c>
      <c r="E394" s="37" t="n">
        <f aca="false">1+IF($G$9=$E$9,$F$9,IF(S394&lt;($F$9-$E$9)/($G$9-$E$9),$E$9+SQRT(S394*($G$9-$E$9)*($F$9-$E$9)),$G$9-SQRT((1-S394)*($G$9-$E$9)*($G$9-$F$9))))</f>
        <v>1.00216497594879</v>
      </c>
      <c r="F394" s="37" t="n">
        <f aca="false">1+IF($G$10=$E$10,$F$10,IF(T394&lt;($F$10-$E$10)/($G$10-$E$10),$E$10+SQRT(T394*($G$10-$E$10)*($F$10-$E$10)),$G$10-SQRT((1-T394)*($G$10-$E$10)*($G$10-$F$10))))</f>
        <v>1.18798009262879</v>
      </c>
      <c r="G394" s="38" t="n">
        <f aca="false">IF($G$11=$E$11,$F$11,IF(U394&lt;($F$11-$E$11)/($G$11-$E$11),$E$11+SQRT(U394*($G$11-$E$11)*($F$11-$E$11)),$G$11-SQRT((1-U394)*($G$11-$E$11)*($G$11-$F$11))))</f>
        <v>0.102069523612486</v>
      </c>
      <c r="H394" s="39" t="n">
        <f aca="false">(('Business Case'!B11*$C394*'Business Case'!B12*$B394)-'Business Case'!B11*$C394*'Business Case'!B13*$D394-'Business Case'!B14*$E394)-MAX(0,(('Business Case'!B11*$C394*'Business Case'!B12*$B394)-'Business Case'!B11*$C394*'Business Case'!B13*$D394-'Business Case'!B14*$E394))*'Business Case'!$B$7-'Business Case'!$B$8*('Business Case'!B11*$C394*'Business Case'!B12*$B394)-'Business Case'!B15*$F394</f>
        <v>-2375960185.25757</v>
      </c>
      <c r="I394" s="39" t="n">
        <f aca="false">(('Business Case'!C11*$C394*'Business Case'!C12*$B394)-'Business Case'!C11*$C394*'Business Case'!C13*$D394-'Business Case'!C14*$E394)-MAX(0,(('Business Case'!C11*$C394*'Business Case'!C12*$B394)-'Business Case'!C11*$C394*'Business Case'!C13*$D394-'Business Case'!C14*$E394))*'Business Case'!$B$7-'Business Case'!$B$8*(('Business Case'!C11*$C394*'Business Case'!C12*$B394)-('Business Case'!B11*$C394*'Business Case'!B12*$B394))-'Business Case'!C15*$F394</f>
        <v>-42523750.1026892</v>
      </c>
      <c r="J394" s="39" t="n">
        <f aca="false">(('Business Case'!D11*$C394*'Business Case'!D12*$B394)-'Business Case'!D11*$C394*'Business Case'!D13*$D394-'Business Case'!D14*$E394)-MAX(0,(('Business Case'!D11*$C394*'Business Case'!D12*$B394)-'Business Case'!D11*$C394*'Business Case'!D13*$D394-'Business Case'!D14*$E394))*'Business Case'!$B$7-'Business Case'!$B$8*(('Business Case'!D11*$C394*'Business Case'!D12*$B394)-('Business Case'!C11*$C394*'Business Case'!C12*$B394))-'Business Case'!D15*$F394</f>
        <v>220177319.213781</v>
      </c>
      <c r="K394" s="39" t="n">
        <f aca="false">(('Business Case'!E11*$C394*'Business Case'!E12*$B394)-'Business Case'!E11*$C394*'Business Case'!E13*$D394-'Business Case'!E14*$E394)-MAX(0,(('Business Case'!E11*$C394*'Business Case'!E12*$B394)-'Business Case'!E11*$C394*'Business Case'!E13*$D394-'Business Case'!E14*$E394))*'Business Case'!$B$7-'Business Case'!$B$8*(('Business Case'!E11*$C394*'Business Case'!E12*$B394)-('Business Case'!D11*$C394*'Business Case'!D12*$B394))-'Business Case'!E15*$F394</f>
        <v>542277393.16169</v>
      </c>
      <c r="L394" s="39" t="n">
        <f aca="false">(('Business Case'!F11*$C394*'Business Case'!F12*$B394)-'Business Case'!F11*$C394*'Business Case'!F13*$D394-'Business Case'!F14*$E394)-MAX(0,(('Business Case'!F11*$C394*'Business Case'!F12*$B394)-'Business Case'!F11*$C394*'Business Case'!F13*$D394-'Business Case'!F14*$E394))*'Business Case'!$B$7-'Business Case'!$B$8*(('Business Case'!F11*$C394*'Business Case'!F12*$B394)-('Business Case'!E11*$C394*'Business Case'!E12*$B394))-'Business Case'!F15*$F394</f>
        <v>659123716.651422</v>
      </c>
      <c r="M394" s="39" t="n">
        <f aca="false">(('Business Case'!G11*$C394*'Business Case'!G12*$B394)-'Business Case'!G11*$C394*'Business Case'!G13*$D394-'Business Case'!G14*$E394)-MAX(0,(('Business Case'!G11*$C394*'Business Case'!G12*$B394)-'Business Case'!G11*$C394*'Business Case'!G13*$D394-'Business Case'!G14*$E394))*'Business Case'!$B$7-'Business Case'!$B$8*(('Business Case'!G11*$C394*'Business Case'!G12*$B394)-('Business Case'!F11*$C394*'Business Case'!F12*$B394))-'Business Case'!G15*$F394+'Business Case'!$B$8*('Business Case'!G11*$C394*'Business Case'!G12*$B394)</f>
        <v>820159868.76475</v>
      </c>
      <c r="N394" s="39" t="n">
        <f aca="false">IF(COUNT('Business Case'!B11:G11)=0,"",H394+NPV(G394,I394:M394))</f>
        <v>-876824007.507655</v>
      </c>
      <c r="P394" s="40" t="n">
        <f aca="true">RAND()</f>
        <v>0.876252525713256</v>
      </c>
      <c r="Q394" s="40" t="n">
        <f aca="true">RAND()</f>
        <v>0.12705809742954</v>
      </c>
      <c r="R394" s="40" t="n">
        <f aca="true">RAND()</f>
        <v>0.503512544398057</v>
      </c>
      <c r="S394" s="40" t="n">
        <f aca="true">RAND()</f>
        <v>0.417194817700772</v>
      </c>
      <c r="T394" s="40" t="n">
        <f aca="true">RAND()</f>
        <v>0.948713747862214</v>
      </c>
      <c r="U394" s="40" t="n">
        <f aca="true">RAND()</f>
        <v>0.479925659177689</v>
      </c>
    </row>
    <row r="395" customFormat="false" ht="15" hidden="false" customHeight="false" outlineLevel="0" collapsed="false">
      <c r="A395" s="36" t="n">
        <v>315</v>
      </c>
      <c r="B395" s="37" t="n">
        <f aca="false">1+IF($G$6=$E$6,$F$6,IF(P395&lt;($F$6-$E$6)/($G$6-$E$6),$E$6+SQRT(P395*($G$6-$E$6)*($F$6-$E$6)),$G$6-SQRT((1-P395)*($G$6-$E$6)*($G$6-$F$6))))</f>
        <v>1.01130485502896</v>
      </c>
      <c r="C395" s="37" t="n">
        <f aca="false">1+IF($G$7=$E$7,$F$7,IF(Q395&lt;($F$7-$E$7)/($G$7-$E$7),$E$7+SQRT(Q395*($G$7-$E$7)*($F$7-$E$7)),$G$7-SQRT((1-Q395)*($G$7-$E$7)*($G$7-$F$7))))</f>
        <v>0.876257671746496</v>
      </c>
      <c r="D395" s="37" t="n">
        <f aca="false">1+IF($G$8=$E$8,$F$8,IF(R395&lt;($F$8-$E$8)/($G$8-$E$8),$E$8+SQRT(R395*($G$8-$E$8)*($F$8-$E$8)),$G$8-SQRT((1-R395)*($G$8-$E$8)*($G$8-$F$8))))</f>
        <v>1.08383507419474</v>
      </c>
      <c r="E395" s="37" t="n">
        <f aca="false">1+IF($G$9=$E$9,$F$9,IF(S395&lt;($F$9-$E$9)/($G$9-$E$9),$E$9+SQRT(S395*($G$9-$E$9)*($F$9-$E$9)),$G$9-SQRT((1-S395)*($G$9-$E$9)*($G$9-$F$9))))</f>
        <v>0.947924071198895</v>
      </c>
      <c r="F395" s="37" t="n">
        <f aca="false">1+IF($G$10=$E$10,$F$10,IF(T395&lt;($F$10-$E$10)/($G$10-$E$10),$E$10+SQRT(T395*($G$10-$E$10)*($F$10-$E$10)),$G$10-SQRT((1-T395)*($G$10-$E$10)*($G$10-$F$10))))</f>
        <v>0.969454733760033</v>
      </c>
      <c r="G395" s="38" t="n">
        <f aca="false">IF($G$11=$E$11,$F$11,IF(U395&lt;($F$11-$E$11)/($G$11-$E$11),$E$11+SQRT(U395*($G$11-$E$11)*($F$11-$E$11)),$G$11-SQRT((1-U395)*($G$11-$E$11)*($G$11-$F$11))))</f>
        <v>0.108976224090075</v>
      </c>
      <c r="H395" s="39" t="n">
        <f aca="false">(('Business Case'!B11*$C395*'Business Case'!B12*$B395)-'Business Case'!B11*$C395*'Business Case'!B13*$D395-'Business Case'!B14*$E395)-MAX(0,(('Business Case'!B11*$C395*'Business Case'!B12*$B395)-'Business Case'!B11*$C395*'Business Case'!B13*$D395-'Business Case'!B14*$E395))*'Business Case'!$B$7-'Business Case'!$B$8*('Business Case'!B11*$C395*'Business Case'!B12*$B395)-'Business Case'!B15*$F395</f>
        <v>-1938909467.52007</v>
      </c>
      <c r="I395" s="39" t="n">
        <f aca="false">(('Business Case'!C11*$C395*'Business Case'!C12*$B395)-'Business Case'!C11*$C395*'Business Case'!C13*$D395-'Business Case'!C14*$E395)-MAX(0,(('Business Case'!C11*$C395*'Business Case'!C12*$B395)-'Business Case'!C11*$C395*'Business Case'!C13*$D395-'Business Case'!C14*$E395))*'Business Case'!$B$7-'Business Case'!$B$8*(('Business Case'!C11*$C395*'Business Case'!C12*$B395)-('Business Case'!B11*$C395*'Business Case'!B12*$B395))-'Business Case'!C15*$F395</f>
        <v>-38027223.6412437</v>
      </c>
      <c r="J395" s="39" t="n">
        <f aca="false">(('Business Case'!D11*$C395*'Business Case'!D12*$B395)-'Business Case'!D11*$C395*'Business Case'!D13*$D395-'Business Case'!D14*$E395)-MAX(0,(('Business Case'!D11*$C395*'Business Case'!D12*$B395)-'Business Case'!D11*$C395*'Business Case'!D13*$D395-'Business Case'!D14*$E395))*'Business Case'!$B$7-'Business Case'!$B$8*(('Business Case'!D11*$C395*'Business Case'!D12*$B395)-('Business Case'!C11*$C395*'Business Case'!C12*$B395))-'Business Case'!D15*$F395</f>
        <v>201624551.996035</v>
      </c>
      <c r="K395" s="39" t="n">
        <f aca="false">(('Business Case'!E11*$C395*'Business Case'!E12*$B395)-'Business Case'!E11*$C395*'Business Case'!E13*$D395-'Business Case'!E14*$E395)-MAX(0,(('Business Case'!E11*$C395*'Business Case'!E12*$B395)-'Business Case'!E11*$C395*'Business Case'!E13*$D395-'Business Case'!E14*$E395))*'Business Case'!$B$7-'Business Case'!$B$8*(('Business Case'!E11*$C395*'Business Case'!E12*$B395)-('Business Case'!D11*$C395*'Business Case'!D12*$B395))-'Business Case'!E15*$F395</f>
        <v>489749064.321316</v>
      </c>
      <c r="L395" s="39" t="n">
        <f aca="false">(('Business Case'!F11*$C395*'Business Case'!F12*$B395)-'Business Case'!F11*$C395*'Business Case'!F13*$D395-'Business Case'!F14*$E395)-MAX(0,(('Business Case'!F11*$C395*'Business Case'!F12*$B395)-'Business Case'!F11*$C395*'Business Case'!F13*$D395-'Business Case'!F14*$E395))*'Business Case'!$B$7-'Business Case'!$B$8*(('Business Case'!F11*$C395*'Business Case'!F12*$B395)-('Business Case'!E11*$C395*'Business Case'!E12*$B395))-'Business Case'!F15*$F395</f>
        <v>600258804.852433</v>
      </c>
      <c r="M395" s="39" t="n">
        <f aca="false">(('Business Case'!G11*$C395*'Business Case'!G12*$B395)-'Business Case'!G11*$C395*'Business Case'!G13*$D395-'Business Case'!G14*$E395)-MAX(0,(('Business Case'!G11*$C395*'Business Case'!G12*$B395)-'Business Case'!G11*$C395*'Business Case'!G13*$D395-'Business Case'!G14*$E395))*'Business Case'!$B$7-'Business Case'!$B$8*(('Business Case'!G11*$C395*'Business Case'!G12*$B395)-('Business Case'!F11*$C395*'Business Case'!F12*$B395))-'Business Case'!G15*$F395+'Business Case'!$B$8*('Business Case'!G11*$C395*'Business Case'!G12*$B395)</f>
        <v>768700789.105233</v>
      </c>
      <c r="N395" s="39" t="n">
        <f aca="false">IF(COUNT('Business Case'!B11:G11)=0,"",H395+NPV(G395,I395:M395))</f>
        <v>-594994286.960822</v>
      </c>
      <c r="P395" s="40" t="n">
        <f aca="true">RAND()</f>
        <v>0.800358100755992</v>
      </c>
      <c r="Q395" s="40" t="n">
        <f aca="true">RAND()</f>
        <v>0.230124198885152</v>
      </c>
      <c r="R395" s="40" t="n">
        <f aca="true">RAND()</f>
        <v>0.982579678247355</v>
      </c>
      <c r="S395" s="40" t="n">
        <f aca="true">RAND()</f>
        <v>0.0918686640110705</v>
      </c>
      <c r="T395" s="40" t="n">
        <f aca="true">RAND()</f>
        <v>0.0252324443782519</v>
      </c>
      <c r="U395" s="40" t="n">
        <f aca="true">RAND()</f>
        <v>0.705333897659517</v>
      </c>
    </row>
    <row r="396" customFormat="false" ht="15" hidden="false" customHeight="false" outlineLevel="0" collapsed="false">
      <c r="A396" s="36" t="n">
        <v>316</v>
      </c>
      <c r="B396" s="37" t="n">
        <f aca="false">1+IF($G$6=$E$6,$F$6,IF(P396&lt;($F$6-$E$6)/($G$6-$E$6),$E$6+SQRT(P396*($G$6-$E$6)*($F$6-$E$6)),$G$6-SQRT((1-P396)*($G$6-$E$6)*($G$6-$F$6))))</f>
        <v>1.00425338390484</v>
      </c>
      <c r="C396" s="37" t="n">
        <f aca="false">1+IF($G$7=$E$7,$F$7,IF(Q396&lt;($F$7-$E$7)/($G$7-$E$7),$E$7+SQRT(Q396*($G$7-$E$7)*($F$7-$E$7)),$G$7-SQRT((1-Q396)*($G$7-$E$7)*($G$7-$F$7))))</f>
        <v>1.00616242759267</v>
      </c>
      <c r="D396" s="37" t="n">
        <f aca="false">1+IF($G$8=$E$8,$F$8,IF(R396&lt;($F$8-$E$8)/($G$8-$E$8),$E$8+SQRT(R396*($G$8-$E$8)*($F$8-$E$8)),$G$8-SQRT((1-R396)*($G$8-$E$8)*($G$8-$F$8))))</f>
        <v>1.02173524863491</v>
      </c>
      <c r="E396" s="37" t="n">
        <f aca="false">1+IF($G$9=$E$9,$F$9,IF(S396&lt;($F$9-$E$9)/($G$9-$E$9),$E$9+SQRT(S396*($G$9-$E$9)*($F$9-$E$9)),$G$9-SQRT((1-S396)*($G$9-$E$9)*($G$9-$F$9))))</f>
        <v>0.938307132693466</v>
      </c>
      <c r="F396" s="37" t="n">
        <f aca="false">1+IF($G$10=$E$10,$F$10,IF(T396&lt;($F$10-$E$10)/($G$10-$E$10),$E$10+SQRT(T396*($G$10-$E$10)*($F$10-$E$10)),$G$10-SQRT((1-T396)*($G$10-$E$10)*($G$10-$F$10))))</f>
        <v>1.01849866856748</v>
      </c>
      <c r="G396" s="38" t="n">
        <f aca="false">IF($G$11=$E$11,$F$11,IF(U396&lt;($F$11-$E$11)/($G$11-$E$11),$E$11+SQRT(U396*($G$11-$E$11)*($F$11-$E$11)),$G$11-SQRT((1-U396)*($G$11-$E$11)*($G$11-$F$11))))</f>
        <v>0.100047026453682</v>
      </c>
      <c r="H396" s="39" t="n">
        <f aca="false">(('Business Case'!B11*$C396*'Business Case'!B12*$B396)-'Business Case'!B11*$C396*'Business Case'!B13*$D396-'Business Case'!B14*$E396)-MAX(0,(('Business Case'!B11*$C396*'Business Case'!B12*$B396)-'Business Case'!B11*$C396*'Business Case'!B13*$D396-'Business Case'!B14*$E396))*'Business Case'!$B$7-'Business Case'!$B$8*('Business Case'!B11*$C396*'Business Case'!B12*$B396)-'Business Case'!B15*$F396</f>
        <v>-2036997337.13497</v>
      </c>
      <c r="I396" s="39" t="n">
        <f aca="false">(('Business Case'!C11*$C396*'Business Case'!C12*$B396)-'Business Case'!C11*$C396*'Business Case'!C13*$D396-'Business Case'!C14*$E396)-MAX(0,(('Business Case'!C11*$C396*'Business Case'!C12*$B396)-'Business Case'!C11*$C396*'Business Case'!C13*$D396-'Business Case'!C14*$E396))*'Business Case'!$B$7-'Business Case'!$B$8*(('Business Case'!C11*$C396*'Business Case'!C12*$B396)-('Business Case'!B11*$C396*'Business Case'!B12*$B396))-'Business Case'!C15*$F396</f>
        <v>13696366.8599598</v>
      </c>
      <c r="J396" s="39" t="n">
        <f aca="false">(('Business Case'!D11*$C396*'Business Case'!D12*$B396)-'Business Case'!D11*$C396*'Business Case'!D13*$D396-'Business Case'!D14*$E396)-MAX(0,(('Business Case'!D11*$C396*'Business Case'!D12*$B396)-'Business Case'!D11*$C396*'Business Case'!D13*$D396-'Business Case'!D14*$E396))*'Business Case'!$B$7-'Business Case'!$B$8*(('Business Case'!D11*$C396*'Business Case'!D12*$B396)-('Business Case'!C11*$C396*'Business Case'!C12*$B396))-'Business Case'!D15*$F396</f>
        <v>315051189.30078</v>
      </c>
      <c r="K396" s="39" t="n">
        <f aca="false">(('Business Case'!E11*$C396*'Business Case'!E12*$B396)-'Business Case'!E11*$C396*'Business Case'!E13*$D396-'Business Case'!E14*$E396)-MAX(0,(('Business Case'!E11*$C396*'Business Case'!E12*$B396)-'Business Case'!E11*$C396*'Business Case'!E13*$D396-'Business Case'!E14*$E396))*'Business Case'!$B$7-'Business Case'!$B$8*(('Business Case'!E11*$C396*'Business Case'!E12*$B396)-('Business Case'!D11*$C396*'Business Case'!D12*$B396))-'Business Case'!E15*$F396</f>
        <v>667330945.169975</v>
      </c>
      <c r="L396" s="39" t="n">
        <f aca="false">(('Business Case'!F11*$C396*'Business Case'!F12*$B396)-'Business Case'!F11*$C396*'Business Case'!F13*$D396-'Business Case'!F14*$E396)-MAX(0,(('Business Case'!F11*$C396*'Business Case'!F12*$B396)-'Business Case'!F11*$C396*'Business Case'!F13*$D396-'Business Case'!F14*$E396))*'Business Case'!$B$7-'Business Case'!$B$8*(('Business Case'!F11*$C396*'Business Case'!F12*$B396)-('Business Case'!E11*$C396*'Business Case'!E12*$B396))-'Business Case'!F15*$F396</f>
        <v>802703428.95365</v>
      </c>
      <c r="M396" s="39" t="n">
        <f aca="false">(('Business Case'!G11*$C396*'Business Case'!G12*$B396)-'Business Case'!G11*$C396*'Business Case'!G13*$D396-'Business Case'!G14*$E396)-MAX(0,(('Business Case'!G11*$C396*'Business Case'!G12*$B396)-'Business Case'!G11*$C396*'Business Case'!G13*$D396-'Business Case'!G14*$E396))*'Business Case'!$B$7-'Business Case'!$B$8*(('Business Case'!G11*$C396*'Business Case'!G12*$B396)-('Business Case'!F11*$C396*'Business Case'!F12*$B396))-'Business Case'!G15*$F396+'Business Case'!$B$8*('Business Case'!G11*$C396*'Business Case'!G12*$B396)</f>
        <v>994768248.622355</v>
      </c>
      <c r="N396" s="39" t="n">
        <f aca="false">IF(COUNT('Business Case'!B11:G11)=0,"",H396+NPV(G396,I396:M396))</f>
        <v>-97180385.8152232</v>
      </c>
      <c r="P396" s="40" t="n">
        <f aca="true">RAND()</f>
        <v>0.720966282112326</v>
      </c>
      <c r="Q396" s="40" t="n">
        <f aca="true">RAND()</f>
        <v>0.693492633540239</v>
      </c>
      <c r="R396" s="40" t="n">
        <f aca="true">RAND()</f>
        <v>0.591641912917366</v>
      </c>
      <c r="S396" s="40" t="n">
        <f aca="true">RAND()</f>
        <v>0.0586974566077932</v>
      </c>
      <c r="T396" s="40" t="n">
        <f aca="true">RAND()</f>
        <v>0.285428447266297</v>
      </c>
      <c r="U396" s="40" t="n">
        <f aca="true">RAND()</f>
        <v>0.401879583822367</v>
      </c>
    </row>
    <row r="397" customFormat="false" ht="15" hidden="false" customHeight="false" outlineLevel="0" collapsed="false">
      <c r="A397" s="36" t="n">
        <v>317</v>
      </c>
      <c r="B397" s="37" t="n">
        <f aca="false">1+IF($G$6=$E$6,$F$6,IF(P397&lt;($F$6-$E$6)/($G$6-$E$6),$E$6+SQRT(P397*($G$6-$E$6)*($F$6-$E$6)),$G$6-SQRT((1-P397)*($G$6-$E$6)*($G$6-$F$6))))</f>
        <v>1.01439364492812</v>
      </c>
      <c r="C397" s="37" t="n">
        <f aca="false">1+IF($G$7=$E$7,$F$7,IF(Q397&lt;($F$7-$E$7)/($G$7-$E$7),$E$7+SQRT(Q397*($G$7-$E$7)*($F$7-$E$7)),$G$7-SQRT((1-Q397)*($G$7-$E$7)*($G$7-$F$7))))</f>
        <v>0.967506957903418</v>
      </c>
      <c r="D397" s="37" t="n">
        <f aca="false">1+IF($G$8=$E$8,$F$8,IF(R397&lt;($F$8-$E$8)/($G$8-$E$8),$E$8+SQRT(R397*($G$8-$E$8)*($F$8-$E$8)),$G$8-SQRT((1-R397)*($G$8-$E$8)*($G$8-$F$8))))</f>
        <v>1.06160595464812</v>
      </c>
      <c r="E397" s="37" t="n">
        <f aca="false">1+IF($G$9=$E$9,$F$9,IF(S397&lt;($F$9-$E$9)/($G$9-$E$9),$E$9+SQRT(S397*($G$9-$E$9)*($F$9-$E$9)),$G$9-SQRT((1-S397)*($G$9-$E$9)*($G$9-$F$9))))</f>
        <v>1.00672712526563</v>
      </c>
      <c r="F397" s="37" t="n">
        <f aca="false">1+IF($G$10=$E$10,$F$10,IF(T397&lt;($F$10-$E$10)/($G$10-$E$10),$E$10+SQRT(T397*($G$10-$E$10)*($F$10-$E$10)),$G$10-SQRT((1-T397)*($G$10-$E$10)*($G$10-$F$10))))</f>
        <v>1.19739036382435</v>
      </c>
      <c r="G397" s="38" t="n">
        <f aca="false">IF($G$11=$E$11,$F$11,IF(U397&lt;($F$11-$E$11)/($G$11-$E$11),$E$11+SQRT(U397*($G$11-$E$11)*($F$11-$E$11)),$G$11-SQRT((1-U397)*($G$11-$E$11)*($G$11-$F$11))))</f>
        <v>0.118561615155956</v>
      </c>
      <c r="H397" s="39" t="n">
        <f aca="false">(('Business Case'!B11*$C397*'Business Case'!B12*$B397)-'Business Case'!B11*$C397*'Business Case'!B13*$D397-'Business Case'!B14*$E397)-MAX(0,(('Business Case'!B11*$C397*'Business Case'!B12*$B397)-'Business Case'!B11*$C397*'Business Case'!B13*$D397-'Business Case'!B14*$E397))*'Business Case'!$B$7-'Business Case'!$B$8*('Business Case'!B11*$C397*'Business Case'!B12*$B397)-'Business Case'!B15*$F397</f>
        <v>-2394780727.64869</v>
      </c>
      <c r="I397" s="39" t="n">
        <f aca="false">(('Business Case'!C11*$C397*'Business Case'!C12*$B397)-'Business Case'!C11*$C397*'Business Case'!C13*$D397-'Business Case'!C14*$E397)-MAX(0,(('Business Case'!C11*$C397*'Business Case'!C12*$B397)-'Business Case'!C11*$C397*'Business Case'!C13*$D397-'Business Case'!C14*$E397))*'Business Case'!$B$7-'Business Case'!$B$8*(('Business Case'!C11*$C397*'Business Case'!C12*$B397)-('Business Case'!B11*$C397*'Business Case'!B12*$B397))-'Business Case'!C15*$F397</f>
        <v>-35707638.2747669</v>
      </c>
      <c r="J397" s="39" t="n">
        <f aca="false">(('Business Case'!D11*$C397*'Business Case'!D12*$B397)-'Business Case'!D11*$C397*'Business Case'!D13*$D397-'Business Case'!D14*$E397)-MAX(0,(('Business Case'!D11*$C397*'Business Case'!D12*$B397)-'Business Case'!D11*$C397*'Business Case'!D13*$D397-'Business Case'!D14*$E397))*'Business Case'!$B$7-'Business Case'!$B$8*(('Business Case'!D11*$C397*'Business Case'!D12*$B397)-('Business Case'!C11*$C397*'Business Case'!C12*$B397))-'Business Case'!D15*$F397</f>
        <v>242357839.07524</v>
      </c>
      <c r="K397" s="39" t="n">
        <f aca="false">(('Business Case'!E11*$C397*'Business Case'!E12*$B397)-'Business Case'!E11*$C397*'Business Case'!E13*$D397-'Business Case'!E14*$E397)-MAX(0,(('Business Case'!E11*$C397*'Business Case'!E12*$B397)-'Business Case'!E11*$C397*'Business Case'!E13*$D397-'Business Case'!E14*$E397))*'Business Case'!$B$7-'Business Case'!$B$8*(('Business Case'!E11*$C397*'Business Case'!E12*$B397)-('Business Case'!D11*$C397*'Business Case'!D12*$B397))-'Business Case'!E15*$F397</f>
        <v>580292834.616464</v>
      </c>
      <c r="L397" s="39" t="n">
        <f aca="false">(('Business Case'!F11*$C397*'Business Case'!F12*$B397)-'Business Case'!F11*$C397*'Business Case'!F13*$D397-'Business Case'!F14*$E397)-MAX(0,(('Business Case'!F11*$C397*'Business Case'!F12*$B397)-'Business Case'!F11*$C397*'Business Case'!F13*$D397-'Business Case'!F14*$E397))*'Business Case'!$B$7-'Business Case'!$B$8*(('Business Case'!F11*$C397*'Business Case'!F12*$B397)-('Business Case'!E11*$C397*'Business Case'!E12*$B397))-'Business Case'!F15*$F397</f>
        <v>706899648.419511</v>
      </c>
      <c r="M397" s="39" t="n">
        <f aca="false">(('Business Case'!G11*$C397*'Business Case'!G12*$B397)-'Business Case'!G11*$C397*'Business Case'!G13*$D397-'Business Case'!G14*$E397)-MAX(0,(('Business Case'!G11*$C397*'Business Case'!G12*$B397)-'Business Case'!G11*$C397*'Business Case'!G13*$D397-'Business Case'!G14*$E397))*'Business Case'!$B$7-'Business Case'!$B$8*(('Business Case'!G11*$C397*'Business Case'!G12*$B397)-('Business Case'!F11*$C397*'Business Case'!F12*$B397))-'Business Case'!G15*$F397+'Business Case'!$B$8*('Business Case'!G11*$C397*'Business Case'!G12*$B397)</f>
        <v>893450415.861256</v>
      </c>
      <c r="N397" s="39" t="n">
        <f aca="false">IF(COUNT('Business Case'!B11:G11)=0,"",H397+NPV(G397,I397:M397))</f>
        <v>-856565175.675559</v>
      </c>
      <c r="P397" s="40" t="n">
        <f aca="true">RAND()</f>
        <v>0.830958330466037</v>
      </c>
      <c r="Q397" s="40" t="n">
        <f aca="true">RAND()</f>
        <v>0.530073870568454</v>
      </c>
      <c r="R397" s="40" t="n">
        <f aca="true">RAND()</f>
        <v>0.901726485434527</v>
      </c>
      <c r="S397" s="40" t="n">
        <f aca="true">RAND()</f>
        <v>0.452610223075966</v>
      </c>
      <c r="T397" s="40" t="n">
        <f aca="true">RAND()</f>
        <v>0.963096349086204</v>
      </c>
      <c r="U397" s="40" t="n">
        <f aca="true">RAND()</f>
        <v>0.912775568106362</v>
      </c>
    </row>
    <row r="398" customFormat="false" ht="15" hidden="false" customHeight="false" outlineLevel="0" collapsed="false">
      <c r="A398" s="36" t="n">
        <v>318</v>
      </c>
      <c r="B398" s="37" t="n">
        <f aca="false">1+IF($G$6=$E$6,$F$6,IF(P398&lt;($F$6-$E$6)/($G$6-$E$6),$E$6+SQRT(P398*($G$6-$E$6)*($F$6-$E$6)),$G$6-SQRT((1-P398)*($G$6-$E$6)*($G$6-$F$6))))</f>
        <v>0.9904480812903</v>
      </c>
      <c r="C398" s="37" t="n">
        <f aca="false">1+IF($G$7=$E$7,$F$7,IF(Q398&lt;($F$7-$E$7)/($G$7-$E$7),$E$7+SQRT(Q398*($G$7-$E$7)*($F$7-$E$7)),$G$7-SQRT((1-Q398)*($G$7-$E$7)*($G$7-$F$7))))</f>
        <v>0.779646430354115</v>
      </c>
      <c r="D398" s="37" t="n">
        <f aca="false">1+IF($G$8=$E$8,$F$8,IF(R398&lt;($F$8-$E$8)/($G$8-$E$8),$E$8+SQRT(R398*($G$8-$E$8)*($F$8-$E$8)),$G$8-SQRT((1-R398)*($G$8-$E$8)*($G$8-$F$8))))</f>
        <v>1.07079155088787</v>
      </c>
      <c r="E398" s="37" t="n">
        <f aca="false">1+IF($G$9=$E$9,$F$9,IF(S398&lt;($F$9-$E$9)/($G$9-$E$9),$E$9+SQRT(S398*($G$9-$E$9)*($F$9-$E$9)),$G$9-SQRT((1-S398)*($G$9-$E$9)*($G$9-$F$9))))</f>
        <v>0.945673050341011</v>
      </c>
      <c r="F398" s="37" t="n">
        <f aca="false">1+IF($G$10=$E$10,$F$10,IF(T398&lt;($F$10-$E$10)/($G$10-$E$10),$E$10+SQRT(T398*($G$10-$E$10)*($F$10-$E$10)),$G$10-SQRT((1-T398)*($G$10-$E$10)*($G$10-$F$10))))</f>
        <v>0.980389182054315</v>
      </c>
      <c r="G398" s="38" t="n">
        <f aca="false">IF($G$11=$E$11,$F$11,IF(U398&lt;($F$11-$E$11)/($G$11-$E$11),$E$11+SQRT(U398*($G$11-$E$11)*($F$11-$E$11)),$G$11-SQRT((1-U398)*($G$11-$E$11)*($G$11-$F$11))))</f>
        <v>0.12387366906054</v>
      </c>
      <c r="H398" s="39" t="n">
        <f aca="false">(('Business Case'!B11*$C398*'Business Case'!B12*$B398)-'Business Case'!B11*$C398*'Business Case'!B13*$D398-'Business Case'!B14*$E398)-MAX(0,(('Business Case'!B11*$C398*'Business Case'!B12*$B398)-'Business Case'!B11*$C398*'Business Case'!B13*$D398-'Business Case'!B14*$E398))*'Business Case'!$B$7-'Business Case'!$B$8*('Business Case'!B11*$C398*'Business Case'!B12*$B398)-'Business Case'!B15*$F398</f>
        <v>-1960778364.10863</v>
      </c>
      <c r="I398" s="39" t="n">
        <f aca="false">(('Business Case'!C11*$C398*'Business Case'!C12*$B398)-'Business Case'!C11*$C398*'Business Case'!C13*$D398-'Business Case'!C14*$E398)-MAX(0,(('Business Case'!C11*$C398*'Business Case'!C12*$B398)-'Business Case'!C11*$C398*'Business Case'!C13*$D398-'Business Case'!C14*$E398))*'Business Case'!$B$7-'Business Case'!$B$8*(('Business Case'!C11*$C398*'Business Case'!C12*$B398)-('Business Case'!B11*$C398*'Business Case'!B12*$B398))-'Business Case'!C15*$F398</f>
        <v>-67428287.9348221</v>
      </c>
      <c r="J398" s="39" t="n">
        <f aca="false">(('Business Case'!D11*$C398*'Business Case'!D12*$B398)-'Business Case'!D11*$C398*'Business Case'!D13*$D398-'Business Case'!D14*$E398)-MAX(0,(('Business Case'!D11*$C398*'Business Case'!D12*$B398)-'Business Case'!D11*$C398*'Business Case'!D13*$D398-'Business Case'!D14*$E398))*'Business Case'!$B$7-'Business Case'!$B$8*(('Business Case'!D11*$C398*'Business Case'!D12*$B398)-('Business Case'!C11*$C398*'Business Case'!C12*$B398))-'Business Case'!D15*$F398</f>
        <v>137687862.378026</v>
      </c>
      <c r="K398" s="39" t="n">
        <f aca="false">(('Business Case'!E11*$C398*'Business Case'!E12*$B398)-'Business Case'!E11*$C398*'Business Case'!E13*$D398-'Business Case'!E14*$E398)-MAX(0,(('Business Case'!E11*$C398*'Business Case'!E12*$B398)-'Business Case'!E11*$C398*'Business Case'!E13*$D398-'Business Case'!E14*$E398))*'Business Case'!$B$7-'Business Case'!$B$8*(('Business Case'!E11*$C398*'Business Case'!E12*$B398)-('Business Case'!D11*$C398*'Business Case'!D12*$B398))-'Business Case'!E15*$F398</f>
        <v>391823471.793589</v>
      </c>
      <c r="L398" s="39" t="n">
        <f aca="false">(('Business Case'!F11*$C398*'Business Case'!F12*$B398)-'Business Case'!F11*$C398*'Business Case'!F13*$D398-'Business Case'!F14*$E398)-MAX(0,(('Business Case'!F11*$C398*'Business Case'!F12*$B398)-'Business Case'!F11*$C398*'Business Case'!F13*$D398-'Business Case'!F14*$E398))*'Business Case'!$B$7-'Business Case'!$B$8*(('Business Case'!F11*$C398*'Business Case'!F12*$B398)-('Business Case'!E11*$C398*'Business Case'!E12*$B398))-'Business Case'!F15*$F398</f>
        <v>486882730.087036</v>
      </c>
      <c r="M398" s="39" t="n">
        <f aca="false">(('Business Case'!G11*$C398*'Business Case'!G12*$B398)-'Business Case'!G11*$C398*'Business Case'!G13*$D398-'Business Case'!G14*$E398)-MAX(0,(('Business Case'!G11*$C398*'Business Case'!G12*$B398)-'Business Case'!G11*$C398*'Business Case'!G13*$D398-'Business Case'!G14*$E398))*'Business Case'!$B$7-'Business Case'!$B$8*(('Business Case'!G11*$C398*'Business Case'!G12*$B398)-('Business Case'!F11*$C398*'Business Case'!F12*$B398))-'Business Case'!G15*$F398+'Business Case'!$B$8*('Business Case'!G11*$C398*'Business Case'!G12*$B398)</f>
        <v>633662375.12744</v>
      </c>
      <c r="N398" s="39" t="n">
        <f aca="false">IF(COUNT('Business Case'!B11:G11)=0,"",H398+NPV(G398,I398:M398))</f>
        <v>-977165773.964849</v>
      </c>
      <c r="P398" s="40" t="n">
        <f aca="true">RAND()</f>
        <v>0.545390360606443</v>
      </c>
      <c r="Q398" s="40" t="n">
        <f aca="true">RAND()</f>
        <v>0.0469892879122431</v>
      </c>
      <c r="R398" s="40" t="n">
        <f aca="true">RAND()</f>
        <v>0.943124433364275</v>
      </c>
      <c r="S398" s="40" t="n">
        <f aca="true">RAND()</f>
        <v>0.0834411010981001</v>
      </c>
      <c r="T398" s="40" t="n">
        <f aca="true">RAND()</f>
        <v>0.0615668257286877</v>
      </c>
      <c r="U398" s="40" t="n">
        <f aca="true">RAND()</f>
        <v>0.974978712813476</v>
      </c>
    </row>
    <row r="399" customFormat="false" ht="15" hidden="false" customHeight="false" outlineLevel="0" collapsed="false">
      <c r="A399" s="36" t="n">
        <v>319</v>
      </c>
      <c r="B399" s="37" t="n">
        <f aca="false">1+IF($G$6=$E$6,$F$6,IF(P399&lt;($F$6-$E$6)/($G$6-$E$6),$E$6+SQRT(P399*($G$6-$E$6)*($F$6-$E$6)),$G$6-SQRT((1-P399)*($G$6-$E$6)*($G$6-$F$6))))</f>
        <v>0.952256362437817</v>
      </c>
      <c r="C399" s="37" t="n">
        <f aca="false">1+IF($G$7=$E$7,$F$7,IF(Q399&lt;($F$7-$E$7)/($G$7-$E$7),$E$7+SQRT(Q399*($G$7-$E$7)*($F$7-$E$7)),$G$7-SQRT((1-Q399)*($G$7-$E$7)*($G$7-$F$7))))</f>
        <v>1.00894653352413</v>
      </c>
      <c r="D399" s="37" t="n">
        <f aca="false">1+IF($G$8=$E$8,$F$8,IF(R399&lt;($F$8-$E$8)/($G$8-$E$8),$E$8+SQRT(R399*($G$8-$E$8)*($F$8-$E$8)),$G$8-SQRT((1-R399)*($G$8-$E$8)*($G$8-$F$8))))</f>
        <v>1.0062526611079</v>
      </c>
      <c r="E399" s="37" t="n">
        <f aca="false">1+IF($G$9=$E$9,$F$9,IF(S399&lt;($F$9-$E$9)/($G$9-$E$9),$E$9+SQRT(S399*($G$9-$E$9)*($F$9-$E$9)),$G$9-SQRT((1-S399)*($G$9-$E$9)*($G$9-$F$9))))</f>
        <v>1.02358427020721</v>
      </c>
      <c r="F399" s="37" t="n">
        <f aca="false">1+IF($G$10=$E$10,$F$10,IF(T399&lt;($F$10-$E$10)/($G$10-$E$10),$E$10+SQRT(T399*($G$10-$E$10)*($F$10-$E$10)),$G$10-SQRT((1-T399)*($G$10-$E$10)*($G$10-$F$10))))</f>
        <v>0.978192239721253</v>
      </c>
      <c r="G399" s="38" t="n">
        <f aca="false">IF($G$11=$E$11,$F$11,IF(U399&lt;($F$11-$E$11)/($G$11-$E$11),$E$11+SQRT(U399*($G$11-$E$11)*($F$11-$E$11)),$G$11-SQRT((1-U399)*($G$11-$E$11)*($G$11-$F$11))))</f>
        <v>0.0881229512198888</v>
      </c>
      <c r="H399" s="39" t="n">
        <f aca="false">(('Business Case'!B11*$C399*'Business Case'!B12*$B399)-'Business Case'!B11*$C399*'Business Case'!B13*$D399-'Business Case'!B14*$E399)-MAX(0,(('Business Case'!B11*$C399*'Business Case'!B12*$B399)-'Business Case'!B11*$C399*'Business Case'!B13*$D399-'Business Case'!B14*$E399))*'Business Case'!$B$7-'Business Case'!$B$8*('Business Case'!B11*$C399*'Business Case'!B12*$B399)-'Business Case'!B15*$F399</f>
        <v>-1956384479.44251</v>
      </c>
      <c r="I399" s="39" t="n">
        <f aca="false">(('Business Case'!C11*$C399*'Business Case'!C12*$B399)-'Business Case'!C11*$C399*'Business Case'!C13*$D399-'Business Case'!C14*$E399)-MAX(0,(('Business Case'!C11*$C399*'Business Case'!C12*$B399)-'Business Case'!C11*$C399*'Business Case'!C13*$D399-'Business Case'!C14*$E399))*'Business Case'!$B$7-'Business Case'!$B$8*(('Business Case'!C11*$C399*'Business Case'!C12*$B399)-('Business Case'!B11*$C399*'Business Case'!B12*$B399))-'Business Case'!C15*$F399</f>
        <v>-25964410.7765063</v>
      </c>
      <c r="J399" s="39" t="n">
        <f aca="false">(('Business Case'!D11*$C399*'Business Case'!D12*$B399)-'Business Case'!D11*$C399*'Business Case'!D13*$D399-'Business Case'!D14*$E399)-MAX(0,(('Business Case'!D11*$C399*'Business Case'!D12*$B399)-'Business Case'!D11*$C399*'Business Case'!D13*$D399-'Business Case'!D14*$E399))*'Business Case'!$B$7-'Business Case'!$B$8*(('Business Case'!D11*$C399*'Business Case'!D12*$B399)-('Business Case'!C11*$C399*'Business Case'!C12*$B399))-'Business Case'!D15*$F399</f>
        <v>241250700.828845</v>
      </c>
      <c r="K399" s="39" t="n">
        <f aca="false">(('Business Case'!E11*$C399*'Business Case'!E12*$B399)-'Business Case'!E11*$C399*'Business Case'!E13*$D399-'Business Case'!E14*$E399)-MAX(0,(('Business Case'!E11*$C399*'Business Case'!E12*$B399)-'Business Case'!E11*$C399*'Business Case'!E13*$D399-'Business Case'!E14*$E399))*'Business Case'!$B$7-'Business Case'!$B$8*(('Business Case'!E11*$C399*'Business Case'!E12*$B399)-('Business Case'!D11*$C399*'Business Case'!D12*$B399))-'Business Case'!E15*$F399</f>
        <v>557375424.420259</v>
      </c>
      <c r="L399" s="39" t="n">
        <f aca="false">(('Business Case'!F11*$C399*'Business Case'!F12*$B399)-'Business Case'!F11*$C399*'Business Case'!F13*$D399-'Business Case'!F14*$E399)-MAX(0,(('Business Case'!F11*$C399*'Business Case'!F12*$B399)-'Business Case'!F11*$C399*'Business Case'!F13*$D399-'Business Case'!F14*$E399))*'Business Case'!$B$7-'Business Case'!$B$8*(('Business Case'!F11*$C399*'Business Case'!F12*$B399)-('Business Case'!E11*$C399*'Business Case'!E12*$B399))-'Business Case'!F15*$F399</f>
        <v>679651538.412887</v>
      </c>
      <c r="M399" s="39" t="n">
        <f aca="false">(('Business Case'!G11*$C399*'Business Case'!G12*$B399)-'Business Case'!G11*$C399*'Business Case'!G13*$D399-'Business Case'!G14*$E399)-MAX(0,(('Business Case'!G11*$C399*'Business Case'!G12*$B399)-'Business Case'!G11*$C399*'Business Case'!G13*$D399-'Business Case'!G14*$E399))*'Business Case'!$B$7-'Business Case'!$B$8*(('Business Case'!G11*$C399*'Business Case'!G12*$B399)-('Business Case'!F11*$C399*'Business Case'!F12*$B399))-'Business Case'!G15*$F399+'Business Case'!$B$8*('Business Case'!G11*$C399*'Business Case'!G12*$B399)</f>
        <v>862275794.095867</v>
      </c>
      <c r="N399" s="39" t="n">
        <f aca="false">IF(COUNT('Business Case'!B11:G11)=0,"",H399+NPV(G399,I399:M399))</f>
        <v>-293778090.070714</v>
      </c>
      <c r="P399" s="40" t="n">
        <f aca="true">RAND()</f>
        <v>0.182048494348833</v>
      </c>
      <c r="Q399" s="40" t="n">
        <f aca="true">RAND()</f>
        <v>0.705243253261347</v>
      </c>
      <c r="R399" s="40" t="n">
        <f aca="true">RAND()</f>
        <v>0.414095763376632</v>
      </c>
      <c r="S399" s="40" t="n">
        <f aca="true">RAND()</f>
        <v>0.573841686958814</v>
      </c>
      <c r="T399" s="40" t="n">
        <f aca="true">RAND()</f>
        <v>0.0529868253667053</v>
      </c>
      <c r="U399" s="40" t="n">
        <f aca="true">RAND()</f>
        <v>0.0659823365206928</v>
      </c>
    </row>
    <row r="400" customFormat="false" ht="15" hidden="false" customHeight="false" outlineLevel="0" collapsed="false">
      <c r="A400" s="36" t="n">
        <v>320</v>
      </c>
      <c r="B400" s="37" t="n">
        <f aca="false">1+IF($G$6=$E$6,$F$6,IF(P400&lt;($F$6-$E$6)/($G$6-$E$6),$E$6+SQRT(P400*($G$6-$E$6)*($F$6-$E$6)),$G$6-SQRT((1-P400)*($G$6-$E$6)*($G$6-$F$6))))</f>
        <v>0.919425071452806</v>
      </c>
      <c r="C400" s="37" t="n">
        <f aca="false">1+IF($G$7=$E$7,$F$7,IF(Q400&lt;($F$7-$E$7)/($G$7-$E$7),$E$7+SQRT(Q400*($G$7-$E$7)*($F$7-$E$7)),$G$7-SQRT((1-Q400)*($G$7-$E$7)*($G$7-$F$7))))</f>
        <v>0.856079047141002</v>
      </c>
      <c r="D400" s="37" t="n">
        <f aca="false">1+IF($G$8=$E$8,$F$8,IF(R400&lt;($F$8-$E$8)/($G$8-$E$8),$E$8+SQRT(R400*($G$8-$E$8)*($F$8-$E$8)),$G$8-SQRT((1-R400)*($G$8-$E$8)*($G$8-$F$8))))</f>
        <v>1.02252722156457</v>
      </c>
      <c r="E400" s="37" t="n">
        <f aca="false">1+IF($G$9=$E$9,$F$9,IF(S400&lt;($F$9-$E$9)/($G$9-$E$9),$E$9+SQRT(S400*($G$9-$E$9)*($F$9-$E$9)),$G$9-SQRT((1-S400)*($G$9-$E$9)*($G$9-$F$9))))</f>
        <v>1.04898694587842</v>
      </c>
      <c r="F400" s="37" t="n">
        <f aca="false">1+IF($G$10=$E$10,$F$10,IF(T400&lt;($F$10-$E$10)/($G$10-$E$10),$E$10+SQRT(T400*($G$10-$E$10)*($F$10-$E$10)),$G$10-SQRT((1-T400)*($G$10-$E$10)*($G$10-$F$10))))</f>
        <v>1.09693140978086</v>
      </c>
      <c r="G400" s="38" t="n">
        <f aca="false">IF($G$11=$E$11,$F$11,IF(U400&lt;($F$11-$E$11)/($G$11-$E$11),$E$11+SQRT(U400*($G$11-$E$11)*($F$11-$E$11)),$G$11-SQRT((1-U400)*($G$11-$E$11)*($G$11-$F$11))))</f>
        <v>0.0990932620986703</v>
      </c>
      <c r="H400" s="39" t="n">
        <f aca="false">(('Business Case'!B11*$C400*'Business Case'!B12*$B400)-'Business Case'!B11*$C400*'Business Case'!B13*$D400-'Business Case'!B14*$E400)-MAX(0,(('Business Case'!B11*$C400*'Business Case'!B12*$B400)-'Business Case'!B11*$C400*'Business Case'!B13*$D400-'Business Case'!B14*$E400))*'Business Case'!$B$7-'Business Case'!$B$8*('Business Case'!B11*$C400*'Business Case'!B12*$B400)-'Business Case'!B15*$F400</f>
        <v>-2193862819.56172</v>
      </c>
      <c r="I400" s="39" t="n">
        <f aca="false">(('Business Case'!C11*$C400*'Business Case'!C12*$B400)-'Business Case'!C11*$C400*'Business Case'!C13*$D400-'Business Case'!C14*$E400)-MAX(0,(('Business Case'!C11*$C400*'Business Case'!C12*$B400)-'Business Case'!C11*$C400*'Business Case'!C13*$D400-'Business Case'!C14*$E400))*'Business Case'!$B$7-'Business Case'!$B$8*(('Business Case'!C11*$C400*'Business Case'!C12*$B400)-('Business Case'!B11*$C400*'Business Case'!B12*$B400))-'Business Case'!C15*$F400</f>
        <v>-103086769.057459</v>
      </c>
      <c r="J400" s="39" t="n">
        <f aca="false">(('Business Case'!D11*$C400*'Business Case'!D12*$B400)-'Business Case'!D11*$C400*'Business Case'!D13*$D400-'Business Case'!D14*$E400)-MAX(0,(('Business Case'!D11*$C400*'Business Case'!D12*$B400)-'Business Case'!D11*$C400*'Business Case'!D13*$D400-'Business Case'!D14*$E400))*'Business Case'!$B$7-'Business Case'!$B$8*(('Business Case'!D11*$C400*'Business Case'!D12*$B400)-('Business Case'!C11*$C400*'Business Case'!C12*$B400))-'Business Case'!D15*$F400</f>
        <v>93488838.5133408</v>
      </c>
      <c r="K400" s="39" t="n">
        <f aca="false">(('Business Case'!E11*$C400*'Business Case'!E12*$B400)-'Business Case'!E11*$C400*'Business Case'!E13*$D400-'Business Case'!E14*$E400)-MAX(0,(('Business Case'!E11*$C400*'Business Case'!E12*$B400)-'Business Case'!E11*$C400*'Business Case'!E13*$D400-'Business Case'!E14*$E400))*'Business Case'!$B$7-'Business Case'!$B$8*(('Business Case'!E11*$C400*'Business Case'!E12*$B400)-('Business Case'!D11*$C400*'Business Case'!D12*$B400))-'Business Case'!E15*$F400</f>
        <v>344911016.573184</v>
      </c>
      <c r="L400" s="39" t="n">
        <f aca="false">(('Business Case'!F11*$C400*'Business Case'!F12*$B400)-'Business Case'!F11*$C400*'Business Case'!F13*$D400-'Business Case'!F14*$E400)-MAX(0,(('Business Case'!F11*$C400*'Business Case'!F12*$B400)-'Business Case'!F11*$C400*'Business Case'!F13*$D400-'Business Case'!F14*$E400))*'Business Case'!$B$7-'Business Case'!$B$8*(('Business Case'!F11*$C400*'Business Case'!F12*$B400)-('Business Case'!E11*$C400*'Business Case'!E12*$B400))-'Business Case'!F15*$F400</f>
        <v>437638413.727626</v>
      </c>
      <c r="M400" s="39" t="n">
        <f aca="false">(('Business Case'!G11*$C400*'Business Case'!G12*$B400)-'Business Case'!G11*$C400*'Business Case'!G13*$D400-'Business Case'!G14*$E400)-MAX(0,(('Business Case'!G11*$C400*'Business Case'!G12*$B400)-'Business Case'!G11*$C400*'Business Case'!G13*$D400-'Business Case'!G14*$E400))*'Business Case'!$B$7-'Business Case'!$B$8*(('Business Case'!G11*$C400*'Business Case'!G12*$B400)-('Business Case'!F11*$C400*'Business Case'!F12*$B400))-'Business Case'!G15*$F400+'Business Case'!$B$8*('Business Case'!G11*$C400*'Business Case'!G12*$B400)</f>
        <v>587250484.197258</v>
      </c>
      <c r="N400" s="39" t="n">
        <f aca="false">IF(COUNT('Business Case'!B11:G11)=0,"",H400+NPV(G400,I400:M400))</f>
        <v>-1284442228.31802</v>
      </c>
      <c r="P400" s="40" t="n">
        <f aca="true">RAND()</f>
        <v>0.0251555600631084</v>
      </c>
      <c r="Q400" s="40" t="n">
        <f aca="true">RAND()</f>
        <v>0.180449399677355</v>
      </c>
      <c r="R400" s="40" t="n">
        <f aca="true">RAND()</f>
        <v>0.599864573432954</v>
      </c>
      <c r="S400" s="40" t="n">
        <f aca="true">RAND()</f>
        <v>0.727903010587468</v>
      </c>
      <c r="T400" s="40" t="n">
        <f aca="true">RAND()</f>
        <v>0.68760008917766</v>
      </c>
      <c r="U400" s="40" t="n">
        <f aca="true">RAND()</f>
        <v>0.364552657568521</v>
      </c>
    </row>
    <row r="401" customFormat="false" ht="15" hidden="false" customHeight="false" outlineLevel="0" collapsed="false">
      <c r="A401" s="36" t="n">
        <v>321</v>
      </c>
      <c r="B401" s="37" t="n">
        <f aca="false">1+IF($G$6=$E$6,$F$6,IF(P401&lt;($F$6-$E$6)/($G$6-$E$6),$E$6+SQRT(P401*($G$6-$E$6)*($F$6-$E$6)),$G$6-SQRT((1-P401)*($G$6-$E$6)*($G$6-$F$6))))</f>
        <v>0.928272366409662</v>
      </c>
      <c r="C401" s="37" t="n">
        <f aca="false">1+IF($G$7=$E$7,$F$7,IF(Q401&lt;($F$7-$E$7)/($G$7-$E$7),$E$7+SQRT(Q401*($G$7-$E$7)*($F$7-$E$7)),$G$7-SQRT((1-Q401)*($G$7-$E$7)*($G$7-$F$7))))</f>
        <v>1.0790977523577</v>
      </c>
      <c r="D401" s="37" t="n">
        <f aca="false">1+IF($G$8=$E$8,$F$8,IF(R401&lt;($F$8-$E$8)/($G$8-$E$8),$E$8+SQRT(R401*($G$8-$E$8)*($F$8-$E$8)),$G$8-SQRT((1-R401)*($G$8-$E$8)*($G$8-$F$8))))</f>
        <v>0.990194171014104</v>
      </c>
      <c r="E401" s="37" t="n">
        <f aca="false">1+IF($G$9=$E$9,$F$9,IF(S401&lt;($F$9-$E$9)/($G$9-$E$9),$E$9+SQRT(S401*($G$9-$E$9)*($F$9-$E$9)),$G$9-SQRT((1-S401)*($G$9-$E$9)*($G$9-$F$9))))</f>
        <v>0.943317111037104</v>
      </c>
      <c r="F401" s="37" t="n">
        <f aca="false">1+IF($G$10=$E$10,$F$10,IF(T401&lt;($F$10-$E$10)/($G$10-$E$10),$E$10+SQRT(T401*($G$10-$E$10)*($F$10-$E$10)),$G$10-SQRT((1-T401)*($G$10-$E$10)*($G$10-$F$10))))</f>
        <v>1.11187567413997</v>
      </c>
      <c r="G401" s="38" t="n">
        <f aca="false">IF($G$11=$E$11,$F$11,IF(U401&lt;($F$11-$E$11)/($G$11-$E$11),$E$11+SQRT(U401*($G$11-$E$11)*($F$11-$E$11)),$G$11-SQRT((1-U401)*($G$11-$E$11)*($G$11-$F$11))))</f>
        <v>0.0991678970853433</v>
      </c>
      <c r="H401" s="39" t="n">
        <f aca="false">(('Business Case'!B11*$C401*'Business Case'!B12*$B401)-'Business Case'!B11*$C401*'Business Case'!B13*$D401-'Business Case'!B14*$E401)-MAX(0,(('Business Case'!B11*$C401*'Business Case'!B12*$B401)-'Business Case'!B11*$C401*'Business Case'!B13*$D401-'Business Case'!B14*$E401))*'Business Case'!$B$7-'Business Case'!$B$8*('Business Case'!B11*$C401*'Business Case'!B12*$B401)-'Business Case'!B15*$F401</f>
        <v>-2223751348.27993</v>
      </c>
      <c r="I401" s="39" t="n">
        <f aca="false">(('Business Case'!C11*$C401*'Business Case'!C12*$B401)-'Business Case'!C11*$C401*'Business Case'!C13*$D401-'Business Case'!C14*$E401)-MAX(0,(('Business Case'!C11*$C401*'Business Case'!C12*$B401)-'Business Case'!C11*$C401*'Business Case'!C13*$D401-'Business Case'!C14*$E401))*'Business Case'!$B$7-'Business Case'!$B$8*(('Business Case'!C11*$C401*'Business Case'!C12*$B401)-('Business Case'!B11*$C401*'Business Case'!B12*$B401))-'Business Case'!C15*$F401</f>
        <v>-23788422.7667095</v>
      </c>
      <c r="J401" s="39" t="n">
        <f aca="false">(('Business Case'!D11*$C401*'Business Case'!D12*$B401)-'Business Case'!D11*$C401*'Business Case'!D13*$D401-'Business Case'!D14*$E401)-MAX(0,(('Business Case'!D11*$C401*'Business Case'!D12*$B401)-'Business Case'!D11*$C401*'Business Case'!D13*$D401-'Business Case'!D14*$E401))*'Business Case'!$B$7-'Business Case'!$B$8*(('Business Case'!D11*$C401*'Business Case'!D12*$B401)-('Business Case'!C11*$C401*'Business Case'!C12*$B401))-'Business Case'!D15*$F401</f>
        <v>249678368.066945</v>
      </c>
      <c r="K401" s="39" t="n">
        <f aca="false">(('Business Case'!E11*$C401*'Business Case'!E12*$B401)-'Business Case'!E11*$C401*'Business Case'!E13*$D401-'Business Case'!E14*$E401)-MAX(0,(('Business Case'!E11*$C401*'Business Case'!E12*$B401)-'Business Case'!E11*$C401*'Business Case'!E13*$D401-'Business Case'!E14*$E401))*'Business Case'!$B$7-'Business Case'!$B$8*(('Business Case'!E11*$C401*'Business Case'!E12*$B401)-('Business Case'!D11*$C401*'Business Case'!D12*$B401))-'Business Case'!E15*$F401</f>
        <v>578738942.607598</v>
      </c>
      <c r="L401" s="39" t="n">
        <f aca="false">(('Business Case'!F11*$C401*'Business Case'!F12*$B401)-'Business Case'!F11*$C401*'Business Case'!F13*$D401-'Business Case'!F14*$E401)-MAX(0,(('Business Case'!F11*$C401*'Business Case'!F12*$B401)-'Business Case'!F11*$C401*'Business Case'!F13*$D401-'Business Case'!F14*$E401))*'Business Case'!$B$7-'Business Case'!$B$8*(('Business Case'!F11*$C401*'Business Case'!F12*$B401)-('Business Case'!E11*$C401*'Business Case'!E12*$B401))-'Business Case'!F15*$F401</f>
        <v>704513174.883411</v>
      </c>
      <c r="M401" s="39" t="n">
        <f aca="false">(('Business Case'!G11*$C401*'Business Case'!G12*$B401)-'Business Case'!G11*$C401*'Business Case'!G13*$D401-'Business Case'!G14*$E401)-MAX(0,(('Business Case'!G11*$C401*'Business Case'!G12*$B401)-'Business Case'!G11*$C401*'Business Case'!G13*$D401-'Business Case'!G14*$E401))*'Business Case'!$B$7-'Business Case'!$B$8*(('Business Case'!G11*$C401*'Business Case'!G12*$B401)-('Business Case'!F11*$C401*'Business Case'!F12*$B401))-'Business Case'!G15*$F401+'Business Case'!$B$8*('Business Case'!G11*$C401*'Business Case'!G12*$B401)</f>
        <v>894915669.205346</v>
      </c>
      <c r="N401" s="39" t="n">
        <f aca="false">IF(COUNT('Business Case'!B11:G11)=0,"",H401+NPV(G401,I401:M401))</f>
        <v>-562502425.722977</v>
      </c>
      <c r="P401" s="40" t="n">
        <f aca="true">RAND()</f>
        <v>0.0532884468268109</v>
      </c>
      <c r="Q401" s="40" t="n">
        <f aca="true">RAND()</f>
        <v>0.925524018952146</v>
      </c>
      <c r="R401" s="40" t="n">
        <f aca="true">RAND()</f>
        <v>0.21540951780147</v>
      </c>
      <c r="S401" s="40" t="n">
        <f aca="true">RAND()</f>
        <v>0.075054884344031</v>
      </c>
      <c r="T401" s="40" t="n">
        <f aca="true">RAND()</f>
        <v>0.745622274742819</v>
      </c>
      <c r="U401" s="40" t="n">
        <f aca="true">RAND()</f>
        <v>0.367408278674311</v>
      </c>
    </row>
    <row r="402" customFormat="false" ht="15" hidden="false" customHeight="false" outlineLevel="0" collapsed="false">
      <c r="A402" s="36" t="n">
        <v>322</v>
      </c>
      <c r="B402" s="37" t="n">
        <f aca="false">1+IF($G$6=$E$6,$F$6,IF(P402&lt;($F$6-$E$6)/($G$6-$E$6),$E$6+SQRT(P402*($G$6-$E$6)*($F$6-$E$6)),$G$6-SQRT((1-P402)*($G$6-$E$6)*($G$6-$F$6))))</f>
        <v>1.03101222194707</v>
      </c>
      <c r="C402" s="37" t="n">
        <f aca="false">1+IF($G$7=$E$7,$F$7,IF(Q402&lt;($F$7-$E$7)/($G$7-$E$7),$E$7+SQRT(Q402*($G$7-$E$7)*($F$7-$E$7)),$G$7-SQRT((1-Q402)*($G$7-$E$7)*($G$7-$F$7))))</f>
        <v>0.986702966529843</v>
      </c>
      <c r="D402" s="37" t="n">
        <f aca="false">1+IF($G$8=$E$8,$F$8,IF(R402&lt;($F$8-$E$8)/($G$8-$E$8),$E$8+SQRT(R402*($G$8-$E$8)*($F$8-$E$8)),$G$8-SQRT((1-R402)*($G$8-$E$8)*($G$8-$F$8))))</f>
        <v>1.03507863250138</v>
      </c>
      <c r="E402" s="37" t="n">
        <f aca="false">1+IF($G$9=$E$9,$F$9,IF(S402&lt;($F$9-$E$9)/($G$9-$E$9),$E$9+SQRT(S402*($G$9-$E$9)*($F$9-$E$9)),$G$9-SQRT((1-S402)*($G$9-$E$9)*($G$9-$F$9))))</f>
        <v>0.972548747964891</v>
      </c>
      <c r="F402" s="37" t="n">
        <f aca="false">1+IF($G$10=$E$10,$F$10,IF(T402&lt;($F$10-$E$10)/($G$10-$E$10),$E$10+SQRT(T402*($G$10-$E$10)*($F$10-$E$10)),$G$10-SQRT((1-T402)*($G$10-$E$10)*($G$10-$F$10))))</f>
        <v>1.04250961111819</v>
      </c>
      <c r="G402" s="38" t="n">
        <f aca="false">IF($G$11=$E$11,$F$11,IF(U402&lt;($F$11-$E$11)/($G$11-$E$11),$E$11+SQRT(U402*($G$11-$E$11)*($F$11-$E$11)),$G$11-SQRT((1-U402)*($G$11-$E$11)*($G$11-$F$11))))</f>
        <v>0.0917840665128682</v>
      </c>
      <c r="H402" s="39" t="n">
        <f aca="false">(('Business Case'!B11*$C402*'Business Case'!B12*$B402)-'Business Case'!B11*$C402*'Business Case'!B13*$D402-'Business Case'!B14*$E402)-MAX(0,(('Business Case'!B11*$C402*'Business Case'!B12*$B402)-'Business Case'!B11*$C402*'Business Case'!B13*$D402-'Business Case'!B14*$E402))*'Business Case'!$B$7-'Business Case'!$B$8*('Business Case'!B11*$C402*'Business Case'!B12*$B402)-'Business Case'!B15*$F402</f>
        <v>-2085019222.23638</v>
      </c>
      <c r="I402" s="39" t="n">
        <f aca="false">(('Business Case'!C11*$C402*'Business Case'!C12*$B402)-'Business Case'!C11*$C402*'Business Case'!C13*$D402-'Business Case'!C14*$E402)-MAX(0,(('Business Case'!C11*$C402*'Business Case'!C12*$B402)-'Business Case'!C11*$C402*'Business Case'!C13*$D402-'Business Case'!C14*$E402))*'Business Case'!$B$7-'Business Case'!$B$8*(('Business Case'!C11*$C402*'Business Case'!C12*$B402)-('Business Case'!B11*$C402*'Business Case'!B12*$B402))-'Business Case'!C15*$F402</f>
        <v>15128227.2136393</v>
      </c>
      <c r="J402" s="39" t="n">
        <f aca="false">(('Business Case'!D11*$C402*'Business Case'!D12*$B402)-'Business Case'!D11*$C402*'Business Case'!D13*$D402-'Business Case'!D14*$E402)-MAX(0,(('Business Case'!D11*$C402*'Business Case'!D12*$B402)-'Business Case'!D11*$C402*'Business Case'!D13*$D402-'Business Case'!D14*$E402))*'Business Case'!$B$7-'Business Case'!$B$8*(('Business Case'!D11*$C402*'Business Case'!D12*$B402)-('Business Case'!C11*$C402*'Business Case'!C12*$B402))-'Business Case'!D15*$F402</f>
        <v>325540825.58087</v>
      </c>
      <c r="K402" s="39" t="n">
        <f aca="false">(('Business Case'!E11*$C402*'Business Case'!E12*$B402)-'Business Case'!E11*$C402*'Business Case'!E13*$D402-'Business Case'!E14*$E402)-MAX(0,(('Business Case'!E11*$C402*'Business Case'!E12*$B402)-'Business Case'!E11*$C402*'Business Case'!E13*$D402-'Business Case'!E14*$E402))*'Business Case'!$B$7-'Business Case'!$B$8*(('Business Case'!E11*$C402*'Business Case'!E12*$B402)-('Business Case'!D11*$C402*'Business Case'!D12*$B402))-'Business Case'!E15*$F402</f>
        <v>688078904.504009</v>
      </c>
      <c r="L402" s="39" t="n">
        <f aca="false">(('Business Case'!F11*$C402*'Business Case'!F12*$B402)-'Business Case'!F11*$C402*'Business Case'!F13*$D402-'Business Case'!F14*$E402)-MAX(0,(('Business Case'!F11*$C402*'Business Case'!F12*$B402)-'Business Case'!F11*$C402*'Business Case'!F13*$D402-'Business Case'!F14*$E402))*'Business Case'!$B$7-'Business Case'!$B$8*(('Business Case'!F11*$C402*'Business Case'!F12*$B402)-('Business Case'!E11*$C402*'Business Case'!E12*$B402))-'Business Case'!F15*$F402</f>
        <v>826707756.013863</v>
      </c>
      <c r="M402" s="39" t="n">
        <f aca="false">(('Business Case'!G11*$C402*'Business Case'!G12*$B402)-'Business Case'!G11*$C402*'Business Case'!G13*$D402-'Business Case'!G14*$E402)-MAX(0,(('Business Case'!G11*$C402*'Business Case'!G12*$B402)-'Business Case'!G11*$C402*'Business Case'!G13*$D402-'Business Case'!G14*$E402))*'Business Case'!$B$7-'Business Case'!$B$8*(('Business Case'!G11*$C402*'Business Case'!G12*$B402)-('Business Case'!F11*$C402*'Business Case'!F12*$B402))-'Business Case'!G15*$F402+'Business Case'!$B$8*('Business Case'!G11*$C402*'Business Case'!G12*$B402)</f>
        <v>1020076675.6448</v>
      </c>
      <c r="N402" s="39" t="n">
        <f aca="false">IF(COUNT('Business Case'!B11:G11)=0,"",H402+NPV(G402,I402:M402))</f>
        <v>-29910992.0758796</v>
      </c>
      <c r="P402" s="40" t="n">
        <f aca="true">RAND()</f>
        <v>0.951928571281692</v>
      </c>
      <c r="Q402" s="40" t="n">
        <f aca="true">RAND()</f>
        <v>0.608878451977867</v>
      </c>
      <c r="R402" s="40" t="n">
        <f aca="true">RAND()</f>
        <v>0.719014402807288</v>
      </c>
      <c r="S402" s="40" t="n">
        <f aca="true">RAND()</f>
        <v>0.210532833250929</v>
      </c>
      <c r="T402" s="40" t="n">
        <f aca="true">RAND()</f>
        <v>0.425969846955671</v>
      </c>
      <c r="U402" s="40" t="n">
        <f aca="true">RAND()</f>
        <v>0.138864223579702</v>
      </c>
    </row>
    <row r="403" customFormat="false" ht="15" hidden="false" customHeight="false" outlineLevel="0" collapsed="false">
      <c r="A403" s="36" t="n">
        <v>323</v>
      </c>
      <c r="B403" s="37" t="n">
        <f aca="false">1+IF($G$6=$E$6,$F$6,IF(P403&lt;($F$6-$E$6)/($G$6-$E$6),$E$6+SQRT(P403*($G$6-$E$6)*($F$6-$E$6)),$G$6-SQRT((1-P403)*($G$6-$E$6)*($G$6-$F$6))))</f>
        <v>0.99686993355813</v>
      </c>
      <c r="C403" s="37" t="n">
        <f aca="false">1+IF($G$7=$E$7,$F$7,IF(Q403&lt;($F$7-$E$7)/($G$7-$E$7),$E$7+SQRT(Q403*($G$7-$E$7)*($F$7-$E$7)),$G$7-SQRT((1-Q403)*($G$7-$E$7)*($G$7-$F$7))))</f>
        <v>1.06739016890569</v>
      </c>
      <c r="D403" s="37" t="n">
        <f aca="false">1+IF($G$8=$E$8,$F$8,IF(R403&lt;($F$8-$E$8)/($G$8-$E$8),$E$8+SQRT(R403*($G$8-$E$8)*($F$8-$E$8)),$G$8-SQRT((1-R403)*($G$8-$E$8)*($G$8-$F$8))))</f>
        <v>1.0017157859901</v>
      </c>
      <c r="E403" s="37" t="n">
        <f aca="false">1+IF($G$9=$E$9,$F$9,IF(S403&lt;($F$9-$E$9)/($G$9-$E$9),$E$9+SQRT(S403*($G$9-$E$9)*($F$9-$E$9)),$G$9-SQRT((1-S403)*($G$9-$E$9)*($G$9-$F$9))))</f>
        <v>0.987504888978142</v>
      </c>
      <c r="F403" s="37" t="n">
        <f aca="false">1+IF($G$10=$E$10,$F$10,IF(T403&lt;($F$10-$E$10)/($G$10-$E$10),$E$10+SQRT(T403*($G$10-$E$10)*($F$10-$E$10)),$G$10-SQRT((1-T403)*($G$10-$E$10)*($G$10-$F$10))))</f>
        <v>1.22963779211697</v>
      </c>
      <c r="G403" s="38" t="n">
        <f aca="false">IF($G$11=$E$11,$F$11,IF(U403&lt;($F$11-$E$11)/($G$11-$E$11),$E$11+SQRT(U403*($G$11-$E$11)*($F$11-$E$11)),$G$11-SQRT((1-U403)*($G$11-$E$11)*($G$11-$F$11))))</f>
        <v>0.0937813834343347</v>
      </c>
      <c r="H403" s="39" t="n">
        <f aca="false">(('Business Case'!B11*$C403*'Business Case'!B12*$B403)-'Business Case'!B11*$C403*'Business Case'!B13*$D403-'Business Case'!B14*$E403)-MAX(0,(('Business Case'!B11*$C403*'Business Case'!B12*$B403)-'Business Case'!B11*$C403*'Business Case'!B13*$D403-'Business Case'!B14*$E403))*'Business Case'!$B$7-'Business Case'!$B$8*('Business Case'!B11*$C403*'Business Case'!B12*$B403)-'Business Case'!B15*$F403</f>
        <v>-2459275584.23394</v>
      </c>
      <c r="I403" s="39" t="n">
        <f aca="false">(('Business Case'!C11*$C403*'Business Case'!C12*$B403)-'Business Case'!C11*$C403*'Business Case'!C13*$D403-'Business Case'!C14*$E403)-MAX(0,(('Business Case'!C11*$C403*'Business Case'!C12*$B403)-'Business Case'!C11*$C403*'Business Case'!C13*$D403-'Business Case'!C14*$E403))*'Business Case'!$B$7-'Business Case'!$B$8*(('Business Case'!C11*$C403*'Business Case'!C12*$B403)-('Business Case'!B11*$C403*'Business Case'!B12*$B403))-'Business Case'!C15*$F403</f>
        <v>5629683.62617596</v>
      </c>
      <c r="J403" s="39" t="n">
        <f aca="false">(('Business Case'!D11*$C403*'Business Case'!D12*$B403)-'Business Case'!D11*$C403*'Business Case'!D13*$D403-'Business Case'!D14*$E403)-MAX(0,(('Business Case'!D11*$C403*'Business Case'!D12*$B403)-'Business Case'!D11*$C403*'Business Case'!D13*$D403-'Business Case'!D14*$E403))*'Business Case'!$B$7-'Business Case'!$B$8*(('Business Case'!D11*$C403*'Business Case'!D12*$B403)-('Business Case'!C11*$C403*'Business Case'!C12*$B403))-'Business Case'!D15*$F403</f>
        <v>329806650.481456</v>
      </c>
      <c r="K403" s="39" t="n">
        <f aca="false">(('Business Case'!E11*$C403*'Business Case'!E12*$B403)-'Business Case'!E11*$C403*'Business Case'!E13*$D403-'Business Case'!E14*$E403)-MAX(0,(('Business Case'!E11*$C403*'Business Case'!E12*$B403)-'Business Case'!E11*$C403*'Business Case'!E13*$D403-'Business Case'!E14*$E403))*'Business Case'!$B$7-'Business Case'!$B$8*(('Business Case'!E11*$C403*'Business Case'!E12*$B403)-('Business Case'!D11*$C403*'Business Case'!D12*$B403))-'Business Case'!E15*$F403</f>
        <v>715465506.942584</v>
      </c>
      <c r="L403" s="39" t="n">
        <f aca="false">(('Business Case'!F11*$C403*'Business Case'!F12*$B403)-'Business Case'!F11*$C403*'Business Case'!F13*$D403-'Business Case'!F14*$E403)-MAX(0,(('Business Case'!F11*$C403*'Business Case'!F12*$B403)-'Business Case'!F11*$C403*'Business Case'!F13*$D403-'Business Case'!F14*$E403))*'Business Case'!$B$7-'Business Case'!$B$8*(('Business Case'!F11*$C403*'Business Case'!F12*$B403)-('Business Case'!E11*$C403*'Business Case'!E12*$B403))-'Business Case'!F15*$F403</f>
        <v>860298035.097486</v>
      </c>
      <c r="M403" s="39" t="n">
        <f aca="false">(('Business Case'!G11*$C403*'Business Case'!G12*$B403)-'Business Case'!G11*$C403*'Business Case'!G13*$D403-'Business Case'!G14*$E403)-MAX(0,(('Business Case'!G11*$C403*'Business Case'!G12*$B403)-'Business Case'!G11*$C403*'Business Case'!G13*$D403-'Business Case'!G14*$E403))*'Business Case'!$B$7-'Business Case'!$B$8*(('Business Case'!G11*$C403*'Business Case'!G12*$B403)-('Business Case'!F11*$C403*'Business Case'!F12*$B403))-'Business Case'!G15*$F403+'Business Case'!$B$8*('Business Case'!G11*$C403*'Business Case'!G12*$B403)</f>
        <v>1062552500.71477</v>
      </c>
      <c r="N403" s="39" t="n">
        <f aca="false">IF(COUNT('Business Case'!B11:G11)=0,"",H403+NPV(G403,I403:M403))</f>
        <v>-351888924.179851</v>
      </c>
      <c r="P403" s="40" t="n">
        <f aca="true">RAND()</f>
        <v>0.625585601837105</v>
      </c>
      <c r="Q403" s="40" t="n">
        <f aca="true">RAND()</f>
        <v>0.898898011949185</v>
      </c>
      <c r="R403" s="40" t="n">
        <f aca="true">RAND()</f>
        <v>0.356014218430413</v>
      </c>
      <c r="S403" s="40" t="n">
        <f aca="true">RAND()</f>
        <v>0.306284223803077</v>
      </c>
      <c r="T403" s="40" t="n">
        <f aca="true">RAND()</f>
        <v>0.994471739868376</v>
      </c>
      <c r="U403" s="40" t="n">
        <f aca="true">RAND()</f>
        <v>0.189926529364156</v>
      </c>
    </row>
    <row r="404" customFormat="false" ht="15" hidden="false" customHeight="false" outlineLevel="0" collapsed="false">
      <c r="A404" s="36" t="n">
        <v>324</v>
      </c>
      <c r="B404" s="37" t="n">
        <f aca="false">1+IF($G$6=$E$6,$F$6,IF(P404&lt;($F$6-$E$6)/($G$6-$E$6),$E$6+SQRT(P404*($G$6-$E$6)*($F$6-$E$6)),$G$6-SQRT((1-P404)*($G$6-$E$6)*($G$6-$F$6))))</f>
        <v>1.01590504195336</v>
      </c>
      <c r="C404" s="37" t="n">
        <f aca="false">1+IF($G$7=$E$7,$F$7,IF(Q404&lt;($F$7-$E$7)/($G$7-$E$7),$E$7+SQRT(Q404*($G$7-$E$7)*($F$7-$E$7)),$G$7-SQRT((1-Q404)*($G$7-$E$7)*($G$7-$F$7))))</f>
        <v>0.971007332341945</v>
      </c>
      <c r="D404" s="37" t="n">
        <f aca="false">1+IF($G$8=$E$8,$F$8,IF(R404&lt;($F$8-$E$8)/($G$8-$E$8),$E$8+SQRT(R404*($G$8-$E$8)*($F$8-$E$8)),$G$8-SQRT((1-R404)*($G$8-$E$8)*($G$8-$F$8))))</f>
        <v>1.0000908646192</v>
      </c>
      <c r="E404" s="37" t="n">
        <f aca="false">1+IF($G$9=$E$9,$F$9,IF(S404&lt;($F$9-$E$9)/($G$9-$E$9),$E$9+SQRT(S404*($G$9-$E$9)*($F$9-$E$9)),$G$9-SQRT((1-S404)*($G$9-$E$9)*($G$9-$F$9))))</f>
        <v>1.02350670292447</v>
      </c>
      <c r="F404" s="37" t="n">
        <f aca="false">1+IF($G$10=$E$10,$F$10,IF(T404&lt;($F$10-$E$10)/($G$10-$E$10),$E$10+SQRT(T404*($G$10-$E$10)*($F$10-$E$10)),$G$10-SQRT((1-T404)*($G$10-$E$10)*($G$10-$F$10))))</f>
        <v>1.17249572856086</v>
      </c>
      <c r="G404" s="38" t="n">
        <f aca="false">IF($G$11=$E$11,$F$11,IF(U404&lt;($F$11-$E$11)/($G$11-$E$11),$E$11+SQRT(U404*($G$11-$E$11)*($F$11-$E$11)),$G$11-SQRT((1-U404)*($G$11-$E$11)*($G$11-$F$11))))</f>
        <v>0.122412107493345</v>
      </c>
      <c r="H404" s="39" t="n">
        <f aca="false">(('Business Case'!B11*$C404*'Business Case'!B12*$B404)-'Business Case'!B11*$C404*'Business Case'!B13*$D404-'Business Case'!B14*$E404)-MAX(0,(('Business Case'!B11*$C404*'Business Case'!B12*$B404)-'Business Case'!B11*$C404*'Business Case'!B13*$D404-'Business Case'!B14*$E404))*'Business Case'!$B$7-'Business Case'!$B$8*('Business Case'!B11*$C404*'Business Case'!B12*$B404)-'Business Case'!B15*$F404</f>
        <v>-2344991457.12171</v>
      </c>
      <c r="I404" s="39" t="n">
        <f aca="false">(('Business Case'!C11*$C404*'Business Case'!C12*$B404)-'Business Case'!C11*$C404*'Business Case'!C13*$D404-'Business Case'!C14*$E404)-MAX(0,(('Business Case'!C11*$C404*'Business Case'!C12*$B404)-'Business Case'!C11*$C404*'Business Case'!C13*$D404-'Business Case'!C14*$E404))*'Business Case'!$B$7-'Business Case'!$B$8*(('Business Case'!C11*$C404*'Business Case'!C12*$B404)-('Business Case'!B11*$C404*'Business Case'!B12*$B404))-'Business Case'!C15*$F404</f>
        <v>-3078505.02073592</v>
      </c>
      <c r="J404" s="39" t="n">
        <f aca="false">(('Business Case'!D11*$C404*'Business Case'!D12*$B404)-'Business Case'!D11*$C404*'Business Case'!D13*$D404-'Business Case'!D14*$E404)-MAX(0,(('Business Case'!D11*$C404*'Business Case'!D12*$B404)-'Business Case'!D11*$C404*'Business Case'!D13*$D404-'Business Case'!D14*$E404))*'Business Case'!$B$7-'Business Case'!$B$8*(('Business Case'!D11*$C404*'Business Case'!D12*$B404)-('Business Case'!C11*$C404*'Business Case'!C12*$B404))-'Business Case'!D15*$F404</f>
        <v>307772848.495714</v>
      </c>
      <c r="K404" s="39" t="n">
        <f aca="false">(('Business Case'!E11*$C404*'Business Case'!E12*$B404)-'Business Case'!E11*$C404*'Business Case'!E13*$D404-'Business Case'!E14*$E404)-MAX(0,(('Business Case'!E11*$C404*'Business Case'!E12*$B404)-'Business Case'!E11*$C404*'Business Case'!E13*$D404-'Business Case'!E14*$E404))*'Business Case'!$B$7-'Business Case'!$B$8*(('Business Case'!E11*$C404*'Business Case'!E12*$B404)-('Business Case'!D11*$C404*'Business Case'!D12*$B404))-'Business Case'!E15*$F404</f>
        <v>677248988.440206</v>
      </c>
      <c r="L404" s="39" t="n">
        <f aca="false">(('Business Case'!F11*$C404*'Business Case'!F12*$B404)-'Business Case'!F11*$C404*'Business Case'!F13*$D404-'Business Case'!F14*$E404)-MAX(0,(('Business Case'!F11*$C404*'Business Case'!F12*$B404)-'Business Case'!F11*$C404*'Business Case'!F13*$D404-'Business Case'!F14*$E404))*'Business Case'!$B$7-'Business Case'!$B$8*(('Business Case'!F11*$C404*'Business Case'!F12*$B404)-('Business Case'!E11*$C404*'Business Case'!E12*$B404))-'Business Case'!F15*$F404</f>
        <v>814957861.295849</v>
      </c>
      <c r="M404" s="39" t="n">
        <f aca="false">(('Business Case'!G11*$C404*'Business Case'!G12*$B404)-'Business Case'!G11*$C404*'Business Case'!G13*$D404-'Business Case'!G14*$E404)-MAX(0,(('Business Case'!G11*$C404*'Business Case'!G12*$B404)-'Business Case'!G11*$C404*'Business Case'!G13*$D404-'Business Case'!G14*$E404))*'Business Case'!$B$7-'Business Case'!$B$8*(('Business Case'!G11*$C404*'Business Case'!G12*$B404)-('Business Case'!F11*$C404*'Business Case'!F12*$B404))-'Business Case'!G15*$F404+'Business Case'!$B$8*('Business Case'!G11*$C404*'Business Case'!G12*$B404)</f>
        <v>1002462513.8884</v>
      </c>
      <c r="N404" s="39" t="n">
        <f aca="false">IF(COUNT('Business Case'!B11:G11)=0,"",H404+NPV(G404,I404:M404))</f>
        <v>-548260827.374759</v>
      </c>
      <c r="P404" s="40" t="n">
        <f aca="true">RAND()</f>
        <v>0.84500451143969</v>
      </c>
      <c r="Q404" s="40" t="n">
        <f aca="true">RAND()</f>
        <v>0.544036845800721</v>
      </c>
      <c r="R404" s="40" t="n">
        <f aca="true">RAND()</f>
        <v>0.334544311164031</v>
      </c>
      <c r="S404" s="40" t="n">
        <f aca="true">RAND()</f>
        <v>0.573318554532282</v>
      </c>
      <c r="T404" s="40" t="n">
        <f aca="true">RAND()</f>
        <v>0.919907838782502</v>
      </c>
      <c r="U404" s="40" t="n">
        <f aca="true">RAND()</f>
        <v>0.961615924871633</v>
      </c>
    </row>
    <row r="405" customFormat="false" ht="15" hidden="false" customHeight="false" outlineLevel="0" collapsed="false">
      <c r="A405" s="36" t="n">
        <v>325</v>
      </c>
      <c r="B405" s="37" t="n">
        <f aca="false">1+IF($G$6=$E$6,$F$6,IF(P405&lt;($F$6-$E$6)/($G$6-$E$6),$E$6+SQRT(P405*($G$6-$E$6)*($F$6-$E$6)),$G$6-SQRT((1-P405)*($G$6-$E$6)*($G$6-$F$6))))</f>
        <v>1.00518818251871</v>
      </c>
      <c r="C405" s="37" t="n">
        <f aca="false">1+IF($G$7=$E$7,$F$7,IF(Q405&lt;($F$7-$E$7)/($G$7-$E$7),$E$7+SQRT(Q405*($G$7-$E$7)*($F$7-$E$7)),$G$7-SQRT((1-Q405)*($G$7-$E$7)*($G$7-$F$7))))</f>
        <v>0.924458830546353</v>
      </c>
      <c r="D405" s="37" t="n">
        <f aca="false">1+IF($G$8=$E$8,$F$8,IF(R405&lt;($F$8-$E$8)/($G$8-$E$8),$E$8+SQRT(R405*($G$8-$E$8)*($F$8-$E$8)),$G$8-SQRT((1-R405)*($G$8-$E$8)*($G$8-$F$8))))</f>
        <v>1.01637656636449</v>
      </c>
      <c r="E405" s="37" t="n">
        <f aca="false">1+IF($G$9=$E$9,$F$9,IF(S405&lt;($F$9-$E$9)/($G$9-$E$9),$E$9+SQRT(S405*($G$9-$E$9)*($F$9-$E$9)),$G$9-SQRT((1-S405)*($G$9-$E$9)*($G$9-$F$9))))</f>
        <v>0.957671601523279</v>
      </c>
      <c r="F405" s="37" t="n">
        <f aca="false">1+IF($G$10=$E$10,$F$10,IF(T405&lt;($F$10-$E$10)/($G$10-$E$10),$E$10+SQRT(T405*($G$10-$E$10)*($F$10-$E$10)),$G$10-SQRT((1-T405)*($G$10-$E$10)*($G$10-$F$10))))</f>
        <v>0.990826182709974</v>
      </c>
      <c r="G405" s="38" t="n">
        <f aca="false">IF($G$11=$E$11,$F$11,IF(U405&lt;($F$11-$E$11)/($G$11-$E$11),$E$11+SQRT(U405*($G$11-$E$11)*($F$11-$E$11)),$G$11-SQRT((1-U405)*($G$11-$E$11)*($G$11-$F$11))))</f>
        <v>0.111577305470637</v>
      </c>
      <c r="H405" s="39" t="n">
        <f aca="false">(('Business Case'!B11*$C405*'Business Case'!B12*$B405)-'Business Case'!B11*$C405*'Business Case'!B13*$D405-'Business Case'!B14*$E405)-MAX(0,(('Business Case'!B11*$C405*'Business Case'!B12*$B405)-'Business Case'!B11*$C405*'Business Case'!B13*$D405-'Business Case'!B14*$E405))*'Business Case'!$B$7-'Business Case'!$B$8*('Business Case'!B11*$C405*'Business Case'!B12*$B405)-'Business Case'!B15*$F405</f>
        <v>-1981652365.41995</v>
      </c>
      <c r="I405" s="39" t="n">
        <f aca="false">(('Business Case'!C11*$C405*'Business Case'!C12*$B405)-'Business Case'!C11*$C405*'Business Case'!C13*$D405-'Business Case'!C14*$E405)-MAX(0,(('Business Case'!C11*$C405*'Business Case'!C12*$B405)-'Business Case'!C11*$C405*'Business Case'!C13*$D405-'Business Case'!C14*$E405))*'Business Case'!$B$7-'Business Case'!$B$8*(('Business Case'!C11*$C405*'Business Case'!C12*$B405)-('Business Case'!B11*$C405*'Business Case'!B12*$B405))-'Business Case'!C15*$F405</f>
        <v>-3308435.10780123</v>
      </c>
      <c r="J405" s="39" t="n">
        <f aca="false">(('Business Case'!D11*$C405*'Business Case'!D12*$B405)-'Business Case'!D11*$C405*'Business Case'!D13*$D405-'Business Case'!D14*$E405)-MAX(0,(('Business Case'!D11*$C405*'Business Case'!D12*$B405)-'Business Case'!D11*$C405*'Business Case'!D13*$D405-'Business Case'!D14*$E405))*'Business Case'!$B$7-'Business Case'!$B$8*(('Business Case'!D11*$C405*'Business Case'!D12*$B405)-('Business Case'!C11*$C405*'Business Case'!C12*$B405))-'Business Case'!D15*$F405</f>
        <v>276819233.745228</v>
      </c>
      <c r="K405" s="39" t="n">
        <f aca="false">(('Business Case'!E11*$C405*'Business Case'!E12*$B405)-'Business Case'!E11*$C405*'Business Case'!E13*$D405-'Business Case'!E14*$E405)-MAX(0,(('Business Case'!E11*$C405*'Business Case'!E12*$B405)-'Business Case'!E11*$C405*'Business Case'!E13*$D405-'Business Case'!E14*$E405))*'Business Case'!$B$7-'Business Case'!$B$8*(('Business Case'!E11*$C405*'Business Case'!E12*$B405)-('Business Case'!D11*$C405*'Business Case'!D12*$B405))-'Business Case'!E15*$F405</f>
        <v>606488211.733756</v>
      </c>
      <c r="L405" s="39" t="n">
        <f aca="false">(('Business Case'!F11*$C405*'Business Case'!F12*$B405)-'Business Case'!F11*$C405*'Business Case'!F13*$D405-'Business Case'!F14*$E405)-MAX(0,(('Business Case'!F11*$C405*'Business Case'!F12*$B405)-'Business Case'!F11*$C405*'Business Case'!F13*$D405-'Business Case'!F14*$E405))*'Business Case'!$B$7-'Business Case'!$B$8*(('Business Case'!F11*$C405*'Business Case'!F12*$B405)-('Business Case'!E11*$C405*'Business Case'!E12*$B405))-'Business Case'!F15*$F405</f>
        <v>731979157.320248</v>
      </c>
      <c r="M405" s="39" t="n">
        <f aca="false">(('Business Case'!G11*$C405*'Business Case'!G12*$B405)-'Business Case'!G11*$C405*'Business Case'!G13*$D405-'Business Case'!G14*$E405)-MAX(0,(('Business Case'!G11*$C405*'Business Case'!G12*$B405)-'Business Case'!G11*$C405*'Business Case'!G13*$D405-'Business Case'!G14*$E405))*'Business Case'!$B$7-'Business Case'!$B$8*(('Business Case'!G11*$C405*'Business Case'!G12*$B405)-('Business Case'!F11*$C405*'Business Case'!F12*$B405))-'Business Case'!G15*$F405+'Business Case'!$B$8*('Business Case'!G11*$C405*'Business Case'!G12*$B405)</f>
        <v>908611965.148732</v>
      </c>
      <c r="N405" s="39" t="n">
        <f aca="false">IF(COUNT('Business Case'!B11:G11)=0,"",H405+NPV(G405,I405:M405))</f>
        <v>-304170820.849064</v>
      </c>
      <c r="P405" s="40" t="n">
        <f aca="true">RAND()</f>
        <v>0.732253468536425</v>
      </c>
      <c r="Q405" s="40" t="n">
        <f aca="true">RAND()</f>
        <v>0.373198271186937</v>
      </c>
      <c r="R405" s="40" t="n">
        <f aca="true">RAND()</f>
        <v>0.533808089800456</v>
      </c>
      <c r="S405" s="40" t="n">
        <f aca="true">RAND()</f>
        <v>0.133040544890393</v>
      </c>
      <c r="T405" s="40" t="n">
        <f aca="true">RAND()</f>
        <v>0.111118479644544</v>
      </c>
      <c r="U405" s="40" t="n">
        <f aca="true">RAND()</f>
        <v>0.77373621751851</v>
      </c>
    </row>
    <row r="406" customFormat="false" ht="15" hidden="false" customHeight="false" outlineLevel="0" collapsed="false">
      <c r="A406" s="36" t="n">
        <v>326</v>
      </c>
      <c r="B406" s="37" t="n">
        <f aca="false">1+IF($G$6=$E$6,$F$6,IF(P406&lt;($F$6-$E$6)/($G$6-$E$6),$E$6+SQRT(P406*($G$6-$E$6)*($F$6-$E$6)),$G$6-SQRT((1-P406)*($G$6-$E$6)*($G$6-$F$6))))</f>
        <v>0.929839134356934</v>
      </c>
      <c r="C406" s="37" t="n">
        <f aca="false">1+IF($G$7=$E$7,$F$7,IF(Q406&lt;($F$7-$E$7)/($G$7-$E$7),$E$7+SQRT(Q406*($G$7-$E$7)*($F$7-$E$7)),$G$7-SQRT((1-Q406)*($G$7-$E$7)*($G$7-$F$7))))</f>
        <v>1.02163223744385</v>
      </c>
      <c r="D406" s="37" t="n">
        <f aca="false">1+IF($G$8=$E$8,$F$8,IF(R406&lt;($F$8-$E$8)/($G$8-$E$8),$E$8+SQRT(R406*($G$8-$E$8)*($F$8-$E$8)),$G$8-SQRT((1-R406)*($G$8-$E$8)*($G$8-$F$8))))</f>
        <v>0.969729933477315</v>
      </c>
      <c r="E406" s="37" t="n">
        <f aca="false">1+IF($G$9=$E$9,$F$9,IF(S406&lt;($F$9-$E$9)/($G$9-$E$9),$E$9+SQRT(S406*($G$9-$E$9)*($F$9-$E$9)),$G$9-SQRT((1-S406)*($G$9-$E$9)*($G$9-$F$9))))</f>
        <v>1.04086635537402</v>
      </c>
      <c r="F406" s="37" t="n">
        <f aca="false">1+IF($G$10=$E$10,$F$10,IF(T406&lt;($F$10-$E$10)/($G$10-$E$10),$E$10+SQRT(T406*($G$10-$E$10)*($F$10-$E$10)),$G$10-SQRT((1-T406)*($G$10-$E$10)*($G$10-$F$10))))</f>
        <v>1.16692890685216</v>
      </c>
      <c r="G406" s="38" t="n">
        <f aca="false">IF($G$11=$E$11,$F$11,IF(U406&lt;($F$11-$E$11)/($G$11-$E$11),$E$11+SQRT(U406*($G$11-$E$11)*($F$11-$E$11)),$G$11-SQRT((1-U406)*($G$11-$E$11)*($G$11-$F$11))))</f>
        <v>0.117090705349309</v>
      </c>
      <c r="H406" s="39" t="n">
        <f aca="false">(('Business Case'!B11*$C406*'Business Case'!B12*$B406)-'Business Case'!B11*$C406*'Business Case'!B13*$D406-'Business Case'!B14*$E406)-MAX(0,(('Business Case'!B11*$C406*'Business Case'!B12*$B406)-'Business Case'!B11*$C406*'Business Case'!B13*$D406-'Business Case'!B14*$E406))*'Business Case'!$B$7-'Business Case'!$B$8*('Business Case'!B11*$C406*'Business Case'!B12*$B406)-'Business Case'!B15*$F406</f>
        <v>-2333857813.70433</v>
      </c>
      <c r="I406" s="39" t="n">
        <f aca="false">(('Business Case'!C11*$C406*'Business Case'!C12*$B406)-'Business Case'!C11*$C406*'Business Case'!C13*$D406-'Business Case'!C14*$E406)-MAX(0,(('Business Case'!C11*$C406*'Business Case'!C12*$B406)-'Business Case'!C11*$C406*'Business Case'!C13*$D406-'Business Case'!C14*$E406))*'Business Case'!$B$7-'Business Case'!$B$8*(('Business Case'!C11*$C406*'Business Case'!C12*$B406)-('Business Case'!B11*$C406*'Business Case'!B12*$B406))-'Business Case'!C15*$F406</f>
        <v>-43032171.4823139</v>
      </c>
      <c r="J406" s="39" t="n">
        <f aca="false">(('Business Case'!D11*$C406*'Business Case'!D12*$B406)-'Business Case'!D11*$C406*'Business Case'!D13*$D406-'Business Case'!D14*$E406)-MAX(0,(('Business Case'!D11*$C406*'Business Case'!D12*$B406)-'Business Case'!D11*$C406*'Business Case'!D13*$D406-'Business Case'!D14*$E406))*'Business Case'!$B$7-'Business Case'!$B$8*(('Business Case'!D11*$C406*'Business Case'!D12*$B406)-('Business Case'!C11*$C406*'Business Case'!C12*$B406))-'Business Case'!D15*$F406</f>
        <v>227885339.908515</v>
      </c>
      <c r="K406" s="39" t="n">
        <f aca="false">(('Business Case'!E11*$C406*'Business Case'!E12*$B406)-'Business Case'!E11*$C406*'Business Case'!E13*$D406-'Business Case'!E14*$E406)-MAX(0,(('Business Case'!E11*$C406*'Business Case'!E12*$B406)-'Business Case'!E11*$C406*'Business Case'!E13*$D406-'Business Case'!E14*$E406))*'Business Case'!$B$7-'Business Case'!$B$8*(('Business Case'!E11*$C406*'Business Case'!E12*$B406)-('Business Case'!D11*$C406*'Business Case'!D12*$B406))-'Business Case'!E15*$F406</f>
        <v>557149296.641953</v>
      </c>
      <c r="L406" s="39" t="n">
        <f aca="false">(('Business Case'!F11*$C406*'Business Case'!F12*$B406)-'Business Case'!F11*$C406*'Business Case'!F13*$D406-'Business Case'!F14*$E406)-MAX(0,(('Business Case'!F11*$C406*'Business Case'!F12*$B406)-'Business Case'!F11*$C406*'Business Case'!F13*$D406-'Business Case'!F14*$E406))*'Business Case'!$B$7-'Business Case'!$B$8*(('Business Case'!F11*$C406*'Business Case'!F12*$B406)-('Business Case'!E11*$C406*'Business Case'!E12*$B406))-'Business Case'!F15*$F406</f>
        <v>680285531.408057</v>
      </c>
      <c r="M406" s="39" t="n">
        <f aca="false">(('Business Case'!G11*$C406*'Business Case'!G12*$B406)-'Business Case'!G11*$C406*'Business Case'!G13*$D406-'Business Case'!G14*$E406)-MAX(0,(('Business Case'!G11*$C406*'Business Case'!G12*$B406)-'Business Case'!G11*$C406*'Business Case'!G13*$D406-'Business Case'!G14*$E406))*'Business Case'!$B$7-'Business Case'!$B$8*(('Business Case'!G11*$C406*'Business Case'!G12*$B406)-('Business Case'!F11*$C406*'Business Case'!F12*$B406))-'Business Case'!G15*$F406+'Business Case'!$B$8*('Business Case'!G11*$C406*'Business Case'!G12*$B406)</f>
        <v>860852718.405107</v>
      </c>
      <c r="N406" s="39" t="n">
        <f aca="false">IF(COUNT('Business Case'!B11:G11)=0,"",H406+NPV(G406,I406:M406))</f>
        <v>-858368740.247086</v>
      </c>
      <c r="P406" s="40" t="n">
        <f aca="true">RAND()</f>
        <v>0.0593582626114087</v>
      </c>
      <c r="Q406" s="40" t="n">
        <f aca="true">RAND()</f>
        <v>0.755877296834502</v>
      </c>
      <c r="R406" s="40" t="n">
        <f aca="true">RAND()</f>
        <v>0.0519027033359055</v>
      </c>
      <c r="S406" s="40" t="n">
        <f aca="true">RAND()</f>
        <v>0.682395936284017</v>
      </c>
      <c r="T406" s="40" t="n">
        <f aca="true">RAND()</f>
        <v>0.907989246442981</v>
      </c>
      <c r="U406" s="40" t="n">
        <f aca="true">RAND()</f>
        <v>0.888900074414429</v>
      </c>
    </row>
    <row r="407" customFormat="false" ht="15" hidden="false" customHeight="false" outlineLevel="0" collapsed="false">
      <c r="A407" s="36" t="n">
        <v>327</v>
      </c>
      <c r="B407" s="37" t="n">
        <f aca="false">1+IF($G$6=$E$6,$F$6,IF(P407&lt;($F$6-$E$6)/($G$6-$E$6),$E$6+SQRT(P407*($G$6-$E$6)*($F$6-$E$6)),$G$6-SQRT((1-P407)*($G$6-$E$6)*($G$6-$F$6))))</f>
        <v>1.00719579091613</v>
      </c>
      <c r="C407" s="37" t="n">
        <f aca="false">1+IF($G$7=$E$7,$F$7,IF(Q407&lt;($F$7-$E$7)/($G$7-$E$7),$E$7+SQRT(Q407*($G$7-$E$7)*($F$7-$E$7)),$G$7-SQRT((1-Q407)*($G$7-$E$7)*($G$7-$F$7))))</f>
        <v>1.00110932771469</v>
      </c>
      <c r="D407" s="37" t="n">
        <f aca="false">1+IF($G$8=$E$8,$F$8,IF(R407&lt;($F$8-$E$8)/($G$8-$E$8),$E$8+SQRT(R407*($G$8-$E$8)*($F$8-$E$8)),$G$8-SQRT((1-R407)*($G$8-$E$8)*($G$8-$F$8))))</f>
        <v>0.974665514600637</v>
      </c>
      <c r="E407" s="37" t="n">
        <f aca="false">1+IF($G$9=$E$9,$F$9,IF(S407&lt;($F$9-$E$9)/($G$9-$E$9),$E$9+SQRT(S407*($G$9-$E$9)*($F$9-$E$9)),$G$9-SQRT((1-S407)*($G$9-$E$9)*($G$9-$F$9))))</f>
        <v>1.02050122574997</v>
      </c>
      <c r="F407" s="37" t="n">
        <f aca="false">1+IF($G$10=$E$10,$F$10,IF(T407&lt;($F$10-$E$10)/($G$10-$E$10),$E$10+SQRT(T407*($G$10-$E$10)*($F$10-$E$10)),$G$10-SQRT((1-T407)*($G$10-$E$10)*($G$10-$F$10))))</f>
        <v>1.16352286404994</v>
      </c>
      <c r="G407" s="38" t="n">
        <f aca="false">IF($G$11=$E$11,$F$11,IF(U407&lt;($F$11-$E$11)/($G$11-$E$11),$E$11+SQRT(U407*($G$11-$E$11)*($F$11-$E$11)),$G$11-SQRT((1-U407)*($G$11-$E$11)*($G$11-$F$11))))</f>
        <v>0.113126662594212</v>
      </c>
      <c r="H407" s="39" t="n">
        <f aca="false">(('Business Case'!B11*$C407*'Business Case'!B12*$B407)-'Business Case'!B11*$C407*'Business Case'!B13*$D407-'Business Case'!B14*$E407)-MAX(0,(('Business Case'!B11*$C407*'Business Case'!B12*$B407)-'Business Case'!B11*$C407*'Business Case'!B13*$D407-'Business Case'!B14*$E407))*'Business Case'!$B$7-'Business Case'!$B$8*('Business Case'!B11*$C407*'Business Case'!B12*$B407)-'Business Case'!B15*$F407</f>
        <v>-2327045728.09988</v>
      </c>
      <c r="I407" s="39" t="n">
        <f aca="false">(('Business Case'!C11*$C407*'Business Case'!C12*$B407)-'Business Case'!C11*$C407*'Business Case'!C13*$D407-'Business Case'!C14*$E407)-MAX(0,(('Business Case'!C11*$C407*'Business Case'!C12*$B407)-'Business Case'!C11*$C407*'Business Case'!C13*$D407-'Business Case'!C14*$E407))*'Business Case'!$B$7-'Business Case'!$B$8*(('Business Case'!C11*$C407*'Business Case'!C12*$B407)-('Business Case'!B11*$C407*'Business Case'!B12*$B407))-'Business Case'!C15*$F407</f>
        <v>12638246.3406652</v>
      </c>
      <c r="J407" s="39" t="n">
        <f aca="false">(('Business Case'!D11*$C407*'Business Case'!D12*$B407)-'Business Case'!D11*$C407*'Business Case'!D13*$D407-'Business Case'!D14*$E407)-MAX(0,(('Business Case'!D11*$C407*'Business Case'!D12*$B407)-'Business Case'!D11*$C407*'Business Case'!D13*$D407-'Business Case'!D14*$E407))*'Business Case'!$B$7-'Business Case'!$B$8*(('Business Case'!D11*$C407*'Business Case'!D12*$B407)-('Business Case'!C11*$C407*'Business Case'!C12*$B407))-'Business Case'!D15*$F407</f>
        <v>339015004.550088</v>
      </c>
      <c r="K407" s="39" t="n">
        <f aca="false">(('Business Case'!E11*$C407*'Business Case'!E12*$B407)-'Business Case'!E11*$C407*'Business Case'!E13*$D407-'Business Case'!E14*$E407)-MAX(0,(('Business Case'!E11*$C407*'Business Case'!E12*$B407)-'Business Case'!E11*$C407*'Business Case'!E13*$D407-'Business Case'!E14*$E407))*'Business Case'!$B$7-'Business Case'!$B$8*(('Business Case'!E11*$C407*'Business Case'!E12*$B407)-('Business Case'!D11*$C407*'Business Case'!D12*$B407))-'Business Case'!E15*$F407</f>
        <v>723567905.962007</v>
      </c>
      <c r="L407" s="39" t="n">
        <f aca="false">(('Business Case'!F11*$C407*'Business Case'!F12*$B407)-'Business Case'!F11*$C407*'Business Case'!F13*$D407-'Business Case'!F14*$E407)-MAX(0,(('Business Case'!F11*$C407*'Business Case'!F12*$B407)-'Business Case'!F11*$C407*'Business Case'!F13*$D407-'Business Case'!F14*$E407))*'Business Case'!$B$7-'Business Case'!$B$8*(('Business Case'!F11*$C407*'Business Case'!F12*$B407)-('Business Case'!E11*$C407*'Business Case'!E12*$B407))-'Business Case'!F15*$F407</f>
        <v>867207459.473226</v>
      </c>
      <c r="M407" s="39" t="n">
        <f aca="false">(('Business Case'!G11*$C407*'Business Case'!G12*$B407)-'Business Case'!G11*$C407*'Business Case'!G13*$D407-'Business Case'!G14*$E407)-MAX(0,(('Business Case'!G11*$C407*'Business Case'!G12*$B407)-'Business Case'!G11*$C407*'Business Case'!G13*$D407-'Business Case'!G14*$E407))*'Business Case'!$B$7-'Business Case'!$B$8*(('Business Case'!G11*$C407*'Business Case'!G12*$B407)-('Business Case'!F11*$C407*'Business Case'!F12*$B407))-'Business Case'!G15*$F407+'Business Case'!$B$8*('Business Case'!G11*$C407*'Business Case'!G12*$B407)</f>
        <v>1058867613.73433</v>
      </c>
      <c r="N407" s="39" t="n">
        <f aca="false">IF(COUNT('Business Case'!B11:G11)=0,"",H407+NPV(G407,I407:M407))</f>
        <v>-332987006.233753</v>
      </c>
      <c r="P407" s="40" t="n">
        <f aca="true">RAND()</f>
        <v>0.755706624627194</v>
      </c>
      <c r="Q407" s="40" t="n">
        <f aca="true">RAND()</f>
        <v>0.671578780835969</v>
      </c>
      <c r="R407" s="40" t="n">
        <f aca="true">RAND()</f>
        <v>0.0811183480685671</v>
      </c>
      <c r="S407" s="40" t="n">
        <f aca="true">RAND()</f>
        <v>0.5528017991397</v>
      </c>
      <c r="T407" s="40" t="n">
        <f aca="true">RAND()</f>
        <v>0.900289399438331</v>
      </c>
      <c r="U407" s="40" t="n">
        <f aca="true">RAND()</f>
        <v>0.810193656526965</v>
      </c>
    </row>
    <row r="408" customFormat="false" ht="15" hidden="false" customHeight="false" outlineLevel="0" collapsed="false">
      <c r="A408" s="36" t="n">
        <v>328</v>
      </c>
      <c r="B408" s="37" t="n">
        <f aca="false">1+IF($G$6=$E$6,$F$6,IF(P408&lt;($F$6-$E$6)/($G$6-$E$6),$E$6+SQRT(P408*($G$6-$E$6)*($F$6-$E$6)),$G$6-SQRT((1-P408)*($G$6-$E$6)*($G$6-$F$6))))</f>
        <v>1.0135222713426</v>
      </c>
      <c r="C408" s="37" t="n">
        <f aca="false">1+IF($G$7=$E$7,$F$7,IF(Q408&lt;($F$7-$E$7)/($G$7-$E$7),$E$7+SQRT(Q408*($G$7-$E$7)*($F$7-$E$7)),$G$7-SQRT((1-Q408)*($G$7-$E$7)*($G$7-$F$7))))</f>
        <v>1.04599181328969</v>
      </c>
      <c r="D408" s="37" t="n">
        <f aca="false">1+IF($G$8=$E$8,$F$8,IF(R408&lt;($F$8-$E$8)/($G$8-$E$8),$E$8+SQRT(R408*($G$8-$E$8)*($F$8-$E$8)),$G$8-SQRT((1-R408)*($G$8-$E$8)*($G$8-$F$8))))</f>
        <v>0.993761965794671</v>
      </c>
      <c r="E408" s="37" t="n">
        <f aca="false">1+IF($G$9=$E$9,$F$9,IF(S408&lt;($F$9-$E$9)/($G$9-$E$9),$E$9+SQRT(S408*($G$9-$E$9)*($F$9-$E$9)),$G$9-SQRT((1-S408)*($G$9-$E$9)*($G$9-$F$9))))</f>
        <v>1.020258373204</v>
      </c>
      <c r="F408" s="37" t="n">
        <f aca="false">1+IF($G$10=$E$10,$F$10,IF(T408&lt;($F$10-$E$10)/($G$10-$E$10),$E$10+SQRT(T408*($G$10-$E$10)*($F$10-$E$10)),$G$10-SQRT((1-T408)*($G$10-$E$10)*($G$10-$F$10))))</f>
        <v>1.20862931324131</v>
      </c>
      <c r="G408" s="38" t="n">
        <f aca="false">IF($G$11=$E$11,$F$11,IF(U408&lt;($F$11-$E$11)/($G$11-$E$11),$E$11+SQRT(U408*($G$11-$E$11)*($F$11-$E$11)),$G$11-SQRT((1-U408)*($G$11-$E$11)*($G$11-$F$11))))</f>
        <v>0.109480543745554</v>
      </c>
      <c r="H408" s="39" t="n">
        <f aca="false">(('Business Case'!B11*$C408*'Business Case'!B12*$B408)-'Business Case'!B11*$C408*'Business Case'!B13*$D408-'Business Case'!B14*$E408)-MAX(0,(('Business Case'!B11*$C408*'Business Case'!B12*$B408)-'Business Case'!B11*$C408*'Business Case'!B13*$D408-'Business Case'!B14*$E408))*'Business Case'!$B$7-'Business Case'!$B$8*('Business Case'!B11*$C408*'Business Case'!B12*$B408)-'Business Case'!B15*$F408</f>
        <v>-2417258626.48262</v>
      </c>
      <c r="I408" s="39" t="n">
        <f aca="false">(('Business Case'!C11*$C408*'Business Case'!C12*$B408)-'Business Case'!C11*$C408*'Business Case'!C13*$D408-'Business Case'!C14*$E408)-MAX(0,(('Business Case'!C11*$C408*'Business Case'!C12*$B408)-'Business Case'!C11*$C408*'Business Case'!C13*$D408-'Business Case'!C14*$E408))*'Business Case'!$B$7-'Business Case'!$B$8*(('Business Case'!C11*$C408*'Business Case'!C12*$B408)-('Business Case'!B11*$C408*'Business Case'!B12*$B408))-'Business Case'!C15*$F408</f>
        <v>15302704.8327695</v>
      </c>
      <c r="J408" s="39" t="n">
        <f aca="false">(('Business Case'!D11*$C408*'Business Case'!D12*$B408)-'Business Case'!D11*$C408*'Business Case'!D13*$D408-'Business Case'!D14*$E408)-MAX(0,(('Business Case'!D11*$C408*'Business Case'!D12*$B408)-'Business Case'!D11*$C408*'Business Case'!D13*$D408-'Business Case'!D14*$E408))*'Business Case'!$B$7-'Business Case'!$B$8*(('Business Case'!D11*$C408*'Business Case'!D12*$B408)-('Business Case'!C11*$C408*'Business Case'!C12*$B408))-'Business Case'!D15*$F408</f>
        <v>351506531.816912</v>
      </c>
      <c r="K408" s="39" t="n">
        <f aca="false">(('Business Case'!E11*$C408*'Business Case'!E12*$B408)-'Business Case'!E11*$C408*'Business Case'!E13*$D408-'Business Case'!E14*$E408)-MAX(0,(('Business Case'!E11*$C408*'Business Case'!E12*$B408)-'Business Case'!E11*$C408*'Business Case'!E13*$D408-'Business Case'!E14*$E408))*'Business Case'!$B$7-'Business Case'!$B$8*(('Business Case'!E11*$C408*'Business Case'!E12*$B408)-('Business Case'!D11*$C408*'Business Case'!D12*$B408))-'Business Case'!E15*$F408</f>
        <v>748141824.46312</v>
      </c>
      <c r="L408" s="39" t="n">
        <f aca="false">(('Business Case'!F11*$C408*'Business Case'!F12*$B408)-'Business Case'!F11*$C408*'Business Case'!F13*$D408-'Business Case'!F14*$E408)-MAX(0,(('Business Case'!F11*$C408*'Business Case'!F12*$B408)-'Business Case'!F11*$C408*'Business Case'!F13*$D408-'Business Case'!F14*$E408))*'Business Case'!$B$7-'Business Case'!$B$8*(('Business Case'!F11*$C408*'Business Case'!F12*$B408)-('Business Case'!E11*$C408*'Business Case'!E12*$B408))-'Business Case'!F15*$F408</f>
        <v>896848066.896256</v>
      </c>
      <c r="M408" s="39" t="n">
        <f aca="false">(('Business Case'!G11*$C408*'Business Case'!G12*$B408)-'Business Case'!G11*$C408*'Business Case'!G13*$D408-'Business Case'!G14*$E408)-MAX(0,(('Business Case'!G11*$C408*'Business Case'!G12*$B408)-'Business Case'!G11*$C408*'Business Case'!G13*$D408-'Business Case'!G14*$E408))*'Business Case'!$B$7-'Business Case'!$B$8*(('Business Case'!G11*$C408*'Business Case'!G12*$B408)-('Business Case'!F11*$C408*'Business Case'!F12*$B408))-'Business Case'!G15*$F408+'Business Case'!$B$8*('Business Case'!G11*$C408*'Business Case'!G12*$B408)</f>
        <v>1098358717.47424</v>
      </c>
      <c r="N408" s="39" t="n">
        <f aca="false">IF(COUNT('Business Case'!B11:G11)=0,"",H408+NPV(G408,I408:M408))</f>
        <v>-324866015.606159</v>
      </c>
      <c r="P408" s="40" t="n">
        <f aca="true">RAND()</f>
        <v>0.822583374932956</v>
      </c>
      <c r="Q408" s="40" t="n">
        <f aca="true">RAND()</f>
        <v>0.839737734773816</v>
      </c>
      <c r="R408" s="40" t="n">
        <f aca="true">RAND()</f>
        <v>0.255347953361855</v>
      </c>
      <c r="S408" s="40" t="n">
        <f aca="true">RAND()</f>
        <v>0.551122940702079</v>
      </c>
      <c r="T408" s="40" t="n">
        <f aca="true">RAND()</f>
        <v>0.977179550361525</v>
      </c>
      <c r="U408" s="40" t="n">
        <f aca="true">RAND()</f>
        <v>0.719301276681244</v>
      </c>
    </row>
    <row r="409" customFormat="false" ht="15" hidden="false" customHeight="false" outlineLevel="0" collapsed="false">
      <c r="A409" s="36" t="n">
        <v>329</v>
      </c>
      <c r="B409" s="37" t="n">
        <f aca="false">1+IF($G$6=$E$6,$F$6,IF(P409&lt;($F$6-$E$6)/($G$6-$E$6),$E$6+SQRT(P409*($G$6-$E$6)*($F$6-$E$6)),$G$6-SQRT((1-P409)*($G$6-$E$6)*($G$6-$F$6))))</f>
        <v>0.998949470522831</v>
      </c>
      <c r="C409" s="37" t="n">
        <f aca="false">1+IF($G$7=$E$7,$F$7,IF(Q409&lt;($F$7-$E$7)/($G$7-$E$7),$E$7+SQRT(Q409*($G$7-$E$7)*($F$7-$E$7)),$G$7-SQRT((1-Q409)*($G$7-$E$7)*($G$7-$F$7))))</f>
        <v>0.995819501607552</v>
      </c>
      <c r="D409" s="37" t="n">
        <f aca="false">1+IF($G$8=$E$8,$F$8,IF(R409&lt;($F$8-$E$8)/($G$8-$E$8),$E$8+SQRT(R409*($G$8-$E$8)*($F$8-$E$8)),$G$8-SQRT((1-R409)*($G$8-$E$8)*($G$8-$F$8))))</f>
        <v>1.03068221561511</v>
      </c>
      <c r="E409" s="37" t="n">
        <f aca="false">1+IF($G$9=$E$9,$F$9,IF(S409&lt;($F$9-$E$9)/($G$9-$E$9),$E$9+SQRT(S409*($G$9-$E$9)*($F$9-$E$9)),$G$9-SQRT((1-S409)*($G$9-$E$9)*($G$9-$F$9))))</f>
        <v>0.989925793731767</v>
      </c>
      <c r="F409" s="37" t="n">
        <f aca="false">1+IF($G$10=$E$10,$F$10,IF(T409&lt;($F$10-$E$10)/($G$10-$E$10),$E$10+SQRT(T409*($G$10-$E$10)*($F$10-$E$10)),$G$10-SQRT((1-T409)*($G$10-$E$10)*($G$10-$F$10))))</f>
        <v>1.0082515365867</v>
      </c>
      <c r="G409" s="38" t="n">
        <f aca="false">IF($G$11=$E$11,$F$11,IF(U409&lt;($F$11-$E$11)/($G$11-$E$11),$E$11+SQRT(U409*($G$11-$E$11)*($F$11-$E$11)),$G$11-SQRT((1-U409)*($G$11-$E$11)*($G$11-$F$11))))</f>
        <v>0.100445750487874</v>
      </c>
      <c r="H409" s="39" t="n">
        <f aca="false">(('Business Case'!B11*$C409*'Business Case'!B12*$B409)-'Business Case'!B11*$C409*'Business Case'!B13*$D409-'Business Case'!B14*$E409)-MAX(0,(('Business Case'!B11*$C409*'Business Case'!B12*$B409)-'Business Case'!B11*$C409*'Business Case'!B13*$D409-'Business Case'!B14*$E409))*'Business Case'!$B$7-'Business Case'!$B$8*('Business Case'!B11*$C409*'Business Case'!B12*$B409)-'Business Case'!B15*$F409</f>
        <v>-2016503073.17339</v>
      </c>
      <c r="I409" s="39" t="n">
        <f aca="false">(('Business Case'!C11*$C409*'Business Case'!C12*$B409)-'Business Case'!C11*$C409*'Business Case'!C13*$D409-'Business Case'!C14*$E409)-MAX(0,(('Business Case'!C11*$C409*'Business Case'!C12*$B409)-'Business Case'!C11*$C409*'Business Case'!C13*$D409-'Business Case'!C14*$E409))*'Business Case'!$B$7-'Business Case'!$B$8*(('Business Case'!C11*$C409*'Business Case'!C12*$B409)-('Business Case'!B11*$C409*'Business Case'!B12*$B409))-'Business Case'!C15*$F409</f>
        <v>-3791740.68280366</v>
      </c>
      <c r="J409" s="39" t="n">
        <f aca="false">(('Business Case'!D11*$C409*'Business Case'!D12*$B409)-'Business Case'!D11*$C409*'Business Case'!D13*$D409-'Business Case'!D14*$E409)-MAX(0,(('Business Case'!D11*$C409*'Business Case'!D12*$B409)-'Business Case'!D11*$C409*'Business Case'!D13*$D409-'Business Case'!D14*$E409))*'Business Case'!$B$7-'Business Case'!$B$8*(('Business Case'!D11*$C409*'Business Case'!D12*$B409)-('Business Case'!C11*$C409*'Business Case'!C12*$B409))-'Business Case'!D15*$F409</f>
        <v>285578171.344594</v>
      </c>
      <c r="K409" s="39" t="n">
        <f aca="false">(('Business Case'!E11*$C409*'Business Case'!E12*$B409)-'Business Case'!E11*$C409*'Business Case'!E13*$D409-'Business Case'!E14*$E409)-MAX(0,(('Business Case'!E11*$C409*'Business Case'!E12*$B409)-'Business Case'!E11*$C409*'Business Case'!E13*$D409-'Business Case'!E14*$E409))*'Business Case'!$B$7-'Business Case'!$B$8*(('Business Case'!E11*$C409*'Business Case'!E12*$B409)-('Business Case'!D11*$C409*'Business Case'!D12*$B409))-'Business Case'!E15*$F409</f>
        <v>625360660.201326</v>
      </c>
      <c r="L409" s="39" t="n">
        <f aca="false">(('Business Case'!F11*$C409*'Business Case'!F12*$B409)-'Business Case'!F11*$C409*'Business Case'!F13*$D409-'Business Case'!F14*$E409)-MAX(0,(('Business Case'!F11*$C409*'Business Case'!F12*$B409)-'Business Case'!F11*$C409*'Business Case'!F13*$D409-'Business Case'!F14*$E409))*'Business Case'!$B$7-'Business Case'!$B$8*(('Business Case'!F11*$C409*'Business Case'!F12*$B409)-('Business Case'!E11*$C409*'Business Case'!E12*$B409))-'Business Case'!F15*$F409</f>
        <v>756196664.999041</v>
      </c>
      <c r="M409" s="39" t="n">
        <f aca="false">(('Business Case'!G11*$C409*'Business Case'!G12*$B409)-'Business Case'!G11*$C409*'Business Case'!G13*$D409-'Business Case'!G14*$E409)-MAX(0,(('Business Case'!G11*$C409*'Business Case'!G12*$B409)-'Business Case'!G11*$C409*'Business Case'!G13*$D409-'Business Case'!G14*$E409))*'Business Case'!$B$7-'Business Case'!$B$8*(('Business Case'!G11*$C409*'Business Case'!G12*$B409)-('Business Case'!F11*$C409*'Business Case'!F12*$B409))-'Business Case'!G15*$F409+'Business Case'!$B$8*('Business Case'!G11*$C409*'Business Case'!G12*$B409)</f>
        <v>945283186.002914</v>
      </c>
      <c r="N409" s="39" t="n">
        <f aca="false">IF(COUNT('Business Case'!B11:G11)=0,"",H409+NPV(G409,I409:M409))</f>
        <v>-213438004.856484</v>
      </c>
      <c r="P409" s="40" t="n">
        <f aca="true">RAND()</f>
        <v>0.65273318111657</v>
      </c>
      <c r="Q409" s="40" t="n">
        <f aca="true">RAND()</f>
        <v>0.648216129861783</v>
      </c>
      <c r="R409" s="40" t="n">
        <f aca="true">RAND()</f>
        <v>0.679669651197978</v>
      </c>
      <c r="S409" s="40" t="n">
        <f aca="true">RAND()</f>
        <v>0.323465935131534</v>
      </c>
      <c r="T409" s="40" t="n">
        <f aca="true">RAND()</f>
        <v>0.220769072497414</v>
      </c>
      <c r="U409" s="40" t="n">
        <f aca="true">RAND()</f>
        <v>0.417697557183344</v>
      </c>
    </row>
    <row r="410" customFormat="false" ht="15" hidden="false" customHeight="false" outlineLevel="0" collapsed="false">
      <c r="A410" s="36" t="n">
        <v>330</v>
      </c>
      <c r="B410" s="37" t="n">
        <f aca="false">1+IF($G$6=$E$6,$F$6,IF(P410&lt;($F$6-$E$6)/($G$6-$E$6),$E$6+SQRT(P410*($G$6-$E$6)*($F$6-$E$6)),$G$6-SQRT((1-P410)*($G$6-$E$6)*($G$6-$F$6))))</f>
        <v>0.959975030749833</v>
      </c>
      <c r="C410" s="37" t="n">
        <f aca="false">1+IF($G$7=$E$7,$F$7,IF(Q410&lt;($F$7-$E$7)/($G$7-$E$7),$E$7+SQRT(Q410*($G$7-$E$7)*($F$7-$E$7)),$G$7-SQRT((1-Q410)*($G$7-$E$7)*($G$7-$F$7))))</f>
        <v>1.01773300013561</v>
      </c>
      <c r="D410" s="37" t="n">
        <f aca="false">1+IF($G$8=$E$8,$F$8,IF(R410&lt;($F$8-$E$8)/($G$8-$E$8),$E$8+SQRT(R410*($G$8-$E$8)*($F$8-$E$8)),$G$8-SQRT((1-R410)*($G$8-$E$8)*($G$8-$F$8))))</f>
        <v>0.990983929934706</v>
      </c>
      <c r="E410" s="37" t="n">
        <f aca="false">1+IF($G$9=$E$9,$F$9,IF(S410&lt;($F$9-$E$9)/($G$9-$E$9),$E$9+SQRT(S410*($G$9-$E$9)*($F$9-$E$9)),$G$9-SQRT((1-S410)*($G$9-$E$9)*($G$9-$F$9))))</f>
        <v>1.1050849865346</v>
      </c>
      <c r="F410" s="37" t="n">
        <f aca="false">1+IF($G$10=$E$10,$F$10,IF(T410&lt;($F$10-$E$10)/($G$10-$E$10),$E$10+SQRT(T410*($G$10-$E$10)*($F$10-$E$10)),$G$10-SQRT((1-T410)*($G$10-$E$10)*($G$10-$F$10))))</f>
        <v>1.02066283876323</v>
      </c>
      <c r="G410" s="38" t="n">
        <f aca="false">IF($G$11=$E$11,$F$11,IF(U410&lt;($F$11-$E$11)/($G$11-$E$11),$E$11+SQRT(U410*($G$11-$E$11)*($F$11-$E$11)),$G$11-SQRT((1-U410)*($G$11-$E$11)*($G$11-$F$11))))</f>
        <v>0.106071965143454</v>
      </c>
      <c r="H410" s="39" t="n">
        <f aca="false">(('Business Case'!B11*$C410*'Business Case'!B12*$B410)-'Business Case'!B11*$C410*'Business Case'!B13*$D410-'Business Case'!B14*$E410)-MAX(0,(('Business Case'!B11*$C410*'Business Case'!B12*$B410)-'Business Case'!B11*$C410*'Business Case'!B13*$D410-'Business Case'!B14*$E410))*'Business Case'!$B$7-'Business Case'!$B$8*('Business Case'!B11*$C410*'Business Case'!B12*$B410)-'Business Case'!B15*$F410</f>
        <v>-2041325677.52646</v>
      </c>
      <c r="I410" s="39" t="n">
        <f aca="false">(('Business Case'!C11*$C410*'Business Case'!C12*$B410)-'Business Case'!C11*$C410*'Business Case'!C13*$D410-'Business Case'!C14*$E410)-MAX(0,(('Business Case'!C11*$C410*'Business Case'!C12*$B410)-'Business Case'!C11*$C410*'Business Case'!C13*$D410-'Business Case'!C14*$E410))*'Business Case'!$B$7-'Business Case'!$B$8*(('Business Case'!C11*$C410*'Business Case'!C12*$B410)-('Business Case'!B11*$C410*'Business Case'!B12*$B410))-'Business Case'!C15*$F410</f>
        <v>-25925557.7930589</v>
      </c>
      <c r="J410" s="39" t="n">
        <f aca="false">(('Business Case'!D11*$C410*'Business Case'!D12*$B410)-'Business Case'!D11*$C410*'Business Case'!D13*$D410-'Business Case'!D14*$E410)-MAX(0,(('Business Case'!D11*$C410*'Business Case'!D12*$B410)-'Business Case'!D11*$C410*'Business Case'!D13*$D410-'Business Case'!D14*$E410))*'Business Case'!$B$7-'Business Case'!$B$8*(('Business Case'!D11*$C410*'Business Case'!D12*$B410)-('Business Case'!C11*$C410*'Business Case'!C12*$B410))-'Business Case'!D15*$F410</f>
        <v>258005843.593745</v>
      </c>
      <c r="K410" s="39" t="n">
        <f aca="false">(('Business Case'!E11*$C410*'Business Case'!E12*$B410)-'Business Case'!E11*$C410*'Business Case'!E13*$D410-'Business Case'!E14*$E410)-MAX(0,(('Business Case'!E11*$C410*'Business Case'!E12*$B410)-'Business Case'!E11*$C410*'Business Case'!E13*$D410-'Business Case'!E14*$E410))*'Business Case'!$B$7-'Business Case'!$B$8*(('Business Case'!E11*$C410*'Business Case'!E12*$B410)-('Business Case'!D11*$C410*'Business Case'!D12*$B410))-'Business Case'!E15*$F410</f>
        <v>592970386.91871</v>
      </c>
      <c r="L410" s="39" t="n">
        <f aca="false">(('Business Case'!F11*$C410*'Business Case'!F12*$B410)-'Business Case'!F11*$C410*'Business Case'!F13*$D410-'Business Case'!F14*$E410)-MAX(0,(('Business Case'!F11*$C410*'Business Case'!F12*$B410)-'Business Case'!F11*$C410*'Business Case'!F13*$D410-'Business Case'!F14*$E410))*'Business Case'!$B$7-'Business Case'!$B$8*(('Business Case'!F11*$C410*'Business Case'!F12*$B410)-('Business Case'!E11*$C410*'Business Case'!E12*$B410))-'Business Case'!F15*$F410</f>
        <v>721379247.526524</v>
      </c>
      <c r="M410" s="39" t="n">
        <f aca="false">(('Business Case'!G11*$C410*'Business Case'!G12*$B410)-'Business Case'!G11*$C410*'Business Case'!G13*$D410-'Business Case'!G14*$E410)-MAX(0,(('Business Case'!G11*$C410*'Business Case'!G12*$B410)-'Business Case'!G11*$C410*'Business Case'!G13*$D410-'Business Case'!G14*$E410))*'Business Case'!$B$7-'Business Case'!$B$8*(('Business Case'!G11*$C410*'Business Case'!G12*$B410)-('Business Case'!F11*$C410*'Business Case'!F12*$B410))-'Business Case'!G15*$F410+'Business Case'!$B$8*('Business Case'!G11*$C410*'Business Case'!G12*$B410)</f>
        <v>907087078.32703</v>
      </c>
      <c r="N410" s="39" t="n">
        <f aca="false">IF(COUNT('Business Case'!B11:G11)=0,"",H410+NPV(G410,I410:M410))</f>
        <v>-385741103.552081</v>
      </c>
      <c r="P410" s="40" t="n">
        <f aca="true">RAND()</f>
        <v>0.239800287562894</v>
      </c>
      <c r="Q410" s="40" t="n">
        <f aca="true">RAND()</f>
        <v>0.740821344398144</v>
      </c>
      <c r="R410" s="40" t="n">
        <f aca="true">RAND()</f>
        <v>0.223957668385714</v>
      </c>
      <c r="S410" s="40" t="n">
        <f aca="true">RAND()</f>
        <v>0.946203775077408</v>
      </c>
      <c r="T410" s="40" t="n">
        <f aca="true">RAND()</f>
        <v>0.298726219678121</v>
      </c>
      <c r="U410" s="40" t="n">
        <f aca="true">RAND()</f>
        <v>0.618299431935937</v>
      </c>
    </row>
    <row r="411" customFormat="false" ht="15" hidden="false" customHeight="false" outlineLevel="0" collapsed="false">
      <c r="A411" s="36" t="n">
        <v>331</v>
      </c>
      <c r="B411" s="37" t="n">
        <f aca="false">1+IF($G$6=$E$6,$F$6,IF(P411&lt;($F$6-$E$6)/($G$6-$E$6),$E$6+SQRT(P411*($G$6-$E$6)*($F$6-$E$6)),$G$6-SQRT((1-P411)*($G$6-$E$6)*($G$6-$F$6))))</f>
        <v>0.965171023769638</v>
      </c>
      <c r="C411" s="37" t="n">
        <f aca="false">1+IF($G$7=$E$7,$F$7,IF(Q411&lt;($F$7-$E$7)/($G$7-$E$7),$E$7+SQRT(Q411*($G$7-$E$7)*($F$7-$E$7)),$G$7-SQRT((1-Q411)*($G$7-$E$7)*($G$7-$F$7))))</f>
        <v>0.789620593724575</v>
      </c>
      <c r="D411" s="37" t="n">
        <f aca="false">1+IF($G$8=$E$8,$F$8,IF(R411&lt;($F$8-$E$8)/($G$8-$E$8),$E$8+SQRT(R411*($G$8-$E$8)*($F$8-$E$8)),$G$8-SQRT((1-R411)*($G$8-$E$8)*($G$8-$F$8))))</f>
        <v>1.05946227224435</v>
      </c>
      <c r="E411" s="37" t="n">
        <f aca="false">1+IF($G$9=$E$9,$F$9,IF(S411&lt;($F$9-$E$9)/($G$9-$E$9),$E$9+SQRT(S411*($G$9-$E$9)*($F$9-$E$9)),$G$9-SQRT((1-S411)*($G$9-$E$9)*($G$9-$F$9))))</f>
        <v>1.0262009840301</v>
      </c>
      <c r="F411" s="37" t="n">
        <f aca="false">1+IF($G$10=$E$10,$F$10,IF(T411&lt;($F$10-$E$10)/($G$10-$E$10),$E$10+SQRT(T411*($G$10-$E$10)*($F$10-$E$10)),$G$10-SQRT((1-T411)*($G$10-$E$10)*($G$10-$F$10))))</f>
        <v>1.0107204256148</v>
      </c>
      <c r="G411" s="38" t="n">
        <f aca="false">IF($G$11=$E$11,$F$11,IF(U411&lt;($F$11-$E$11)/($G$11-$E$11),$E$11+SQRT(U411*($G$11-$E$11)*($F$11-$E$11)),$G$11-SQRT((1-U411)*($G$11-$E$11)*($G$11-$F$11))))</f>
        <v>0.104563679160556</v>
      </c>
      <c r="H411" s="39" t="n">
        <f aca="false">(('Business Case'!B11*$C411*'Business Case'!B12*$B411)-'Business Case'!B11*$C411*'Business Case'!B13*$D411-'Business Case'!B14*$E411)-MAX(0,(('Business Case'!B11*$C411*'Business Case'!B12*$B411)-'Business Case'!B11*$C411*'Business Case'!B13*$D411-'Business Case'!B14*$E411))*'Business Case'!$B$7-'Business Case'!$B$8*('Business Case'!B11*$C411*'Business Case'!B12*$B411)-'Business Case'!B15*$F411</f>
        <v>-2021440851.2296</v>
      </c>
      <c r="I411" s="39" t="n">
        <f aca="false">(('Business Case'!C11*$C411*'Business Case'!C12*$B411)-'Business Case'!C11*$C411*'Business Case'!C13*$D411-'Business Case'!C14*$E411)-MAX(0,(('Business Case'!C11*$C411*'Business Case'!C12*$B411)-'Business Case'!C11*$C411*'Business Case'!C13*$D411-'Business Case'!C14*$E411))*'Business Case'!$B$7-'Business Case'!$B$8*(('Business Case'!C11*$C411*'Business Case'!C12*$B411)-('Business Case'!B11*$C411*'Business Case'!B12*$B411))-'Business Case'!C15*$F411</f>
        <v>-90534368.7917801</v>
      </c>
      <c r="J411" s="39" t="n">
        <f aca="false">(('Business Case'!D11*$C411*'Business Case'!D12*$B411)-'Business Case'!D11*$C411*'Business Case'!D13*$D411-'Business Case'!D14*$E411)-MAX(0,(('Business Case'!D11*$C411*'Business Case'!D12*$B411)-'Business Case'!D11*$C411*'Business Case'!D13*$D411-'Business Case'!D14*$E411))*'Business Case'!$B$7-'Business Case'!$B$8*(('Business Case'!D11*$C411*'Business Case'!D12*$B411)-('Business Case'!C11*$C411*'Business Case'!C12*$B411))-'Business Case'!D15*$F411</f>
        <v>105437329.555713</v>
      </c>
      <c r="K411" s="39" t="n">
        <f aca="false">(('Business Case'!E11*$C411*'Business Case'!E12*$B411)-'Business Case'!E11*$C411*'Business Case'!E13*$D411-'Business Case'!E14*$E411)-MAX(0,(('Business Case'!E11*$C411*'Business Case'!E12*$B411)-'Business Case'!E11*$C411*'Business Case'!E13*$D411-'Business Case'!E14*$E411))*'Business Case'!$B$7-'Business Case'!$B$8*(('Business Case'!E11*$C411*'Business Case'!E12*$B411)-('Business Case'!D11*$C411*'Business Case'!D12*$B411))-'Business Case'!E15*$F411</f>
        <v>351945049.183946</v>
      </c>
      <c r="L411" s="39" t="n">
        <f aca="false">(('Business Case'!F11*$C411*'Business Case'!F12*$B411)-'Business Case'!F11*$C411*'Business Case'!F13*$D411-'Business Case'!F14*$E411)-MAX(0,(('Business Case'!F11*$C411*'Business Case'!F12*$B411)-'Business Case'!F11*$C411*'Business Case'!F13*$D411-'Business Case'!F14*$E411))*'Business Case'!$B$7-'Business Case'!$B$8*(('Business Case'!F11*$C411*'Business Case'!F12*$B411)-('Business Case'!E11*$C411*'Business Case'!E12*$B411))-'Business Case'!F15*$F411</f>
        <v>443607778.398919</v>
      </c>
      <c r="M411" s="39" t="n">
        <f aca="false">(('Business Case'!G11*$C411*'Business Case'!G12*$B411)-'Business Case'!G11*$C411*'Business Case'!G13*$D411-'Business Case'!G14*$E411)-MAX(0,(('Business Case'!G11*$C411*'Business Case'!G12*$B411)-'Business Case'!G11*$C411*'Business Case'!G13*$D411-'Business Case'!G14*$E411))*'Business Case'!$B$7-'Business Case'!$B$8*(('Business Case'!G11*$C411*'Business Case'!G12*$B411)-('Business Case'!F11*$C411*'Business Case'!F12*$B411))-'Business Case'!G15*$F411+'Business Case'!$B$8*('Business Case'!G11*$C411*'Business Case'!G12*$B411)</f>
        <v>588471342.110866</v>
      </c>
      <c r="N411" s="39" t="n">
        <f aca="false">IF(COUNT('Business Case'!B11:G11)=0,"",H411+NPV(G411,I411:M411))</f>
        <v>-1099905773.13201</v>
      </c>
      <c r="P411" s="40" t="n">
        <f aca="true">RAND()</f>
        <v>0.283150822612183</v>
      </c>
      <c r="Q411" s="40" t="n">
        <f aca="true">RAND()</f>
        <v>0.0594951912558916</v>
      </c>
      <c r="R411" s="40" t="n">
        <f aca="true">RAND()</f>
        <v>0.890446175227229</v>
      </c>
      <c r="S411" s="40" t="n">
        <f aca="true">RAND()</f>
        <v>0.591301430530267</v>
      </c>
      <c r="T411" s="40" t="n">
        <f aca="true">RAND()</f>
        <v>0.236603803760504</v>
      </c>
      <c r="U411" s="40" t="n">
        <f aca="true">RAND()</f>
        <v>0.568662388101916</v>
      </c>
    </row>
    <row r="412" customFormat="false" ht="15" hidden="false" customHeight="false" outlineLevel="0" collapsed="false">
      <c r="A412" s="36" t="n">
        <v>332</v>
      </c>
      <c r="B412" s="37" t="n">
        <f aca="false">1+IF($G$6=$E$6,$F$6,IF(P412&lt;($F$6-$E$6)/($G$6-$E$6),$E$6+SQRT(P412*($G$6-$E$6)*($F$6-$E$6)),$G$6-SQRT((1-P412)*($G$6-$E$6)*($G$6-$F$6))))</f>
        <v>1.01917357428047</v>
      </c>
      <c r="C412" s="37" t="n">
        <f aca="false">1+IF($G$7=$E$7,$F$7,IF(Q412&lt;($F$7-$E$7)/($G$7-$E$7),$E$7+SQRT(Q412*($G$7-$E$7)*($F$7-$E$7)),$G$7-SQRT((1-Q412)*($G$7-$E$7)*($G$7-$F$7))))</f>
        <v>0.892611913655523</v>
      </c>
      <c r="D412" s="37" t="n">
        <f aca="false">1+IF($G$8=$E$8,$F$8,IF(R412&lt;($F$8-$E$8)/($G$8-$E$8),$E$8+SQRT(R412*($G$8-$E$8)*($F$8-$E$8)),$G$8-SQRT((1-R412)*($G$8-$E$8)*($G$8-$F$8))))</f>
        <v>1.03044758996544</v>
      </c>
      <c r="E412" s="37" t="n">
        <f aca="false">1+IF($G$9=$E$9,$F$9,IF(S412&lt;($F$9-$E$9)/($G$9-$E$9),$E$9+SQRT(S412*($G$9-$E$9)*($F$9-$E$9)),$G$9-SQRT((1-S412)*($G$9-$E$9)*($G$9-$F$9))))</f>
        <v>0.989832567306209</v>
      </c>
      <c r="F412" s="37" t="n">
        <f aca="false">1+IF($G$10=$E$10,$F$10,IF(T412&lt;($F$10-$E$10)/($G$10-$E$10),$E$10+SQRT(T412*($G$10-$E$10)*($F$10-$E$10)),$G$10-SQRT((1-T412)*($G$10-$E$10)*($G$10-$F$10))))</f>
        <v>1.07954345079823</v>
      </c>
      <c r="G412" s="38" t="n">
        <f aca="false">IF($G$11=$E$11,$F$11,IF(U412&lt;($F$11-$E$11)/($G$11-$E$11),$E$11+SQRT(U412*($G$11-$E$11)*($F$11-$E$11)),$G$11-SQRT((1-U412)*($G$11-$E$11)*($G$11-$F$11))))</f>
        <v>0.101096090724258</v>
      </c>
      <c r="H412" s="39" t="n">
        <f aca="false">(('Business Case'!B11*$C412*'Business Case'!B12*$B412)-'Business Case'!B11*$C412*'Business Case'!B13*$D412-'Business Case'!B14*$E412)-MAX(0,(('Business Case'!B11*$C412*'Business Case'!B12*$B412)-'Business Case'!B11*$C412*'Business Case'!B13*$D412-'Business Case'!B14*$E412))*'Business Case'!$B$7-'Business Case'!$B$8*('Business Case'!B11*$C412*'Business Case'!B12*$B412)-'Business Case'!B15*$F412</f>
        <v>-2159086901.59646</v>
      </c>
      <c r="I412" s="39" t="n">
        <f aca="false">(('Business Case'!C11*$C412*'Business Case'!C12*$B412)-'Business Case'!C11*$C412*'Business Case'!C13*$D412-'Business Case'!C14*$E412)-MAX(0,(('Business Case'!C11*$C412*'Business Case'!C12*$B412)-'Business Case'!C11*$C412*'Business Case'!C13*$D412-'Business Case'!C14*$E412))*'Business Case'!$B$7-'Business Case'!$B$8*(('Business Case'!C11*$C412*'Business Case'!C12*$B412)-('Business Case'!B11*$C412*'Business Case'!B12*$B412))-'Business Case'!C15*$F412</f>
        <v>-21596065.6373899</v>
      </c>
      <c r="J412" s="39" t="n">
        <f aca="false">(('Business Case'!D11*$C412*'Business Case'!D12*$B412)-'Business Case'!D11*$C412*'Business Case'!D13*$D412-'Business Case'!D14*$E412)-MAX(0,(('Business Case'!D11*$C412*'Business Case'!D12*$B412)-'Business Case'!D11*$C412*'Business Case'!D13*$D412-'Business Case'!D14*$E412))*'Business Case'!$B$7-'Business Case'!$B$8*(('Business Case'!D11*$C412*'Business Case'!D12*$B412)-('Business Case'!C11*$C412*'Business Case'!C12*$B412))-'Business Case'!D15*$F412</f>
        <v>252676625.313321</v>
      </c>
      <c r="K412" s="39" t="n">
        <f aca="false">(('Business Case'!E11*$C412*'Business Case'!E12*$B412)-'Business Case'!E11*$C412*'Business Case'!E13*$D412-'Business Case'!E14*$E412)-MAX(0,(('Business Case'!E11*$C412*'Business Case'!E12*$B412)-'Business Case'!E11*$C412*'Business Case'!E13*$D412-'Business Case'!E14*$E412))*'Business Case'!$B$7-'Business Case'!$B$8*(('Business Case'!E11*$C412*'Business Case'!E12*$B412)-('Business Case'!D11*$C412*'Business Case'!D12*$B412))-'Business Case'!E15*$F412</f>
        <v>580926488.803943</v>
      </c>
      <c r="L412" s="39" t="n">
        <f aca="false">(('Business Case'!F11*$C412*'Business Case'!F12*$B412)-'Business Case'!F11*$C412*'Business Case'!F13*$D412-'Business Case'!F14*$E412)-MAX(0,(('Business Case'!F11*$C412*'Business Case'!F12*$B412)-'Business Case'!F11*$C412*'Business Case'!F13*$D412-'Business Case'!F14*$E412))*'Business Case'!$B$7-'Business Case'!$B$8*(('Business Case'!F11*$C412*'Business Case'!F12*$B412)-('Business Case'!E11*$C412*'Business Case'!E12*$B412))-'Business Case'!F15*$F412</f>
        <v>703790866.07907</v>
      </c>
      <c r="M412" s="39" t="n">
        <f aca="false">(('Business Case'!G11*$C412*'Business Case'!G12*$B412)-'Business Case'!G11*$C412*'Business Case'!G13*$D412-'Business Case'!G14*$E412)-MAX(0,(('Business Case'!G11*$C412*'Business Case'!G12*$B412)-'Business Case'!G11*$C412*'Business Case'!G13*$D412-'Business Case'!G14*$E412))*'Business Case'!$B$7-'Business Case'!$B$8*(('Business Case'!G11*$C412*'Business Case'!G12*$B412)-('Business Case'!F11*$C412*'Business Case'!F12*$B412))-'Business Case'!G15*$F412+'Business Case'!$B$8*('Business Case'!G11*$C412*'Business Case'!G12*$B412)</f>
        <v>876711674.349299</v>
      </c>
      <c r="N412" s="39" t="n">
        <f aca="false">IF(COUNT('Business Case'!B11:G11)=0,"",H412+NPV(G412,I412:M412))</f>
        <v>-514683163.678769</v>
      </c>
      <c r="P412" s="40" t="n">
        <f aca="true">RAND()</f>
        <v>0.873297530314428</v>
      </c>
      <c r="Q412" s="40" t="n">
        <f aca="true">RAND()</f>
        <v>0.274809994681796</v>
      </c>
      <c r="R412" s="40" t="n">
        <f aca="true">RAND()</f>
        <v>0.67749748389233</v>
      </c>
      <c r="S412" s="40" t="n">
        <f aca="true">RAND()</f>
        <v>0.32279560595298</v>
      </c>
      <c r="T412" s="40" t="n">
        <f aca="true">RAND()</f>
        <v>0.61259419778966</v>
      </c>
      <c r="U412" s="40" t="n">
        <f aca="true">RAND()</f>
        <v>0.443042685719801</v>
      </c>
    </row>
    <row r="413" customFormat="false" ht="15" hidden="false" customHeight="false" outlineLevel="0" collapsed="false">
      <c r="A413" s="36" t="n">
        <v>333</v>
      </c>
      <c r="B413" s="37" t="n">
        <f aca="false">1+IF($G$6=$E$6,$F$6,IF(P413&lt;($F$6-$E$6)/($G$6-$E$6),$E$6+SQRT(P413*($G$6-$E$6)*($F$6-$E$6)),$G$6-SQRT((1-P413)*($G$6-$E$6)*($G$6-$F$6))))</f>
        <v>0.994458930203913</v>
      </c>
      <c r="C413" s="37" t="n">
        <f aca="false">1+IF($G$7=$E$7,$F$7,IF(Q413&lt;($F$7-$E$7)/($G$7-$E$7),$E$7+SQRT(Q413*($G$7-$E$7)*($F$7-$E$7)),$G$7-SQRT((1-Q413)*($G$7-$E$7)*($G$7-$F$7))))</f>
        <v>0.990463301616931</v>
      </c>
      <c r="D413" s="37" t="n">
        <f aca="false">1+IF($G$8=$E$8,$F$8,IF(R413&lt;($F$8-$E$8)/($G$8-$E$8),$E$8+SQRT(R413*($G$8-$E$8)*($F$8-$E$8)),$G$8-SQRT((1-R413)*($G$8-$E$8)*($G$8-$F$8))))</f>
        <v>1.00169801730233</v>
      </c>
      <c r="E413" s="37" t="n">
        <f aca="false">1+IF($G$9=$E$9,$F$9,IF(S413&lt;($F$9-$E$9)/($G$9-$E$9),$E$9+SQRT(S413*($G$9-$E$9)*($F$9-$E$9)),$G$9-SQRT((1-S413)*($G$9-$E$9)*($G$9-$F$9))))</f>
        <v>1.03624446527642</v>
      </c>
      <c r="F413" s="37" t="n">
        <f aca="false">1+IF($G$10=$E$10,$F$10,IF(T413&lt;($F$10-$E$10)/($G$10-$E$10),$E$10+SQRT(T413*($G$10-$E$10)*($F$10-$E$10)),$G$10-SQRT((1-T413)*($G$10-$E$10)*($G$10-$F$10))))</f>
        <v>1.00487441487932</v>
      </c>
      <c r="G413" s="38" t="n">
        <f aca="false">IF($G$11=$E$11,$F$11,IF(U413&lt;($F$11-$E$11)/($G$11-$E$11),$E$11+SQRT(U413*($G$11-$E$11)*($F$11-$E$11)),$G$11-SQRT((1-U413)*($G$11-$E$11)*($G$11-$F$11))))</f>
        <v>0.104974138173035</v>
      </c>
      <c r="H413" s="39" t="n">
        <f aca="false">(('Business Case'!B11*$C413*'Business Case'!B12*$B413)-'Business Case'!B11*$C413*'Business Case'!B13*$D413-'Business Case'!B14*$E413)-MAX(0,(('Business Case'!B11*$C413*'Business Case'!B12*$B413)-'Business Case'!B11*$C413*'Business Case'!B13*$D413-'Business Case'!B14*$E413))*'Business Case'!$B$7-'Business Case'!$B$8*('Business Case'!B11*$C413*'Business Case'!B12*$B413)-'Business Case'!B15*$F413</f>
        <v>-2009748829.75863</v>
      </c>
      <c r="I413" s="39" t="n">
        <f aca="false">(('Business Case'!C11*$C413*'Business Case'!C12*$B413)-'Business Case'!C11*$C413*'Business Case'!C13*$D413-'Business Case'!C14*$E413)-MAX(0,(('Business Case'!C11*$C413*'Business Case'!C12*$B413)-'Business Case'!C11*$C413*'Business Case'!C13*$D413-'Business Case'!C14*$E413))*'Business Case'!$B$7-'Business Case'!$B$8*(('Business Case'!C11*$C413*'Business Case'!C12*$B413)-('Business Case'!B11*$C413*'Business Case'!B12*$B413))-'Business Case'!C15*$F413</f>
        <v>-35940.0684061646</v>
      </c>
      <c r="J413" s="39" t="n">
        <f aca="false">(('Business Case'!D11*$C413*'Business Case'!D12*$B413)-'Business Case'!D11*$C413*'Business Case'!D13*$D413-'Business Case'!D14*$E413)-MAX(0,(('Business Case'!D11*$C413*'Business Case'!D12*$B413)-'Business Case'!D11*$C413*'Business Case'!D13*$D413-'Business Case'!D14*$E413))*'Business Case'!$B$7-'Business Case'!$B$8*(('Business Case'!D11*$C413*'Business Case'!D12*$B413)-('Business Case'!C11*$C413*'Business Case'!C12*$B413))-'Business Case'!D15*$F413</f>
        <v>298830632.218648</v>
      </c>
      <c r="K413" s="39" t="n">
        <f aca="false">(('Business Case'!E11*$C413*'Business Case'!E12*$B413)-'Business Case'!E11*$C413*'Business Case'!E13*$D413-'Business Case'!E14*$E413)-MAX(0,(('Business Case'!E11*$C413*'Business Case'!E12*$B413)-'Business Case'!E11*$C413*'Business Case'!E13*$D413-'Business Case'!E14*$E413))*'Business Case'!$B$7-'Business Case'!$B$8*(('Business Case'!E11*$C413*'Business Case'!E12*$B413)-('Business Case'!D11*$C413*'Business Case'!D12*$B413))-'Business Case'!E15*$F413</f>
        <v>647940925.249669</v>
      </c>
      <c r="L413" s="39" t="n">
        <f aca="false">(('Business Case'!F11*$C413*'Business Case'!F12*$B413)-'Business Case'!F11*$C413*'Business Case'!F13*$D413-'Business Case'!F14*$E413)-MAX(0,(('Business Case'!F11*$C413*'Business Case'!F12*$B413)-'Business Case'!F11*$C413*'Business Case'!F13*$D413-'Business Case'!F14*$E413))*'Business Case'!$B$7-'Business Case'!$B$8*(('Business Case'!F11*$C413*'Business Case'!F12*$B413)-('Business Case'!E11*$C413*'Business Case'!E12*$B413))-'Business Case'!F15*$F413</f>
        <v>781603854.615501</v>
      </c>
      <c r="M413" s="39" t="n">
        <f aca="false">(('Business Case'!G11*$C413*'Business Case'!G12*$B413)-'Business Case'!G11*$C413*'Business Case'!G13*$D413-'Business Case'!G14*$E413)-MAX(0,(('Business Case'!G11*$C413*'Business Case'!G12*$B413)-'Business Case'!G11*$C413*'Business Case'!G13*$D413-'Business Case'!G14*$E413))*'Business Case'!$B$7-'Business Case'!$B$8*(('Business Case'!G11*$C413*'Business Case'!G12*$B413)-('Business Case'!F11*$C413*'Business Case'!F12*$B413))-'Business Case'!G15*$F413+'Business Case'!$B$8*('Business Case'!G11*$C413*'Business Case'!G12*$B413)</f>
        <v>968827916.934648</v>
      </c>
      <c r="N413" s="39" t="n">
        <f aca="false">IF(COUNT('Business Case'!B11:G11)=0,"",H413+NPV(G413,I413:M413))</f>
        <v>-172324138.392826</v>
      </c>
      <c r="P413" s="40" t="n">
        <f aca="true">RAND()</f>
        <v>0.594832633017849</v>
      </c>
      <c r="Q413" s="40" t="n">
        <f aca="true">RAND()</f>
        <v>0.624955033971914</v>
      </c>
      <c r="R413" s="40" t="n">
        <f aca="true">RAND()</f>
        <v>0.355781346513779</v>
      </c>
      <c r="S413" s="40" t="n">
        <f aca="true">RAND()</f>
        <v>0.654924755193421</v>
      </c>
      <c r="T413" s="40" t="n">
        <f aca="true">RAND()</f>
        <v>0.19884596692323</v>
      </c>
      <c r="U413" s="40" t="n">
        <f aca="true">RAND()</f>
        <v>0.582470826545088</v>
      </c>
    </row>
    <row r="414" customFormat="false" ht="15" hidden="false" customHeight="false" outlineLevel="0" collapsed="false">
      <c r="A414" s="36" t="n">
        <v>334</v>
      </c>
      <c r="B414" s="37" t="n">
        <f aca="false">1+IF($G$6=$E$6,$F$6,IF(P414&lt;($F$6-$E$6)/($G$6-$E$6),$E$6+SQRT(P414*($G$6-$E$6)*($F$6-$E$6)),$G$6-SQRT((1-P414)*($G$6-$E$6)*($G$6-$F$6))))</f>
        <v>0.997054216766997</v>
      </c>
      <c r="C414" s="37" t="n">
        <f aca="false">1+IF($G$7=$E$7,$F$7,IF(Q414&lt;($F$7-$E$7)/($G$7-$E$7),$E$7+SQRT(Q414*($G$7-$E$7)*($F$7-$E$7)),$G$7-SQRT((1-Q414)*($G$7-$E$7)*($G$7-$F$7))))</f>
        <v>0.867104732866342</v>
      </c>
      <c r="D414" s="37" t="n">
        <f aca="false">1+IF($G$8=$E$8,$F$8,IF(R414&lt;($F$8-$E$8)/($G$8-$E$8),$E$8+SQRT(R414*($G$8-$E$8)*($F$8-$E$8)),$G$8-SQRT((1-R414)*($G$8-$E$8)*($G$8-$F$8))))</f>
        <v>0.974225486063705</v>
      </c>
      <c r="E414" s="37" t="n">
        <f aca="false">1+IF($G$9=$E$9,$F$9,IF(S414&lt;($F$9-$E$9)/($G$9-$E$9),$E$9+SQRT(S414*($G$9-$E$9)*($F$9-$E$9)),$G$9-SQRT((1-S414)*($G$9-$E$9)*($G$9-$F$9))))</f>
        <v>0.99507654871756</v>
      </c>
      <c r="F414" s="37" t="n">
        <f aca="false">1+IF($G$10=$E$10,$F$10,IF(T414&lt;($F$10-$E$10)/($G$10-$E$10),$E$10+SQRT(T414*($G$10-$E$10)*($F$10-$E$10)),$G$10-SQRT((1-T414)*($G$10-$E$10)*($G$10-$F$10))))</f>
        <v>1.05772384069517</v>
      </c>
      <c r="G414" s="38" t="n">
        <f aca="false">IF($G$11=$E$11,$F$11,IF(U414&lt;($F$11-$E$11)/($G$11-$E$11),$E$11+SQRT(U414*($G$11-$E$11)*($F$11-$E$11)),$G$11-SQRT((1-U414)*($G$11-$E$11)*($G$11-$F$11))))</f>
        <v>0.100912376060433</v>
      </c>
      <c r="H414" s="39" t="n">
        <f aca="false">(('Business Case'!B11*$C414*'Business Case'!B12*$B414)-'Business Case'!B11*$C414*'Business Case'!B13*$D414-'Business Case'!B14*$E414)-MAX(0,(('Business Case'!B11*$C414*'Business Case'!B12*$B414)-'Business Case'!B11*$C414*'Business Case'!B13*$D414-'Business Case'!B14*$E414))*'Business Case'!$B$7-'Business Case'!$B$8*('Business Case'!B11*$C414*'Business Case'!B12*$B414)-'Business Case'!B15*$F414</f>
        <v>-2115447681.39035</v>
      </c>
      <c r="I414" s="39" t="n">
        <f aca="false">(('Business Case'!C11*$C414*'Business Case'!C12*$B414)-'Business Case'!C11*$C414*'Business Case'!C13*$D414-'Business Case'!C14*$E414)-MAX(0,(('Business Case'!C11*$C414*'Business Case'!C12*$B414)-'Business Case'!C11*$C414*'Business Case'!C13*$D414-'Business Case'!C14*$E414))*'Business Case'!$B$7-'Business Case'!$B$8*(('Business Case'!C11*$C414*'Business Case'!C12*$B414)-('Business Case'!B11*$C414*'Business Case'!B12*$B414))-'Business Case'!C15*$F414</f>
        <v>-16408764.4084388</v>
      </c>
      <c r="J414" s="39" t="n">
        <f aca="false">(('Business Case'!D11*$C414*'Business Case'!D12*$B414)-'Business Case'!D11*$C414*'Business Case'!D13*$D414-'Business Case'!D14*$E414)-MAX(0,(('Business Case'!D11*$C414*'Business Case'!D12*$B414)-'Business Case'!D11*$C414*'Business Case'!D13*$D414-'Business Case'!D14*$E414))*'Business Case'!$B$7-'Business Case'!$B$8*(('Business Case'!D11*$C414*'Business Case'!D12*$B414)-('Business Case'!C11*$C414*'Business Case'!C12*$B414))-'Business Case'!D15*$F414</f>
        <v>259273034.786148</v>
      </c>
      <c r="K414" s="39" t="n">
        <f aca="false">(('Business Case'!E11*$C414*'Business Case'!E12*$B414)-'Business Case'!E11*$C414*'Business Case'!E13*$D414-'Business Case'!E14*$E414)-MAX(0,(('Business Case'!E11*$C414*'Business Case'!E12*$B414)-'Business Case'!E11*$C414*'Business Case'!E13*$D414-'Business Case'!E14*$E414))*'Business Case'!$B$7-'Business Case'!$B$8*(('Business Case'!E11*$C414*'Business Case'!E12*$B414)-('Business Case'!D11*$C414*'Business Case'!D12*$B414))-'Business Case'!E15*$F414</f>
        <v>587841026.015493</v>
      </c>
      <c r="L414" s="39" t="n">
        <f aca="false">(('Business Case'!F11*$C414*'Business Case'!F12*$B414)-'Business Case'!F11*$C414*'Business Case'!F13*$D414-'Business Case'!F14*$E414)-MAX(0,(('Business Case'!F11*$C414*'Business Case'!F12*$B414)-'Business Case'!F11*$C414*'Business Case'!F13*$D414-'Business Case'!F14*$E414))*'Business Case'!$B$7-'Business Case'!$B$8*(('Business Case'!F11*$C414*'Business Case'!F12*$B414)-('Business Case'!E11*$C414*'Business Case'!E12*$B414))-'Business Case'!F15*$F414</f>
        <v>709613821.950936</v>
      </c>
      <c r="M414" s="39" t="n">
        <f aca="false">(('Business Case'!G11*$C414*'Business Case'!G12*$B414)-'Business Case'!G11*$C414*'Business Case'!G13*$D414-'Business Case'!G14*$E414)-MAX(0,(('Business Case'!G11*$C414*'Business Case'!G12*$B414)-'Business Case'!G11*$C414*'Business Case'!G13*$D414-'Business Case'!G14*$E414))*'Business Case'!$B$7-'Business Case'!$B$8*(('Business Case'!G11*$C414*'Business Case'!G12*$B414)-('Business Case'!F11*$C414*'Business Case'!F12*$B414))-'Business Case'!G15*$F414+'Business Case'!$B$8*('Business Case'!G11*$C414*'Business Case'!G12*$B414)</f>
        <v>873947567.73913</v>
      </c>
      <c r="N414" s="39" t="n">
        <f aca="false">IF(COUNT('Business Case'!B11:G11)=0,"",H414+NPV(G414,I414:M414))</f>
        <v>-452396743.482675</v>
      </c>
      <c r="P414" s="40" t="n">
        <f aca="true">RAND()</f>
        <v>0.627968066150346</v>
      </c>
      <c r="Q414" s="40" t="n">
        <f aca="true">RAND()</f>
        <v>0.206844383306159</v>
      </c>
      <c r="R414" s="40" t="n">
        <f aca="true">RAND()</f>
        <v>0.0782498900030339</v>
      </c>
      <c r="S414" s="40" t="n">
        <f aca="true">RAND()</f>
        <v>0.361582004641698</v>
      </c>
      <c r="T414" s="40" t="n">
        <f aca="true">RAND()</f>
        <v>0.507065047506472</v>
      </c>
      <c r="U414" s="40" t="n">
        <f aca="true">RAND()</f>
        <v>0.435940089033563</v>
      </c>
    </row>
    <row r="415" customFormat="false" ht="15" hidden="false" customHeight="false" outlineLevel="0" collapsed="false">
      <c r="A415" s="36" t="n">
        <v>335</v>
      </c>
      <c r="B415" s="37" t="n">
        <f aca="false">1+IF($G$6=$E$6,$F$6,IF(P415&lt;($F$6-$E$6)/($G$6-$E$6),$E$6+SQRT(P415*($G$6-$E$6)*($F$6-$E$6)),$G$6-SQRT((1-P415)*($G$6-$E$6)*($G$6-$F$6))))</f>
        <v>0.943490532295904</v>
      </c>
      <c r="C415" s="37" t="n">
        <f aca="false">1+IF($G$7=$E$7,$F$7,IF(Q415&lt;($F$7-$E$7)/($G$7-$E$7),$E$7+SQRT(Q415*($G$7-$E$7)*($F$7-$E$7)),$G$7-SQRT((1-Q415)*($G$7-$E$7)*($G$7-$F$7))))</f>
        <v>0.950649643716884</v>
      </c>
      <c r="D415" s="37" t="n">
        <f aca="false">1+IF($G$8=$E$8,$F$8,IF(R415&lt;($F$8-$E$8)/($G$8-$E$8),$E$8+SQRT(R415*($G$8-$E$8)*($F$8-$E$8)),$G$8-SQRT((1-R415)*($G$8-$E$8)*($G$8-$F$8))))</f>
        <v>1.00465804744375</v>
      </c>
      <c r="E415" s="37" t="n">
        <f aca="false">1+IF($G$9=$E$9,$F$9,IF(S415&lt;($F$9-$E$9)/($G$9-$E$9),$E$9+SQRT(S415*($G$9-$E$9)*($F$9-$E$9)),$G$9-SQRT((1-S415)*($G$9-$E$9)*($G$9-$F$9))))</f>
        <v>0.978980225637992</v>
      </c>
      <c r="F415" s="37" t="n">
        <f aca="false">1+IF($G$10=$E$10,$F$10,IF(T415&lt;($F$10-$E$10)/($G$10-$E$10),$E$10+SQRT(T415*($G$10-$E$10)*($F$10-$E$10)),$G$10-SQRT((1-T415)*($G$10-$E$10)*($G$10-$F$10))))</f>
        <v>1.1349863726469</v>
      </c>
      <c r="G415" s="38" t="n">
        <f aca="false">IF($G$11=$E$11,$F$11,IF(U415&lt;($F$11-$E$11)/($G$11-$E$11),$E$11+SQRT(U415*($G$11-$E$11)*($F$11-$E$11)),$G$11-SQRT((1-U415)*($G$11-$E$11)*($G$11-$F$11))))</f>
        <v>0.100591314971826</v>
      </c>
      <c r="H415" s="39" t="n">
        <f aca="false">(('Business Case'!B11*$C415*'Business Case'!B12*$B415)-'Business Case'!B11*$C415*'Business Case'!B13*$D415-'Business Case'!B14*$E415)-MAX(0,(('Business Case'!B11*$C415*'Business Case'!B12*$B415)-'Business Case'!B11*$C415*'Business Case'!B13*$D415-'Business Case'!B14*$E415))*'Business Case'!$B$7-'Business Case'!$B$8*('Business Case'!B11*$C415*'Business Case'!B12*$B415)-'Business Case'!B15*$F415</f>
        <v>-2269972745.29381</v>
      </c>
      <c r="I415" s="39" t="n">
        <f aca="false">(('Business Case'!C11*$C415*'Business Case'!C12*$B415)-'Business Case'!C11*$C415*'Business Case'!C13*$D415-'Business Case'!C14*$E415)-MAX(0,(('Business Case'!C11*$C415*'Business Case'!C12*$B415)-'Business Case'!C11*$C415*'Business Case'!C13*$D415-'Business Case'!C14*$E415))*'Business Case'!$B$7-'Business Case'!$B$8*(('Business Case'!C11*$C415*'Business Case'!C12*$B415)-('Business Case'!B11*$C415*'Business Case'!B12*$B415))-'Business Case'!C15*$F415</f>
        <v>-53480477.0842541</v>
      </c>
      <c r="J415" s="39" t="n">
        <f aca="false">(('Business Case'!D11*$C415*'Business Case'!D12*$B415)-'Business Case'!D11*$C415*'Business Case'!D13*$D415-'Business Case'!D14*$E415)-MAX(0,(('Business Case'!D11*$C415*'Business Case'!D12*$B415)-'Business Case'!D11*$C415*'Business Case'!D13*$D415-'Business Case'!D14*$E415))*'Business Case'!$B$7-'Business Case'!$B$8*(('Business Case'!D11*$C415*'Business Case'!D12*$B415)-('Business Case'!C11*$C415*'Business Case'!C12*$B415))-'Business Case'!D15*$F415</f>
        <v>192245467.347387</v>
      </c>
      <c r="K415" s="39" t="n">
        <f aca="false">(('Business Case'!E11*$C415*'Business Case'!E12*$B415)-'Business Case'!E11*$C415*'Business Case'!E13*$D415-'Business Case'!E14*$E415)-MAX(0,(('Business Case'!E11*$C415*'Business Case'!E12*$B415)-'Business Case'!E11*$C415*'Business Case'!E13*$D415-'Business Case'!E14*$E415))*'Business Case'!$B$7-'Business Case'!$B$8*(('Business Case'!E11*$C415*'Business Case'!E12*$B415)-('Business Case'!D11*$C415*'Business Case'!D12*$B415))-'Business Case'!E15*$F415</f>
        <v>494720730.411372</v>
      </c>
      <c r="L415" s="39" t="n">
        <f aca="false">(('Business Case'!F11*$C415*'Business Case'!F12*$B415)-'Business Case'!F11*$C415*'Business Case'!F13*$D415-'Business Case'!F14*$E415)-MAX(0,(('Business Case'!F11*$C415*'Business Case'!F12*$B415)-'Business Case'!F11*$C415*'Business Case'!F13*$D415-'Business Case'!F14*$E415))*'Business Case'!$B$7-'Business Case'!$B$8*(('Business Case'!F11*$C415*'Business Case'!F12*$B415)-('Business Case'!E11*$C415*'Business Case'!E12*$B415))-'Business Case'!F15*$F415</f>
        <v>607627242.665574</v>
      </c>
      <c r="M415" s="39" t="n">
        <f aca="false">(('Business Case'!G11*$C415*'Business Case'!G12*$B415)-'Business Case'!G11*$C415*'Business Case'!G13*$D415-'Business Case'!G14*$E415)-MAX(0,(('Business Case'!G11*$C415*'Business Case'!G12*$B415)-'Business Case'!G11*$C415*'Business Case'!G13*$D415-'Business Case'!G14*$E415))*'Business Case'!$B$7-'Business Case'!$B$8*(('Business Case'!G11*$C415*'Business Case'!G12*$B415)-('Business Case'!F11*$C415*'Business Case'!F12*$B415))-'Business Case'!G15*$F415+'Business Case'!$B$8*('Business Case'!G11*$C415*'Business Case'!G12*$B415)</f>
        <v>778115495.272342</v>
      </c>
      <c r="N415" s="39" t="n">
        <f aca="false">IF(COUNT('Business Case'!B11:G11)=0,"",H415+NPV(G415,I415:M415))</f>
        <v>-892784747.505915</v>
      </c>
      <c r="P415" s="40" t="n">
        <f aca="true">RAND()</f>
        <v>0.126095093292073</v>
      </c>
      <c r="Q415" s="40" t="n">
        <f aca="true">RAND()</f>
        <v>0.465372177002969</v>
      </c>
      <c r="R415" s="40" t="n">
        <f aca="true">RAND()</f>
        <v>0.393994138850721</v>
      </c>
      <c r="S415" s="40" t="n">
        <f aca="true">RAND()</f>
        <v>0.249515041673123</v>
      </c>
      <c r="T415" s="40" t="n">
        <f aca="true">RAND()</f>
        <v>0.823624873641108</v>
      </c>
      <c r="U415" s="40" t="n">
        <f aca="true">RAND()</f>
        <v>0.423419496609094</v>
      </c>
    </row>
    <row r="416" customFormat="false" ht="15" hidden="false" customHeight="false" outlineLevel="0" collapsed="false">
      <c r="A416" s="36" t="n">
        <v>336</v>
      </c>
      <c r="B416" s="37" t="n">
        <f aca="false">1+IF($G$6=$E$6,$F$6,IF(P416&lt;($F$6-$E$6)/($G$6-$E$6),$E$6+SQRT(P416*($G$6-$E$6)*($F$6-$E$6)),$G$6-SQRT((1-P416)*($G$6-$E$6)*($G$6-$F$6))))</f>
        <v>0.977863494531032</v>
      </c>
      <c r="C416" s="37" t="n">
        <f aca="false">1+IF($G$7=$E$7,$F$7,IF(Q416&lt;($F$7-$E$7)/($G$7-$E$7),$E$7+SQRT(Q416*($G$7-$E$7)*($F$7-$E$7)),$G$7-SQRT((1-Q416)*($G$7-$E$7)*($G$7-$F$7))))</f>
        <v>0.969907339469804</v>
      </c>
      <c r="D416" s="37" t="n">
        <f aca="false">1+IF($G$8=$E$8,$F$8,IF(R416&lt;($F$8-$E$8)/($G$8-$E$8),$E$8+SQRT(R416*($G$8-$E$8)*($F$8-$E$8)),$G$8-SQRT((1-R416)*($G$8-$E$8)*($G$8-$F$8))))</f>
        <v>1.02218898678662</v>
      </c>
      <c r="E416" s="37" t="n">
        <f aca="false">1+IF($G$9=$E$9,$F$9,IF(S416&lt;($F$9-$E$9)/($G$9-$E$9),$E$9+SQRT(S416*($G$9-$E$9)*($F$9-$E$9)),$G$9-SQRT((1-S416)*($G$9-$E$9)*($G$9-$F$9))))</f>
        <v>1.03028538338557</v>
      </c>
      <c r="F416" s="37" t="n">
        <f aca="false">1+IF($G$10=$E$10,$F$10,IF(T416&lt;($F$10-$E$10)/($G$10-$E$10),$E$10+SQRT(T416*($G$10-$E$10)*($F$10-$E$10)),$G$10-SQRT((1-T416)*($G$10-$E$10)*($G$10-$F$10))))</f>
        <v>1.22780084589961</v>
      </c>
      <c r="G416" s="38" t="n">
        <f aca="false">IF($G$11=$E$11,$F$11,IF(U416&lt;($F$11-$E$11)/($G$11-$E$11),$E$11+SQRT(U416*($G$11-$E$11)*($F$11-$E$11)),$G$11-SQRT((1-U416)*($G$11-$E$11)*($G$11-$F$11))))</f>
        <v>0.105358747258638</v>
      </c>
      <c r="H416" s="39" t="n">
        <f aca="false">(('Business Case'!B11*$C416*'Business Case'!B12*$B416)-'Business Case'!B11*$C416*'Business Case'!B13*$D416-'Business Case'!B14*$E416)-MAX(0,(('Business Case'!B11*$C416*'Business Case'!B12*$B416)-'Business Case'!B11*$C416*'Business Case'!B13*$D416-'Business Case'!B14*$E416))*'Business Case'!$B$7-'Business Case'!$B$8*('Business Case'!B11*$C416*'Business Case'!B12*$B416)-'Business Case'!B15*$F416</f>
        <v>-2455601691.79921</v>
      </c>
      <c r="I416" s="39" t="n">
        <f aca="false">(('Business Case'!C11*$C416*'Business Case'!C12*$B416)-'Business Case'!C11*$C416*'Business Case'!C13*$D416-'Business Case'!C14*$E416)-MAX(0,(('Business Case'!C11*$C416*'Business Case'!C12*$B416)-'Business Case'!C11*$C416*'Business Case'!C13*$D416-'Business Case'!C14*$E416))*'Business Case'!$B$7-'Business Case'!$B$8*(('Business Case'!C11*$C416*'Business Case'!C12*$B416)-('Business Case'!B11*$C416*'Business Case'!B12*$B416))-'Business Case'!C15*$F416</f>
        <v>-49147594.027189</v>
      </c>
      <c r="J416" s="39" t="n">
        <f aca="false">(('Business Case'!D11*$C416*'Business Case'!D12*$B416)-'Business Case'!D11*$C416*'Business Case'!D13*$D416-'Business Case'!D14*$E416)-MAX(0,(('Business Case'!D11*$C416*'Business Case'!D12*$B416)-'Business Case'!D11*$C416*'Business Case'!D13*$D416-'Business Case'!D14*$E416))*'Business Case'!$B$7-'Business Case'!$B$8*(('Business Case'!D11*$C416*'Business Case'!D12*$B416)-('Business Case'!C11*$C416*'Business Case'!C12*$B416))-'Business Case'!D15*$F416</f>
        <v>220158451.114107</v>
      </c>
      <c r="K416" s="39" t="n">
        <f aca="false">(('Business Case'!E11*$C416*'Business Case'!E12*$B416)-'Business Case'!E11*$C416*'Business Case'!E13*$D416-'Business Case'!E14*$E416)-MAX(0,(('Business Case'!E11*$C416*'Business Case'!E12*$B416)-'Business Case'!E11*$C416*'Business Case'!E13*$D416-'Business Case'!E14*$E416))*'Business Case'!$B$7-'Business Case'!$B$8*(('Business Case'!E11*$C416*'Business Case'!E12*$B416)-('Business Case'!D11*$C416*'Business Case'!D12*$B416))-'Business Case'!E15*$F416</f>
        <v>550854538.550383</v>
      </c>
      <c r="L416" s="39" t="n">
        <f aca="false">(('Business Case'!F11*$C416*'Business Case'!F12*$B416)-'Business Case'!F11*$C416*'Business Case'!F13*$D416-'Business Case'!F14*$E416)-MAX(0,(('Business Case'!F11*$C416*'Business Case'!F12*$B416)-'Business Case'!F11*$C416*'Business Case'!F13*$D416-'Business Case'!F14*$E416))*'Business Case'!$B$7-'Business Case'!$B$8*(('Business Case'!F11*$C416*'Business Case'!F12*$B416)-('Business Case'!E11*$C416*'Business Case'!E12*$B416))-'Business Case'!F15*$F416</f>
        <v>673401202.30488</v>
      </c>
      <c r="M416" s="39" t="n">
        <f aca="false">(('Business Case'!G11*$C416*'Business Case'!G12*$B416)-'Business Case'!G11*$C416*'Business Case'!G13*$D416-'Business Case'!G14*$E416)-MAX(0,(('Business Case'!G11*$C416*'Business Case'!G12*$B416)-'Business Case'!G11*$C416*'Business Case'!G13*$D416-'Business Case'!G14*$E416))*'Business Case'!$B$7-'Business Case'!$B$8*(('Business Case'!G11*$C416*'Business Case'!G12*$B416)-('Business Case'!F11*$C416*'Business Case'!F12*$B416))-'Business Case'!G15*$F416+'Business Case'!$B$8*('Business Case'!G11*$C416*'Business Case'!G12*$B416)</f>
        <v>853680103.528903</v>
      </c>
      <c r="N416" s="39" t="n">
        <f aca="false">IF(COUNT('Business Case'!B11:G11)=0,"",H416+NPV(G416,I416:M416))</f>
        <v>-943569422.91337</v>
      </c>
      <c r="P416" s="40" t="n">
        <f aca="true">RAND()</f>
        <v>0.404181585372271</v>
      </c>
      <c r="Q416" s="40" t="n">
        <f aca="true">RAND()</f>
        <v>0.539629421479021</v>
      </c>
      <c r="R416" s="40" t="n">
        <f aca="true">RAND()</f>
        <v>0.596363081513825</v>
      </c>
      <c r="S416" s="40" t="n">
        <f aca="true">RAND()</f>
        <v>0.617824281836242</v>
      </c>
      <c r="T416" s="40" t="n">
        <f aca="true">RAND()</f>
        <v>0.993429300763026</v>
      </c>
      <c r="U416" s="40" t="n">
        <f aca="true">RAND()</f>
        <v>0.595205775557552</v>
      </c>
    </row>
    <row r="417" customFormat="false" ht="15" hidden="false" customHeight="false" outlineLevel="0" collapsed="false">
      <c r="A417" s="36" t="n">
        <v>337</v>
      </c>
      <c r="B417" s="37" t="n">
        <f aca="false">1+IF($G$6=$E$6,$F$6,IF(P417&lt;($F$6-$E$6)/($G$6-$E$6),$E$6+SQRT(P417*($G$6-$E$6)*($F$6-$E$6)),$G$6-SQRT((1-P417)*($G$6-$E$6)*($G$6-$F$6))))</f>
        <v>0.992398138338013</v>
      </c>
      <c r="C417" s="37" t="n">
        <f aca="false">1+IF($G$7=$E$7,$F$7,IF(Q417&lt;($F$7-$E$7)/($G$7-$E$7),$E$7+SQRT(Q417*($G$7-$E$7)*($F$7-$E$7)),$G$7-SQRT((1-Q417)*($G$7-$E$7)*($G$7-$F$7))))</f>
        <v>0.972977886434871</v>
      </c>
      <c r="D417" s="37" t="n">
        <f aca="false">1+IF($G$8=$E$8,$F$8,IF(R417&lt;($F$8-$E$8)/($G$8-$E$8),$E$8+SQRT(R417*($G$8-$E$8)*($F$8-$E$8)),$G$8-SQRT((1-R417)*($G$8-$E$8)*($G$8-$F$8))))</f>
        <v>0.997301878557075</v>
      </c>
      <c r="E417" s="37" t="n">
        <f aca="false">1+IF($G$9=$E$9,$F$9,IF(S417&lt;($F$9-$E$9)/($G$9-$E$9),$E$9+SQRT(S417*($G$9-$E$9)*($F$9-$E$9)),$G$9-SQRT((1-S417)*($G$9-$E$9)*($G$9-$F$9))))</f>
        <v>0.958399332902008</v>
      </c>
      <c r="F417" s="37" t="n">
        <f aca="false">1+IF($G$10=$E$10,$F$10,IF(T417&lt;($F$10-$E$10)/($G$10-$E$10),$E$10+SQRT(T417*($G$10-$E$10)*($F$10-$E$10)),$G$10-SQRT((1-T417)*($G$10-$E$10)*($G$10-$F$10))))</f>
        <v>1.00194800332167</v>
      </c>
      <c r="G417" s="38" t="n">
        <f aca="false">IF($G$11=$E$11,$F$11,IF(U417&lt;($F$11-$E$11)/($G$11-$E$11),$E$11+SQRT(U417*($G$11-$E$11)*($F$11-$E$11)),$G$11-SQRT((1-U417)*($G$11-$E$11)*($G$11-$F$11))))</f>
        <v>0.114958823122473</v>
      </c>
      <c r="H417" s="39" t="n">
        <f aca="false">(('Business Case'!B11*$C417*'Business Case'!B12*$B417)-'Business Case'!B11*$C417*'Business Case'!B13*$D417-'Business Case'!B14*$E417)-MAX(0,(('Business Case'!B11*$C417*'Business Case'!B12*$B417)-'Business Case'!B11*$C417*'Business Case'!B13*$D417-'Business Case'!B14*$E417))*'Business Case'!$B$7-'Business Case'!$B$8*('Business Case'!B11*$C417*'Business Case'!B12*$B417)-'Business Case'!B15*$F417</f>
        <v>-2003896006.64334</v>
      </c>
      <c r="I417" s="39" t="n">
        <f aca="false">(('Business Case'!C11*$C417*'Business Case'!C12*$B417)-'Business Case'!C11*$C417*'Business Case'!C13*$D417-'Business Case'!C14*$E417)-MAX(0,(('Business Case'!C11*$C417*'Business Case'!C12*$B417)-'Business Case'!C11*$C417*'Business Case'!C13*$D417-'Business Case'!C14*$E417))*'Business Case'!$B$7-'Business Case'!$B$8*(('Business Case'!C11*$C417*'Business Case'!C12*$B417)-('Business Case'!B11*$C417*'Business Case'!B12*$B417))-'Business Case'!C15*$F417</f>
        <v>7602855.47259419</v>
      </c>
      <c r="J417" s="39" t="n">
        <f aca="false">(('Business Case'!D11*$C417*'Business Case'!D12*$B417)-'Business Case'!D11*$C417*'Business Case'!D13*$D417-'Business Case'!D14*$E417)-MAX(0,(('Business Case'!D11*$C417*'Business Case'!D12*$B417)-'Business Case'!D11*$C417*'Business Case'!D13*$D417-'Business Case'!D14*$E417))*'Business Case'!$B$7-'Business Case'!$B$8*(('Business Case'!D11*$C417*'Business Case'!D12*$B417)-('Business Case'!C11*$C417*'Business Case'!C12*$B417))-'Business Case'!D15*$F417</f>
        <v>301740638.428503</v>
      </c>
      <c r="K417" s="39" t="n">
        <f aca="false">(('Business Case'!E11*$C417*'Business Case'!E12*$B417)-'Business Case'!E11*$C417*'Business Case'!E13*$D417-'Business Case'!E14*$E417)-MAX(0,(('Business Case'!E11*$C417*'Business Case'!E12*$B417)-'Business Case'!E11*$C417*'Business Case'!E13*$D417-'Business Case'!E14*$E417))*'Business Case'!$B$7-'Business Case'!$B$8*(('Business Case'!E11*$C417*'Business Case'!E12*$B417)-('Business Case'!D11*$C417*'Business Case'!D12*$B417))-'Business Case'!E15*$F417</f>
        <v>645975821.550496</v>
      </c>
      <c r="L417" s="39" t="n">
        <f aca="false">(('Business Case'!F11*$C417*'Business Case'!F12*$B417)-'Business Case'!F11*$C417*'Business Case'!F13*$D417-'Business Case'!F14*$E417)-MAX(0,(('Business Case'!F11*$C417*'Business Case'!F12*$B417)-'Business Case'!F11*$C417*'Business Case'!F13*$D417-'Business Case'!F14*$E417))*'Business Case'!$B$7-'Business Case'!$B$8*(('Business Case'!F11*$C417*'Business Case'!F12*$B417)-('Business Case'!E11*$C417*'Business Case'!E12*$B417))-'Business Case'!F15*$F417</f>
        <v>777392243.877454</v>
      </c>
      <c r="M417" s="39" t="n">
        <f aca="false">(('Business Case'!G11*$C417*'Business Case'!G12*$B417)-'Business Case'!G11*$C417*'Business Case'!G13*$D417-'Business Case'!G14*$E417)-MAX(0,(('Business Case'!G11*$C417*'Business Case'!G12*$B417)-'Business Case'!G11*$C417*'Business Case'!G13*$D417-'Business Case'!G14*$E417))*'Business Case'!$B$7-'Business Case'!$B$8*(('Business Case'!G11*$C417*'Business Case'!G12*$B417)-('Business Case'!F11*$C417*'Business Case'!F12*$B417))-'Business Case'!G15*$F417+'Business Case'!$B$8*('Business Case'!G11*$C417*'Business Case'!G12*$B417)</f>
        <v>960929964.589889</v>
      </c>
      <c r="N417" s="39" t="n">
        <f aca="false">IF(COUNT('Business Case'!B11:G11)=0,"",H417+NPV(G417,I417:M417))</f>
        <v>-227554513.630315</v>
      </c>
      <c r="P417" s="40" t="n">
        <f aca="true">RAND()</f>
        <v>0.569161064555368</v>
      </c>
      <c r="Q417" s="40" t="n">
        <f aca="true">RAND()</f>
        <v>0.551977233203327</v>
      </c>
      <c r="R417" s="40" t="n">
        <f aca="true">RAND()</f>
        <v>0.298329028670441</v>
      </c>
      <c r="S417" s="40" t="n">
        <f aca="true">RAND()</f>
        <v>0.136419283335981</v>
      </c>
      <c r="T417" s="40" t="n">
        <f aca="true">RAND()</f>
        <v>0.179602759251917</v>
      </c>
      <c r="U417" s="40" t="n">
        <f aca="true">RAND()</f>
        <v>0.849175332092631</v>
      </c>
    </row>
    <row r="418" customFormat="false" ht="15" hidden="false" customHeight="false" outlineLevel="0" collapsed="false">
      <c r="A418" s="36" t="n">
        <v>338</v>
      </c>
      <c r="B418" s="37" t="n">
        <f aca="false">1+IF($G$6=$E$6,$F$6,IF(P418&lt;($F$6-$E$6)/($G$6-$E$6),$E$6+SQRT(P418*($G$6-$E$6)*($F$6-$E$6)),$G$6-SQRT((1-P418)*($G$6-$E$6)*($G$6-$F$6))))</f>
        <v>1.01236039577502</v>
      </c>
      <c r="C418" s="37" t="n">
        <f aca="false">1+IF($G$7=$E$7,$F$7,IF(Q418&lt;($F$7-$E$7)/($G$7-$E$7),$E$7+SQRT(Q418*($G$7-$E$7)*($F$7-$E$7)),$G$7-SQRT((1-Q418)*($G$7-$E$7)*($G$7-$F$7))))</f>
        <v>0.960660781220208</v>
      </c>
      <c r="D418" s="37" t="n">
        <f aca="false">1+IF($G$8=$E$8,$F$8,IF(R418&lt;($F$8-$E$8)/($G$8-$E$8),$E$8+SQRT(R418*($G$8-$E$8)*($F$8-$E$8)),$G$8-SQRT((1-R418)*($G$8-$E$8)*($G$8-$F$8))))</f>
        <v>0.994735703934806</v>
      </c>
      <c r="E418" s="37" t="n">
        <f aca="false">1+IF($G$9=$E$9,$F$9,IF(S418&lt;($F$9-$E$9)/($G$9-$E$9),$E$9+SQRT(S418*($G$9-$E$9)*($F$9-$E$9)),$G$9-SQRT((1-S418)*($G$9-$E$9)*($G$9-$F$9))))</f>
        <v>0.968140695120219</v>
      </c>
      <c r="F418" s="37" t="n">
        <f aca="false">1+IF($G$10=$E$10,$F$10,IF(T418&lt;($F$10-$E$10)/($G$10-$E$10),$E$10+SQRT(T418*($G$10-$E$10)*($F$10-$E$10)),$G$10-SQRT((1-T418)*($G$10-$E$10)*($G$10-$F$10))))</f>
        <v>0.997090761917436</v>
      </c>
      <c r="G418" s="38" t="n">
        <f aca="false">IF($G$11=$E$11,$F$11,IF(U418&lt;($F$11-$E$11)/($G$11-$E$11),$E$11+SQRT(U418*($G$11-$E$11)*($F$11-$E$11)),$G$11-SQRT((1-U418)*($G$11-$E$11)*($G$11-$F$11))))</f>
        <v>0.0951588254381927</v>
      </c>
      <c r="H418" s="39" t="n">
        <f aca="false">(('Business Case'!B11*$C418*'Business Case'!B12*$B418)-'Business Case'!B11*$C418*'Business Case'!B13*$D418-'Business Case'!B14*$E418)-MAX(0,(('Business Case'!B11*$C418*'Business Case'!B12*$B418)-'Business Case'!B11*$C418*'Business Case'!B13*$D418-'Business Case'!B14*$E418))*'Business Case'!$B$7-'Business Case'!$B$8*('Business Case'!B11*$C418*'Business Case'!B12*$B418)-'Business Case'!B15*$F418</f>
        <v>-1994181523.83487</v>
      </c>
      <c r="I418" s="39" t="n">
        <f aca="false">(('Business Case'!C11*$C418*'Business Case'!C12*$B418)-'Business Case'!C11*$C418*'Business Case'!C13*$D418-'Business Case'!C14*$E418)-MAX(0,(('Business Case'!C11*$C418*'Business Case'!C12*$B418)-'Business Case'!C11*$C418*'Business Case'!C13*$D418-'Business Case'!C14*$E418))*'Business Case'!$B$7-'Business Case'!$B$8*(('Business Case'!C11*$C418*'Business Case'!C12*$B418)-('Business Case'!B11*$C418*'Business Case'!B12*$B418))-'Business Case'!C15*$F418</f>
        <v>19588651.4844835</v>
      </c>
      <c r="J418" s="39" t="n">
        <f aca="false">(('Business Case'!D11*$C418*'Business Case'!D12*$B418)-'Business Case'!D11*$C418*'Business Case'!D13*$D418-'Business Case'!D14*$E418)-MAX(0,(('Business Case'!D11*$C418*'Business Case'!D12*$B418)-'Business Case'!D11*$C418*'Business Case'!D13*$D418-'Business Case'!D14*$E418))*'Business Case'!$B$7-'Business Case'!$B$8*(('Business Case'!D11*$C418*'Business Case'!D12*$B418)-('Business Case'!C11*$C418*'Business Case'!C12*$B418))-'Business Case'!D15*$F418</f>
        <v>326972196.709661</v>
      </c>
      <c r="K418" s="39" t="n">
        <f aca="false">(('Business Case'!E11*$C418*'Business Case'!E12*$B418)-'Business Case'!E11*$C418*'Business Case'!E13*$D418-'Business Case'!E14*$E418)-MAX(0,(('Business Case'!E11*$C418*'Business Case'!E12*$B418)-'Business Case'!E11*$C418*'Business Case'!E13*$D418-'Business Case'!E14*$E418))*'Business Case'!$B$7-'Business Case'!$B$8*(('Business Case'!E11*$C418*'Business Case'!E12*$B418)-('Business Case'!D11*$C418*'Business Case'!D12*$B418))-'Business Case'!E15*$F418</f>
        <v>684210280.030711</v>
      </c>
      <c r="L418" s="39" t="n">
        <f aca="false">(('Business Case'!F11*$C418*'Business Case'!F12*$B418)-'Business Case'!F11*$C418*'Business Case'!F13*$D418-'Business Case'!F14*$E418)-MAX(0,(('Business Case'!F11*$C418*'Business Case'!F12*$B418)-'Business Case'!F11*$C418*'Business Case'!F13*$D418-'Business Case'!F14*$E418))*'Business Case'!$B$7-'Business Case'!$B$8*(('Business Case'!F11*$C418*'Business Case'!F12*$B418)-('Business Case'!E11*$C418*'Business Case'!E12*$B418))-'Business Case'!F15*$F418</f>
        <v>820282268.907674</v>
      </c>
      <c r="M418" s="39" t="n">
        <f aca="false">(('Business Case'!G11*$C418*'Business Case'!G12*$B418)-'Business Case'!G11*$C418*'Business Case'!G13*$D418-'Business Case'!G14*$E418)-MAX(0,(('Business Case'!G11*$C418*'Business Case'!G12*$B418)-'Business Case'!G11*$C418*'Business Case'!G13*$D418-'Business Case'!G14*$E418))*'Business Case'!$B$7-'Business Case'!$B$8*(('Business Case'!G11*$C418*'Business Case'!G12*$B418)-('Business Case'!F11*$C418*'Business Case'!F12*$B418))-'Business Case'!G15*$F418+'Business Case'!$B$8*('Business Case'!G11*$C418*'Business Case'!G12*$B418)</f>
        <v>1005141708.15148</v>
      </c>
      <c r="N418" s="39" t="n">
        <f aca="false">IF(COUNT('Business Case'!B11:G11)=0,"",H418+NPV(G418,I418:M418))</f>
        <v>25496377.7570722</v>
      </c>
      <c r="P418" s="40" t="n">
        <f aca="true">RAND()</f>
        <v>0.811101359171579</v>
      </c>
      <c r="Q418" s="40" t="n">
        <f aca="true">RAND()</f>
        <v>0.503289206417254</v>
      </c>
      <c r="R418" s="40" t="n">
        <f aca="true">RAND()</f>
        <v>0.266837760872346</v>
      </c>
      <c r="S418" s="40" t="n">
        <f aca="true">RAND()</f>
        <v>0.185726173258665</v>
      </c>
      <c r="T418" s="40" t="n">
        <f aca="true">RAND()</f>
        <v>0.147835990530977</v>
      </c>
      <c r="U418" s="40" t="n">
        <f aca="true">RAND()</f>
        <v>0.229789988665598</v>
      </c>
    </row>
    <row r="419" customFormat="false" ht="15" hidden="false" customHeight="false" outlineLevel="0" collapsed="false">
      <c r="A419" s="36" t="n">
        <v>339</v>
      </c>
      <c r="B419" s="37" t="n">
        <f aca="false">1+IF($G$6=$E$6,$F$6,IF(P419&lt;($F$6-$E$6)/($G$6-$E$6),$E$6+SQRT(P419*($G$6-$E$6)*($F$6-$E$6)),$G$6-SQRT((1-P419)*($G$6-$E$6)*($G$6-$F$6))))</f>
        <v>0.907389567573876</v>
      </c>
      <c r="C419" s="37" t="n">
        <f aca="false">1+IF($G$7=$E$7,$F$7,IF(Q419&lt;($F$7-$E$7)/($G$7-$E$7),$E$7+SQRT(Q419*($G$7-$E$7)*($F$7-$E$7)),$G$7-SQRT((1-Q419)*($G$7-$E$7)*($G$7-$F$7))))</f>
        <v>0.916669794589612</v>
      </c>
      <c r="D419" s="37" t="n">
        <f aca="false">1+IF($G$8=$E$8,$F$8,IF(R419&lt;($F$8-$E$8)/($G$8-$E$8),$E$8+SQRT(R419*($G$8-$E$8)*($F$8-$E$8)),$G$8-SQRT((1-R419)*($G$8-$E$8)*($G$8-$F$8))))</f>
        <v>1.02462859619106</v>
      </c>
      <c r="E419" s="37" t="n">
        <f aca="false">1+IF($G$9=$E$9,$F$9,IF(S419&lt;($F$9-$E$9)/($G$9-$E$9),$E$9+SQRT(S419*($G$9-$E$9)*($F$9-$E$9)),$G$9-SQRT((1-S419)*($G$9-$E$9)*($G$9-$F$9))))</f>
        <v>1.07493309276689</v>
      </c>
      <c r="F419" s="37" t="n">
        <f aca="false">1+IF($G$10=$E$10,$F$10,IF(T419&lt;($F$10-$E$10)/($G$10-$E$10),$E$10+SQRT(T419*($G$10-$E$10)*($F$10-$E$10)),$G$10-SQRT((1-T419)*($G$10-$E$10)*($G$10-$F$10))))</f>
        <v>1.08393401394401</v>
      </c>
      <c r="G419" s="38" t="n">
        <f aca="false">IF($G$11=$E$11,$F$11,IF(U419&lt;($F$11-$E$11)/($G$11-$E$11),$E$11+SQRT(U419*($G$11-$E$11)*($F$11-$E$11)),$G$11-SQRT((1-U419)*($G$11-$E$11)*($G$11-$F$11))))</f>
        <v>0.0922345124452471</v>
      </c>
      <c r="H419" s="39" t="n">
        <f aca="false">(('Business Case'!B11*$C419*'Business Case'!B12*$B419)-'Business Case'!B11*$C419*'Business Case'!B13*$D419-'Business Case'!B14*$E419)-MAX(0,(('Business Case'!B11*$C419*'Business Case'!B12*$B419)-'Business Case'!B11*$C419*'Business Case'!B13*$D419-'Business Case'!B14*$E419))*'Business Case'!$B$7-'Business Case'!$B$8*('Business Case'!B11*$C419*'Business Case'!B12*$B419)-'Business Case'!B15*$F419</f>
        <v>-2167868027.88801</v>
      </c>
      <c r="I419" s="39" t="n">
        <f aca="false">(('Business Case'!C11*$C419*'Business Case'!C12*$B419)-'Business Case'!C11*$C419*'Business Case'!C13*$D419-'Business Case'!C14*$E419)-MAX(0,(('Business Case'!C11*$C419*'Business Case'!C12*$B419)-'Business Case'!C11*$C419*'Business Case'!C13*$D419-'Business Case'!C14*$E419))*'Business Case'!$B$7-'Business Case'!$B$8*(('Business Case'!C11*$C419*'Business Case'!C12*$B419)-('Business Case'!B11*$C419*'Business Case'!B12*$B419))-'Business Case'!C15*$F419</f>
        <v>-103902112.008679</v>
      </c>
      <c r="J419" s="39" t="n">
        <f aca="false">(('Business Case'!D11*$C419*'Business Case'!D12*$B419)-'Business Case'!D11*$C419*'Business Case'!D13*$D419-'Business Case'!D14*$E419)-MAX(0,(('Business Case'!D11*$C419*'Business Case'!D12*$B419)-'Business Case'!D11*$C419*'Business Case'!D13*$D419-'Business Case'!D14*$E419))*'Business Case'!$B$7-'Business Case'!$B$8*(('Business Case'!D11*$C419*'Business Case'!D12*$B419)-('Business Case'!C11*$C419*'Business Case'!C12*$B419))-'Business Case'!D15*$F419</f>
        <v>96563962.5542069</v>
      </c>
      <c r="K419" s="39" t="n">
        <f aca="false">(('Business Case'!E11*$C419*'Business Case'!E12*$B419)-'Business Case'!E11*$C419*'Business Case'!E13*$D419-'Business Case'!E14*$E419)-MAX(0,(('Business Case'!E11*$C419*'Business Case'!E12*$B419)-'Business Case'!E11*$C419*'Business Case'!E13*$D419-'Business Case'!E14*$E419))*'Business Case'!$B$7-'Business Case'!$B$8*(('Business Case'!E11*$C419*'Business Case'!E12*$B419)-('Business Case'!D11*$C419*'Business Case'!D12*$B419))-'Business Case'!E15*$F419</f>
        <v>351226737.814294</v>
      </c>
      <c r="L419" s="39" t="n">
        <f aca="false">(('Business Case'!F11*$C419*'Business Case'!F12*$B419)-'Business Case'!F11*$C419*'Business Case'!F13*$D419-'Business Case'!F14*$E419)-MAX(0,(('Business Case'!F11*$C419*'Business Case'!F12*$B419)-'Business Case'!F11*$C419*'Business Case'!F13*$D419-'Business Case'!F14*$E419))*'Business Case'!$B$7-'Business Case'!$B$8*(('Business Case'!F11*$C419*'Business Case'!F12*$B419)-('Business Case'!E11*$C419*'Business Case'!E12*$B419))-'Business Case'!F15*$F419</f>
        <v>446794962.259064</v>
      </c>
      <c r="M419" s="39" t="n">
        <f aca="false">(('Business Case'!G11*$C419*'Business Case'!G12*$B419)-'Business Case'!G11*$C419*'Business Case'!G13*$D419-'Business Case'!G14*$E419)-MAX(0,(('Business Case'!G11*$C419*'Business Case'!G12*$B419)-'Business Case'!G11*$C419*'Business Case'!G13*$D419-'Business Case'!G14*$E419))*'Business Case'!$B$7-'Business Case'!$B$8*(('Business Case'!G11*$C419*'Business Case'!G12*$B419)-('Business Case'!F11*$C419*'Business Case'!F12*$B419))-'Business Case'!G15*$F419+'Business Case'!$B$8*('Business Case'!G11*$C419*'Business Case'!G12*$B419)</f>
        <v>604899060.006679</v>
      </c>
      <c r="N419" s="39" t="n">
        <f aca="false">IF(COUNT('Business Case'!B11:G11)=0,"",H419+NPV(G419,I419:M419))</f>
        <v>-1209425578.27257</v>
      </c>
      <c r="P419" s="40" t="n">
        <f aca="true">RAND()</f>
        <v>0.0036403805952586</v>
      </c>
      <c r="Q419" s="40" t="n">
        <f aca="true">RAND()</f>
        <v>0.347746665833369</v>
      </c>
      <c r="R419" s="40" t="n">
        <f aca="true">RAND()</f>
        <v>0.621276765858025</v>
      </c>
      <c r="S419" s="40" t="n">
        <f aca="true">RAND()</f>
        <v>0.849732251692158</v>
      </c>
      <c r="T419" s="40" t="n">
        <f aca="true">RAND()</f>
        <v>0.632294510336668</v>
      </c>
      <c r="U419" s="40" t="n">
        <f aca="true">RAND()</f>
        <v>0.149683294772906</v>
      </c>
    </row>
    <row r="420" customFormat="false" ht="15" hidden="false" customHeight="false" outlineLevel="0" collapsed="false">
      <c r="A420" s="36" t="n">
        <v>340</v>
      </c>
      <c r="B420" s="37" t="n">
        <f aca="false">1+IF($G$6=$E$6,$F$6,IF(P420&lt;($F$6-$E$6)/($G$6-$E$6),$E$6+SQRT(P420*($G$6-$E$6)*($F$6-$E$6)),$G$6-SQRT((1-P420)*($G$6-$E$6)*($G$6-$F$6))))</f>
        <v>0.938366592533613</v>
      </c>
      <c r="C420" s="37" t="n">
        <f aca="false">1+IF($G$7=$E$7,$F$7,IF(Q420&lt;($F$7-$E$7)/($G$7-$E$7),$E$7+SQRT(Q420*($G$7-$E$7)*($F$7-$E$7)),$G$7-SQRT((1-Q420)*($G$7-$E$7)*($G$7-$F$7))))</f>
        <v>1.05781821232031</v>
      </c>
      <c r="D420" s="37" t="n">
        <f aca="false">1+IF($G$8=$E$8,$F$8,IF(R420&lt;($F$8-$E$8)/($G$8-$E$8),$E$8+SQRT(R420*($G$8-$E$8)*($F$8-$E$8)),$G$8-SQRT((1-R420)*($G$8-$E$8)*($G$8-$F$8))))</f>
        <v>0.977749764750649</v>
      </c>
      <c r="E420" s="37" t="n">
        <f aca="false">1+IF($G$9=$E$9,$F$9,IF(S420&lt;($F$9-$E$9)/($G$9-$E$9),$E$9+SQRT(S420*($G$9-$E$9)*($F$9-$E$9)),$G$9-SQRT((1-S420)*($G$9-$E$9)*($G$9-$F$9))))</f>
        <v>1.03061160309622</v>
      </c>
      <c r="F420" s="37" t="n">
        <f aca="false">1+IF($G$10=$E$10,$F$10,IF(T420&lt;($F$10-$E$10)/($G$10-$E$10),$E$10+SQRT(T420*($G$10-$E$10)*($F$10-$E$10)),$G$10-SQRT((1-T420)*($G$10-$E$10)*($G$10-$F$10))))</f>
        <v>1.18211881481157</v>
      </c>
      <c r="G420" s="38" t="n">
        <f aca="false">IF($G$11=$E$11,$F$11,IF(U420&lt;($F$11-$E$11)/($G$11-$E$11),$E$11+SQRT(U420*($G$11-$E$11)*($F$11-$E$11)),$G$11-SQRT((1-U420)*($G$11-$E$11)*($G$11-$F$11))))</f>
        <v>0.104500521212327</v>
      </c>
      <c r="H420" s="39" t="n">
        <f aca="false">(('Business Case'!B11*$C420*'Business Case'!B12*$B420)-'Business Case'!B11*$C420*'Business Case'!B13*$D420-'Business Case'!B14*$E420)-MAX(0,(('Business Case'!B11*$C420*'Business Case'!B12*$B420)-'Business Case'!B11*$C420*'Business Case'!B13*$D420-'Business Case'!B14*$E420))*'Business Case'!$B$7-'Business Case'!$B$8*('Business Case'!B11*$C420*'Business Case'!B12*$B420)-'Business Case'!B15*$F420</f>
        <v>-2364237629.62314</v>
      </c>
      <c r="I420" s="39" t="n">
        <f aca="false">(('Business Case'!C11*$C420*'Business Case'!C12*$B420)-'Business Case'!C11*$C420*'Business Case'!C13*$D420-'Business Case'!C14*$E420)-MAX(0,(('Business Case'!C11*$C420*'Business Case'!C12*$B420)-'Business Case'!C11*$C420*'Business Case'!C13*$D420-'Business Case'!C14*$E420))*'Business Case'!$B$7-'Business Case'!$B$8*(('Business Case'!C11*$C420*'Business Case'!C12*$B420)-('Business Case'!B11*$C420*'Business Case'!B12*$B420))-'Business Case'!C15*$F420</f>
        <v>-32663437.8320115</v>
      </c>
      <c r="J420" s="39" t="n">
        <f aca="false">(('Business Case'!D11*$C420*'Business Case'!D12*$B420)-'Business Case'!D11*$C420*'Business Case'!D13*$D420-'Business Case'!D14*$E420)-MAX(0,(('Business Case'!D11*$C420*'Business Case'!D12*$B420)-'Business Case'!D11*$C420*'Business Case'!D13*$D420-'Business Case'!D14*$E420))*'Business Case'!$B$7-'Business Case'!$B$8*(('Business Case'!D11*$C420*'Business Case'!D12*$B420)-('Business Case'!C11*$C420*'Business Case'!C12*$B420))-'Business Case'!D15*$F420</f>
        <v>250895462.487571</v>
      </c>
      <c r="K420" s="39" t="n">
        <f aca="false">(('Business Case'!E11*$C420*'Business Case'!E12*$B420)-'Business Case'!E11*$C420*'Business Case'!E13*$D420-'Business Case'!E14*$E420)-MAX(0,(('Business Case'!E11*$C420*'Business Case'!E12*$B420)-'Business Case'!E11*$C420*'Business Case'!E13*$D420-'Business Case'!E14*$E420))*'Business Case'!$B$7-'Business Case'!$B$8*(('Business Case'!E11*$C420*'Business Case'!E12*$B420)-('Business Case'!D11*$C420*'Business Case'!D12*$B420))-'Business Case'!E15*$F420</f>
        <v>593560303.547731</v>
      </c>
      <c r="L420" s="39" t="n">
        <f aca="false">(('Business Case'!F11*$C420*'Business Case'!F12*$B420)-'Business Case'!F11*$C420*'Business Case'!F13*$D420-'Business Case'!F14*$E420)-MAX(0,(('Business Case'!F11*$C420*'Business Case'!F12*$B420)-'Business Case'!F11*$C420*'Business Case'!F13*$D420-'Business Case'!F14*$E420))*'Business Case'!$B$7-'Business Case'!$B$8*(('Business Case'!F11*$C420*'Business Case'!F12*$B420)-('Business Case'!E11*$C420*'Business Case'!E12*$B420))-'Business Case'!F15*$F420</f>
        <v>722384928.127694</v>
      </c>
      <c r="M420" s="39" t="n">
        <f aca="false">(('Business Case'!G11*$C420*'Business Case'!G12*$B420)-'Business Case'!G11*$C420*'Business Case'!G13*$D420-'Business Case'!G14*$E420)-MAX(0,(('Business Case'!G11*$C420*'Business Case'!G12*$B420)-'Business Case'!G11*$C420*'Business Case'!G13*$D420-'Business Case'!G14*$E420))*'Business Case'!$B$7-'Business Case'!$B$8*(('Business Case'!G11*$C420*'Business Case'!G12*$B420)-('Business Case'!F11*$C420*'Business Case'!F12*$B420))-'Business Case'!G15*$F420+'Business Case'!$B$8*('Business Case'!G11*$C420*'Business Case'!G12*$B420)</f>
        <v>911062379.398258</v>
      </c>
      <c r="N420" s="39" t="n">
        <f aca="false">IF(COUNT('Business Case'!B11:G11)=0,"",H420+NPV(G420,I420:M420))</f>
        <v>-707951804.018998</v>
      </c>
      <c r="P420" s="40" t="n">
        <f aca="true">RAND()</f>
        <v>0.0981330281760178</v>
      </c>
      <c r="Q420" s="40" t="n">
        <f aca="true">RAND()</f>
        <v>0.874111378076679</v>
      </c>
      <c r="R420" s="40" t="n">
        <f aca="true">RAND()</f>
        <v>0.10267325916218</v>
      </c>
      <c r="S420" s="40" t="n">
        <f aca="true">RAND()</f>
        <v>0.619904284926564</v>
      </c>
      <c r="T420" s="40" t="n">
        <f aca="true">RAND()</f>
        <v>0.938561929298854</v>
      </c>
      <c r="U420" s="40" t="n">
        <f aca="true">RAND()</f>
        <v>0.566517721038013</v>
      </c>
    </row>
    <row r="421" customFormat="false" ht="15" hidden="false" customHeight="false" outlineLevel="0" collapsed="false">
      <c r="A421" s="36" t="n">
        <v>341</v>
      </c>
      <c r="B421" s="37" t="n">
        <f aca="false">1+IF($G$6=$E$6,$F$6,IF(P421&lt;($F$6-$E$6)/($G$6-$E$6),$E$6+SQRT(P421*($G$6-$E$6)*($F$6-$E$6)),$G$6-SQRT((1-P421)*($G$6-$E$6)*($G$6-$F$6))))</f>
        <v>1.00956355202109</v>
      </c>
      <c r="C421" s="37" t="n">
        <f aca="false">1+IF($G$7=$E$7,$F$7,IF(Q421&lt;($F$7-$E$7)/($G$7-$E$7),$E$7+SQRT(Q421*($G$7-$E$7)*($F$7-$E$7)),$G$7-SQRT((1-Q421)*($G$7-$E$7)*($G$7-$F$7))))</f>
        <v>1.05249351725508</v>
      </c>
      <c r="D421" s="37" t="n">
        <f aca="false">1+IF($G$8=$E$8,$F$8,IF(R421&lt;($F$8-$E$8)/($G$8-$E$8),$E$8+SQRT(R421*($G$8-$E$8)*($F$8-$E$8)),$G$8-SQRT((1-R421)*($G$8-$E$8)*($G$8-$F$8))))</f>
        <v>1.04205749779986</v>
      </c>
      <c r="E421" s="37" t="n">
        <f aca="false">1+IF($G$9=$E$9,$F$9,IF(S421&lt;($F$9-$E$9)/($G$9-$E$9),$E$9+SQRT(S421*($G$9-$E$9)*($F$9-$E$9)),$G$9-SQRT((1-S421)*($G$9-$E$9)*($G$9-$F$9))))</f>
        <v>1.00959111902419</v>
      </c>
      <c r="F421" s="37" t="n">
        <f aca="false">1+IF($G$10=$E$10,$F$10,IF(T421&lt;($F$10-$E$10)/($G$10-$E$10),$E$10+SQRT(T421*($G$10-$E$10)*($F$10-$E$10)),$G$10-SQRT((1-T421)*($G$10-$E$10)*($G$10-$F$10))))</f>
        <v>1.06277317166835</v>
      </c>
      <c r="G421" s="38" t="n">
        <f aca="false">IF($G$11=$E$11,$F$11,IF(U421&lt;($F$11-$E$11)/($G$11-$E$11),$E$11+SQRT(U421*($G$11-$E$11)*($F$11-$E$11)),$G$11-SQRT((1-U421)*($G$11-$E$11)*($G$11-$F$11))))</f>
        <v>0.107623828633267</v>
      </c>
      <c r="H421" s="39" t="n">
        <f aca="false">(('Business Case'!B11*$C421*'Business Case'!B12*$B421)-'Business Case'!B11*$C421*'Business Case'!B13*$D421-'Business Case'!B14*$E421)-MAX(0,(('Business Case'!B11*$C421*'Business Case'!B12*$B421)-'Business Case'!B11*$C421*'Business Case'!B13*$D421-'Business Case'!B14*$E421))*'Business Case'!$B$7-'Business Case'!$B$8*('Business Case'!B11*$C421*'Business Case'!B12*$B421)-'Business Case'!B15*$F421</f>
        <v>-2125546343.33669</v>
      </c>
      <c r="I421" s="39" t="n">
        <f aca="false">(('Business Case'!C11*$C421*'Business Case'!C12*$B421)-'Business Case'!C11*$C421*'Business Case'!C13*$D421-'Business Case'!C14*$E421)-MAX(0,(('Business Case'!C11*$C421*'Business Case'!C12*$B421)-'Business Case'!C11*$C421*'Business Case'!C13*$D421-'Business Case'!C14*$E421))*'Business Case'!$B$7-'Business Case'!$B$8*(('Business Case'!C11*$C421*'Business Case'!C12*$B421)-('Business Case'!B11*$C421*'Business Case'!B12*$B421))-'Business Case'!C15*$F421</f>
        <v>3935419.3786781</v>
      </c>
      <c r="J421" s="39" t="n">
        <f aca="false">(('Business Case'!D11*$C421*'Business Case'!D12*$B421)-'Business Case'!D11*$C421*'Business Case'!D13*$D421-'Business Case'!D14*$E421)-MAX(0,(('Business Case'!D11*$C421*'Business Case'!D12*$B421)-'Business Case'!D11*$C421*'Business Case'!D13*$D421-'Business Case'!D14*$E421))*'Business Case'!$B$7-'Business Case'!$B$8*(('Business Case'!D11*$C421*'Business Case'!D12*$B421)-('Business Case'!C11*$C421*'Business Case'!C12*$B421))-'Business Case'!D15*$F421</f>
        <v>312795076.469908</v>
      </c>
      <c r="K421" s="39" t="n">
        <f aca="false">(('Business Case'!E11*$C421*'Business Case'!E12*$B421)-'Business Case'!E11*$C421*'Business Case'!E13*$D421-'Business Case'!E14*$E421)-MAX(0,(('Business Case'!E11*$C421*'Business Case'!E12*$B421)-'Business Case'!E11*$C421*'Business Case'!E13*$D421-'Business Case'!E14*$E421))*'Business Case'!$B$7-'Business Case'!$B$8*(('Business Case'!E11*$C421*'Business Case'!E12*$B421)-('Business Case'!D11*$C421*'Business Case'!D12*$B421))-'Business Case'!E15*$F421</f>
        <v>674793392.144555</v>
      </c>
      <c r="L421" s="39" t="n">
        <f aca="false">(('Business Case'!F11*$C421*'Business Case'!F12*$B421)-'Business Case'!F11*$C421*'Business Case'!F13*$D421-'Business Case'!F14*$E421)-MAX(0,(('Business Case'!F11*$C421*'Business Case'!F12*$B421)-'Business Case'!F11*$C421*'Business Case'!F13*$D421-'Business Case'!F14*$E421))*'Business Case'!$B$7-'Business Case'!$B$8*(('Business Case'!F11*$C421*'Business Case'!F12*$B421)-('Business Case'!E11*$C421*'Business Case'!E12*$B421))-'Business Case'!F15*$F421</f>
        <v>814468653.455284</v>
      </c>
      <c r="M421" s="39" t="n">
        <f aca="false">(('Business Case'!G11*$C421*'Business Case'!G12*$B421)-'Business Case'!G11*$C421*'Business Case'!G13*$D421-'Business Case'!G14*$E421)-MAX(0,(('Business Case'!G11*$C421*'Business Case'!G12*$B421)-'Business Case'!G11*$C421*'Business Case'!G13*$D421-'Business Case'!G14*$E421))*'Business Case'!$B$7-'Business Case'!$B$8*(('Business Case'!G11*$C421*'Business Case'!G12*$B421)-('Business Case'!F11*$C421*'Business Case'!F12*$B421))-'Business Case'!G15*$F421+'Business Case'!$B$8*('Business Case'!G11*$C421*'Business Case'!G12*$B421)</f>
        <v>1016439885.99703</v>
      </c>
      <c r="N421" s="39" t="n">
        <f aca="false">IF(COUNT('Business Case'!B11:G11)=0,"",H421+NPV(G421,I421:M421))</f>
        <v>-219605809.900218</v>
      </c>
      <c r="P421" s="40" t="n">
        <f aca="true">RAND()</f>
        <v>0.781985823313216</v>
      </c>
      <c r="Q421" s="40" t="n">
        <f aca="true">RAND()</f>
        <v>0.859147938114285</v>
      </c>
      <c r="R421" s="40" t="n">
        <f aca="true">RAND()</f>
        <v>0.776177762585782</v>
      </c>
      <c r="S421" s="40" t="n">
        <f aca="true">RAND()</f>
        <v>0.474275897149884</v>
      </c>
      <c r="T421" s="40" t="n">
        <f aca="true">RAND()</f>
        <v>0.532614863371594</v>
      </c>
      <c r="U421" s="40" t="n">
        <f aca="true">RAND()</f>
        <v>0.666204636644388</v>
      </c>
    </row>
    <row r="422" customFormat="false" ht="15" hidden="false" customHeight="false" outlineLevel="0" collapsed="false">
      <c r="A422" s="36" t="n">
        <v>342</v>
      </c>
      <c r="B422" s="37" t="n">
        <f aca="false">1+IF($G$6=$E$6,$F$6,IF(P422&lt;($F$6-$E$6)/($G$6-$E$6),$E$6+SQRT(P422*($G$6-$E$6)*($F$6-$E$6)),$G$6-SQRT((1-P422)*($G$6-$E$6)*($G$6-$F$6))))</f>
        <v>1.00811170266538</v>
      </c>
      <c r="C422" s="37" t="n">
        <f aca="false">1+IF($G$7=$E$7,$F$7,IF(Q422&lt;($F$7-$E$7)/($G$7-$E$7),$E$7+SQRT(Q422*($G$7-$E$7)*($F$7-$E$7)),$G$7-SQRT((1-Q422)*($G$7-$E$7)*($G$7-$F$7))))</f>
        <v>0.873518405912561</v>
      </c>
      <c r="D422" s="37" t="n">
        <f aca="false">1+IF($G$8=$E$8,$F$8,IF(R422&lt;($F$8-$E$8)/($G$8-$E$8),$E$8+SQRT(R422*($G$8-$E$8)*($F$8-$E$8)),$G$8-SQRT((1-R422)*($G$8-$E$8)*($G$8-$F$8))))</f>
        <v>1.05524550277909</v>
      </c>
      <c r="E422" s="37" t="n">
        <f aca="false">1+IF($G$9=$E$9,$F$9,IF(S422&lt;($F$9-$E$9)/($G$9-$E$9),$E$9+SQRT(S422*($G$9-$E$9)*($F$9-$E$9)),$G$9-SQRT((1-S422)*($G$9-$E$9)*($G$9-$F$9))))</f>
        <v>0.999938318489935</v>
      </c>
      <c r="F422" s="37" t="n">
        <f aca="false">1+IF($G$10=$E$10,$F$10,IF(T422&lt;($F$10-$E$10)/($G$10-$E$10),$E$10+SQRT(T422*($G$10-$E$10)*($F$10-$E$10)),$G$10-SQRT((1-T422)*($G$10-$E$10)*($G$10-$F$10))))</f>
        <v>1.134234498538</v>
      </c>
      <c r="G422" s="38" t="n">
        <f aca="false">IF($G$11=$E$11,$F$11,IF(U422&lt;($F$11-$E$11)/($G$11-$E$11),$E$11+SQRT(U422*($G$11-$E$11)*($F$11-$E$11)),$G$11-SQRT((1-U422)*($G$11-$E$11)*($G$11-$F$11))))</f>
        <v>0.097813318759963</v>
      </c>
      <c r="H422" s="39" t="n">
        <f aca="false">(('Business Case'!B11*$C422*'Business Case'!B12*$B422)-'Business Case'!B11*$C422*'Business Case'!B13*$D422-'Business Case'!B14*$E422)-MAX(0,(('Business Case'!B11*$C422*'Business Case'!B12*$B422)-'Business Case'!B11*$C422*'Business Case'!B13*$D422-'Business Case'!B14*$E422))*'Business Case'!$B$7-'Business Case'!$B$8*('Business Case'!B11*$C422*'Business Case'!B12*$B422)-'Business Case'!B15*$F422</f>
        <v>-2268468997.07601</v>
      </c>
      <c r="I422" s="39" t="n">
        <f aca="false">(('Business Case'!C11*$C422*'Business Case'!C12*$B422)-'Business Case'!C11*$C422*'Business Case'!C13*$D422-'Business Case'!C14*$E422)-MAX(0,(('Business Case'!C11*$C422*'Business Case'!C12*$B422)-'Business Case'!C11*$C422*'Business Case'!C13*$D422-'Business Case'!C14*$E422))*'Business Case'!$B$7-'Business Case'!$B$8*(('Business Case'!C11*$C422*'Business Case'!C12*$B422)-('Business Case'!B11*$C422*'Business Case'!B12*$B422))-'Business Case'!C15*$F422</f>
        <v>-51862771.8381967</v>
      </c>
      <c r="J422" s="39" t="n">
        <f aca="false">(('Business Case'!D11*$C422*'Business Case'!D12*$B422)-'Business Case'!D11*$C422*'Business Case'!D13*$D422-'Business Case'!D14*$E422)-MAX(0,(('Business Case'!D11*$C422*'Business Case'!D12*$B422)-'Business Case'!D11*$C422*'Business Case'!D13*$D422-'Business Case'!D14*$E422))*'Business Case'!$B$7-'Business Case'!$B$8*(('Business Case'!D11*$C422*'Business Case'!D12*$B422)-('Business Case'!C11*$C422*'Business Case'!C12*$B422))-'Business Case'!D15*$F422</f>
        <v>197539653.035968</v>
      </c>
      <c r="K422" s="39" t="n">
        <f aca="false">(('Business Case'!E11*$C422*'Business Case'!E12*$B422)-'Business Case'!E11*$C422*'Business Case'!E13*$D422-'Business Case'!E14*$E422)-MAX(0,(('Business Case'!E11*$C422*'Business Case'!E12*$B422)-'Business Case'!E11*$C422*'Business Case'!E13*$D422-'Business Case'!E14*$E422))*'Business Case'!$B$7-'Business Case'!$B$8*(('Business Case'!E11*$C422*'Business Case'!E12*$B422)-('Business Case'!D11*$C422*'Business Case'!D12*$B422))-'Business Case'!E15*$F422</f>
        <v>503653802.837032</v>
      </c>
      <c r="L422" s="39" t="n">
        <f aca="false">(('Business Case'!F11*$C422*'Business Case'!F12*$B422)-'Business Case'!F11*$C422*'Business Case'!F13*$D422-'Business Case'!F14*$E422)-MAX(0,(('Business Case'!F11*$C422*'Business Case'!F12*$B422)-'Business Case'!F11*$C422*'Business Case'!F13*$D422-'Business Case'!F14*$E422))*'Business Case'!$B$7-'Business Case'!$B$8*(('Business Case'!F11*$C422*'Business Case'!F12*$B422)-('Business Case'!E11*$C422*'Business Case'!E12*$B422))-'Business Case'!F15*$F422</f>
        <v>617221623.107948</v>
      </c>
      <c r="M422" s="39" t="n">
        <f aca="false">(('Business Case'!G11*$C422*'Business Case'!G12*$B422)-'Business Case'!G11*$C422*'Business Case'!G13*$D422-'Business Case'!G14*$E422)-MAX(0,(('Business Case'!G11*$C422*'Business Case'!G12*$B422)-'Business Case'!G11*$C422*'Business Case'!G13*$D422-'Business Case'!G14*$E422))*'Business Case'!$B$7-'Business Case'!$B$8*(('Business Case'!G11*$C422*'Business Case'!G12*$B422)-('Business Case'!F11*$C422*'Business Case'!F12*$B422))-'Business Case'!G15*$F422+'Business Case'!$B$8*('Business Case'!G11*$C422*'Business Case'!G12*$B422)</f>
        <v>784606855.662019</v>
      </c>
      <c r="N422" s="39" t="n">
        <f aca="false">IF(COUNT('Business Case'!B11:G11)=0,"",H422+NPV(G422,I422:M422))</f>
        <v>-854145748.081364</v>
      </c>
      <c r="P422" s="40" t="n">
        <f aca="true">RAND()</f>
        <v>0.766049406187501</v>
      </c>
      <c r="Q422" s="40" t="n">
        <f aca="true">RAND()</f>
        <v>0.223026942151379</v>
      </c>
      <c r="R422" s="40" t="n">
        <f aca="true">RAND()</f>
        <v>0.866468998566915</v>
      </c>
      <c r="S422" s="40" t="n">
        <f aca="true">RAND()</f>
        <v>0.399506700103823</v>
      </c>
      <c r="T422" s="40" t="n">
        <f aca="true">RAND()</f>
        <v>0.821311315616702</v>
      </c>
      <c r="U422" s="40" t="n">
        <f aca="true">RAND()</f>
        <v>0.317314325244048</v>
      </c>
    </row>
    <row r="423" customFormat="false" ht="15" hidden="false" customHeight="false" outlineLevel="0" collapsed="false">
      <c r="A423" s="36" t="n">
        <v>343</v>
      </c>
      <c r="B423" s="37" t="n">
        <f aca="false">1+IF($G$6=$E$6,$F$6,IF(P423&lt;($F$6-$E$6)/($G$6-$E$6),$E$6+SQRT(P423*($G$6-$E$6)*($F$6-$E$6)),$G$6-SQRT((1-P423)*($G$6-$E$6)*($G$6-$F$6))))</f>
        <v>1.00168830457523</v>
      </c>
      <c r="C423" s="37" t="n">
        <f aca="false">1+IF($G$7=$E$7,$F$7,IF(Q423&lt;($F$7-$E$7)/($G$7-$E$7),$E$7+SQRT(Q423*($G$7-$E$7)*($F$7-$E$7)),$G$7-SQRT((1-Q423)*($G$7-$E$7)*($G$7-$F$7))))</f>
        <v>1.08325131290577</v>
      </c>
      <c r="D423" s="37" t="n">
        <f aca="false">1+IF($G$8=$E$8,$F$8,IF(R423&lt;($F$8-$E$8)/($G$8-$E$8),$E$8+SQRT(R423*($G$8-$E$8)*($F$8-$E$8)),$G$8-SQRT((1-R423)*($G$8-$E$8)*($G$8-$F$8))))</f>
        <v>1.0400470908142</v>
      </c>
      <c r="E423" s="37" t="n">
        <f aca="false">1+IF($G$9=$E$9,$F$9,IF(S423&lt;($F$9-$E$9)/($G$9-$E$9),$E$9+SQRT(S423*($G$9-$E$9)*($F$9-$E$9)),$G$9-SQRT((1-S423)*($G$9-$E$9)*($G$9-$F$9))))</f>
        <v>1.07732098012017</v>
      </c>
      <c r="F423" s="37" t="n">
        <f aca="false">1+IF($G$10=$E$10,$F$10,IF(T423&lt;($F$10-$E$10)/($G$10-$E$10),$E$10+SQRT(T423*($G$10-$E$10)*($F$10-$E$10)),$G$10-SQRT((1-T423)*($G$10-$E$10)*($G$10-$F$10))))</f>
        <v>1.05068804193938</v>
      </c>
      <c r="G423" s="38" t="n">
        <f aca="false">IF($G$11=$E$11,$F$11,IF(U423&lt;($F$11-$E$11)/($G$11-$E$11),$E$11+SQRT(U423*($G$11-$E$11)*($F$11-$E$11)),$G$11-SQRT((1-U423)*($G$11-$E$11)*($G$11-$F$11))))</f>
        <v>0.109929242614597</v>
      </c>
      <c r="H423" s="39" t="n">
        <f aca="false">(('Business Case'!B11*$C423*'Business Case'!B12*$B423)-'Business Case'!B11*$C423*'Business Case'!B13*$D423-'Business Case'!B14*$E423)-MAX(0,(('Business Case'!B11*$C423*'Business Case'!B12*$B423)-'Business Case'!B11*$C423*'Business Case'!B13*$D423-'Business Case'!B14*$E423))*'Business Case'!$B$7-'Business Case'!$B$8*('Business Case'!B11*$C423*'Business Case'!B12*$B423)-'Business Case'!B15*$F423</f>
        <v>-2101376083.87877</v>
      </c>
      <c r="I423" s="39" t="n">
        <f aca="false">(('Business Case'!C11*$C423*'Business Case'!C12*$B423)-'Business Case'!C11*$C423*'Business Case'!C13*$D423-'Business Case'!C14*$E423)-MAX(0,(('Business Case'!C11*$C423*'Business Case'!C12*$B423)-'Business Case'!C11*$C423*'Business Case'!C13*$D423-'Business Case'!C14*$E423))*'Business Case'!$B$7-'Business Case'!$B$8*(('Business Case'!C11*$C423*'Business Case'!C12*$B423)-('Business Case'!B11*$C423*'Business Case'!B12*$B423))-'Business Case'!C15*$F423</f>
        <v>-2501264.0026484</v>
      </c>
      <c r="J423" s="39" t="n">
        <f aca="false">(('Business Case'!D11*$C423*'Business Case'!D12*$B423)-'Business Case'!D11*$C423*'Business Case'!D13*$D423-'Business Case'!D14*$E423)-MAX(0,(('Business Case'!D11*$C423*'Business Case'!D12*$B423)-'Business Case'!D11*$C423*'Business Case'!D13*$D423-'Business Case'!D14*$E423))*'Business Case'!$B$7-'Business Case'!$B$8*(('Business Case'!D11*$C423*'Business Case'!D12*$B423)-('Business Case'!C11*$C423*'Business Case'!C12*$B423))-'Business Case'!D15*$F423</f>
        <v>309511875.629142</v>
      </c>
      <c r="K423" s="39" t="n">
        <f aca="false">(('Business Case'!E11*$C423*'Business Case'!E12*$B423)-'Business Case'!E11*$C423*'Business Case'!E13*$D423-'Business Case'!E14*$E423)-MAX(0,(('Business Case'!E11*$C423*'Business Case'!E12*$B423)-'Business Case'!E11*$C423*'Business Case'!E13*$D423-'Business Case'!E14*$E423))*'Business Case'!$B$7-'Business Case'!$B$8*(('Business Case'!E11*$C423*'Business Case'!E12*$B423)-('Business Case'!D11*$C423*'Business Case'!D12*$B423))-'Business Case'!E15*$F423</f>
        <v>674059417.357901</v>
      </c>
      <c r="L423" s="39" t="n">
        <f aca="false">(('Business Case'!F11*$C423*'Business Case'!F12*$B423)-'Business Case'!F11*$C423*'Business Case'!F13*$D423-'Business Case'!F14*$E423)-MAX(0,(('Business Case'!F11*$C423*'Business Case'!F12*$B423)-'Business Case'!F11*$C423*'Business Case'!F13*$D423-'Business Case'!F14*$E423))*'Business Case'!$B$7-'Business Case'!$B$8*(('Business Case'!F11*$C423*'Business Case'!F12*$B423)-('Business Case'!E11*$C423*'Business Case'!E12*$B423))-'Business Case'!F15*$F423</f>
        <v>815564167.946773</v>
      </c>
      <c r="M423" s="39" t="n">
        <f aca="false">(('Business Case'!G11*$C423*'Business Case'!G12*$B423)-'Business Case'!G11*$C423*'Business Case'!G13*$D423-'Business Case'!G14*$E423)-MAX(0,(('Business Case'!G11*$C423*'Business Case'!G12*$B423)-'Business Case'!G11*$C423*'Business Case'!G13*$D423-'Business Case'!G14*$E423))*'Business Case'!$B$7-'Business Case'!$B$8*(('Business Case'!G11*$C423*'Business Case'!G12*$B423)-('Business Case'!F11*$C423*'Business Case'!F12*$B423))-'Business Case'!G15*$F423+'Business Case'!$B$8*('Business Case'!G11*$C423*'Business Case'!G12*$B423)</f>
        <v>1021816206.86062</v>
      </c>
      <c r="N423" s="39" t="n">
        <f aca="false">IF(COUNT('Business Case'!B11:G11)=0,"",H423+NPV(G423,I423:M423))</f>
        <v>-215464221.225527</v>
      </c>
      <c r="P423" s="40" t="n">
        <f aca="true">RAND()</f>
        <v>0.688797344691283</v>
      </c>
      <c r="Q423" s="40" t="n">
        <f aca="true">RAND()</f>
        <v>0.933994263276986</v>
      </c>
      <c r="R423" s="40" t="n">
        <f aca="true">RAND()</f>
        <v>0.760376578677251</v>
      </c>
      <c r="S423" s="40" t="n">
        <f aca="true">RAND()</f>
        <v>0.859140268514852</v>
      </c>
      <c r="T423" s="40" t="n">
        <f aca="true">RAND()</f>
        <v>0.470329911653907</v>
      </c>
      <c r="U423" s="40" t="n">
        <f aca="true">RAND()</f>
        <v>0.731443131984187</v>
      </c>
    </row>
    <row r="424" customFormat="false" ht="15" hidden="false" customHeight="false" outlineLevel="0" collapsed="false">
      <c r="A424" s="36" t="n">
        <v>344</v>
      </c>
      <c r="B424" s="37" t="n">
        <f aca="false">1+IF($G$6=$E$6,$F$6,IF(P424&lt;($F$6-$E$6)/($G$6-$E$6),$E$6+SQRT(P424*($G$6-$E$6)*($F$6-$E$6)),$G$6-SQRT((1-P424)*($G$6-$E$6)*($G$6-$F$6))))</f>
        <v>0.906967307207133</v>
      </c>
      <c r="C424" s="37" t="n">
        <f aca="false">1+IF($G$7=$E$7,$F$7,IF(Q424&lt;($F$7-$E$7)/($G$7-$E$7),$E$7+SQRT(Q424*($G$7-$E$7)*($F$7-$E$7)),$G$7-SQRT((1-Q424)*($G$7-$E$7)*($G$7-$F$7))))</f>
        <v>0.88431241259681</v>
      </c>
      <c r="D424" s="37" t="n">
        <f aca="false">1+IF($G$8=$E$8,$F$8,IF(R424&lt;($F$8-$E$8)/($G$8-$E$8),$E$8+SQRT(R424*($G$8-$E$8)*($F$8-$E$8)),$G$8-SQRT((1-R424)*($G$8-$E$8)*($G$8-$F$8))))</f>
        <v>1.04282548760139</v>
      </c>
      <c r="E424" s="37" t="n">
        <f aca="false">1+IF($G$9=$E$9,$F$9,IF(S424&lt;($F$9-$E$9)/($G$9-$E$9),$E$9+SQRT(S424*($G$9-$E$9)*($F$9-$E$9)),$G$9-SQRT((1-S424)*($G$9-$E$9)*($G$9-$F$9))))</f>
        <v>1.09997658382313</v>
      </c>
      <c r="F424" s="37" t="n">
        <f aca="false">1+IF($G$10=$E$10,$F$10,IF(T424&lt;($F$10-$E$10)/($G$10-$E$10),$E$10+SQRT(T424*($G$10-$E$10)*($F$10-$E$10)),$G$10-SQRT((1-T424)*($G$10-$E$10)*($G$10-$F$10))))</f>
        <v>1.05991479705725</v>
      </c>
      <c r="G424" s="38" t="n">
        <f aca="false">IF($G$11=$E$11,$F$11,IF(U424&lt;($F$11-$E$11)/($G$11-$E$11),$E$11+SQRT(U424*($G$11-$E$11)*($F$11-$E$11)),$G$11-SQRT((1-U424)*($G$11-$E$11)*($G$11-$F$11))))</f>
        <v>0.118231695407804</v>
      </c>
      <c r="H424" s="39" t="n">
        <f aca="false">(('Business Case'!B11*$C424*'Business Case'!B12*$B424)-'Business Case'!B11*$C424*'Business Case'!B13*$D424-'Business Case'!B14*$E424)-MAX(0,(('Business Case'!B11*$C424*'Business Case'!B12*$B424)-'Business Case'!B11*$C424*'Business Case'!B13*$D424-'Business Case'!B14*$E424))*'Business Case'!$B$7-'Business Case'!$B$8*('Business Case'!B11*$C424*'Business Case'!B12*$B424)-'Business Case'!B15*$F424</f>
        <v>-2119829594.1145</v>
      </c>
      <c r="I424" s="39" t="n">
        <f aca="false">(('Business Case'!C11*$C424*'Business Case'!C12*$B424)-'Business Case'!C11*$C424*'Business Case'!C13*$D424-'Business Case'!C14*$E424)-MAX(0,(('Business Case'!C11*$C424*'Business Case'!C12*$B424)-'Business Case'!C11*$C424*'Business Case'!C13*$D424-'Business Case'!C14*$E424))*'Business Case'!$B$7-'Business Case'!$B$8*(('Business Case'!C11*$C424*'Business Case'!C12*$B424)-('Business Case'!B11*$C424*'Business Case'!B12*$B424))-'Business Case'!C15*$F424</f>
        <v>-119139707.803135</v>
      </c>
      <c r="J424" s="39" t="n">
        <f aca="false">(('Business Case'!D11*$C424*'Business Case'!D12*$B424)-'Business Case'!D11*$C424*'Business Case'!D13*$D424-'Business Case'!D14*$E424)-MAX(0,(('Business Case'!D11*$C424*'Business Case'!D12*$B424)-'Business Case'!D11*$C424*'Business Case'!D13*$D424-'Business Case'!D14*$E424))*'Business Case'!$B$7-'Business Case'!$B$8*(('Business Case'!D11*$C424*'Business Case'!D12*$B424)-('Business Case'!C11*$C424*'Business Case'!C12*$B424))-'Business Case'!D15*$F424</f>
        <v>65706614.8017947</v>
      </c>
      <c r="K424" s="39" t="n">
        <f aca="false">(('Business Case'!E11*$C424*'Business Case'!E12*$B424)-'Business Case'!E11*$C424*'Business Case'!E13*$D424-'Business Case'!E14*$E424)-MAX(0,(('Business Case'!E11*$C424*'Business Case'!E12*$B424)-'Business Case'!E11*$C424*'Business Case'!E13*$D424-'Business Case'!E14*$E424))*'Business Case'!$B$7-'Business Case'!$B$8*(('Business Case'!E11*$C424*'Business Case'!E12*$B424)-('Business Case'!D11*$C424*'Business Case'!D12*$B424))-'Business Case'!E15*$F424</f>
        <v>303548677.259587</v>
      </c>
      <c r="L424" s="39" t="n">
        <f aca="false">(('Business Case'!F11*$C424*'Business Case'!F12*$B424)-'Business Case'!F11*$C424*'Business Case'!F13*$D424-'Business Case'!F14*$E424)-MAX(0,(('Business Case'!F11*$C424*'Business Case'!F12*$B424)-'Business Case'!F11*$C424*'Business Case'!F13*$D424-'Business Case'!F14*$E424))*'Business Case'!$B$7-'Business Case'!$B$8*(('Business Case'!F11*$C424*'Business Case'!F12*$B424)-('Business Case'!E11*$C424*'Business Case'!E12*$B424))-'Business Case'!F15*$F424</f>
        <v>392882705.116357</v>
      </c>
      <c r="M424" s="39" t="n">
        <f aca="false">(('Business Case'!G11*$C424*'Business Case'!G12*$B424)-'Business Case'!G11*$C424*'Business Case'!G13*$D424-'Business Case'!G14*$E424)-MAX(0,(('Business Case'!G11*$C424*'Business Case'!G12*$B424)-'Business Case'!G11*$C424*'Business Case'!G13*$D424-'Business Case'!G14*$E424))*'Business Case'!$B$7-'Business Case'!$B$8*(('Business Case'!G11*$C424*'Business Case'!G12*$B424)-('Business Case'!F11*$C424*'Business Case'!F12*$B424))-'Business Case'!G15*$F424+'Business Case'!$B$8*('Business Case'!G11*$C424*'Business Case'!G12*$B424)</f>
        <v>545334933.552891</v>
      </c>
      <c r="N424" s="39" t="n">
        <f aca="false">IF(COUNT('Business Case'!B11:G11)=0,"",H424+NPV(G424,I424:M424))</f>
        <v>-1393580053.05039</v>
      </c>
      <c r="P424" s="40" t="n">
        <f aca="true">RAND()</f>
        <v>0.00323622464790464</v>
      </c>
      <c r="Q424" s="40" t="n">
        <f aca="true">RAND()</f>
        <v>0.251637521757457</v>
      </c>
      <c r="R424" s="40" t="n">
        <f aca="true">RAND()</f>
        <v>0.782071675465441</v>
      </c>
      <c r="S424" s="40" t="n">
        <f aca="true">RAND()</f>
        <v>0.93327087557321</v>
      </c>
      <c r="T424" s="40" t="n">
        <f aca="true">RAND()</f>
        <v>0.518234874962841</v>
      </c>
      <c r="U424" s="40" t="n">
        <f aca="true">RAND()</f>
        <v>0.907671338016861</v>
      </c>
    </row>
    <row r="425" customFormat="false" ht="15" hidden="false" customHeight="false" outlineLevel="0" collapsed="false">
      <c r="A425" s="36" t="n">
        <v>345</v>
      </c>
      <c r="B425" s="37" t="n">
        <f aca="false">1+IF($G$6=$E$6,$F$6,IF(P425&lt;($F$6-$E$6)/($G$6-$E$6),$E$6+SQRT(P425*($G$6-$E$6)*($F$6-$E$6)),$G$6-SQRT((1-P425)*($G$6-$E$6)*($G$6-$F$6))))</f>
        <v>0.945850303307468</v>
      </c>
      <c r="C425" s="37" t="n">
        <f aca="false">1+IF($G$7=$E$7,$F$7,IF(Q425&lt;($F$7-$E$7)/($G$7-$E$7),$E$7+SQRT(Q425*($G$7-$E$7)*($F$7-$E$7)),$G$7-SQRT((1-Q425)*($G$7-$E$7)*($G$7-$F$7))))</f>
        <v>0.950379264768732</v>
      </c>
      <c r="D425" s="37" t="n">
        <f aca="false">1+IF($G$8=$E$8,$F$8,IF(R425&lt;($F$8-$E$8)/($G$8-$E$8),$E$8+SQRT(R425*($G$8-$E$8)*($F$8-$E$8)),$G$8-SQRT((1-R425)*($G$8-$E$8)*($G$8-$F$8))))</f>
        <v>0.993961420936743</v>
      </c>
      <c r="E425" s="37" t="n">
        <f aca="false">1+IF($G$9=$E$9,$F$9,IF(S425&lt;($F$9-$E$9)/($G$9-$E$9),$E$9+SQRT(S425*($G$9-$E$9)*($F$9-$E$9)),$G$9-SQRT((1-S425)*($G$9-$E$9)*($G$9-$F$9))))</f>
        <v>0.952107998848037</v>
      </c>
      <c r="F425" s="37" t="n">
        <f aca="false">1+IF($G$10=$E$10,$F$10,IF(T425&lt;($F$10-$E$10)/($G$10-$E$10),$E$10+SQRT(T425*($G$10-$E$10)*($F$10-$E$10)),$G$10-SQRT((1-T425)*($G$10-$E$10)*($G$10-$F$10))))</f>
        <v>1.02196025759635</v>
      </c>
      <c r="G425" s="38" t="n">
        <f aca="false">IF($G$11=$E$11,$F$11,IF(U425&lt;($F$11-$E$11)/($G$11-$E$11),$E$11+SQRT(U425*($G$11-$E$11)*($F$11-$E$11)),$G$11-SQRT((1-U425)*($G$11-$E$11)*($G$11-$F$11))))</f>
        <v>0.117805926760718</v>
      </c>
      <c r="H425" s="39" t="n">
        <f aca="false">(('Business Case'!B11*$C425*'Business Case'!B12*$B425)-'Business Case'!B11*$C425*'Business Case'!B13*$D425-'Business Case'!B14*$E425)-MAX(0,(('Business Case'!B11*$C425*'Business Case'!B12*$B425)-'Business Case'!B11*$C425*'Business Case'!B13*$D425-'Business Case'!B14*$E425))*'Business Case'!$B$7-'Business Case'!$B$8*('Business Case'!B11*$C425*'Business Case'!B12*$B425)-'Business Case'!B15*$F425</f>
        <v>-2043920515.19271</v>
      </c>
      <c r="I425" s="39" t="n">
        <f aca="false">(('Business Case'!C11*$C425*'Business Case'!C12*$B425)-'Business Case'!C11*$C425*'Business Case'!C13*$D425-'Business Case'!C14*$E425)-MAX(0,(('Business Case'!C11*$C425*'Business Case'!C12*$B425)-'Business Case'!C11*$C425*'Business Case'!C13*$D425-'Business Case'!C14*$E425))*'Business Case'!$B$7-'Business Case'!$B$8*(('Business Case'!C11*$C425*'Business Case'!C12*$B425)-('Business Case'!B11*$C425*'Business Case'!B12*$B425))-'Business Case'!C15*$F425</f>
        <v>-31488541.8023975</v>
      </c>
      <c r="J425" s="39" t="n">
        <f aca="false">(('Business Case'!D11*$C425*'Business Case'!D12*$B425)-'Business Case'!D11*$C425*'Business Case'!D13*$D425-'Business Case'!D14*$E425)-MAX(0,(('Business Case'!D11*$C425*'Business Case'!D12*$B425)-'Business Case'!D11*$C425*'Business Case'!D13*$D425-'Business Case'!D14*$E425))*'Business Case'!$B$7-'Business Case'!$B$8*(('Business Case'!D11*$C425*'Business Case'!D12*$B425)-('Business Case'!C11*$C425*'Business Case'!C12*$B425))-'Business Case'!D15*$F425</f>
        <v>221208531.772106</v>
      </c>
      <c r="K425" s="39" t="n">
        <f aca="false">(('Business Case'!E11*$C425*'Business Case'!E12*$B425)-'Business Case'!E11*$C425*'Business Case'!E13*$D425-'Business Case'!E14*$E425)-MAX(0,(('Business Case'!E11*$C425*'Business Case'!E12*$B425)-'Business Case'!E11*$C425*'Business Case'!E13*$D425-'Business Case'!E14*$E425))*'Business Case'!$B$7-'Business Case'!$B$8*(('Business Case'!E11*$C425*'Business Case'!E12*$B425)-('Business Case'!D11*$C425*'Business Case'!D12*$B425))-'Business Case'!E15*$F425</f>
        <v>525003618.226427</v>
      </c>
      <c r="L425" s="39" t="n">
        <f aca="false">(('Business Case'!F11*$C425*'Business Case'!F12*$B425)-'Business Case'!F11*$C425*'Business Case'!F13*$D425-'Business Case'!F14*$E425)-MAX(0,(('Business Case'!F11*$C425*'Business Case'!F12*$B425)-'Business Case'!F11*$C425*'Business Case'!F13*$D425-'Business Case'!F14*$E425))*'Business Case'!$B$7-'Business Case'!$B$8*(('Business Case'!F11*$C425*'Business Case'!F12*$B425)-('Business Case'!E11*$C425*'Business Case'!E12*$B425))-'Business Case'!F15*$F425</f>
        <v>640302530.871978</v>
      </c>
      <c r="M425" s="39" t="n">
        <f aca="false">(('Business Case'!G11*$C425*'Business Case'!G12*$B425)-'Business Case'!G11*$C425*'Business Case'!G13*$D425-'Business Case'!G14*$E425)-MAX(0,(('Business Case'!G11*$C425*'Business Case'!G12*$B425)-'Business Case'!G11*$C425*'Business Case'!G13*$D425-'Business Case'!G14*$E425))*'Business Case'!$B$7-'Business Case'!$B$8*(('Business Case'!G11*$C425*'Business Case'!G12*$B425)-('Business Case'!F11*$C425*'Business Case'!F12*$B425))-'Business Case'!G15*$F425+'Business Case'!$B$8*('Business Case'!G11*$C425*'Business Case'!G12*$B425)</f>
        <v>811168582.202585</v>
      </c>
      <c r="N425" s="39" t="n">
        <f aca="false">IF(COUNT('Business Case'!B11:G11)=0,"",H425+NPV(G425,I425:M425))</f>
        <v>-644217403.761482</v>
      </c>
      <c r="P425" s="40" t="n">
        <f aca="true">RAND()</f>
        <v>0.140150020892454</v>
      </c>
      <c r="Q425" s="40" t="n">
        <f aca="true">RAND()</f>
        <v>0.464368712786153</v>
      </c>
      <c r="R425" s="40" t="n">
        <f aca="true">RAND()</f>
        <v>0.257680870770331</v>
      </c>
      <c r="S425" s="40" t="n">
        <f aca="true">RAND()</f>
        <v>0.108609741757879</v>
      </c>
      <c r="T425" s="40" t="n">
        <f aca="true">RAND()</f>
        <v>0.306638345126375</v>
      </c>
      <c r="U425" s="40" t="n">
        <f aca="true">RAND()</f>
        <v>0.900869718556679</v>
      </c>
    </row>
    <row r="426" customFormat="false" ht="15" hidden="false" customHeight="false" outlineLevel="0" collapsed="false">
      <c r="A426" s="36" t="n">
        <v>346</v>
      </c>
      <c r="B426" s="37" t="n">
        <f aca="false">1+IF($G$6=$E$6,$F$6,IF(P426&lt;($F$6-$E$6)/($G$6-$E$6),$E$6+SQRT(P426*($G$6-$E$6)*($F$6-$E$6)),$G$6-SQRT((1-P426)*($G$6-$E$6)*($G$6-$F$6))))</f>
        <v>0.919626693014619</v>
      </c>
      <c r="C426" s="37" t="n">
        <f aca="false">1+IF($G$7=$E$7,$F$7,IF(Q426&lt;($F$7-$E$7)/($G$7-$E$7),$E$7+SQRT(Q426*($G$7-$E$7)*($F$7-$E$7)),$G$7-SQRT((1-Q426)*($G$7-$E$7)*($G$7-$F$7))))</f>
        <v>0.96688472153206</v>
      </c>
      <c r="D426" s="37" t="n">
        <f aca="false">1+IF($G$8=$E$8,$F$8,IF(R426&lt;($F$8-$E$8)/($G$8-$E$8),$E$8+SQRT(R426*($G$8-$E$8)*($F$8-$E$8)),$G$8-SQRT((1-R426)*($G$8-$E$8)*($G$8-$F$8))))</f>
        <v>0.999621445049187</v>
      </c>
      <c r="E426" s="37" t="n">
        <f aca="false">1+IF($G$9=$E$9,$F$9,IF(S426&lt;($F$9-$E$9)/($G$9-$E$9),$E$9+SQRT(S426*($G$9-$E$9)*($F$9-$E$9)),$G$9-SQRT((1-S426)*($G$9-$E$9)*($G$9-$F$9))))</f>
        <v>0.972211735572476</v>
      </c>
      <c r="F426" s="37" t="n">
        <f aca="false">1+IF($G$10=$E$10,$F$10,IF(T426&lt;($F$10-$E$10)/($G$10-$E$10),$E$10+SQRT(T426*($G$10-$E$10)*($F$10-$E$10)),$G$10-SQRT((1-T426)*($G$10-$E$10)*($G$10-$F$10))))</f>
        <v>1.00600728279557</v>
      </c>
      <c r="G426" s="38" t="n">
        <f aca="false">IF($G$11=$E$11,$F$11,IF(U426&lt;($F$11-$E$11)/($G$11-$E$11),$E$11+SQRT(U426*($G$11-$E$11)*($F$11-$E$11)),$G$11-SQRT((1-U426)*($G$11-$E$11)*($G$11-$F$11))))</f>
        <v>0.111713353534905</v>
      </c>
      <c r="H426" s="39" t="n">
        <f aca="false">(('Business Case'!B11*$C426*'Business Case'!B12*$B426)-'Business Case'!B11*$C426*'Business Case'!B13*$D426-'Business Case'!B14*$E426)-MAX(0,(('Business Case'!B11*$C426*'Business Case'!B12*$B426)-'Business Case'!B11*$C426*'Business Case'!B13*$D426-'Business Case'!B14*$E426))*'Business Case'!$B$7-'Business Case'!$B$8*('Business Case'!B11*$C426*'Business Case'!B12*$B426)-'Business Case'!B15*$F426</f>
        <v>-2012014565.59114</v>
      </c>
      <c r="I426" s="39" t="n">
        <f aca="false">(('Business Case'!C11*$C426*'Business Case'!C12*$B426)-'Business Case'!C11*$C426*'Business Case'!C13*$D426-'Business Case'!C14*$E426)-MAX(0,(('Business Case'!C11*$C426*'Business Case'!C12*$B426)-'Business Case'!C11*$C426*'Business Case'!C13*$D426-'Business Case'!C14*$E426))*'Business Case'!$B$7-'Business Case'!$B$8*(('Business Case'!C11*$C426*'Business Case'!C12*$B426)-('Business Case'!B11*$C426*'Business Case'!B12*$B426))-'Business Case'!C15*$F426</f>
        <v>-51427512.9188524</v>
      </c>
      <c r="J426" s="39" t="n">
        <f aca="false">(('Business Case'!D11*$C426*'Business Case'!D12*$B426)-'Business Case'!D11*$C426*'Business Case'!D13*$D426-'Business Case'!D14*$E426)-MAX(0,(('Business Case'!D11*$C426*'Business Case'!D12*$B426)-'Business Case'!D11*$C426*'Business Case'!D13*$D426-'Business Case'!D14*$E426))*'Business Case'!$B$7-'Business Case'!$B$8*(('Business Case'!D11*$C426*'Business Case'!D12*$B426)-('Business Case'!C11*$C426*'Business Case'!C12*$B426))-'Business Case'!D15*$F426</f>
        <v>182088939.507842</v>
      </c>
      <c r="K426" s="39" t="n">
        <f aca="false">(('Business Case'!E11*$C426*'Business Case'!E12*$B426)-'Business Case'!E11*$C426*'Business Case'!E13*$D426-'Business Case'!E14*$E426)-MAX(0,(('Business Case'!E11*$C426*'Business Case'!E12*$B426)-'Business Case'!E11*$C426*'Business Case'!E13*$D426-'Business Case'!E14*$E426))*'Business Case'!$B$7-'Business Case'!$B$8*(('Business Case'!E11*$C426*'Business Case'!E12*$B426)-('Business Case'!D11*$C426*'Business Case'!D12*$B426))-'Business Case'!E15*$F426</f>
        <v>465905756.074315</v>
      </c>
      <c r="L426" s="39" t="n">
        <f aca="false">(('Business Case'!F11*$C426*'Business Case'!F12*$B426)-'Business Case'!F11*$C426*'Business Case'!F13*$D426-'Business Case'!F14*$E426)-MAX(0,(('Business Case'!F11*$C426*'Business Case'!F12*$B426)-'Business Case'!F11*$C426*'Business Case'!F13*$D426-'Business Case'!F14*$E426))*'Business Case'!$B$7-'Business Case'!$B$8*(('Business Case'!F11*$C426*'Business Case'!F12*$B426)-('Business Case'!E11*$C426*'Business Case'!E12*$B426))-'Business Case'!F15*$F426</f>
        <v>574474392.394936</v>
      </c>
      <c r="M426" s="39" t="n">
        <f aca="false">(('Business Case'!G11*$C426*'Business Case'!G12*$B426)-'Business Case'!G11*$C426*'Business Case'!G13*$D426-'Business Case'!G14*$E426)-MAX(0,(('Business Case'!G11*$C426*'Business Case'!G12*$B426)-'Business Case'!G11*$C426*'Business Case'!G13*$D426-'Business Case'!G14*$E426))*'Business Case'!$B$7-'Business Case'!$B$8*(('Business Case'!G11*$C426*'Business Case'!G12*$B426)-('Business Case'!F11*$C426*'Business Case'!F12*$B426))-'Business Case'!G15*$F426+'Business Case'!$B$8*('Business Case'!G11*$C426*'Business Case'!G12*$B426)</f>
        <v>743488396.042743</v>
      </c>
      <c r="N426" s="39" t="n">
        <f aca="false">IF(COUNT('Business Case'!B11:G11)=0,"",H426+NPV(G426,I426:M426))</f>
        <v>-757917171.567967</v>
      </c>
      <c r="P426" s="40" t="n">
        <f aca="true">RAND()</f>
        <v>0.025680471912673</v>
      </c>
      <c r="Q426" s="40" t="n">
        <f aca="true">RAND()</f>
        <v>0.527610774720334</v>
      </c>
      <c r="R426" s="40" t="n">
        <f aca="true">RAND()</f>
        <v>0.328305041169262</v>
      </c>
      <c r="S426" s="40" t="n">
        <f aca="true">RAND()</f>
        <v>0.20858139017557</v>
      </c>
      <c r="T426" s="40" t="n">
        <f aca="true">RAND()</f>
        <v>0.206234052682644</v>
      </c>
      <c r="U426" s="40" t="n">
        <f aca="true">RAND()</f>
        <v>0.77706570737376</v>
      </c>
    </row>
    <row r="427" customFormat="false" ht="15" hidden="false" customHeight="false" outlineLevel="0" collapsed="false">
      <c r="A427" s="36" t="n">
        <v>347</v>
      </c>
      <c r="B427" s="37" t="n">
        <f aca="false">1+IF($G$6=$E$6,$F$6,IF(P427&lt;($F$6-$E$6)/($G$6-$E$6),$E$6+SQRT(P427*($G$6-$E$6)*($F$6-$E$6)),$G$6-SQRT((1-P427)*($G$6-$E$6)*($G$6-$F$6))))</f>
        <v>1.01692635312897</v>
      </c>
      <c r="C427" s="37" t="n">
        <f aca="false">1+IF($G$7=$E$7,$F$7,IF(Q427&lt;($F$7-$E$7)/($G$7-$E$7),$E$7+SQRT(Q427*($G$7-$E$7)*($F$7-$E$7)),$G$7-SQRT((1-Q427)*($G$7-$E$7)*($G$7-$F$7))))</f>
        <v>0.900731227916641</v>
      </c>
      <c r="D427" s="37" t="n">
        <f aca="false">1+IF($G$8=$E$8,$F$8,IF(R427&lt;($F$8-$E$8)/($G$8-$E$8),$E$8+SQRT(R427*($G$8-$E$8)*($F$8-$E$8)),$G$8-SQRT((1-R427)*($G$8-$E$8)*($G$8-$F$8))))</f>
        <v>1.039532325253</v>
      </c>
      <c r="E427" s="37" t="n">
        <f aca="false">1+IF($G$9=$E$9,$F$9,IF(S427&lt;($F$9-$E$9)/($G$9-$E$9),$E$9+SQRT(S427*($G$9-$E$9)*($F$9-$E$9)),$G$9-SQRT((1-S427)*($G$9-$E$9)*($G$9-$F$9))))</f>
        <v>1.12183203822648</v>
      </c>
      <c r="F427" s="37" t="n">
        <f aca="false">1+IF($G$10=$E$10,$F$10,IF(T427&lt;($F$10-$E$10)/($G$10-$E$10),$E$10+SQRT(T427*($G$10-$E$10)*($F$10-$E$10)),$G$10-SQRT((1-T427)*($G$10-$E$10)*($G$10-$F$10))))</f>
        <v>1.08121657844506</v>
      </c>
      <c r="G427" s="38" t="n">
        <f aca="false">IF($G$11=$E$11,$F$11,IF(U427&lt;($F$11-$E$11)/($G$11-$E$11),$E$11+SQRT(U427*($G$11-$E$11)*($F$11-$E$11)),$G$11-SQRT((1-U427)*($G$11-$E$11)*($G$11-$F$11))))</f>
        <v>0.0929226983268807</v>
      </c>
      <c r="H427" s="39" t="n">
        <f aca="false">(('Business Case'!B11*$C427*'Business Case'!B12*$B427)-'Business Case'!B11*$C427*'Business Case'!B13*$D427-'Business Case'!B14*$E427)-MAX(0,(('Business Case'!B11*$C427*'Business Case'!B12*$B427)-'Business Case'!B11*$C427*'Business Case'!B13*$D427-'Business Case'!B14*$E427))*'Business Case'!$B$7-'Business Case'!$B$8*('Business Case'!B11*$C427*'Business Case'!B12*$B427)-'Business Case'!B15*$F427</f>
        <v>-2162433156.89011</v>
      </c>
      <c r="I427" s="39" t="n">
        <f aca="false">(('Business Case'!C11*$C427*'Business Case'!C12*$B427)-'Business Case'!C11*$C427*'Business Case'!C13*$D427-'Business Case'!C14*$E427)-MAX(0,(('Business Case'!C11*$C427*'Business Case'!C12*$B427)-'Business Case'!C11*$C427*'Business Case'!C13*$D427-'Business Case'!C14*$E427))*'Business Case'!$B$7-'Business Case'!$B$8*(('Business Case'!C11*$C427*'Business Case'!C12*$B427)-('Business Case'!B11*$C427*'Business Case'!B12*$B427))-'Business Case'!C15*$F427</f>
        <v>-44209837.8758882</v>
      </c>
      <c r="J427" s="39" t="n">
        <f aca="false">(('Business Case'!D11*$C427*'Business Case'!D12*$B427)-'Business Case'!D11*$C427*'Business Case'!D13*$D427-'Business Case'!D14*$E427)-MAX(0,(('Business Case'!D11*$C427*'Business Case'!D12*$B427)-'Business Case'!D11*$C427*'Business Case'!D13*$D427-'Business Case'!D14*$E427))*'Business Case'!$B$7-'Business Case'!$B$8*(('Business Case'!D11*$C427*'Business Case'!D12*$B427)-('Business Case'!C11*$C427*'Business Case'!C12*$B427))-'Business Case'!D15*$F427</f>
        <v>226710762.340136</v>
      </c>
      <c r="K427" s="39" t="n">
        <f aca="false">(('Business Case'!E11*$C427*'Business Case'!E12*$B427)-'Business Case'!E11*$C427*'Business Case'!E13*$D427-'Business Case'!E14*$E427)-MAX(0,(('Business Case'!E11*$C427*'Business Case'!E12*$B427)-'Business Case'!E11*$C427*'Business Case'!E13*$D427-'Business Case'!E14*$E427))*'Business Case'!$B$7-'Business Case'!$B$8*(('Business Case'!E11*$C427*'Business Case'!E12*$B427)-('Business Case'!D11*$C427*'Business Case'!D12*$B427))-'Business Case'!E15*$F427</f>
        <v>551692191.478412</v>
      </c>
      <c r="L427" s="39" t="n">
        <f aca="false">(('Business Case'!F11*$C427*'Business Case'!F12*$B427)-'Business Case'!F11*$C427*'Business Case'!F13*$D427-'Business Case'!F14*$E427)-MAX(0,(('Business Case'!F11*$C427*'Business Case'!F12*$B427)-'Business Case'!F11*$C427*'Business Case'!F13*$D427-'Business Case'!F14*$E427))*'Business Case'!$B$7-'Business Case'!$B$8*(('Business Case'!F11*$C427*'Business Case'!F12*$B427)-('Business Case'!E11*$C427*'Business Case'!E12*$B427))-'Business Case'!F15*$F427</f>
        <v>673655234.491487</v>
      </c>
      <c r="M427" s="39" t="n">
        <f aca="false">(('Business Case'!G11*$C427*'Business Case'!G12*$B427)-'Business Case'!G11*$C427*'Business Case'!G13*$D427-'Business Case'!G14*$E427)-MAX(0,(('Business Case'!G11*$C427*'Business Case'!G12*$B427)-'Business Case'!G11*$C427*'Business Case'!G13*$D427-'Business Case'!G14*$E427))*'Business Case'!$B$7-'Business Case'!$B$8*(('Business Case'!G11*$C427*'Business Case'!G12*$B427)-('Business Case'!F11*$C427*'Business Case'!F12*$B427))-'Business Case'!G15*$F427+'Business Case'!$B$8*('Business Case'!G11*$C427*'Business Case'!G12*$B427)</f>
        <v>847764204.000691</v>
      </c>
      <c r="N427" s="39" t="n">
        <f aca="false">IF(COUNT('Business Case'!B11:G11)=0,"",H427+NPV(G427,I427:M427))</f>
        <v>-574675950.004414</v>
      </c>
      <c r="P427" s="40" t="n">
        <f aca="true">RAND()</f>
        <v>0.854151184353407</v>
      </c>
      <c r="Q427" s="40" t="n">
        <f aca="true">RAND()</f>
        <v>0.298466858229055</v>
      </c>
      <c r="R427" s="40" t="n">
        <f aca="true">RAND()</f>
        <v>0.756244020712708</v>
      </c>
      <c r="S427" s="40" t="n">
        <f aca="true">RAND()</f>
        <v>0.978841758120679</v>
      </c>
      <c r="T427" s="40" t="n">
        <f aca="true">RAND()</f>
        <v>0.62016208810941</v>
      </c>
      <c r="U427" s="40" t="n">
        <f aca="true">RAND()</f>
        <v>0.166996132047564</v>
      </c>
    </row>
    <row r="428" customFormat="false" ht="15" hidden="false" customHeight="false" outlineLevel="0" collapsed="false">
      <c r="A428" s="36" t="n">
        <v>348</v>
      </c>
      <c r="B428" s="37" t="n">
        <f aca="false">1+IF($G$6=$E$6,$F$6,IF(P428&lt;($F$6-$E$6)/($G$6-$E$6),$E$6+SQRT(P428*($G$6-$E$6)*($F$6-$E$6)),$G$6-SQRT((1-P428)*($G$6-$E$6)*($G$6-$F$6))))</f>
        <v>0.97711904259396</v>
      </c>
      <c r="C428" s="37" t="n">
        <f aca="false">1+IF($G$7=$E$7,$F$7,IF(Q428&lt;($F$7-$E$7)/($G$7-$E$7),$E$7+SQRT(Q428*($G$7-$E$7)*($F$7-$E$7)),$G$7-SQRT((1-Q428)*($G$7-$E$7)*($G$7-$F$7))))</f>
        <v>1.02064948249004</v>
      </c>
      <c r="D428" s="37" t="n">
        <f aca="false">1+IF($G$8=$E$8,$F$8,IF(R428&lt;($F$8-$E$8)/($G$8-$E$8),$E$8+SQRT(R428*($G$8-$E$8)*($F$8-$E$8)),$G$8-SQRT((1-R428)*($G$8-$E$8)*($G$8-$F$8))))</f>
        <v>0.989567373502986</v>
      </c>
      <c r="E428" s="37" t="n">
        <f aca="false">1+IF($G$9=$E$9,$F$9,IF(S428&lt;($F$9-$E$9)/($G$9-$E$9),$E$9+SQRT(S428*($G$9-$E$9)*($F$9-$E$9)),$G$9-SQRT((1-S428)*($G$9-$E$9)*($G$9-$F$9))))</f>
        <v>1.05901868470396</v>
      </c>
      <c r="F428" s="37" t="n">
        <f aca="false">1+IF($G$10=$E$10,$F$10,IF(T428&lt;($F$10-$E$10)/($G$10-$E$10),$E$10+SQRT(T428*($G$10-$E$10)*($F$10-$E$10)),$G$10-SQRT((1-T428)*($G$10-$E$10)*($G$10-$F$10))))</f>
        <v>1.17841404163159</v>
      </c>
      <c r="G428" s="38" t="n">
        <f aca="false">IF($G$11=$E$11,$F$11,IF(U428&lt;($F$11-$E$11)/($G$11-$E$11),$E$11+SQRT(U428*($G$11-$E$11)*($F$11-$E$11)),$G$11-SQRT((1-U428)*($G$11-$E$11)*($G$11-$F$11))))</f>
        <v>0.109789158572734</v>
      </c>
      <c r="H428" s="39" t="n">
        <f aca="false">(('Business Case'!B11*$C428*'Business Case'!B12*$B428)-'Business Case'!B11*$C428*'Business Case'!B13*$D428-'Business Case'!B14*$E428)-MAX(0,(('Business Case'!B11*$C428*'Business Case'!B12*$B428)-'Business Case'!B11*$C428*'Business Case'!B13*$D428-'Business Case'!B14*$E428))*'Business Case'!$B$7-'Business Case'!$B$8*('Business Case'!B11*$C428*'Business Case'!B12*$B428)-'Business Case'!B15*$F428</f>
        <v>-2356828083.26317</v>
      </c>
      <c r="I428" s="39" t="n">
        <f aca="false">(('Business Case'!C11*$C428*'Business Case'!C12*$B428)-'Business Case'!C11*$C428*'Business Case'!C13*$D428-'Business Case'!C14*$E428)-MAX(0,(('Business Case'!C11*$C428*'Business Case'!C12*$B428)-'Business Case'!C11*$C428*'Business Case'!C13*$D428-'Business Case'!C14*$E428))*'Business Case'!$B$7-'Business Case'!$B$8*(('Business Case'!C11*$C428*'Business Case'!C12*$B428)-('Business Case'!B11*$C428*'Business Case'!B12*$B428))-'Business Case'!C15*$F428</f>
        <v>-20316352.6570111</v>
      </c>
      <c r="J428" s="39" t="n">
        <f aca="false">(('Business Case'!D11*$C428*'Business Case'!D12*$B428)-'Business Case'!D11*$C428*'Business Case'!D13*$D428-'Business Case'!D14*$E428)-MAX(0,(('Business Case'!D11*$C428*'Business Case'!D12*$B428)-'Business Case'!D11*$C428*'Business Case'!D13*$D428-'Business Case'!D14*$E428))*'Business Case'!$B$7-'Business Case'!$B$8*(('Business Case'!D11*$C428*'Business Case'!D12*$B428)-('Business Case'!C11*$C428*'Business Case'!C12*$B428))-'Business Case'!D15*$F428</f>
        <v>279500982.79486</v>
      </c>
      <c r="K428" s="39" t="n">
        <f aca="false">(('Business Case'!E11*$C428*'Business Case'!E12*$B428)-'Business Case'!E11*$C428*'Business Case'!E13*$D428-'Business Case'!E14*$E428)-MAX(0,(('Business Case'!E11*$C428*'Business Case'!E12*$B428)-'Business Case'!E11*$C428*'Business Case'!E13*$D428-'Business Case'!E14*$E428))*'Business Case'!$B$7-'Business Case'!$B$8*(('Business Case'!E11*$C428*'Business Case'!E12*$B428)-('Business Case'!D11*$C428*'Business Case'!D12*$B428))-'Business Case'!E15*$F428</f>
        <v>638239020.328309</v>
      </c>
      <c r="L428" s="39" t="n">
        <f aca="false">(('Business Case'!F11*$C428*'Business Case'!F12*$B428)-'Business Case'!F11*$C428*'Business Case'!F13*$D428-'Business Case'!F14*$E428)-MAX(0,(('Business Case'!F11*$C428*'Business Case'!F12*$B428)-'Business Case'!F11*$C428*'Business Case'!F13*$D428-'Business Case'!F14*$E428))*'Business Case'!$B$7-'Business Case'!$B$8*(('Business Case'!F11*$C428*'Business Case'!F12*$B428)-('Business Case'!E11*$C428*'Business Case'!E12*$B428))-'Business Case'!F15*$F428</f>
        <v>772644683.466146</v>
      </c>
      <c r="M428" s="39" t="n">
        <f aca="false">(('Business Case'!G11*$C428*'Business Case'!G12*$B428)-'Business Case'!G11*$C428*'Business Case'!G13*$D428-'Business Case'!G14*$E428)-MAX(0,(('Business Case'!G11*$C428*'Business Case'!G12*$B428)-'Business Case'!G11*$C428*'Business Case'!G13*$D428-'Business Case'!G14*$E428))*'Business Case'!$B$7-'Business Case'!$B$8*(('Business Case'!G11*$C428*'Business Case'!G12*$B428)-('Business Case'!F11*$C428*'Business Case'!F12*$B428))-'Business Case'!G15*$F428+'Business Case'!$B$8*('Business Case'!G11*$C428*'Business Case'!G12*$B428)</f>
        <v>962210715.72915</v>
      </c>
      <c r="N428" s="39" t="n">
        <f aca="false">IF(COUNT('Business Case'!B11:G11)=0,"",H428+NPV(G428,I428:M428))</f>
        <v>-600338472.846423</v>
      </c>
      <c r="P428" s="40" t="n">
        <f aca="true">RAND()</f>
        <v>0.396489782040597</v>
      </c>
      <c r="Q428" s="40" t="n">
        <f aca="true">RAND()</f>
        <v>0.75212509066528</v>
      </c>
      <c r="R428" s="40" t="n">
        <f aca="true">RAND()</f>
        <v>0.208743606123305</v>
      </c>
      <c r="S428" s="40" t="n">
        <f aca="true">RAND()</f>
        <v>0.779264007120092</v>
      </c>
      <c r="T428" s="40" t="n">
        <f aca="true">RAND()</f>
        <v>0.931672674193012</v>
      </c>
      <c r="U428" s="40" t="n">
        <f aca="true">RAND()</f>
        <v>0.727681259201279</v>
      </c>
    </row>
    <row r="429" customFormat="false" ht="15" hidden="false" customHeight="false" outlineLevel="0" collapsed="false">
      <c r="A429" s="36" t="n">
        <v>349</v>
      </c>
      <c r="B429" s="37" t="n">
        <f aca="false">1+IF($G$6=$E$6,$F$6,IF(P429&lt;($F$6-$E$6)/($G$6-$E$6),$E$6+SQRT(P429*($G$6-$E$6)*($F$6-$E$6)),$G$6-SQRT((1-P429)*($G$6-$E$6)*($G$6-$F$6))))</f>
        <v>0.98507511550836</v>
      </c>
      <c r="C429" s="37" t="n">
        <f aca="false">1+IF($G$7=$E$7,$F$7,IF(Q429&lt;($F$7-$E$7)/($G$7-$E$7),$E$7+SQRT(Q429*($G$7-$E$7)*($F$7-$E$7)),$G$7-SQRT((1-Q429)*($G$7-$E$7)*($G$7-$F$7))))</f>
        <v>0.852906135432318</v>
      </c>
      <c r="D429" s="37" t="n">
        <f aca="false">1+IF($G$8=$E$8,$F$8,IF(R429&lt;($F$8-$E$8)/($G$8-$E$8),$E$8+SQRT(R429*($G$8-$E$8)*($F$8-$E$8)),$G$8-SQRT((1-R429)*($G$8-$E$8)*($G$8-$F$8))))</f>
        <v>0.989617780871658</v>
      </c>
      <c r="E429" s="37" t="n">
        <f aca="false">1+IF($G$9=$E$9,$F$9,IF(S429&lt;($F$9-$E$9)/($G$9-$E$9),$E$9+SQRT(S429*($G$9-$E$9)*($F$9-$E$9)),$G$9-SQRT((1-S429)*($G$9-$E$9)*($G$9-$F$9))))</f>
        <v>1.11296006802814</v>
      </c>
      <c r="F429" s="37" t="n">
        <f aca="false">1+IF($G$10=$E$10,$F$10,IF(T429&lt;($F$10-$E$10)/($G$10-$E$10),$E$10+SQRT(T429*($G$10-$E$10)*($F$10-$E$10)),$G$10-SQRT((1-T429)*($G$10-$E$10)*($G$10-$F$10))))</f>
        <v>1.08297248275691</v>
      </c>
      <c r="G429" s="38" t="n">
        <f aca="false">IF($G$11=$E$11,$F$11,IF(U429&lt;($F$11-$E$11)/($G$11-$E$11),$E$11+SQRT(U429*($G$11-$E$11)*($F$11-$E$11)),$G$11-SQRT((1-U429)*($G$11-$E$11)*($G$11-$F$11))))</f>
        <v>0.109268279685767</v>
      </c>
      <c r="H429" s="39" t="n">
        <f aca="false">(('Business Case'!B11*$C429*'Business Case'!B12*$B429)-'Business Case'!B11*$C429*'Business Case'!B13*$D429-'Business Case'!B14*$E429)-MAX(0,(('Business Case'!B11*$C429*'Business Case'!B12*$B429)-'Business Case'!B11*$C429*'Business Case'!B13*$D429-'Business Case'!B14*$E429))*'Business Case'!$B$7-'Business Case'!$B$8*('Business Case'!B11*$C429*'Business Case'!B12*$B429)-'Business Case'!B15*$F429</f>
        <v>-2165944965.51382</v>
      </c>
      <c r="I429" s="39" t="n">
        <f aca="false">(('Business Case'!C11*$C429*'Business Case'!C12*$B429)-'Business Case'!C11*$C429*'Business Case'!C13*$D429-'Business Case'!C14*$E429)-MAX(0,(('Business Case'!C11*$C429*'Business Case'!C12*$B429)-'Business Case'!C11*$C429*'Business Case'!C13*$D429-'Business Case'!C14*$E429))*'Business Case'!$B$7-'Business Case'!$B$8*(('Business Case'!C11*$C429*'Business Case'!C12*$B429)-('Business Case'!B11*$C429*'Business Case'!B12*$B429))-'Business Case'!C15*$F429</f>
        <v>-54036416.5562496</v>
      </c>
      <c r="J429" s="39" t="n">
        <f aca="false">(('Business Case'!D11*$C429*'Business Case'!D12*$B429)-'Business Case'!D11*$C429*'Business Case'!D13*$D429-'Business Case'!D14*$E429)-MAX(0,(('Business Case'!D11*$C429*'Business Case'!D12*$B429)-'Business Case'!D11*$C429*'Business Case'!D13*$D429-'Business Case'!D14*$E429))*'Business Case'!$B$7-'Business Case'!$B$8*(('Business Case'!D11*$C429*'Business Case'!D12*$B429)-('Business Case'!C11*$C429*'Business Case'!C12*$B429))-'Business Case'!D15*$F429</f>
        <v>202042092.292909</v>
      </c>
      <c r="K429" s="39" t="n">
        <f aca="false">(('Business Case'!E11*$C429*'Business Case'!E12*$B429)-'Business Case'!E11*$C429*'Business Case'!E13*$D429-'Business Case'!E14*$E429)-MAX(0,(('Business Case'!E11*$C429*'Business Case'!E12*$B429)-'Business Case'!E11*$C429*'Business Case'!E13*$D429-'Business Case'!E14*$E429))*'Business Case'!$B$7-'Business Case'!$B$8*(('Business Case'!E11*$C429*'Business Case'!E12*$B429)-('Business Case'!D11*$C429*'Business Case'!D12*$B429))-'Business Case'!E15*$F429</f>
        <v>512269225.279912</v>
      </c>
      <c r="L429" s="39" t="n">
        <f aca="false">(('Business Case'!F11*$C429*'Business Case'!F12*$B429)-'Business Case'!F11*$C429*'Business Case'!F13*$D429-'Business Case'!F14*$E429)-MAX(0,(('Business Case'!F11*$C429*'Business Case'!F12*$B429)-'Business Case'!F11*$C429*'Business Case'!F13*$D429-'Business Case'!F14*$E429))*'Business Case'!$B$7-'Business Case'!$B$8*(('Business Case'!F11*$C429*'Business Case'!F12*$B429)-('Business Case'!E11*$C429*'Business Case'!E12*$B429))-'Business Case'!F15*$F429</f>
        <v>626665231.867043</v>
      </c>
      <c r="M429" s="39" t="n">
        <f aca="false">(('Business Case'!G11*$C429*'Business Case'!G12*$B429)-'Business Case'!G11*$C429*'Business Case'!G13*$D429-'Business Case'!G14*$E429)-MAX(0,(('Business Case'!G11*$C429*'Business Case'!G12*$B429)-'Business Case'!G11*$C429*'Business Case'!G13*$D429-'Business Case'!G14*$E429))*'Business Case'!$B$7-'Business Case'!$B$8*(('Business Case'!G11*$C429*'Business Case'!G12*$B429)-('Business Case'!F11*$C429*'Business Case'!F12*$B429))-'Business Case'!G15*$F429+'Business Case'!$B$8*('Business Case'!G11*$C429*'Business Case'!G12*$B429)</f>
        <v>786366001.872801</v>
      </c>
      <c r="N429" s="39" t="n">
        <f aca="false">IF(COUNT('Business Case'!B11:G11)=0,"",H429+NPV(G429,I429:M429))</f>
        <v>-793046412.910437</v>
      </c>
      <c r="P429" s="40" t="n">
        <f aca="true">RAND()</f>
        <v>0.482518351917389</v>
      </c>
      <c r="Q429" s="40" t="n">
        <f aca="true">RAND()</f>
        <v>0.17318730557664</v>
      </c>
      <c r="R429" s="40" t="n">
        <f aca="true">RAND()</f>
        <v>0.209275808159299</v>
      </c>
      <c r="S429" s="40" t="n">
        <f aca="true">RAND()</f>
        <v>0.963414491720528</v>
      </c>
      <c r="T429" s="40" t="n">
        <f aca="true">RAND()</f>
        <v>0.628024113114788</v>
      </c>
      <c r="U429" s="40" t="n">
        <f aca="true">RAND()</f>
        <v>0.713463848541615</v>
      </c>
    </row>
    <row r="430" customFormat="false" ht="15" hidden="false" customHeight="false" outlineLevel="0" collapsed="false">
      <c r="A430" s="36" t="n">
        <v>350</v>
      </c>
      <c r="B430" s="37" t="n">
        <f aca="false">1+IF($G$6=$E$6,$F$6,IF(P430&lt;($F$6-$E$6)/($G$6-$E$6),$E$6+SQRT(P430*($G$6-$E$6)*($F$6-$E$6)),$G$6-SQRT((1-P430)*($G$6-$E$6)*($G$6-$F$6))))</f>
        <v>1.02904775822641</v>
      </c>
      <c r="C430" s="37" t="n">
        <f aca="false">1+IF($G$7=$E$7,$F$7,IF(Q430&lt;($F$7-$E$7)/($G$7-$E$7),$E$7+SQRT(Q430*($G$7-$E$7)*($F$7-$E$7)),$G$7-SQRT((1-Q430)*($G$7-$E$7)*($G$7-$F$7))))</f>
        <v>1.06598542241075</v>
      </c>
      <c r="D430" s="37" t="n">
        <f aca="false">1+IF($G$8=$E$8,$F$8,IF(R430&lt;($F$8-$E$8)/($G$8-$E$8),$E$8+SQRT(R430*($G$8-$E$8)*($F$8-$E$8)),$G$8-SQRT((1-R430)*($G$8-$E$8)*($G$8-$F$8))))</f>
        <v>1.00745376668476</v>
      </c>
      <c r="E430" s="37" t="n">
        <f aca="false">1+IF($G$9=$E$9,$F$9,IF(S430&lt;($F$9-$E$9)/($G$9-$E$9),$E$9+SQRT(S430*($G$9-$E$9)*($F$9-$E$9)),$G$9-SQRT((1-S430)*($G$9-$E$9)*($G$9-$F$9))))</f>
        <v>0.985435760820822</v>
      </c>
      <c r="F430" s="37" t="n">
        <f aca="false">1+IF($G$10=$E$10,$F$10,IF(T430&lt;($F$10-$E$10)/($G$10-$E$10),$E$10+SQRT(T430*($G$10-$E$10)*($F$10-$E$10)),$G$10-SQRT((1-T430)*($G$10-$E$10)*($G$10-$F$10))))</f>
        <v>1.05021359407426</v>
      </c>
      <c r="G430" s="38" t="n">
        <f aca="false">IF($G$11=$E$11,$F$11,IF(U430&lt;($F$11-$E$11)/($G$11-$E$11),$E$11+SQRT(U430*($G$11-$E$11)*($F$11-$E$11)),$G$11-SQRT((1-U430)*($G$11-$E$11)*($G$11-$F$11))))</f>
        <v>0.0974328411212226</v>
      </c>
      <c r="H430" s="39" t="n">
        <f aca="false">(('Business Case'!B11*$C430*'Business Case'!B12*$B430)-'Business Case'!B11*$C430*'Business Case'!B13*$D430-'Business Case'!B14*$E430)-MAX(0,(('Business Case'!B11*$C430*'Business Case'!B12*$B430)-'Business Case'!B11*$C430*'Business Case'!B13*$D430-'Business Case'!B14*$E430))*'Business Case'!$B$7-'Business Case'!$B$8*('Business Case'!B11*$C430*'Business Case'!B12*$B430)-'Business Case'!B15*$F430</f>
        <v>-2100427188.14852</v>
      </c>
      <c r="I430" s="39" t="n">
        <f aca="false">(('Business Case'!C11*$C430*'Business Case'!C12*$B430)-'Business Case'!C11*$C430*'Business Case'!C13*$D430-'Business Case'!C14*$E430)-MAX(0,(('Business Case'!C11*$C430*'Business Case'!C12*$B430)-'Business Case'!C11*$C430*'Business Case'!C13*$D430-'Business Case'!C14*$E430))*'Business Case'!$B$7-'Business Case'!$B$8*(('Business Case'!C11*$C430*'Business Case'!C12*$B430)-('Business Case'!B11*$C430*'Business Case'!B12*$B430))-'Business Case'!C15*$F430</f>
        <v>46697975.7796148</v>
      </c>
      <c r="J430" s="39" t="n">
        <f aca="false">(('Business Case'!D11*$C430*'Business Case'!D12*$B430)-'Business Case'!D11*$C430*'Business Case'!D13*$D430-'Business Case'!D14*$E430)-MAX(0,(('Business Case'!D11*$C430*'Business Case'!D12*$B430)-'Business Case'!D11*$C430*'Business Case'!D13*$D430-'Business Case'!D14*$E430))*'Business Case'!$B$7-'Business Case'!$B$8*(('Business Case'!D11*$C430*'Business Case'!D12*$B430)-('Business Case'!C11*$C430*'Business Case'!C12*$B430))-'Business Case'!D15*$F430</f>
        <v>395412159.450058</v>
      </c>
      <c r="K430" s="39" t="n">
        <f aca="false">(('Business Case'!E11*$C430*'Business Case'!E12*$B430)-'Business Case'!E11*$C430*'Business Case'!E13*$D430-'Business Case'!E14*$E430)-MAX(0,(('Business Case'!E11*$C430*'Business Case'!E12*$B430)-'Business Case'!E11*$C430*'Business Case'!E13*$D430-'Business Case'!E14*$E430))*'Business Case'!$B$7-'Business Case'!$B$8*(('Business Case'!E11*$C430*'Business Case'!E12*$B430)-('Business Case'!D11*$C430*'Business Case'!D12*$B430))-'Business Case'!E15*$F430</f>
        <v>796637022.824213</v>
      </c>
      <c r="L430" s="39" t="n">
        <f aca="false">(('Business Case'!F11*$C430*'Business Case'!F12*$B430)-'Business Case'!F11*$C430*'Business Case'!F13*$D430-'Business Case'!F14*$E430)-MAX(0,(('Business Case'!F11*$C430*'Business Case'!F12*$B430)-'Business Case'!F11*$C430*'Business Case'!F13*$D430-'Business Case'!F14*$E430))*'Business Case'!$B$7-'Business Case'!$B$8*(('Business Case'!F11*$C430*'Business Case'!F12*$B430)-('Business Case'!E11*$C430*'Business Case'!E12*$B430))-'Business Case'!F15*$F430</f>
        <v>950785672.910815</v>
      </c>
      <c r="M430" s="39" t="n">
        <f aca="false">(('Business Case'!G11*$C430*'Business Case'!G12*$B430)-'Business Case'!G11*$C430*'Business Case'!G13*$D430-'Business Case'!G14*$E430)-MAX(0,(('Business Case'!G11*$C430*'Business Case'!G12*$B430)-'Business Case'!G11*$C430*'Business Case'!G13*$D430-'Business Case'!G14*$E430))*'Business Case'!$B$7-'Business Case'!$B$8*(('Business Case'!G11*$C430*'Business Case'!G12*$B430)-('Business Case'!F11*$C430*'Business Case'!F12*$B430))-'Business Case'!G15*$F430+'Business Case'!$B$8*('Business Case'!G11*$C430*'Business Case'!G12*$B430)</f>
        <v>1159293911.65798</v>
      </c>
      <c r="N430" s="39" t="n">
        <f aca="false">IF(COUNT('Business Case'!B11:G11)=0,"",H430+NPV(G430,I430:M430))</f>
        <v>256963926.09983</v>
      </c>
      <c r="P430" s="40" t="n">
        <f aca="true">RAND()</f>
        <v>0.941467141954813</v>
      </c>
      <c r="Q430" s="40" t="n">
        <f aca="true">RAND()</f>
        <v>0.895430381518515</v>
      </c>
      <c r="R430" s="40" t="n">
        <f aca="true">RAND()</f>
        <v>0.429012979944036</v>
      </c>
      <c r="S430" s="40" t="n">
        <f aca="true">RAND()</f>
        <v>0.29197076908131</v>
      </c>
      <c r="T430" s="40" t="n">
        <f aca="true">RAND()</f>
        <v>0.467805226763673</v>
      </c>
      <c r="U430" s="40" t="n">
        <f aca="true">RAND()</f>
        <v>0.303903949557789</v>
      </c>
    </row>
    <row r="431" customFormat="false" ht="15" hidden="false" customHeight="false" outlineLevel="0" collapsed="false">
      <c r="A431" s="36" t="n">
        <v>351</v>
      </c>
      <c r="B431" s="37" t="n">
        <f aca="false">1+IF($G$6=$E$6,$F$6,IF(P431&lt;($F$6-$E$6)/($G$6-$E$6),$E$6+SQRT(P431*($G$6-$E$6)*($F$6-$E$6)),$G$6-SQRT((1-P431)*($G$6-$E$6)*($G$6-$F$6))))</f>
        <v>1.02691621121345</v>
      </c>
      <c r="C431" s="37" t="n">
        <f aca="false">1+IF($G$7=$E$7,$F$7,IF(Q431&lt;($F$7-$E$7)/($G$7-$E$7),$E$7+SQRT(Q431*($G$7-$E$7)*($F$7-$E$7)),$G$7-SQRT((1-Q431)*($G$7-$E$7)*($G$7-$F$7))))</f>
        <v>1.06960779786854</v>
      </c>
      <c r="D431" s="37" t="n">
        <f aca="false">1+IF($G$8=$E$8,$F$8,IF(R431&lt;($F$8-$E$8)/($G$8-$E$8),$E$8+SQRT(R431*($G$8-$E$8)*($F$8-$E$8)),$G$8-SQRT((1-R431)*($G$8-$E$8)*($G$8-$F$8))))</f>
        <v>0.9897038748412</v>
      </c>
      <c r="E431" s="37" t="n">
        <f aca="false">1+IF($G$9=$E$9,$F$9,IF(S431&lt;($F$9-$E$9)/($G$9-$E$9),$E$9+SQRT(S431*($G$9-$E$9)*($F$9-$E$9)),$G$9-SQRT((1-S431)*($G$9-$E$9)*($G$9-$F$9))))</f>
        <v>1.0180680641191</v>
      </c>
      <c r="F431" s="37" t="n">
        <f aca="false">1+IF($G$10=$E$10,$F$10,IF(T431&lt;($F$10-$E$10)/($G$10-$E$10),$E$10+SQRT(T431*($G$10-$E$10)*($F$10-$E$10)),$G$10-SQRT((1-T431)*($G$10-$E$10)*($G$10-$F$10))))</f>
        <v>1.04837140904236</v>
      </c>
      <c r="G431" s="38" t="n">
        <f aca="false">IF($G$11=$E$11,$F$11,IF(U431&lt;($F$11-$E$11)/($G$11-$E$11),$E$11+SQRT(U431*($G$11-$E$11)*($F$11-$E$11)),$G$11-SQRT((1-U431)*($G$11-$E$11)*($G$11-$F$11))))</f>
        <v>0.122337687058205</v>
      </c>
      <c r="H431" s="39" t="n">
        <f aca="false">(('Business Case'!B11*$C431*'Business Case'!B12*$B431)-'Business Case'!B11*$C431*'Business Case'!B13*$D431-'Business Case'!B14*$E431)-MAX(0,(('Business Case'!B11*$C431*'Business Case'!B12*$B431)-'Business Case'!B11*$C431*'Business Case'!B13*$D431-'Business Case'!B14*$E431))*'Business Case'!$B$7-'Business Case'!$B$8*('Business Case'!B11*$C431*'Business Case'!B12*$B431)-'Business Case'!B15*$F431</f>
        <v>-2096742818.08472</v>
      </c>
      <c r="I431" s="39" t="n">
        <f aca="false">(('Business Case'!C11*$C431*'Business Case'!C12*$B431)-'Business Case'!C11*$C431*'Business Case'!C13*$D431-'Business Case'!C14*$E431)-MAX(0,(('Business Case'!C11*$C431*'Business Case'!C12*$B431)-'Business Case'!C11*$C431*'Business Case'!C13*$D431-'Business Case'!C14*$E431))*'Business Case'!$B$7-'Business Case'!$B$8*(('Business Case'!C11*$C431*'Business Case'!C12*$B431)-('Business Case'!B11*$C431*'Business Case'!B12*$B431))-'Business Case'!C15*$F431</f>
        <v>51203414.8133418</v>
      </c>
      <c r="J431" s="39" t="n">
        <f aca="false">(('Business Case'!D11*$C431*'Business Case'!D12*$B431)-'Business Case'!D11*$C431*'Business Case'!D13*$D431-'Business Case'!D14*$E431)-MAX(0,(('Business Case'!D11*$C431*'Business Case'!D12*$B431)-'Business Case'!D11*$C431*'Business Case'!D13*$D431-'Business Case'!D14*$E431))*'Business Case'!$B$7-'Business Case'!$B$8*(('Business Case'!D11*$C431*'Business Case'!D12*$B431)-('Business Case'!C11*$C431*'Business Case'!C12*$B431))-'Business Case'!D15*$F431</f>
        <v>408954180.172811</v>
      </c>
      <c r="K431" s="39" t="n">
        <f aca="false">(('Business Case'!E11*$C431*'Business Case'!E12*$B431)-'Business Case'!E11*$C431*'Business Case'!E13*$D431-'Business Case'!E14*$E431)-MAX(0,(('Business Case'!E11*$C431*'Business Case'!E12*$B431)-'Business Case'!E11*$C431*'Business Case'!E13*$D431-'Business Case'!E14*$E431))*'Business Case'!$B$7-'Business Case'!$B$8*(('Business Case'!E11*$C431*'Business Case'!E12*$B431)-('Business Case'!D11*$C431*'Business Case'!D12*$B431))-'Business Case'!E15*$F431</f>
        <v>819123515.984398</v>
      </c>
      <c r="L431" s="39" t="n">
        <f aca="false">(('Business Case'!F11*$C431*'Business Case'!F12*$B431)-'Business Case'!F11*$C431*'Business Case'!F13*$D431-'Business Case'!F14*$E431)-MAX(0,(('Business Case'!F11*$C431*'Business Case'!F12*$B431)-'Business Case'!F11*$C431*'Business Case'!F13*$D431-'Business Case'!F14*$E431))*'Business Case'!$B$7-'Business Case'!$B$8*(('Business Case'!F11*$C431*'Business Case'!F12*$B431)-('Business Case'!E11*$C431*'Business Case'!E12*$B431))-'Business Case'!F15*$F431</f>
        <v>976334391.720325</v>
      </c>
      <c r="M431" s="39" t="n">
        <f aca="false">(('Business Case'!G11*$C431*'Business Case'!G12*$B431)-'Business Case'!G11*$C431*'Business Case'!G13*$D431-'Business Case'!G14*$E431)-MAX(0,(('Business Case'!G11*$C431*'Business Case'!G12*$B431)-'Business Case'!G11*$C431*'Business Case'!G13*$D431-'Business Case'!G14*$E431))*'Business Case'!$B$7-'Business Case'!$B$8*(('Business Case'!G11*$C431*'Business Case'!G12*$B431)-('Business Case'!F11*$C431*'Business Case'!F12*$B431))-'Business Case'!G15*$F431+'Business Case'!$B$8*('Business Case'!G11*$C431*'Business Case'!G12*$B431)</f>
        <v>1185117805.1089</v>
      </c>
      <c r="N431" s="39" t="n">
        <f aca="false">IF(COUNT('Business Case'!B11:G11)=0,"",H431+NPV(G431,I431:M431))</f>
        <v>133756964.464341</v>
      </c>
      <c r="P431" s="40" t="n">
        <f aca="true">RAND()</f>
        <v>0.928951826034382</v>
      </c>
      <c r="Q431" s="40" t="n">
        <f aca="true">RAND()</f>
        <v>0.904253242021548</v>
      </c>
      <c r="R431" s="40" t="n">
        <f aca="true">RAND()</f>
        <v>0.210186356987422</v>
      </c>
      <c r="S431" s="40" t="n">
        <f aca="true">RAND()</f>
        <v>0.535839047859126</v>
      </c>
      <c r="T431" s="40" t="n">
        <f aca="true">RAND()</f>
        <v>0.457945484112485</v>
      </c>
      <c r="U431" s="40" t="n">
        <f aca="true">RAND()</f>
        <v>0.960859306921336</v>
      </c>
    </row>
    <row r="432" customFormat="false" ht="15" hidden="false" customHeight="false" outlineLevel="0" collapsed="false">
      <c r="A432" s="36" t="n">
        <v>352</v>
      </c>
      <c r="B432" s="37" t="n">
        <f aca="false">1+IF($G$6=$E$6,$F$6,IF(P432&lt;($F$6-$E$6)/($G$6-$E$6),$E$6+SQRT(P432*($G$6-$E$6)*($F$6-$E$6)),$G$6-SQRT((1-P432)*($G$6-$E$6)*($G$6-$F$6))))</f>
        <v>1.0394822534775</v>
      </c>
      <c r="C432" s="37" t="n">
        <f aca="false">1+IF($G$7=$E$7,$F$7,IF(Q432&lt;($F$7-$E$7)/($G$7-$E$7),$E$7+SQRT(Q432*($G$7-$E$7)*($F$7-$E$7)),$G$7-SQRT((1-Q432)*($G$7-$E$7)*($G$7-$F$7))))</f>
        <v>0.924478811570176</v>
      </c>
      <c r="D432" s="37" t="n">
        <f aca="false">1+IF($G$8=$E$8,$F$8,IF(R432&lt;($F$8-$E$8)/($G$8-$E$8),$E$8+SQRT(R432*($G$8-$E$8)*($F$8-$E$8)),$G$8-SQRT((1-R432)*($G$8-$E$8)*($G$8-$F$8))))</f>
        <v>1.01603932920438</v>
      </c>
      <c r="E432" s="37" t="n">
        <f aca="false">1+IF($G$9=$E$9,$F$9,IF(S432&lt;($F$9-$E$9)/($G$9-$E$9),$E$9+SQRT(S432*($G$9-$E$9)*($F$9-$E$9)),$G$9-SQRT((1-S432)*($G$9-$E$9)*($G$9-$F$9))))</f>
        <v>1.01148754156769</v>
      </c>
      <c r="F432" s="37" t="n">
        <f aca="false">1+IF($G$10=$E$10,$F$10,IF(T432&lt;($F$10-$E$10)/($G$10-$E$10),$E$10+SQRT(T432*($G$10-$E$10)*($F$10-$E$10)),$G$10-SQRT((1-T432)*($G$10-$E$10)*($G$10-$F$10))))</f>
        <v>1.21507994788978</v>
      </c>
      <c r="G432" s="38" t="n">
        <f aca="false">IF($G$11=$E$11,$F$11,IF(U432&lt;($F$11-$E$11)/($G$11-$E$11),$E$11+SQRT(U432*($G$11-$E$11)*($F$11-$E$11)),$G$11-SQRT((1-U432)*($G$11-$E$11)*($G$11-$F$11))))</f>
        <v>0.10564387121492</v>
      </c>
      <c r="H432" s="39" t="n">
        <f aca="false">(('Business Case'!B11*$C432*'Business Case'!B12*$B432)-'Business Case'!B11*$C432*'Business Case'!B13*$D432-'Business Case'!B14*$E432)-MAX(0,(('Business Case'!B11*$C432*'Business Case'!B12*$B432)-'Business Case'!B11*$C432*'Business Case'!B13*$D432-'Business Case'!B14*$E432))*'Business Case'!$B$7-'Business Case'!$B$8*('Business Case'!B11*$C432*'Business Case'!B12*$B432)-'Business Case'!B15*$F432</f>
        <v>-2430159895.77956</v>
      </c>
      <c r="I432" s="39" t="n">
        <f aca="false">(('Business Case'!C11*$C432*'Business Case'!C12*$B432)-'Business Case'!C11*$C432*'Business Case'!C13*$D432-'Business Case'!C14*$E432)-MAX(0,(('Business Case'!C11*$C432*'Business Case'!C12*$B432)-'Business Case'!C11*$C432*'Business Case'!C13*$D432-'Business Case'!C14*$E432))*'Business Case'!$B$7-'Business Case'!$B$8*(('Business Case'!C11*$C432*'Business Case'!C12*$B432)-('Business Case'!B11*$C432*'Business Case'!B12*$B432))-'Business Case'!C15*$F432</f>
        <v>-8897392.04688063</v>
      </c>
      <c r="J432" s="39" t="n">
        <f aca="false">(('Business Case'!D11*$C432*'Business Case'!D12*$B432)-'Business Case'!D11*$C432*'Business Case'!D13*$D432-'Business Case'!D14*$E432)-MAX(0,(('Business Case'!D11*$C432*'Business Case'!D12*$B432)-'Business Case'!D11*$C432*'Business Case'!D13*$D432-'Business Case'!D14*$E432))*'Business Case'!$B$7-'Business Case'!$B$8*(('Business Case'!D11*$C432*'Business Case'!D12*$B432)-('Business Case'!C11*$C432*'Business Case'!C12*$B432))-'Business Case'!D15*$F432</f>
        <v>297363906.969052</v>
      </c>
      <c r="K432" s="39" t="n">
        <f aca="false">(('Business Case'!E11*$C432*'Business Case'!E12*$B432)-'Business Case'!E11*$C432*'Business Case'!E13*$D432-'Business Case'!E14*$E432)-MAX(0,(('Business Case'!E11*$C432*'Business Case'!E12*$B432)-'Business Case'!E11*$C432*'Business Case'!E13*$D432-'Business Case'!E14*$E432))*'Business Case'!$B$7-'Business Case'!$B$8*(('Business Case'!E11*$C432*'Business Case'!E12*$B432)-('Business Case'!D11*$C432*'Business Case'!D12*$B432))-'Business Case'!E15*$F432</f>
        <v>664379203.379473</v>
      </c>
      <c r="L432" s="39" t="n">
        <f aca="false">(('Business Case'!F11*$C432*'Business Case'!F12*$B432)-'Business Case'!F11*$C432*'Business Case'!F13*$D432-'Business Case'!F14*$E432)-MAX(0,(('Business Case'!F11*$C432*'Business Case'!F12*$B432)-'Business Case'!F11*$C432*'Business Case'!F13*$D432-'Business Case'!F14*$E432))*'Business Case'!$B$7-'Business Case'!$B$8*(('Business Case'!F11*$C432*'Business Case'!F12*$B432)-('Business Case'!E11*$C432*'Business Case'!E12*$B432))-'Business Case'!F15*$F432</f>
        <v>799677748.293389</v>
      </c>
      <c r="M432" s="39" t="n">
        <f aca="false">(('Business Case'!G11*$C432*'Business Case'!G12*$B432)-'Business Case'!G11*$C432*'Business Case'!G13*$D432-'Business Case'!G14*$E432)-MAX(0,(('Business Case'!G11*$C432*'Business Case'!G12*$B432)-'Business Case'!G11*$C432*'Business Case'!G13*$D432-'Business Case'!G14*$E432))*'Business Case'!$B$7-'Business Case'!$B$8*(('Business Case'!G11*$C432*'Business Case'!G12*$B432)-('Business Case'!F11*$C432*'Business Case'!F12*$B432))-'Business Case'!G15*$F432+'Business Case'!$B$8*('Business Case'!G11*$C432*'Business Case'!G12*$B432)</f>
        <v>982340697.124058</v>
      </c>
      <c r="N432" s="39" t="n">
        <f aca="false">IF(COUNT('Business Case'!B11:G11)=0,"",H432+NPV(G432,I432:M432))</f>
        <v>-573731621.304765</v>
      </c>
      <c r="P432" s="40" t="n">
        <f aca="true">RAND()</f>
        <v>0.98525026774512</v>
      </c>
      <c r="Q432" s="40" t="n">
        <f aca="true">RAND()</f>
        <v>0.373264717362657</v>
      </c>
      <c r="R432" s="40" t="n">
        <f aca="true">RAND()</f>
        <v>0.530040383969927</v>
      </c>
      <c r="S432" s="40" t="n">
        <f aca="true">RAND()</f>
        <v>0.488381302907634</v>
      </c>
      <c r="T432" s="40" t="n">
        <f aca="true">RAND()</f>
        <v>0.983741199474928</v>
      </c>
      <c r="U432" s="40" t="n">
        <f aca="true">RAND()</f>
        <v>0.604519327069717</v>
      </c>
    </row>
    <row r="433" customFormat="false" ht="15" hidden="false" customHeight="false" outlineLevel="0" collapsed="false">
      <c r="A433" s="36" t="n">
        <v>353</v>
      </c>
      <c r="B433" s="37" t="n">
        <f aca="false">1+IF($G$6=$E$6,$F$6,IF(P433&lt;($F$6-$E$6)/($G$6-$E$6),$E$6+SQRT(P433*($G$6-$E$6)*($F$6-$E$6)),$G$6-SQRT((1-P433)*($G$6-$E$6)*($G$6-$F$6))))</f>
        <v>1.00645468111873</v>
      </c>
      <c r="C433" s="37" t="n">
        <f aca="false">1+IF($G$7=$E$7,$F$7,IF(Q433&lt;($F$7-$E$7)/($G$7-$E$7),$E$7+SQRT(Q433*($G$7-$E$7)*($F$7-$E$7)),$G$7-SQRT((1-Q433)*($G$7-$E$7)*($G$7-$F$7))))</f>
        <v>0.819125421587839</v>
      </c>
      <c r="D433" s="37" t="n">
        <f aca="false">1+IF($G$8=$E$8,$F$8,IF(R433&lt;($F$8-$E$8)/($G$8-$E$8),$E$8+SQRT(R433*($G$8-$E$8)*($F$8-$E$8)),$G$8-SQRT((1-R433)*($G$8-$E$8)*($G$8-$F$8))))</f>
        <v>1.01003222858014</v>
      </c>
      <c r="E433" s="37" t="n">
        <f aca="false">1+IF($G$9=$E$9,$F$9,IF(S433&lt;($F$9-$E$9)/($G$9-$E$9),$E$9+SQRT(S433*($G$9-$E$9)*($F$9-$E$9)),$G$9-SQRT((1-S433)*($G$9-$E$9)*($G$9-$F$9))))</f>
        <v>1.14482588100855</v>
      </c>
      <c r="F433" s="37" t="n">
        <f aca="false">1+IF($G$10=$E$10,$F$10,IF(T433&lt;($F$10-$E$10)/($G$10-$E$10),$E$10+SQRT(T433*($G$10-$E$10)*($F$10-$E$10)),$G$10-SQRT((1-T433)*($G$10-$E$10)*($G$10-$F$10))))</f>
        <v>1.03932698585823</v>
      </c>
      <c r="G433" s="38" t="n">
        <f aca="false">IF($G$11=$E$11,$F$11,IF(U433&lt;($F$11-$E$11)/($G$11-$E$11),$E$11+SQRT(U433*($G$11-$E$11)*($F$11-$E$11)),$G$11-SQRT((1-U433)*($G$11-$E$11)*($G$11-$F$11))))</f>
        <v>0.100821481634869</v>
      </c>
      <c r="H433" s="39" t="n">
        <f aca="false">(('Business Case'!B11*$C433*'Business Case'!B12*$B433)-'Business Case'!B11*$C433*'Business Case'!B13*$D433-'Business Case'!B14*$E433)-MAX(0,(('Business Case'!B11*$C433*'Business Case'!B12*$B433)-'Business Case'!B11*$C433*'Business Case'!B13*$D433-'Business Case'!B14*$E433))*'Business Case'!$B$7-'Business Case'!$B$8*('Business Case'!B11*$C433*'Business Case'!B12*$B433)-'Business Case'!B15*$F433</f>
        <v>-2078653971.71647</v>
      </c>
      <c r="I433" s="39" t="n">
        <f aca="false">(('Business Case'!C11*$C433*'Business Case'!C12*$B433)-'Business Case'!C11*$C433*'Business Case'!C13*$D433-'Business Case'!C14*$E433)-MAX(0,(('Business Case'!C11*$C433*'Business Case'!C12*$B433)-'Business Case'!C11*$C433*'Business Case'!C13*$D433-'Business Case'!C14*$E433))*'Business Case'!$B$7-'Business Case'!$B$8*(('Business Case'!C11*$C433*'Business Case'!C12*$B433)-('Business Case'!B11*$C433*'Business Case'!B12*$B433))-'Business Case'!C15*$F433</f>
        <v>-57744666.4297096</v>
      </c>
      <c r="J433" s="39" t="n">
        <f aca="false">(('Business Case'!D11*$C433*'Business Case'!D12*$B433)-'Business Case'!D11*$C433*'Business Case'!D13*$D433-'Business Case'!D14*$E433)-MAX(0,(('Business Case'!D11*$C433*'Business Case'!D12*$B433)-'Business Case'!D11*$C433*'Business Case'!D13*$D433-'Business Case'!D14*$E433))*'Business Case'!$B$7-'Business Case'!$B$8*(('Business Case'!D11*$C433*'Business Case'!D12*$B433)-('Business Case'!C11*$C433*'Business Case'!C12*$B433))-'Business Case'!D15*$F433</f>
        <v>193975155.966406</v>
      </c>
      <c r="K433" s="39" t="n">
        <f aca="false">(('Business Case'!E11*$C433*'Business Case'!E12*$B433)-'Business Case'!E11*$C433*'Business Case'!E13*$D433-'Business Case'!E14*$E433)-MAX(0,(('Business Case'!E11*$C433*'Business Case'!E12*$B433)-'Business Case'!E11*$C433*'Business Case'!E13*$D433-'Business Case'!E14*$E433))*'Business Case'!$B$7-'Business Case'!$B$8*(('Business Case'!E11*$C433*'Business Case'!E12*$B433)-('Business Case'!D11*$C433*'Business Case'!D12*$B433))-'Business Case'!E15*$F433</f>
        <v>497661327.655433</v>
      </c>
      <c r="L433" s="39" t="n">
        <f aca="false">(('Business Case'!F11*$C433*'Business Case'!F12*$B433)-'Business Case'!F11*$C433*'Business Case'!F13*$D433-'Business Case'!F14*$E433)-MAX(0,(('Business Case'!F11*$C433*'Business Case'!F12*$B433)-'Business Case'!F11*$C433*'Business Case'!F13*$D433-'Business Case'!F14*$E433))*'Business Case'!$B$7-'Business Case'!$B$8*(('Business Case'!F11*$C433*'Business Case'!F12*$B433)-('Business Case'!E11*$C433*'Business Case'!E12*$B433))-'Business Case'!F15*$F433</f>
        <v>610059635.094529</v>
      </c>
      <c r="M433" s="39" t="n">
        <f aca="false">(('Business Case'!G11*$C433*'Business Case'!G12*$B433)-'Business Case'!G11*$C433*'Business Case'!G13*$D433-'Business Case'!G14*$E433)-MAX(0,(('Business Case'!G11*$C433*'Business Case'!G12*$B433)-'Business Case'!G11*$C433*'Business Case'!G13*$D433-'Business Case'!G14*$E433))*'Business Case'!$B$7-'Business Case'!$B$8*(('Business Case'!G11*$C433*'Business Case'!G12*$B433)-('Business Case'!F11*$C433*'Business Case'!F12*$B433))-'Business Case'!G15*$F433+'Business Case'!$B$8*('Business Case'!G11*$C433*'Business Case'!G12*$B433)</f>
        <v>766763984.95001</v>
      </c>
      <c r="N433" s="39" t="n">
        <f aca="false">IF(COUNT('Business Case'!B11:G11)=0,"",H433+NPV(G433,I433:M433))</f>
        <v>-708212314.608224</v>
      </c>
      <c r="P433" s="40" t="n">
        <f aca="true">RAND()</f>
        <v>0.747174027137143</v>
      </c>
      <c r="Q433" s="40" t="n">
        <f aca="true">RAND()</f>
        <v>0.105117526433188</v>
      </c>
      <c r="R433" s="40" t="n">
        <f aca="true">RAND()</f>
        <v>0.460386673716284</v>
      </c>
      <c r="S433" s="40" t="n">
        <f aca="true">RAND()</f>
        <v>0.999286093137662</v>
      </c>
      <c r="T433" s="40" t="n">
        <f aca="true">RAND()</f>
        <v>0.408225081498976</v>
      </c>
      <c r="U433" s="40" t="n">
        <f aca="true">RAND()</f>
        <v>0.4324093773438</v>
      </c>
    </row>
    <row r="434" customFormat="false" ht="15" hidden="false" customHeight="false" outlineLevel="0" collapsed="false">
      <c r="A434" s="36" t="n">
        <v>354</v>
      </c>
      <c r="B434" s="37" t="n">
        <f aca="false">1+IF($G$6=$E$6,$F$6,IF(P434&lt;($F$6-$E$6)/($G$6-$E$6),$E$6+SQRT(P434*($G$6-$E$6)*($F$6-$E$6)),$G$6-SQRT((1-P434)*($G$6-$E$6)*($G$6-$F$6))))</f>
        <v>0.925092738464822</v>
      </c>
      <c r="C434" s="37" t="n">
        <f aca="false">1+IF($G$7=$E$7,$F$7,IF(Q434&lt;($F$7-$E$7)/($G$7-$E$7),$E$7+SQRT(Q434*($G$7-$E$7)*($F$7-$E$7)),$G$7-SQRT((1-Q434)*($G$7-$E$7)*($G$7-$F$7))))</f>
        <v>0.813391529498715</v>
      </c>
      <c r="D434" s="37" t="n">
        <f aca="false">1+IF($G$8=$E$8,$F$8,IF(R434&lt;($F$8-$E$8)/($G$8-$E$8),$E$8+SQRT(R434*($G$8-$E$8)*($F$8-$E$8)),$G$8-SQRT((1-R434)*($G$8-$E$8)*($G$8-$F$8))))</f>
        <v>1.01056908279427</v>
      </c>
      <c r="E434" s="37" t="n">
        <f aca="false">1+IF($G$9=$E$9,$F$9,IF(S434&lt;($F$9-$E$9)/($G$9-$E$9),$E$9+SQRT(S434*($G$9-$E$9)*($F$9-$E$9)),$G$9-SQRT((1-S434)*($G$9-$E$9)*($G$9-$F$9))))</f>
        <v>0.978633054381888</v>
      </c>
      <c r="F434" s="37" t="n">
        <f aca="false">1+IF($G$10=$E$10,$F$10,IF(T434&lt;($F$10-$E$10)/($G$10-$E$10),$E$10+SQRT(T434*($G$10-$E$10)*($F$10-$E$10)),$G$10-SQRT((1-T434)*($G$10-$E$10)*($G$10-$F$10))))</f>
        <v>1.07818313728256</v>
      </c>
      <c r="G434" s="38" t="n">
        <f aca="false">IF($G$11=$E$11,$F$11,IF(U434&lt;($F$11-$E$11)/($G$11-$E$11),$E$11+SQRT(U434*($G$11-$E$11)*($F$11-$E$11)),$G$11-SQRT((1-U434)*($G$11-$E$11)*($G$11-$F$11))))</f>
        <v>0.097821763675551</v>
      </c>
      <c r="H434" s="39" t="n">
        <f aca="false">(('Business Case'!B11*$C434*'Business Case'!B12*$B434)-'Business Case'!B11*$C434*'Business Case'!B13*$D434-'Business Case'!B14*$E434)-MAX(0,(('Business Case'!B11*$C434*'Business Case'!B12*$B434)-'Business Case'!B11*$C434*'Business Case'!B13*$D434-'Business Case'!B14*$E434))*'Business Case'!$B$7-'Business Case'!$B$8*('Business Case'!B11*$C434*'Business Case'!B12*$B434)-'Business Case'!B15*$F434</f>
        <v>-2156366274.56512</v>
      </c>
      <c r="I434" s="39" t="n">
        <f aca="false">(('Business Case'!C11*$C434*'Business Case'!C12*$B434)-'Business Case'!C11*$C434*'Business Case'!C13*$D434-'Business Case'!C14*$E434)-MAX(0,(('Business Case'!C11*$C434*'Business Case'!C12*$B434)-'Business Case'!C11*$C434*'Business Case'!C13*$D434-'Business Case'!C14*$E434))*'Business Case'!$B$7-'Business Case'!$B$8*(('Business Case'!C11*$C434*'Business Case'!C12*$B434)-('Business Case'!B11*$C434*'Business Case'!B12*$B434))-'Business Case'!C15*$F434</f>
        <v>-90458817.3562851</v>
      </c>
      <c r="J434" s="39" t="n">
        <f aca="false">(('Business Case'!D11*$C434*'Business Case'!D12*$B434)-'Business Case'!D11*$C434*'Business Case'!D13*$D434-'Business Case'!D14*$E434)-MAX(0,(('Business Case'!D11*$C434*'Business Case'!D12*$B434)-'Business Case'!D11*$C434*'Business Case'!D13*$D434-'Business Case'!D14*$E434))*'Business Case'!$B$7-'Business Case'!$B$8*(('Business Case'!D11*$C434*'Business Case'!D12*$B434)-('Business Case'!C11*$C434*'Business Case'!C12*$B434))-'Business Case'!D15*$F434</f>
        <v>105069960.401534</v>
      </c>
      <c r="K434" s="39" t="n">
        <f aca="false">(('Business Case'!E11*$C434*'Business Case'!E12*$B434)-'Business Case'!E11*$C434*'Business Case'!E13*$D434-'Business Case'!E14*$E434)-MAX(0,(('Business Case'!E11*$C434*'Business Case'!E12*$B434)-'Business Case'!E11*$C434*'Business Case'!E13*$D434-'Business Case'!E14*$E434))*'Business Case'!$B$7-'Business Case'!$B$8*(('Business Case'!E11*$C434*'Business Case'!E12*$B434)-('Business Case'!D11*$C434*'Business Case'!D12*$B434))-'Business Case'!E15*$F434</f>
        <v>354507895.023482</v>
      </c>
      <c r="L434" s="39" t="n">
        <f aca="false">(('Business Case'!F11*$C434*'Business Case'!F12*$B434)-'Business Case'!F11*$C434*'Business Case'!F13*$D434-'Business Case'!F14*$E434)-MAX(0,(('Business Case'!F11*$C434*'Business Case'!F12*$B434)-'Business Case'!F11*$C434*'Business Case'!F13*$D434-'Business Case'!F14*$E434))*'Business Case'!$B$7-'Business Case'!$B$8*(('Business Case'!F11*$C434*'Business Case'!F12*$B434)-('Business Case'!E11*$C434*'Business Case'!E12*$B434))-'Business Case'!F15*$F434</f>
        <v>445689261.644584</v>
      </c>
      <c r="M434" s="39" t="n">
        <f aca="false">(('Business Case'!G11*$C434*'Business Case'!G12*$B434)-'Business Case'!G11*$C434*'Business Case'!G13*$D434-'Business Case'!G14*$E434)-MAX(0,(('Business Case'!G11*$C434*'Business Case'!G12*$B434)-'Business Case'!G11*$C434*'Business Case'!G13*$D434-'Business Case'!G14*$E434))*'Business Case'!$B$7-'Business Case'!$B$8*(('Business Case'!G11*$C434*'Business Case'!G12*$B434)-('Business Case'!F11*$C434*'Business Case'!F12*$B434))-'Business Case'!G15*$F434+'Business Case'!$B$8*('Business Case'!G11*$C434*'Business Case'!G12*$B434)</f>
        <v>588717352.171313</v>
      </c>
      <c r="N434" s="39" t="n">
        <f aca="false">IF(COUNT('Business Case'!B11:G11)=0,"",H434+NPV(G434,I434:M434))</f>
        <v>-1207626518.96717</v>
      </c>
      <c r="P434" s="40" t="n">
        <f aca="true">RAND()</f>
        <v>0.0419763682442649</v>
      </c>
      <c r="Q434" s="40" t="n">
        <f aca="true">RAND()</f>
        <v>0.0952417700893182</v>
      </c>
      <c r="R434" s="40" t="n">
        <f aca="true">RAND()</f>
        <v>0.466807403182787</v>
      </c>
      <c r="S434" s="40" t="n">
        <f aca="true">RAND()</f>
        <v>0.247326289657</v>
      </c>
      <c r="T434" s="40" t="n">
        <f aca="true">RAND()</f>
        <v>0.60638620914582</v>
      </c>
      <c r="U434" s="40" t="n">
        <f aca="true">RAND()</f>
        <v>0.317615260507188</v>
      </c>
    </row>
    <row r="435" customFormat="false" ht="15" hidden="false" customHeight="false" outlineLevel="0" collapsed="false">
      <c r="A435" s="36" t="n">
        <v>355</v>
      </c>
      <c r="B435" s="37" t="n">
        <f aca="false">1+IF($G$6=$E$6,$F$6,IF(P435&lt;($F$6-$E$6)/($G$6-$E$6),$E$6+SQRT(P435*($G$6-$E$6)*($F$6-$E$6)),$G$6-SQRT((1-P435)*($G$6-$E$6)*($G$6-$F$6))))</f>
        <v>0.986465796966485</v>
      </c>
      <c r="C435" s="37" t="n">
        <f aca="false">1+IF($G$7=$E$7,$F$7,IF(Q435&lt;($F$7-$E$7)/($G$7-$E$7),$E$7+SQRT(Q435*($G$7-$E$7)*($F$7-$E$7)),$G$7-SQRT((1-Q435)*($G$7-$E$7)*($G$7-$F$7))))</f>
        <v>1.05668922799811</v>
      </c>
      <c r="D435" s="37" t="n">
        <f aca="false">1+IF($G$8=$E$8,$F$8,IF(R435&lt;($F$8-$E$8)/($G$8-$E$8),$E$8+SQRT(R435*($G$8-$E$8)*($F$8-$E$8)),$G$8-SQRT((1-R435)*($G$8-$E$8)*($G$8-$F$8))))</f>
        <v>1.03166997437335</v>
      </c>
      <c r="E435" s="37" t="n">
        <f aca="false">1+IF($G$9=$E$9,$F$9,IF(S435&lt;($F$9-$E$9)/($G$9-$E$9),$E$9+SQRT(S435*($G$9-$E$9)*($F$9-$E$9)),$G$9-SQRT((1-S435)*($G$9-$E$9)*($G$9-$F$9))))</f>
        <v>0.977516274592348</v>
      </c>
      <c r="F435" s="37" t="n">
        <f aca="false">1+IF($G$10=$E$10,$F$10,IF(T435&lt;($F$10-$E$10)/($G$10-$E$10),$E$10+SQRT(T435*($G$10-$E$10)*($F$10-$E$10)),$G$10-SQRT((1-T435)*($G$10-$E$10)*($G$10-$F$10))))</f>
        <v>1.00839739691716</v>
      </c>
      <c r="G435" s="38" t="n">
        <f aca="false">IF($G$11=$E$11,$F$11,IF(U435&lt;($F$11-$E$11)/($G$11-$E$11),$E$11+SQRT(U435*($G$11-$E$11)*($F$11-$E$11)),$G$11-SQRT((1-U435)*($G$11-$E$11)*($G$11-$F$11))))</f>
        <v>0.117171799755048</v>
      </c>
      <c r="H435" s="39" t="n">
        <f aca="false">(('Business Case'!B11*$C435*'Business Case'!B12*$B435)-'Business Case'!B11*$C435*'Business Case'!B13*$D435-'Business Case'!B14*$E435)-MAX(0,(('Business Case'!B11*$C435*'Business Case'!B12*$B435)-'Business Case'!B11*$C435*'Business Case'!B13*$D435-'Business Case'!B14*$E435))*'Business Case'!$B$7-'Business Case'!$B$8*('Business Case'!B11*$C435*'Business Case'!B12*$B435)-'Business Case'!B15*$F435</f>
        <v>-2016794793.83432</v>
      </c>
      <c r="I435" s="39" t="n">
        <f aca="false">(('Business Case'!C11*$C435*'Business Case'!C12*$B435)-'Business Case'!C11*$C435*'Business Case'!C13*$D435-'Business Case'!C14*$E435)-MAX(0,(('Business Case'!C11*$C435*'Business Case'!C12*$B435)-'Business Case'!C11*$C435*'Business Case'!C13*$D435-'Business Case'!C14*$E435))*'Business Case'!$B$7-'Business Case'!$B$8*(('Business Case'!C11*$C435*'Business Case'!C12*$B435)-('Business Case'!B11*$C435*'Business Case'!B12*$B435))-'Business Case'!C15*$F435</f>
        <v>1838791.78733537</v>
      </c>
      <c r="J435" s="39" t="n">
        <f aca="false">(('Business Case'!D11*$C435*'Business Case'!D12*$B435)-'Business Case'!D11*$C435*'Business Case'!D13*$D435-'Business Case'!D14*$E435)-MAX(0,(('Business Case'!D11*$C435*'Business Case'!D12*$B435)-'Business Case'!D11*$C435*'Business Case'!D13*$D435-'Business Case'!D14*$E435))*'Business Case'!$B$7-'Business Case'!$B$8*(('Business Case'!D11*$C435*'Business Case'!D12*$B435)-('Business Case'!C11*$C435*'Business Case'!C12*$B435))-'Business Case'!D15*$F435</f>
        <v>297557520.103427</v>
      </c>
      <c r="K435" s="39" t="n">
        <f aca="false">(('Business Case'!E11*$C435*'Business Case'!E12*$B435)-'Business Case'!E11*$C435*'Business Case'!E13*$D435-'Business Case'!E14*$E435)-MAX(0,(('Business Case'!E11*$C435*'Business Case'!E12*$B435)-'Business Case'!E11*$C435*'Business Case'!E13*$D435-'Business Case'!E14*$E435))*'Business Case'!$B$7-'Business Case'!$B$8*(('Business Case'!E11*$C435*'Business Case'!E12*$B435)-('Business Case'!D11*$C435*'Business Case'!D12*$B435))-'Business Case'!E15*$F435</f>
        <v>643696118.265376</v>
      </c>
      <c r="L435" s="39" t="n">
        <f aca="false">(('Business Case'!F11*$C435*'Business Case'!F12*$B435)-'Business Case'!F11*$C435*'Business Case'!F13*$D435-'Business Case'!F14*$E435)-MAX(0,(('Business Case'!F11*$C435*'Business Case'!F12*$B435)-'Business Case'!F11*$C435*'Business Case'!F13*$D435-'Business Case'!F14*$E435))*'Business Case'!$B$7-'Business Case'!$B$8*(('Business Case'!F11*$C435*'Business Case'!F12*$B435)-('Business Case'!E11*$C435*'Business Case'!E12*$B435))-'Business Case'!F15*$F435</f>
        <v>778293949.430745</v>
      </c>
      <c r="M435" s="39" t="n">
        <f aca="false">(('Business Case'!G11*$C435*'Business Case'!G12*$B435)-'Business Case'!G11*$C435*'Business Case'!G13*$D435-'Business Case'!G14*$E435)-MAX(0,(('Business Case'!G11*$C435*'Business Case'!G12*$B435)-'Business Case'!G11*$C435*'Business Case'!G13*$D435-'Business Case'!G14*$E435))*'Business Case'!$B$7-'Business Case'!$B$8*(('Business Case'!G11*$C435*'Business Case'!G12*$B435)-('Business Case'!F11*$C435*'Business Case'!F12*$B435))-'Business Case'!G15*$F435+'Business Case'!$B$8*('Business Case'!G11*$C435*'Business Case'!G12*$B435)</f>
        <v>976431018.927441</v>
      </c>
      <c r="N435" s="39" t="n">
        <f aca="false">IF(COUNT('Business Case'!B11:G11)=0,"",H435+NPV(G435,I435:M435))</f>
        <v>-254327104.886172</v>
      </c>
      <c r="P435" s="40" t="n">
        <f aca="true">RAND()</f>
        <v>0.498422269669964</v>
      </c>
      <c r="Q435" s="40" t="n">
        <f aca="true">RAND()</f>
        <v>0.871008886346837</v>
      </c>
      <c r="R435" s="40" t="n">
        <f aca="true">RAND()</f>
        <v>0.688733839857451</v>
      </c>
      <c r="S435" s="40" t="n">
        <f aca="true">RAND()</f>
        <v>0.240350913067054</v>
      </c>
      <c r="T435" s="40" t="n">
        <f aca="true">RAND()</f>
        <v>0.221709095781274</v>
      </c>
      <c r="U435" s="40" t="n">
        <f aca="true">RAND()</f>
        <v>0.890291518983603</v>
      </c>
    </row>
    <row r="436" customFormat="false" ht="15" hidden="false" customHeight="false" outlineLevel="0" collapsed="false">
      <c r="A436" s="36" t="n">
        <v>356</v>
      </c>
      <c r="B436" s="37" t="n">
        <f aca="false">1+IF($G$6=$E$6,$F$6,IF(P436&lt;($F$6-$E$6)/($G$6-$E$6),$E$6+SQRT(P436*($G$6-$E$6)*($F$6-$E$6)),$G$6-SQRT((1-P436)*($G$6-$E$6)*($G$6-$F$6))))</f>
        <v>0.997198686099759</v>
      </c>
      <c r="C436" s="37" t="n">
        <f aca="false">1+IF($G$7=$E$7,$F$7,IF(Q436&lt;($F$7-$E$7)/($G$7-$E$7),$E$7+SQRT(Q436*($G$7-$E$7)*($F$7-$E$7)),$G$7-SQRT((1-Q436)*($G$7-$E$7)*($G$7-$F$7))))</f>
        <v>0.895558347172628</v>
      </c>
      <c r="D436" s="37" t="n">
        <f aca="false">1+IF($G$8=$E$8,$F$8,IF(R436&lt;($F$8-$E$8)/($G$8-$E$8),$E$8+SQRT(R436*($G$8-$E$8)*($F$8-$E$8)),$G$8-SQRT((1-R436)*($G$8-$E$8)*($G$8-$F$8))))</f>
        <v>0.988585718720647</v>
      </c>
      <c r="E436" s="37" t="n">
        <f aca="false">1+IF($G$9=$E$9,$F$9,IF(S436&lt;($F$9-$E$9)/($G$9-$E$9),$E$9+SQRT(S436*($G$9-$E$9)*($F$9-$E$9)),$G$9-SQRT((1-S436)*($G$9-$E$9)*($G$9-$F$9))))</f>
        <v>0.957392711066997</v>
      </c>
      <c r="F436" s="37" t="n">
        <f aca="false">1+IF($G$10=$E$10,$F$10,IF(T436&lt;($F$10-$E$10)/($G$10-$E$10),$E$10+SQRT(T436*($G$10-$E$10)*($F$10-$E$10)),$G$10-SQRT((1-T436)*($G$10-$E$10)*($G$10-$F$10))))</f>
        <v>1.07197275603255</v>
      </c>
      <c r="G436" s="38" t="n">
        <f aca="false">IF($G$11=$E$11,$F$11,IF(U436&lt;($F$11-$E$11)/($G$11-$E$11),$E$11+SQRT(U436*($G$11-$E$11)*($F$11-$E$11)),$G$11-SQRT((1-U436)*($G$11-$E$11)*($G$11-$F$11))))</f>
        <v>0.0988926172327421</v>
      </c>
      <c r="H436" s="39" t="n">
        <f aca="false">(('Business Case'!B11*$C436*'Business Case'!B12*$B436)-'Business Case'!B11*$C436*'Business Case'!B13*$D436-'Business Case'!B14*$E436)-MAX(0,(('Business Case'!B11*$C436*'Business Case'!B12*$B436)-'Business Case'!B11*$C436*'Business Case'!B13*$D436-'Business Case'!B14*$E436))*'Business Case'!$B$7-'Business Case'!$B$8*('Business Case'!B11*$C436*'Business Case'!B12*$B436)-'Business Case'!B15*$F436</f>
        <v>-2143945512.0651</v>
      </c>
      <c r="I436" s="39" t="n">
        <f aca="false">(('Business Case'!C11*$C436*'Business Case'!C12*$B436)-'Business Case'!C11*$C436*'Business Case'!C13*$D436-'Business Case'!C14*$E436)-MAX(0,(('Business Case'!C11*$C436*'Business Case'!C12*$B436)-'Business Case'!C11*$C436*'Business Case'!C13*$D436-'Business Case'!C14*$E436))*'Business Case'!$B$7-'Business Case'!$B$8*(('Business Case'!C11*$C436*'Business Case'!C12*$B436)-('Business Case'!B11*$C436*'Business Case'!B12*$B436))-'Business Case'!C15*$F436</f>
        <v>-11383586.5024516</v>
      </c>
      <c r="J436" s="39" t="n">
        <f aca="false">(('Business Case'!D11*$C436*'Business Case'!D12*$B436)-'Business Case'!D11*$C436*'Business Case'!D13*$D436-'Business Case'!D14*$E436)-MAX(0,(('Business Case'!D11*$C436*'Business Case'!D12*$B436)-'Business Case'!D11*$C436*'Business Case'!D13*$D436-'Business Case'!D14*$E436))*'Business Case'!$B$7-'Business Case'!$B$8*(('Business Case'!D11*$C436*'Business Case'!D12*$B436)-('Business Case'!C11*$C436*'Business Case'!C12*$B436))-'Business Case'!D15*$F436</f>
        <v>266867037.745502</v>
      </c>
      <c r="K436" s="39" t="n">
        <f aca="false">(('Business Case'!E11*$C436*'Business Case'!E12*$B436)-'Business Case'!E11*$C436*'Business Case'!E13*$D436-'Business Case'!E14*$E436)-MAX(0,(('Business Case'!E11*$C436*'Business Case'!E12*$B436)-'Business Case'!E11*$C436*'Business Case'!E13*$D436-'Business Case'!E14*$E436))*'Business Case'!$B$7-'Business Case'!$B$8*(('Business Case'!E11*$C436*'Business Case'!E12*$B436)-('Business Case'!D11*$C436*'Business Case'!D12*$B436))-'Business Case'!E15*$F436</f>
        <v>598716299.795083</v>
      </c>
      <c r="L436" s="39" t="n">
        <f aca="false">(('Business Case'!F11*$C436*'Business Case'!F12*$B436)-'Business Case'!F11*$C436*'Business Case'!F13*$D436-'Business Case'!F14*$E436)-MAX(0,(('Business Case'!F11*$C436*'Business Case'!F12*$B436)-'Business Case'!F11*$C436*'Business Case'!F13*$D436-'Business Case'!F14*$E436))*'Business Case'!$B$7-'Business Case'!$B$8*(('Business Case'!F11*$C436*'Business Case'!F12*$B436)-('Business Case'!E11*$C436*'Business Case'!E12*$B436))-'Business Case'!F15*$F436</f>
        <v>722330302.300016</v>
      </c>
      <c r="M436" s="39" t="n">
        <f aca="false">(('Business Case'!G11*$C436*'Business Case'!G12*$B436)-'Business Case'!G11*$C436*'Business Case'!G13*$D436-'Business Case'!G14*$E436)-MAX(0,(('Business Case'!G11*$C436*'Business Case'!G12*$B436)-'Business Case'!G11*$C436*'Business Case'!G13*$D436-'Business Case'!G14*$E436))*'Business Case'!$B$7-'Business Case'!$B$8*(('Business Case'!G11*$C436*'Business Case'!G12*$B436)-('Business Case'!F11*$C436*'Business Case'!F12*$B436))-'Business Case'!G15*$F436+'Business Case'!$B$8*('Business Case'!G11*$C436*'Business Case'!G12*$B436)</f>
        <v>892081171.622567</v>
      </c>
      <c r="N436" s="39" t="n">
        <f aca="false">IF(COUNT('Business Case'!B11:G11)=0,"",H436+NPV(G436,I436:M436))</f>
        <v>-430061135.339024</v>
      </c>
      <c r="P436" s="40" t="n">
        <f aca="true">RAND()</f>
        <v>0.629838971967962</v>
      </c>
      <c r="Q436" s="40" t="n">
        <f aca="true">RAND()</f>
        <v>0.283281978880669</v>
      </c>
      <c r="R436" s="40" t="n">
        <f aca="true">RAND()</f>
        <v>0.198514358558515</v>
      </c>
      <c r="S436" s="40" t="n">
        <f aca="true">RAND()</f>
        <v>0.13175693134479</v>
      </c>
      <c r="T436" s="40" t="n">
        <f aca="true">RAND()</f>
        <v>0.577417338738054</v>
      </c>
      <c r="U436" s="40" t="n">
        <f aca="true">RAND()</f>
        <v>0.356930985902902</v>
      </c>
    </row>
    <row r="437" customFormat="false" ht="15" hidden="false" customHeight="false" outlineLevel="0" collapsed="false">
      <c r="A437" s="36" t="n">
        <v>357</v>
      </c>
      <c r="B437" s="37" t="n">
        <f aca="false">1+IF($G$6=$E$6,$F$6,IF(P437&lt;($F$6-$E$6)/($G$6-$E$6),$E$6+SQRT(P437*($G$6-$E$6)*($F$6-$E$6)),$G$6-SQRT((1-P437)*($G$6-$E$6)*($G$6-$F$6))))</f>
        <v>0.997569344668942</v>
      </c>
      <c r="C437" s="37" t="n">
        <f aca="false">1+IF($G$7=$E$7,$F$7,IF(Q437&lt;($F$7-$E$7)/($G$7-$E$7),$E$7+SQRT(Q437*($G$7-$E$7)*($F$7-$E$7)),$G$7-SQRT((1-Q437)*($G$7-$E$7)*($G$7-$F$7))))</f>
        <v>0.894727095696801</v>
      </c>
      <c r="D437" s="37" t="n">
        <f aca="false">1+IF($G$8=$E$8,$F$8,IF(R437&lt;($F$8-$E$8)/($G$8-$E$8),$E$8+SQRT(R437*($G$8-$E$8)*($F$8-$E$8)),$G$8-SQRT((1-R437)*($G$8-$E$8)*($G$8-$F$8))))</f>
        <v>0.98786904931576</v>
      </c>
      <c r="E437" s="37" t="n">
        <f aca="false">1+IF($G$9=$E$9,$F$9,IF(S437&lt;($F$9-$E$9)/($G$9-$E$9),$E$9+SQRT(S437*($G$9-$E$9)*($F$9-$E$9)),$G$9-SQRT((1-S437)*($G$9-$E$9)*($G$9-$F$9))))</f>
        <v>1.02257427527396</v>
      </c>
      <c r="F437" s="37" t="n">
        <f aca="false">1+IF($G$10=$E$10,$F$10,IF(T437&lt;($F$10-$E$10)/($G$10-$E$10),$E$10+SQRT(T437*($G$10-$E$10)*($F$10-$E$10)),$G$10-SQRT((1-T437)*($G$10-$E$10)*($G$10-$F$10))))</f>
        <v>1.15701161849408</v>
      </c>
      <c r="G437" s="38" t="n">
        <f aca="false">IF($G$11=$E$11,$F$11,IF(U437&lt;($F$11-$E$11)/($G$11-$E$11),$E$11+SQRT(U437*($G$11-$E$11)*($F$11-$E$11)),$G$11-SQRT((1-U437)*($G$11-$E$11)*($G$11-$F$11))))</f>
        <v>0.0962618814316226</v>
      </c>
      <c r="H437" s="39" t="n">
        <f aca="false">(('Business Case'!B11*$C437*'Business Case'!B12*$B437)-'Business Case'!B11*$C437*'Business Case'!B13*$D437-'Business Case'!B14*$E437)-MAX(0,(('Business Case'!B11*$C437*'Business Case'!B12*$B437)-'Business Case'!B11*$C437*'Business Case'!B13*$D437-'Business Case'!B14*$E437))*'Business Case'!$B$7-'Business Case'!$B$8*('Business Case'!B11*$C437*'Business Case'!B12*$B437)-'Business Case'!B15*$F437</f>
        <v>-2314023236.98816</v>
      </c>
      <c r="I437" s="39" t="n">
        <f aca="false">(('Business Case'!C11*$C437*'Business Case'!C12*$B437)-'Business Case'!C11*$C437*'Business Case'!C13*$D437-'Business Case'!C14*$E437)-MAX(0,(('Business Case'!C11*$C437*'Business Case'!C12*$B437)-'Business Case'!C11*$C437*'Business Case'!C13*$D437-'Business Case'!C14*$E437))*'Business Case'!$B$7-'Business Case'!$B$8*(('Business Case'!C11*$C437*'Business Case'!C12*$B437)-('Business Case'!B11*$C437*'Business Case'!B12*$B437))-'Business Case'!C15*$F437</f>
        <v>-28788891.6081564</v>
      </c>
      <c r="J437" s="39" t="n">
        <f aca="false">(('Business Case'!D11*$C437*'Business Case'!D12*$B437)-'Business Case'!D11*$C437*'Business Case'!D13*$D437-'Business Case'!D14*$E437)-MAX(0,(('Business Case'!D11*$C437*'Business Case'!D12*$B437)-'Business Case'!D11*$C437*'Business Case'!D13*$D437-'Business Case'!D14*$E437))*'Business Case'!$B$7-'Business Case'!$B$8*(('Business Case'!D11*$C437*'Business Case'!D12*$B437)-('Business Case'!C11*$C437*'Business Case'!C12*$B437))-'Business Case'!D15*$F437</f>
        <v>249803352.976064</v>
      </c>
      <c r="K437" s="39" t="n">
        <f aca="false">(('Business Case'!E11*$C437*'Business Case'!E12*$B437)-'Business Case'!E11*$C437*'Business Case'!E13*$D437-'Business Case'!E14*$E437)-MAX(0,(('Business Case'!E11*$C437*'Business Case'!E12*$B437)-'Business Case'!E11*$C437*'Business Case'!E13*$D437-'Business Case'!E14*$E437))*'Business Case'!$B$7-'Business Case'!$B$8*(('Business Case'!E11*$C437*'Business Case'!E12*$B437)-('Business Case'!D11*$C437*'Business Case'!D12*$B437))-'Business Case'!E15*$F437</f>
        <v>586246178.484989</v>
      </c>
      <c r="L437" s="39" t="n">
        <f aca="false">(('Business Case'!F11*$C437*'Business Case'!F12*$B437)-'Business Case'!F11*$C437*'Business Case'!F13*$D437-'Business Case'!F14*$E437)-MAX(0,(('Business Case'!F11*$C437*'Business Case'!F12*$B437)-'Business Case'!F11*$C437*'Business Case'!F13*$D437-'Business Case'!F14*$E437))*'Business Case'!$B$7-'Business Case'!$B$8*(('Business Case'!F11*$C437*'Business Case'!F12*$B437)-('Business Case'!E11*$C437*'Business Case'!E12*$B437))-'Business Case'!F15*$F437</f>
        <v>709956868.279071</v>
      </c>
      <c r="M437" s="39" t="n">
        <f aca="false">(('Business Case'!G11*$C437*'Business Case'!G12*$B437)-'Business Case'!G11*$C437*'Business Case'!G13*$D437-'Business Case'!G14*$E437)-MAX(0,(('Business Case'!G11*$C437*'Business Case'!G12*$B437)-'Business Case'!G11*$C437*'Business Case'!G13*$D437-'Business Case'!G14*$E437))*'Business Case'!$B$7-'Business Case'!$B$8*(('Business Case'!G11*$C437*'Business Case'!G12*$B437)-('Business Case'!F11*$C437*'Business Case'!F12*$B437))-'Business Case'!G15*$F437+'Business Case'!$B$8*('Business Case'!G11*$C437*'Business Case'!G12*$B437)</f>
        <v>879613213.742114</v>
      </c>
      <c r="N437" s="39" t="n">
        <f aca="false">IF(COUNT('Business Case'!B11:G11)=0,"",H437+NPV(G437,I437:M437))</f>
        <v>-640344173.916581</v>
      </c>
      <c r="P437" s="40" t="n">
        <f aca="true">RAND()</f>
        <v>0.634651801275126</v>
      </c>
      <c r="Q437" s="40" t="n">
        <f aca="true">RAND()</f>
        <v>0.280878828137119</v>
      </c>
      <c r="R437" s="40" t="n">
        <f aca="true">RAND()</f>
        <v>0.191208652810594</v>
      </c>
      <c r="S437" s="40" t="n">
        <f aca="true">RAND()</f>
        <v>0.567004924747825</v>
      </c>
      <c r="T437" s="40" t="n">
        <f aca="true">RAND()</f>
        <v>0.884708812065461</v>
      </c>
      <c r="U437" s="40" t="n">
        <f aca="true">RAND()</f>
        <v>0.264448787696151</v>
      </c>
    </row>
    <row r="438" customFormat="false" ht="15" hidden="false" customHeight="false" outlineLevel="0" collapsed="false">
      <c r="A438" s="36" t="n">
        <v>358</v>
      </c>
      <c r="B438" s="37" t="n">
        <f aca="false">1+IF($G$6=$E$6,$F$6,IF(P438&lt;($F$6-$E$6)/($G$6-$E$6),$E$6+SQRT(P438*($G$6-$E$6)*($F$6-$E$6)),$G$6-SQRT((1-P438)*($G$6-$E$6)*($G$6-$F$6))))</f>
        <v>0.921929739981639</v>
      </c>
      <c r="C438" s="37" t="n">
        <f aca="false">1+IF($G$7=$E$7,$F$7,IF(Q438&lt;($F$7-$E$7)/($G$7-$E$7),$E$7+SQRT(Q438*($G$7-$E$7)*($F$7-$E$7)),$G$7-SQRT((1-Q438)*($G$7-$E$7)*($G$7-$F$7))))</f>
        <v>0.991354595087672</v>
      </c>
      <c r="D438" s="37" t="n">
        <f aca="false">1+IF($G$8=$E$8,$F$8,IF(R438&lt;($F$8-$E$8)/($G$8-$E$8),$E$8+SQRT(R438*($G$8-$E$8)*($F$8-$E$8)),$G$8-SQRT((1-R438)*($G$8-$E$8)*($G$8-$F$8))))</f>
        <v>1.05108629253406</v>
      </c>
      <c r="E438" s="37" t="n">
        <f aca="false">1+IF($G$9=$E$9,$F$9,IF(S438&lt;($F$9-$E$9)/($G$9-$E$9),$E$9+SQRT(S438*($G$9-$E$9)*($F$9-$E$9)),$G$9-SQRT((1-S438)*($G$9-$E$9)*($G$9-$F$9))))</f>
        <v>0.995577506589192</v>
      </c>
      <c r="F438" s="37" t="n">
        <f aca="false">1+IF($G$10=$E$10,$F$10,IF(T438&lt;($F$10-$E$10)/($G$10-$E$10),$E$10+SQRT(T438*($G$10-$E$10)*($F$10-$E$10)),$G$10-SQRT((1-T438)*($G$10-$E$10)*($G$10-$F$10))))</f>
        <v>1.05388119865706</v>
      </c>
      <c r="G438" s="38" t="n">
        <f aca="false">IF($G$11=$E$11,$F$11,IF(U438&lt;($F$11-$E$11)/($G$11-$E$11),$E$11+SQRT(U438*($G$11-$E$11)*($F$11-$E$11)),$G$11-SQRT((1-U438)*($G$11-$E$11)*($G$11-$F$11))))</f>
        <v>0.095608335510681</v>
      </c>
      <c r="H438" s="39" t="n">
        <f aca="false">(('Business Case'!B11*$C438*'Business Case'!B12*$B438)-'Business Case'!B11*$C438*'Business Case'!B13*$D438-'Business Case'!B14*$E438)-MAX(0,(('Business Case'!B11*$C438*'Business Case'!B12*$B438)-'Business Case'!B11*$C438*'Business Case'!B13*$D438-'Business Case'!B14*$E438))*'Business Case'!$B$7-'Business Case'!$B$8*('Business Case'!B11*$C438*'Business Case'!B12*$B438)-'Business Case'!B15*$F438</f>
        <v>-2107762397.31412</v>
      </c>
      <c r="I438" s="39" t="n">
        <f aca="false">(('Business Case'!C11*$C438*'Business Case'!C12*$B438)-'Business Case'!C11*$C438*'Business Case'!C13*$D438-'Business Case'!C14*$E438)-MAX(0,(('Business Case'!C11*$C438*'Business Case'!C12*$B438)-'Business Case'!C11*$C438*'Business Case'!C13*$D438-'Business Case'!C14*$E438))*'Business Case'!$B$7-'Business Case'!$B$8*(('Business Case'!C11*$C438*'Business Case'!C12*$B438)-('Business Case'!B11*$C438*'Business Case'!B12*$B438))-'Business Case'!C15*$F438</f>
        <v>-79160675.6021851</v>
      </c>
      <c r="J438" s="39" t="n">
        <f aca="false">(('Business Case'!D11*$C438*'Business Case'!D12*$B438)-'Business Case'!D11*$C438*'Business Case'!D13*$D438-'Business Case'!D14*$E438)-MAX(0,(('Business Case'!D11*$C438*'Business Case'!D12*$B438)-'Business Case'!D11*$C438*'Business Case'!D13*$D438-'Business Case'!D14*$E438))*'Business Case'!$B$7-'Business Case'!$B$8*(('Business Case'!D11*$C438*'Business Case'!D12*$B438)-('Business Case'!C11*$C438*'Business Case'!C12*$B438))-'Business Case'!D15*$F438</f>
        <v>136017539.384963</v>
      </c>
      <c r="K438" s="39" t="n">
        <f aca="false">(('Business Case'!E11*$C438*'Business Case'!E12*$B438)-'Business Case'!E11*$C438*'Business Case'!E13*$D438-'Business Case'!E14*$E438)-MAX(0,(('Business Case'!E11*$C438*'Business Case'!E12*$B438)-'Business Case'!E11*$C438*'Business Case'!E13*$D438-'Business Case'!E14*$E438))*'Business Case'!$B$7-'Business Case'!$B$8*(('Business Case'!E11*$C438*'Business Case'!E12*$B438)-('Business Case'!D11*$C438*'Business Case'!D12*$B438))-'Business Case'!E15*$F438</f>
        <v>403889814.304964</v>
      </c>
      <c r="L438" s="39" t="n">
        <f aca="false">(('Business Case'!F11*$C438*'Business Case'!F12*$B438)-'Business Case'!F11*$C438*'Business Case'!F13*$D438-'Business Case'!F14*$E438)-MAX(0,(('Business Case'!F11*$C438*'Business Case'!F12*$B438)-'Business Case'!F11*$C438*'Business Case'!F13*$D438-'Business Case'!F14*$E438))*'Business Case'!$B$7-'Business Case'!$B$8*(('Business Case'!F11*$C438*'Business Case'!F12*$B438)-('Business Case'!E11*$C438*'Business Case'!E12*$B438))-'Business Case'!F15*$F438</f>
        <v>507202318.825109</v>
      </c>
      <c r="M438" s="39" t="n">
        <f aca="false">(('Business Case'!G11*$C438*'Business Case'!G12*$B438)-'Business Case'!G11*$C438*'Business Case'!G13*$D438-'Business Case'!G14*$E438)-MAX(0,(('Business Case'!G11*$C438*'Business Case'!G12*$B438)-'Business Case'!G11*$C438*'Business Case'!G13*$D438-'Business Case'!G14*$E438))*'Business Case'!$B$7-'Business Case'!$B$8*(('Business Case'!G11*$C438*'Business Case'!G12*$B438)-('Business Case'!F11*$C438*'Business Case'!F12*$B438))-'Business Case'!G15*$F438+'Business Case'!$B$8*('Business Case'!G11*$C438*'Business Case'!G12*$B438)</f>
        <v>680927699.542804</v>
      </c>
      <c r="N438" s="39" t="n">
        <f aca="false">IF(COUNT('Business Case'!B11:G11)=0,"",H438+NPV(G438,I438:M438))</f>
        <v>-976230255.469196</v>
      </c>
      <c r="P438" s="40" t="n">
        <f aca="true">RAND()</f>
        <v>0.0320608997108197</v>
      </c>
      <c r="Q438" s="40" t="n">
        <f aca="true">RAND()</f>
        <v>0.628796296879268</v>
      </c>
      <c r="R438" s="40" t="n">
        <f aca="true">RAND()</f>
        <v>0.840496614795782</v>
      </c>
      <c r="S438" s="40" t="n">
        <f aca="true">RAND()</f>
        <v>0.365402390632283</v>
      </c>
      <c r="T438" s="40" t="n">
        <f aca="true">RAND()</f>
        <v>0.487165543464108</v>
      </c>
      <c r="U438" s="40" t="n">
        <f aca="true">RAND()</f>
        <v>0.243620137413985</v>
      </c>
    </row>
    <row r="439" customFormat="false" ht="15" hidden="false" customHeight="false" outlineLevel="0" collapsed="false">
      <c r="A439" s="36" t="n">
        <v>359</v>
      </c>
      <c r="B439" s="37" t="n">
        <f aca="false">1+IF($G$6=$E$6,$F$6,IF(P439&lt;($F$6-$E$6)/($G$6-$E$6),$E$6+SQRT(P439*($G$6-$E$6)*($F$6-$E$6)),$G$6-SQRT((1-P439)*($G$6-$E$6)*($G$6-$F$6))))</f>
        <v>1.02686588764312</v>
      </c>
      <c r="C439" s="37" t="n">
        <f aca="false">1+IF($G$7=$E$7,$F$7,IF(Q439&lt;($F$7-$E$7)/($G$7-$E$7),$E$7+SQRT(Q439*($G$7-$E$7)*($F$7-$E$7)),$G$7-SQRT((1-Q439)*($G$7-$E$7)*($G$7-$F$7))))</f>
        <v>0.888402297136638</v>
      </c>
      <c r="D439" s="37" t="n">
        <f aca="false">1+IF($G$8=$E$8,$F$8,IF(R439&lt;($F$8-$E$8)/($G$8-$E$8),$E$8+SQRT(R439*($G$8-$E$8)*($F$8-$E$8)),$G$8-SQRT((1-R439)*($G$8-$E$8)*($G$8-$F$8))))</f>
        <v>0.990358581830176</v>
      </c>
      <c r="E439" s="37" t="n">
        <f aca="false">1+IF($G$9=$E$9,$F$9,IF(S439&lt;($F$9-$E$9)/($G$9-$E$9),$E$9+SQRT(S439*($G$9-$E$9)*($F$9-$E$9)),$G$9-SQRT((1-S439)*($G$9-$E$9)*($G$9-$F$9))))</f>
        <v>0.974152299455386</v>
      </c>
      <c r="F439" s="37" t="n">
        <f aca="false">1+IF($G$10=$E$10,$F$10,IF(T439&lt;($F$10-$E$10)/($G$10-$E$10),$E$10+SQRT(T439*($G$10-$E$10)*($F$10-$E$10)),$G$10-SQRT((1-T439)*($G$10-$E$10)*($G$10-$F$10))))</f>
        <v>1.11476719528773</v>
      </c>
      <c r="G439" s="38" t="n">
        <f aca="false">IF($G$11=$E$11,$F$11,IF(U439&lt;($F$11-$E$11)/($G$11-$E$11),$E$11+SQRT(U439*($G$11-$E$11)*($F$11-$E$11)),$G$11-SQRT((1-U439)*($G$11-$E$11)*($G$11-$F$11))))</f>
        <v>0.115570583178457</v>
      </c>
      <c r="H439" s="39" t="n">
        <f aca="false">(('Business Case'!B11*$C439*'Business Case'!B12*$B439)-'Business Case'!B11*$C439*'Business Case'!B13*$D439-'Business Case'!B14*$E439)-MAX(0,(('Business Case'!B11*$C439*'Business Case'!B12*$B439)-'Business Case'!B11*$C439*'Business Case'!B13*$D439-'Business Case'!B14*$E439))*'Business Case'!$B$7-'Business Case'!$B$8*('Business Case'!B11*$C439*'Business Case'!B12*$B439)-'Business Case'!B15*$F439</f>
        <v>-2229534390.57547</v>
      </c>
      <c r="I439" s="39" t="n">
        <f aca="false">(('Business Case'!C11*$C439*'Business Case'!C12*$B439)-'Business Case'!C11*$C439*'Business Case'!C13*$D439-'Business Case'!C14*$E439)-MAX(0,(('Business Case'!C11*$C439*'Business Case'!C12*$B439)-'Business Case'!C11*$C439*'Business Case'!C13*$D439-'Business Case'!C14*$E439))*'Business Case'!$B$7-'Business Case'!$B$8*(('Business Case'!C11*$C439*'Business Case'!C12*$B439)-('Business Case'!B11*$C439*'Business Case'!B12*$B439))-'Business Case'!C15*$F439</f>
        <v>-484504.230166227</v>
      </c>
      <c r="J439" s="39" t="n">
        <f aca="false">(('Business Case'!D11*$C439*'Business Case'!D12*$B439)-'Business Case'!D11*$C439*'Business Case'!D13*$D439-'Business Case'!D14*$E439)-MAX(0,(('Business Case'!D11*$C439*'Business Case'!D12*$B439)-'Business Case'!D11*$C439*'Business Case'!D13*$D439-'Business Case'!D14*$E439))*'Business Case'!$B$7-'Business Case'!$B$8*(('Business Case'!D11*$C439*'Business Case'!D12*$B439)-('Business Case'!C11*$C439*'Business Case'!C12*$B439))-'Business Case'!D15*$F439</f>
        <v>296324245.547384</v>
      </c>
      <c r="K439" s="39" t="n">
        <f aca="false">(('Business Case'!E11*$C439*'Business Case'!E12*$B439)-'Business Case'!E11*$C439*'Business Case'!E13*$D439-'Business Case'!E14*$E439)-MAX(0,(('Business Case'!E11*$C439*'Business Case'!E12*$B439)-'Business Case'!E11*$C439*'Business Case'!E13*$D439-'Business Case'!E14*$E439))*'Business Case'!$B$7-'Business Case'!$B$8*(('Business Case'!E11*$C439*'Business Case'!E12*$B439)-('Business Case'!D11*$C439*'Business Case'!D12*$B439))-'Business Case'!E15*$F439</f>
        <v>648871355.089321</v>
      </c>
      <c r="L439" s="39" t="n">
        <f aca="false">(('Business Case'!F11*$C439*'Business Case'!F12*$B439)-'Business Case'!F11*$C439*'Business Case'!F13*$D439-'Business Case'!F14*$E439)-MAX(0,(('Business Case'!F11*$C439*'Business Case'!F12*$B439)-'Business Case'!F11*$C439*'Business Case'!F13*$D439-'Business Case'!F14*$E439))*'Business Case'!$B$7-'Business Case'!$B$8*(('Business Case'!F11*$C439*'Business Case'!F12*$B439)-('Business Case'!E11*$C439*'Business Case'!E12*$B439))-'Business Case'!F15*$F439</f>
        <v>779335656.679429</v>
      </c>
      <c r="M439" s="39" t="n">
        <f aca="false">(('Business Case'!G11*$C439*'Business Case'!G12*$B439)-'Business Case'!G11*$C439*'Business Case'!G13*$D439-'Business Case'!G14*$E439)-MAX(0,(('Business Case'!G11*$C439*'Business Case'!G12*$B439)-'Business Case'!G11*$C439*'Business Case'!G13*$D439-'Business Case'!G14*$E439))*'Business Case'!$B$7-'Business Case'!$B$8*(('Business Case'!G11*$C439*'Business Case'!G12*$B439)-('Business Case'!F11*$C439*'Business Case'!F12*$B439))-'Business Case'!G15*$F439+'Business Case'!$B$8*('Business Case'!G11*$C439*'Business Case'!G12*$B439)</f>
        <v>952739940.83285</v>
      </c>
      <c r="N439" s="39" t="n">
        <f aca="false">IF(COUNT('Business Case'!B11:G11)=0,"",H439+NPV(G439,I439:M439))</f>
        <v>-469860701.815064</v>
      </c>
      <c r="P439" s="40" t="n">
        <f aca="true">RAND()</f>
        <v>0.928641712727898</v>
      </c>
      <c r="Q439" s="40" t="n">
        <f aca="true">RAND()</f>
        <v>0.262929078269349</v>
      </c>
      <c r="R439" s="40" t="n">
        <f aca="true">RAND()</f>
        <v>0.217175350312404</v>
      </c>
      <c r="S439" s="40" t="n">
        <f aca="true">RAND()</f>
        <v>0.219942540580846</v>
      </c>
      <c r="T439" s="40" t="n">
        <f aca="true">RAND()</f>
        <v>0.756161180395384</v>
      </c>
      <c r="U439" s="40" t="n">
        <f aca="true">RAND()</f>
        <v>0.861194620126786</v>
      </c>
    </row>
    <row r="440" customFormat="false" ht="15" hidden="false" customHeight="false" outlineLevel="0" collapsed="false">
      <c r="A440" s="36" t="n">
        <v>360</v>
      </c>
      <c r="B440" s="37" t="n">
        <f aca="false">1+IF($G$6=$E$6,$F$6,IF(P440&lt;($F$6-$E$6)/($G$6-$E$6),$E$6+SQRT(P440*($G$6-$E$6)*($F$6-$E$6)),$G$6-SQRT((1-P440)*($G$6-$E$6)*($G$6-$F$6))))</f>
        <v>1.00305823012884</v>
      </c>
      <c r="C440" s="37" t="n">
        <f aca="false">1+IF($G$7=$E$7,$F$7,IF(Q440&lt;($F$7-$E$7)/($G$7-$E$7),$E$7+SQRT(Q440*($G$7-$E$7)*($F$7-$E$7)),$G$7-SQRT((1-Q440)*($G$7-$E$7)*($G$7-$F$7))))</f>
        <v>0.986423448938069</v>
      </c>
      <c r="D440" s="37" t="n">
        <f aca="false">1+IF($G$8=$E$8,$F$8,IF(R440&lt;($F$8-$E$8)/($G$8-$E$8),$E$8+SQRT(R440*($G$8-$E$8)*($F$8-$E$8)),$G$8-SQRT((1-R440)*($G$8-$E$8)*($G$8-$F$8))))</f>
        <v>1.02157481842693</v>
      </c>
      <c r="E440" s="37" t="n">
        <f aca="false">1+IF($G$9=$E$9,$F$9,IF(S440&lt;($F$9-$E$9)/($G$9-$E$9),$E$9+SQRT(S440*($G$9-$E$9)*($F$9-$E$9)),$G$9-SQRT((1-S440)*($G$9-$E$9)*($G$9-$F$9))))</f>
        <v>1.03038989543686</v>
      </c>
      <c r="F440" s="37" t="n">
        <f aca="false">1+IF($G$10=$E$10,$F$10,IF(T440&lt;($F$10-$E$10)/($G$10-$E$10),$E$10+SQRT(T440*($G$10-$E$10)*($F$10-$E$10)),$G$10-SQRT((1-T440)*($G$10-$E$10)*($G$10-$F$10))))</f>
        <v>1.03819743606388</v>
      </c>
      <c r="G440" s="38" t="n">
        <f aca="false">IF($G$11=$E$11,$F$11,IF(U440&lt;($F$11-$E$11)/($G$11-$E$11),$E$11+SQRT(U440*($G$11-$E$11)*($F$11-$E$11)),$G$11-SQRT((1-U440)*($G$11-$E$11)*($G$11-$F$11))))</f>
        <v>0.10280602180403</v>
      </c>
      <c r="H440" s="39" t="n">
        <f aca="false">(('Business Case'!B11*$C440*'Business Case'!B12*$B440)-'Business Case'!B11*$C440*'Business Case'!B13*$D440-'Business Case'!B14*$E440)-MAX(0,(('Business Case'!B11*$C440*'Business Case'!B12*$B440)-'Business Case'!B11*$C440*'Business Case'!B13*$D440-'Business Case'!B14*$E440))*'Business Case'!$B$7-'Business Case'!$B$8*('Business Case'!B11*$C440*'Business Case'!B12*$B440)-'Business Case'!B15*$F440</f>
        <v>-2076394872.12775</v>
      </c>
      <c r="I440" s="39" t="n">
        <f aca="false">(('Business Case'!C11*$C440*'Business Case'!C12*$B440)-'Business Case'!C11*$C440*'Business Case'!C13*$D440-'Business Case'!C14*$E440)-MAX(0,(('Business Case'!C11*$C440*'Business Case'!C12*$B440)-'Business Case'!C11*$C440*'Business Case'!C13*$D440-'Business Case'!C14*$E440))*'Business Case'!$B$7-'Business Case'!$B$8*(('Business Case'!C11*$C440*'Business Case'!C12*$B440)-('Business Case'!B11*$C440*'Business Case'!B12*$B440))-'Business Case'!C15*$F440</f>
        <v>-7075560.49408066</v>
      </c>
      <c r="J440" s="39" t="n">
        <f aca="false">(('Business Case'!D11*$C440*'Business Case'!D12*$B440)-'Business Case'!D11*$C440*'Business Case'!D13*$D440-'Business Case'!D14*$E440)-MAX(0,(('Business Case'!D11*$C440*'Business Case'!D12*$B440)-'Business Case'!D11*$C440*'Business Case'!D13*$D440-'Business Case'!D14*$E440))*'Business Case'!$B$7-'Business Case'!$B$8*(('Business Case'!D11*$C440*'Business Case'!D12*$B440)-('Business Case'!C11*$C440*'Business Case'!C12*$B440))-'Business Case'!D15*$F440</f>
        <v>287482643.584101</v>
      </c>
      <c r="K440" s="39" t="n">
        <f aca="false">(('Business Case'!E11*$C440*'Business Case'!E12*$B440)-'Business Case'!E11*$C440*'Business Case'!E13*$D440-'Business Case'!E14*$E440)-MAX(0,(('Business Case'!E11*$C440*'Business Case'!E12*$B440)-'Business Case'!E11*$C440*'Business Case'!E13*$D440-'Business Case'!E14*$E440))*'Business Case'!$B$7-'Business Case'!$B$8*(('Business Case'!E11*$C440*'Business Case'!E12*$B440)-('Business Case'!D11*$C440*'Business Case'!D12*$B440))-'Business Case'!E15*$F440</f>
        <v>633950719.465476</v>
      </c>
      <c r="L440" s="39" t="n">
        <f aca="false">(('Business Case'!F11*$C440*'Business Case'!F12*$B440)-'Business Case'!F11*$C440*'Business Case'!F13*$D440-'Business Case'!F14*$E440)-MAX(0,(('Business Case'!F11*$C440*'Business Case'!F12*$B440)-'Business Case'!F11*$C440*'Business Case'!F13*$D440-'Business Case'!F14*$E440))*'Business Case'!$B$7-'Business Case'!$B$8*(('Business Case'!F11*$C440*'Business Case'!F12*$B440)-('Business Case'!E11*$C440*'Business Case'!E12*$B440))-'Business Case'!F15*$F440</f>
        <v>766331839.381373</v>
      </c>
      <c r="M440" s="39" t="n">
        <f aca="false">(('Business Case'!G11*$C440*'Business Case'!G12*$B440)-'Business Case'!G11*$C440*'Business Case'!G13*$D440-'Business Case'!G14*$E440)-MAX(0,(('Business Case'!G11*$C440*'Business Case'!G12*$B440)-'Business Case'!G11*$C440*'Business Case'!G13*$D440-'Business Case'!G14*$E440))*'Business Case'!$B$7-'Business Case'!$B$8*(('Business Case'!G11*$C440*'Business Case'!G12*$B440)-('Business Case'!F11*$C440*'Business Case'!F12*$B440))-'Business Case'!G15*$F440+'Business Case'!$B$8*('Business Case'!G11*$C440*'Business Case'!G12*$B440)</f>
        <v>954404624.775467</v>
      </c>
      <c r="N440" s="39" t="n">
        <f aca="false">IF(COUNT('Business Case'!B11:G11)=0,"",H440+NPV(G440,I440:M440))</f>
        <v>-270542095.717742</v>
      </c>
      <c r="P440" s="40" t="n">
        <f aca="true">RAND()</f>
        <v>0.706196032181718</v>
      </c>
      <c r="Q440" s="40" t="n">
        <f aca="true">RAND()</f>
        <v>0.607691793345025</v>
      </c>
      <c r="R440" s="40" t="n">
        <f aca="true">RAND()</f>
        <v>0.589966059682023</v>
      </c>
      <c r="S440" s="40" t="n">
        <f aca="true">RAND()</f>
        <v>0.61849127697053</v>
      </c>
      <c r="T440" s="40" t="n">
        <f aca="true">RAND()</f>
        <v>0.401862318801126</v>
      </c>
      <c r="U440" s="40" t="n">
        <f aca="true">RAND()</f>
        <v>0.50699169991806</v>
      </c>
    </row>
    <row r="441" customFormat="false" ht="15" hidden="false" customHeight="false" outlineLevel="0" collapsed="false">
      <c r="A441" s="36" t="n">
        <v>361</v>
      </c>
      <c r="B441" s="37" t="n">
        <f aca="false">1+IF($G$6=$E$6,$F$6,IF(P441&lt;($F$6-$E$6)/($G$6-$E$6),$E$6+SQRT(P441*($G$6-$E$6)*($F$6-$E$6)),$G$6-SQRT((1-P441)*($G$6-$E$6)*($G$6-$F$6))))</f>
        <v>0.993348983250922</v>
      </c>
      <c r="C441" s="37" t="n">
        <f aca="false">1+IF($G$7=$E$7,$F$7,IF(Q441&lt;($F$7-$E$7)/($G$7-$E$7),$E$7+SQRT(Q441*($G$7-$E$7)*($F$7-$E$7)),$G$7-SQRT((1-Q441)*($G$7-$E$7)*($G$7-$F$7))))</f>
        <v>0.739858240688908</v>
      </c>
      <c r="D441" s="37" t="n">
        <f aca="false">1+IF($G$8=$E$8,$F$8,IF(R441&lt;($F$8-$E$8)/($G$8-$E$8),$E$8+SQRT(R441*($G$8-$E$8)*($F$8-$E$8)),$G$8-SQRT((1-R441)*($G$8-$E$8)*($G$8-$F$8))))</f>
        <v>0.970711993512143</v>
      </c>
      <c r="E441" s="37" t="n">
        <f aca="false">1+IF($G$9=$E$9,$F$9,IF(S441&lt;($F$9-$E$9)/($G$9-$E$9),$E$9+SQRT(S441*($G$9-$E$9)*($F$9-$E$9)),$G$9-SQRT((1-S441)*($G$9-$E$9)*($G$9-$F$9))))</f>
        <v>1.0069974851155</v>
      </c>
      <c r="F441" s="37" t="n">
        <f aca="false">1+IF($G$10=$E$10,$F$10,IF(T441&lt;($F$10-$E$10)/($G$10-$E$10),$E$10+SQRT(T441*($G$10-$E$10)*($F$10-$E$10)),$G$10-SQRT((1-T441)*($G$10-$E$10)*($G$10-$F$10))))</f>
        <v>1.00036206290249</v>
      </c>
      <c r="G441" s="38" t="n">
        <f aca="false">IF($G$11=$E$11,$F$11,IF(U441&lt;($F$11-$E$11)/($G$11-$E$11),$E$11+SQRT(U441*($G$11-$E$11)*($F$11-$E$11)),$G$11-SQRT((1-U441)*($G$11-$E$11)*($G$11-$F$11))))</f>
        <v>0.10179699890997</v>
      </c>
      <c r="H441" s="39" t="n">
        <f aca="false">(('Business Case'!B11*$C441*'Business Case'!B12*$B441)-'Business Case'!B11*$C441*'Business Case'!B13*$D441-'Business Case'!B14*$E441)-MAX(0,(('Business Case'!B11*$C441*'Business Case'!B12*$B441)-'Business Case'!B11*$C441*'Business Case'!B13*$D441-'Business Case'!B14*$E441))*'Business Case'!$B$7-'Business Case'!$B$8*('Business Case'!B11*$C441*'Business Case'!B12*$B441)-'Business Case'!B15*$F441</f>
        <v>-2000724125.80497</v>
      </c>
      <c r="I441" s="39" t="n">
        <f aca="false">(('Business Case'!C11*$C441*'Business Case'!C12*$B441)-'Business Case'!C11*$C441*'Business Case'!C13*$D441-'Business Case'!C14*$E441)-MAX(0,(('Business Case'!C11*$C441*'Business Case'!C12*$B441)-'Business Case'!C11*$C441*'Business Case'!C13*$D441-'Business Case'!C14*$E441))*'Business Case'!$B$7-'Business Case'!$B$8*(('Business Case'!C11*$C441*'Business Case'!C12*$B441)-('Business Case'!B11*$C441*'Business Case'!B12*$B441))-'Business Case'!C15*$F441</f>
        <v>-47019183.4458591</v>
      </c>
      <c r="J441" s="39" t="n">
        <f aca="false">(('Business Case'!D11*$C441*'Business Case'!D12*$B441)-'Business Case'!D11*$C441*'Business Case'!D13*$D441-'Business Case'!D14*$E441)-MAX(0,(('Business Case'!D11*$C441*'Business Case'!D12*$B441)-'Business Case'!D11*$C441*'Business Case'!D13*$D441-'Business Case'!D14*$E441))*'Business Case'!$B$7-'Business Case'!$B$8*(('Business Case'!D11*$C441*'Business Case'!D12*$B441)-('Business Case'!C11*$C441*'Business Case'!C12*$B441))-'Business Case'!D15*$F441</f>
        <v>187292038.212155</v>
      </c>
      <c r="K441" s="39" t="n">
        <f aca="false">(('Business Case'!E11*$C441*'Business Case'!E12*$B441)-'Business Case'!E11*$C441*'Business Case'!E13*$D441-'Business Case'!E14*$E441)-MAX(0,(('Business Case'!E11*$C441*'Business Case'!E12*$B441)-'Business Case'!E11*$C441*'Business Case'!E13*$D441-'Business Case'!E14*$E441))*'Business Case'!$B$7-'Business Case'!$B$8*(('Business Case'!E11*$C441*'Business Case'!E12*$B441)-('Business Case'!D11*$C441*'Business Case'!D12*$B441))-'Business Case'!E15*$F441</f>
        <v>471621363.015295</v>
      </c>
      <c r="L441" s="39" t="n">
        <f aca="false">(('Business Case'!F11*$C441*'Business Case'!F12*$B441)-'Business Case'!F11*$C441*'Business Case'!F13*$D441-'Business Case'!F14*$E441)-MAX(0,(('Business Case'!F11*$C441*'Business Case'!F12*$B441)-'Business Case'!F11*$C441*'Business Case'!F13*$D441-'Business Case'!F14*$E441))*'Business Case'!$B$7-'Business Case'!$B$8*(('Business Case'!F11*$C441*'Business Case'!F12*$B441)-('Business Case'!E11*$C441*'Business Case'!E12*$B441))-'Business Case'!F15*$F441</f>
        <v>575124541.1881</v>
      </c>
      <c r="M441" s="39" t="n">
        <f aca="false">(('Business Case'!G11*$C441*'Business Case'!G12*$B441)-'Business Case'!G11*$C441*'Business Case'!G13*$D441-'Business Case'!G14*$E441)-MAX(0,(('Business Case'!G11*$C441*'Business Case'!G12*$B441)-'Business Case'!G11*$C441*'Business Case'!G13*$D441-'Business Case'!G14*$E441))*'Business Case'!$B$7-'Business Case'!$B$8*(('Business Case'!G11*$C441*'Business Case'!G12*$B441)-('Business Case'!F11*$C441*'Business Case'!F12*$B441))-'Business Case'!G15*$F441+'Business Case'!$B$8*('Business Case'!G11*$C441*'Business Case'!G12*$B441)</f>
        <v>714821448.098838</v>
      </c>
      <c r="N441" s="39" t="n">
        <f aca="false">IF(COUNT('Business Case'!B11:G11)=0,"",H441+NPV(G441,I441:M441))</f>
        <v>-706010090.312654</v>
      </c>
      <c r="P441" s="40" t="n">
        <f aca="true">RAND()</f>
        <v>0.580935511598721</v>
      </c>
      <c r="Q441" s="40" t="n">
        <f aca="true">RAND()</f>
        <v>0.0117679951912213</v>
      </c>
      <c r="R441" s="40" t="n">
        <f aca="true">RAND()</f>
        <v>0.0571982233662737</v>
      </c>
      <c r="S441" s="40" t="n">
        <f aca="true">RAND()</f>
        <v>0.454674152978864</v>
      </c>
      <c r="T441" s="40" t="n">
        <f aca="true">RAND()</f>
        <v>0.16907867148931</v>
      </c>
      <c r="U441" s="40" t="n">
        <f aca="true">RAND()</f>
        <v>0.4697271530105</v>
      </c>
    </row>
    <row r="442" customFormat="false" ht="15" hidden="false" customHeight="false" outlineLevel="0" collapsed="false">
      <c r="A442" s="36" t="n">
        <v>362</v>
      </c>
      <c r="B442" s="37" t="n">
        <f aca="false">1+IF($G$6=$E$6,$F$6,IF(P442&lt;($F$6-$E$6)/($G$6-$E$6),$E$6+SQRT(P442*($G$6-$E$6)*($F$6-$E$6)),$G$6-SQRT((1-P442)*($G$6-$E$6)*($G$6-$F$6))))</f>
        <v>1.02929249877263</v>
      </c>
      <c r="C442" s="37" t="n">
        <f aca="false">1+IF($G$7=$E$7,$F$7,IF(Q442&lt;($F$7-$E$7)/($G$7-$E$7),$E$7+SQRT(Q442*($G$7-$E$7)*($F$7-$E$7)),$G$7-SQRT((1-Q442)*($G$7-$E$7)*($G$7-$F$7))))</f>
        <v>0.94954397207072</v>
      </c>
      <c r="D442" s="37" t="n">
        <f aca="false">1+IF($G$8=$E$8,$F$8,IF(R442&lt;($F$8-$E$8)/($G$8-$E$8),$E$8+SQRT(R442*($G$8-$E$8)*($F$8-$E$8)),$G$8-SQRT((1-R442)*($G$8-$E$8)*($G$8-$F$8))))</f>
        <v>1.00676995549007</v>
      </c>
      <c r="E442" s="37" t="n">
        <f aca="false">1+IF($G$9=$E$9,$F$9,IF(S442&lt;($F$9-$E$9)/($G$9-$E$9),$E$9+SQRT(S442*($G$9-$E$9)*($F$9-$E$9)),$G$9-SQRT((1-S442)*($G$9-$E$9)*($G$9-$F$9))))</f>
        <v>1.02304185764527</v>
      </c>
      <c r="F442" s="37" t="n">
        <f aca="false">1+IF($G$10=$E$10,$F$10,IF(T442&lt;($F$10-$E$10)/($G$10-$E$10),$E$10+SQRT(T442*($G$10-$E$10)*($F$10-$E$10)),$G$10-SQRT((1-T442)*($G$10-$E$10)*($G$10-$F$10))))</f>
        <v>0.978862931219256</v>
      </c>
      <c r="G442" s="38" t="n">
        <f aca="false">IF($G$11=$E$11,$F$11,IF(U442&lt;($F$11-$E$11)/($G$11-$E$11),$E$11+SQRT(U442*($G$11-$E$11)*($F$11-$E$11)),$G$11-SQRT((1-U442)*($G$11-$E$11)*($G$11-$F$11))))</f>
        <v>0.0959126485303251</v>
      </c>
      <c r="H442" s="39" t="n">
        <f aca="false">(('Business Case'!B11*$C442*'Business Case'!B12*$B442)-'Business Case'!B11*$C442*'Business Case'!B13*$D442-'Business Case'!B14*$E442)-MAX(0,(('Business Case'!B11*$C442*'Business Case'!B12*$B442)-'Business Case'!B11*$C442*'Business Case'!B13*$D442-'Business Case'!B14*$E442))*'Business Case'!$B$7-'Business Case'!$B$8*('Business Case'!B11*$C442*'Business Case'!B12*$B442)-'Business Case'!B15*$F442</f>
        <v>-1957725862.43851</v>
      </c>
      <c r="I442" s="39" t="n">
        <f aca="false">(('Business Case'!C11*$C442*'Business Case'!C12*$B442)-'Business Case'!C11*$C442*'Business Case'!C13*$D442-'Business Case'!C14*$E442)-MAX(0,(('Business Case'!C11*$C442*'Business Case'!C12*$B442)-'Business Case'!C11*$C442*'Business Case'!C13*$D442-'Business Case'!C14*$E442))*'Business Case'!$B$7-'Business Case'!$B$8*(('Business Case'!C11*$C442*'Business Case'!C12*$B442)-('Business Case'!B11*$C442*'Business Case'!B12*$B442))-'Business Case'!C15*$F442</f>
        <v>17116500.3901302</v>
      </c>
      <c r="J442" s="39" t="n">
        <f aca="false">(('Business Case'!D11*$C442*'Business Case'!D12*$B442)-'Business Case'!D11*$C442*'Business Case'!D13*$D442-'Business Case'!D14*$E442)-MAX(0,(('Business Case'!D11*$C442*'Business Case'!D12*$B442)-'Business Case'!D11*$C442*'Business Case'!D13*$D442-'Business Case'!D14*$E442))*'Business Case'!$B$7-'Business Case'!$B$8*(('Business Case'!D11*$C442*'Business Case'!D12*$B442)-('Business Case'!C11*$C442*'Business Case'!C12*$B442))-'Business Case'!D15*$F442</f>
        <v>328262110.062083</v>
      </c>
      <c r="K442" s="39" t="n">
        <f aca="false">(('Business Case'!E11*$C442*'Business Case'!E12*$B442)-'Business Case'!E11*$C442*'Business Case'!E13*$D442-'Business Case'!E14*$E442)-MAX(0,(('Business Case'!E11*$C442*'Business Case'!E12*$B442)-'Business Case'!E11*$C442*'Business Case'!E13*$D442-'Business Case'!E14*$E442))*'Business Case'!$B$7-'Business Case'!$B$8*(('Business Case'!E11*$C442*'Business Case'!E12*$B442)-('Business Case'!D11*$C442*'Business Case'!D12*$B442))-'Business Case'!E15*$F442</f>
        <v>688350866.294998</v>
      </c>
      <c r="L442" s="39" t="n">
        <f aca="false">(('Business Case'!F11*$C442*'Business Case'!F12*$B442)-'Business Case'!F11*$C442*'Business Case'!F13*$D442-'Business Case'!F14*$E442)-MAX(0,(('Business Case'!F11*$C442*'Business Case'!F12*$B442)-'Business Case'!F11*$C442*'Business Case'!F13*$D442-'Business Case'!F14*$E442))*'Business Case'!$B$7-'Business Case'!$B$8*(('Business Case'!F11*$C442*'Business Case'!F12*$B442)-('Business Case'!E11*$C442*'Business Case'!E12*$B442))-'Business Case'!F15*$F442</f>
        <v>825843578.854141</v>
      </c>
      <c r="M442" s="39" t="n">
        <f aca="false">(('Business Case'!G11*$C442*'Business Case'!G12*$B442)-'Business Case'!G11*$C442*'Business Case'!G13*$D442-'Business Case'!G14*$E442)-MAX(0,(('Business Case'!G11*$C442*'Business Case'!G12*$B442)-'Business Case'!G11*$C442*'Business Case'!G13*$D442-'Business Case'!G14*$E442))*'Business Case'!$B$7-'Business Case'!$B$8*(('Business Case'!G11*$C442*'Business Case'!G12*$B442)-('Business Case'!F11*$C442*'Business Case'!F12*$B442))-'Business Case'!G15*$F442+'Business Case'!$B$8*('Business Case'!G11*$C442*'Business Case'!G12*$B442)</f>
        <v>1011619880.19752</v>
      </c>
      <c r="N442" s="39" t="n">
        <f aca="false">IF(COUNT('Business Case'!B11:G11)=0,"",H442+NPV(G442,I442:M442))</f>
        <v>66649472.4159431</v>
      </c>
      <c r="P442" s="40" t="n">
        <f aca="true">RAND()</f>
        <v>0.942826585722446</v>
      </c>
      <c r="Q442" s="40" t="n">
        <f aca="true">RAND()</f>
        <v>0.461275511087646</v>
      </c>
      <c r="R442" s="40" t="n">
        <f aca="true">RAND()</f>
        <v>0.420543920045153</v>
      </c>
      <c r="S442" s="40" t="n">
        <f aca="true">RAND()</f>
        <v>0.57017680239564</v>
      </c>
      <c r="T442" s="40" t="n">
        <f aca="true">RAND()</f>
        <v>0.0555379199044996</v>
      </c>
      <c r="U442" s="40" t="n">
        <f aca="true">RAND()</f>
        <v>0.253212383249658</v>
      </c>
    </row>
    <row r="443" customFormat="false" ht="15" hidden="false" customHeight="false" outlineLevel="0" collapsed="false">
      <c r="A443" s="36" t="n">
        <v>363</v>
      </c>
      <c r="B443" s="37" t="n">
        <f aca="false">1+IF($G$6=$E$6,$F$6,IF(P443&lt;($F$6-$E$6)/($G$6-$E$6),$E$6+SQRT(P443*($G$6-$E$6)*($F$6-$E$6)),$G$6-SQRT((1-P443)*($G$6-$E$6)*($G$6-$F$6))))</f>
        <v>1.03324312014478</v>
      </c>
      <c r="C443" s="37" t="n">
        <f aca="false">1+IF($G$7=$E$7,$F$7,IF(Q443&lt;($F$7-$E$7)/($G$7-$E$7),$E$7+SQRT(Q443*($G$7-$E$7)*($F$7-$E$7)),$G$7-SQRT((1-Q443)*($G$7-$E$7)*($G$7-$F$7))))</f>
        <v>1.09642462059479</v>
      </c>
      <c r="D443" s="37" t="n">
        <f aca="false">1+IF($G$8=$E$8,$F$8,IF(R443&lt;($F$8-$E$8)/($G$8-$E$8),$E$8+SQRT(R443*($G$8-$E$8)*($F$8-$E$8)),$G$8-SQRT((1-R443)*($G$8-$E$8)*($G$8-$F$8))))</f>
        <v>1.07068727605555</v>
      </c>
      <c r="E443" s="37" t="n">
        <f aca="false">1+IF($G$9=$E$9,$F$9,IF(S443&lt;($F$9-$E$9)/($G$9-$E$9),$E$9+SQRT(S443*($G$9-$E$9)*($F$9-$E$9)),$G$9-SQRT((1-S443)*($G$9-$E$9)*($G$9-$F$9))))</f>
        <v>0.956800799763318</v>
      </c>
      <c r="F443" s="37" t="n">
        <f aca="false">1+IF($G$10=$E$10,$F$10,IF(T443&lt;($F$10-$E$10)/($G$10-$E$10),$E$10+SQRT(T443*($G$10-$E$10)*($F$10-$E$10)),$G$10-SQRT((1-T443)*($G$10-$E$10)*($G$10-$F$10))))</f>
        <v>1.05499278694764</v>
      </c>
      <c r="G443" s="38" t="n">
        <f aca="false">IF($G$11=$E$11,$F$11,IF(U443&lt;($F$11-$E$11)/($G$11-$E$11),$E$11+SQRT(U443*($G$11-$E$11)*($F$11-$E$11)),$G$11-SQRT((1-U443)*($G$11-$E$11)*($G$11-$F$11))))</f>
        <v>0.10430997314131</v>
      </c>
      <c r="H443" s="39" t="n">
        <f aca="false">(('Business Case'!B11*$C443*'Business Case'!B12*$B443)-'Business Case'!B11*$C443*'Business Case'!B13*$D443-'Business Case'!B14*$E443)-MAX(0,(('Business Case'!B11*$C443*'Business Case'!B12*$B443)-'Business Case'!B11*$C443*'Business Case'!B13*$D443-'Business Case'!B14*$E443))*'Business Case'!$B$7-'Business Case'!$B$8*('Business Case'!B11*$C443*'Business Case'!B12*$B443)-'Business Case'!B15*$F443</f>
        <v>-2109985573.89527</v>
      </c>
      <c r="I443" s="39" t="n">
        <f aca="false">(('Business Case'!C11*$C443*'Business Case'!C12*$B443)-'Business Case'!C11*$C443*'Business Case'!C13*$D443-'Business Case'!C14*$E443)-MAX(0,(('Business Case'!C11*$C443*'Business Case'!C12*$B443)-'Business Case'!C11*$C443*'Business Case'!C13*$D443-'Business Case'!C14*$E443))*'Business Case'!$B$7-'Business Case'!$B$8*(('Business Case'!C11*$C443*'Business Case'!C12*$B443)-('Business Case'!B11*$C443*'Business Case'!B12*$B443))-'Business Case'!C15*$F443</f>
        <v>26663049.8160267</v>
      </c>
      <c r="J443" s="39" t="n">
        <f aca="false">(('Business Case'!D11*$C443*'Business Case'!D12*$B443)-'Business Case'!D11*$C443*'Business Case'!D13*$D443-'Business Case'!D14*$E443)-MAX(0,(('Business Case'!D11*$C443*'Business Case'!D12*$B443)-'Business Case'!D11*$C443*'Business Case'!D13*$D443-'Business Case'!D14*$E443))*'Business Case'!$B$7-'Business Case'!$B$8*(('Business Case'!D11*$C443*'Business Case'!D12*$B443)-('Business Case'!C11*$C443*'Business Case'!C12*$B443))-'Business Case'!D15*$F443</f>
        <v>353610598.533123</v>
      </c>
      <c r="K443" s="39" t="n">
        <f aca="false">(('Business Case'!E11*$C443*'Business Case'!E12*$B443)-'Business Case'!E11*$C443*'Business Case'!E13*$D443-'Business Case'!E14*$E443)-MAX(0,(('Business Case'!E11*$C443*'Business Case'!E12*$B443)-'Business Case'!E11*$C443*'Business Case'!E13*$D443-'Business Case'!E14*$E443))*'Business Case'!$B$7-'Business Case'!$B$8*(('Business Case'!E11*$C443*'Business Case'!E12*$B443)-('Business Case'!D11*$C443*'Business Case'!D12*$B443))-'Business Case'!E15*$F443</f>
        <v>733307786.5976</v>
      </c>
      <c r="L443" s="39" t="n">
        <f aca="false">(('Business Case'!F11*$C443*'Business Case'!F12*$B443)-'Business Case'!F11*$C443*'Business Case'!F13*$D443-'Business Case'!F14*$E443)-MAX(0,(('Business Case'!F11*$C443*'Business Case'!F12*$B443)-'Business Case'!F11*$C443*'Business Case'!F13*$D443-'Business Case'!F14*$E443))*'Business Case'!$B$7-'Business Case'!$B$8*(('Business Case'!F11*$C443*'Business Case'!F12*$B443)-('Business Case'!E11*$C443*'Business Case'!E12*$B443))-'Business Case'!F15*$F443</f>
        <v>881442400.48994</v>
      </c>
      <c r="M443" s="39" t="n">
        <f aca="false">(('Business Case'!G11*$C443*'Business Case'!G12*$B443)-'Business Case'!G11*$C443*'Business Case'!G13*$D443-'Business Case'!G14*$E443)-MAX(0,(('Business Case'!G11*$C443*'Business Case'!G12*$B443)-'Business Case'!G11*$C443*'Business Case'!G13*$D443-'Business Case'!G14*$E443))*'Business Case'!$B$7-'Business Case'!$B$8*(('Business Case'!G11*$C443*'Business Case'!G12*$B443)-('Business Case'!F11*$C443*'Business Case'!F12*$B443))-'Business Case'!G15*$F443+'Business Case'!$B$8*('Business Case'!G11*$C443*'Business Case'!G12*$B443)</f>
        <v>1096778937.58313</v>
      </c>
      <c r="N443" s="39" t="n">
        <f aca="false">IF(COUNT('Business Case'!B11:G11)=0,"",H443+NPV(G443,I443:M443))</f>
        <v>9162235.21691513</v>
      </c>
      <c r="P443" s="40" t="n">
        <f aca="true">RAND()</f>
        <v>0.962560930335708</v>
      </c>
      <c r="Q443" s="40" t="n">
        <f aca="true">RAND()</f>
        <v>0.957476721801301</v>
      </c>
      <c r="R443" s="40" t="n">
        <f aca="true">RAND()</f>
        <v>0.942717614330436</v>
      </c>
      <c r="S443" s="40" t="n">
        <f aca="true">RAND()</f>
        <v>0.129053234150103</v>
      </c>
      <c r="T443" s="40" t="n">
        <f aca="true">RAND()</f>
        <v>0.492962491433997</v>
      </c>
      <c r="U443" s="40" t="n">
        <f aca="true">RAND()</f>
        <v>0.560015013333188</v>
      </c>
    </row>
    <row r="444" customFormat="false" ht="15" hidden="false" customHeight="false" outlineLevel="0" collapsed="false">
      <c r="A444" s="36" t="n">
        <v>364</v>
      </c>
      <c r="B444" s="37" t="n">
        <f aca="false">1+IF($G$6=$E$6,$F$6,IF(P444&lt;($F$6-$E$6)/($G$6-$E$6),$E$6+SQRT(P444*($G$6-$E$6)*($F$6-$E$6)),$G$6-SQRT((1-P444)*($G$6-$E$6)*($G$6-$F$6))))</f>
        <v>0.975235945687996</v>
      </c>
      <c r="C444" s="37" t="n">
        <f aca="false">1+IF($G$7=$E$7,$F$7,IF(Q444&lt;($F$7-$E$7)/($G$7-$E$7),$E$7+SQRT(Q444*($G$7-$E$7)*($F$7-$E$7)),$G$7-SQRT((1-Q444)*($G$7-$E$7)*($G$7-$F$7))))</f>
        <v>0.96459656197404</v>
      </c>
      <c r="D444" s="37" t="n">
        <f aca="false">1+IF($G$8=$E$8,$F$8,IF(R444&lt;($F$8-$E$8)/($G$8-$E$8),$E$8+SQRT(R444*($G$8-$E$8)*($F$8-$E$8)),$G$8-SQRT((1-R444)*($G$8-$E$8)*($G$8-$F$8))))</f>
        <v>1.01847979105423</v>
      </c>
      <c r="E444" s="37" t="n">
        <f aca="false">1+IF($G$9=$E$9,$F$9,IF(S444&lt;($F$9-$E$9)/($G$9-$E$9),$E$9+SQRT(S444*($G$9-$E$9)*($F$9-$E$9)),$G$9-SQRT((1-S444)*($G$9-$E$9)*($G$9-$F$9))))</f>
        <v>0.921472938324551</v>
      </c>
      <c r="F444" s="37" t="n">
        <f aca="false">1+IF($G$10=$E$10,$F$10,IF(T444&lt;($F$10-$E$10)/($G$10-$E$10),$E$10+SQRT(T444*($G$10-$E$10)*($F$10-$E$10)),$G$10-SQRT((1-T444)*($G$10-$E$10)*($G$10-$F$10))))</f>
        <v>0.969482161802723</v>
      </c>
      <c r="G444" s="38" t="n">
        <f aca="false">IF($G$11=$E$11,$F$11,IF(U444&lt;($F$11-$E$11)/($G$11-$E$11),$E$11+SQRT(U444*($G$11-$E$11)*($F$11-$E$11)),$G$11-SQRT((1-U444)*($G$11-$E$11)*($G$11-$F$11))))</f>
        <v>0.106701227634331</v>
      </c>
      <c r="H444" s="39" t="n">
        <f aca="false">(('Business Case'!B11*$C444*'Business Case'!B12*$B444)-'Business Case'!B11*$C444*'Business Case'!B13*$D444-'Business Case'!B14*$E444)-MAX(0,(('Business Case'!B11*$C444*'Business Case'!B12*$B444)-'Business Case'!B11*$C444*'Business Case'!B13*$D444-'Business Case'!B14*$E444))*'Business Case'!$B$7-'Business Case'!$B$8*('Business Case'!B11*$C444*'Business Case'!B12*$B444)-'Business Case'!B15*$F444</f>
        <v>-1938964323.60545</v>
      </c>
      <c r="I444" s="39" t="n">
        <f aca="false">(('Business Case'!C11*$C444*'Business Case'!C12*$B444)-'Business Case'!C11*$C444*'Business Case'!C13*$D444-'Business Case'!C14*$E444)-MAX(0,(('Business Case'!C11*$C444*'Business Case'!C12*$B444)-'Business Case'!C11*$C444*'Business Case'!C13*$D444-'Business Case'!C14*$E444))*'Business Case'!$B$7-'Business Case'!$B$8*(('Business Case'!C11*$C444*'Business Case'!C12*$B444)-('Business Case'!B11*$C444*'Business Case'!B12*$B444))-'Business Case'!C15*$F444</f>
        <v>-9160960.07342377</v>
      </c>
      <c r="J444" s="39" t="n">
        <f aca="false">(('Business Case'!D11*$C444*'Business Case'!D12*$B444)-'Business Case'!D11*$C444*'Business Case'!D13*$D444-'Business Case'!D14*$E444)-MAX(0,(('Business Case'!D11*$C444*'Business Case'!D12*$B444)-'Business Case'!D11*$C444*'Business Case'!D13*$D444-'Business Case'!D14*$E444))*'Business Case'!$B$7-'Business Case'!$B$8*(('Business Case'!D11*$C444*'Business Case'!D12*$B444)-('Business Case'!C11*$C444*'Business Case'!C12*$B444))-'Business Case'!D15*$F444</f>
        <v>258426114.88158</v>
      </c>
      <c r="K444" s="39" t="n">
        <f aca="false">(('Business Case'!E11*$C444*'Business Case'!E12*$B444)-'Business Case'!E11*$C444*'Business Case'!E13*$D444-'Business Case'!E14*$E444)-MAX(0,(('Business Case'!E11*$C444*'Business Case'!E12*$B444)-'Business Case'!E11*$C444*'Business Case'!E13*$D444-'Business Case'!E14*$E444))*'Business Case'!$B$7-'Business Case'!$B$8*(('Business Case'!E11*$C444*'Business Case'!E12*$B444)-('Business Case'!D11*$C444*'Business Case'!D12*$B444))-'Business Case'!E15*$F444</f>
        <v>574487297.926719</v>
      </c>
      <c r="L444" s="39" t="n">
        <f aca="false">(('Business Case'!F11*$C444*'Business Case'!F12*$B444)-'Business Case'!F11*$C444*'Business Case'!F13*$D444-'Business Case'!F14*$E444)-MAX(0,(('Business Case'!F11*$C444*'Business Case'!F12*$B444)-'Business Case'!F11*$C444*'Business Case'!F13*$D444-'Business Case'!F14*$E444))*'Business Case'!$B$7-'Business Case'!$B$8*(('Business Case'!F11*$C444*'Business Case'!F12*$B444)-('Business Case'!E11*$C444*'Business Case'!E12*$B444))-'Business Case'!F15*$F444</f>
        <v>696193900.923989</v>
      </c>
      <c r="M444" s="39" t="n">
        <f aca="false">(('Business Case'!G11*$C444*'Business Case'!G12*$B444)-'Business Case'!G11*$C444*'Business Case'!G13*$D444-'Business Case'!G14*$E444)-MAX(0,(('Business Case'!G11*$C444*'Business Case'!G12*$B444)-'Business Case'!G11*$C444*'Business Case'!G13*$D444-'Business Case'!G14*$E444))*'Business Case'!$B$7-'Business Case'!$B$8*(('Business Case'!G11*$C444*'Business Case'!G12*$B444)-('Business Case'!F11*$C444*'Business Case'!F12*$B444))-'Business Case'!G15*$F444+'Business Case'!$B$8*('Business Case'!G11*$C444*'Business Case'!G12*$B444)</f>
        <v>875003913.324802</v>
      </c>
      <c r="N444" s="39" t="n">
        <f aca="false">IF(COUNT('Business Case'!B11:G11)=0,"",H444+NPV(G444,I444:M444))</f>
        <v>-321263317.895117</v>
      </c>
      <c r="P444" s="40" t="n">
        <f aca="true">RAND()</f>
        <v>0.377363168237805</v>
      </c>
      <c r="Q444" s="40" t="n">
        <f aca="true">RAND()</f>
        <v>0.518602523025794</v>
      </c>
      <c r="R444" s="40" t="n">
        <f aca="true">RAND()</f>
        <v>0.556963702229164</v>
      </c>
      <c r="S444" s="40" t="n">
        <f aca="true">RAND()</f>
        <v>0.0184434832115995</v>
      </c>
      <c r="T444" s="40" t="n">
        <f aca="true">RAND()</f>
        <v>0.0253036419004994</v>
      </c>
      <c r="U444" s="40" t="n">
        <f aca="true">RAND()</f>
        <v>0.63811147083516</v>
      </c>
    </row>
    <row r="445" customFormat="false" ht="15" hidden="false" customHeight="false" outlineLevel="0" collapsed="false">
      <c r="A445" s="36" t="n">
        <v>365</v>
      </c>
      <c r="B445" s="37" t="n">
        <f aca="false">1+IF($G$6=$E$6,$F$6,IF(P445&lt;($F$6-$E$6)/($G$6-$E$6),$E$6+SQRT(P445*($G$6-$E$6)*($F$6-$E$6)),$G$6-SQRT((1-P445)*($G$6-$E$6)*($G$6-$F$6))))</f>
        <v>1.01699789112117</v>
      </c>
      <c r="C445" s="37" t="n">
        <f aca="false">1+IF($G$7=$E$7,$F$7,IF(Q445&lt;($F$7-$E$7)/($G$7-$E$7),$E$7+SQRT(Q445*($G$7-$E$7)*($F$7-$E$7)),$G$7-SQRT((1-Q445)*($G$7-$E$7)*($G$7-$F$7))))</f>
        <v>0.987648033693183</v>
      </c>
      <c r="D445" s="37" t="n">
        <f aca="false">1+IF($G$8=$E$8,$F$8,IF(R445&lt;($F$8-$E$8)/($G$8-$E$8),$E$8+SQRT(R445*($G$8-$E$8)*($F$8-$E$8)),$G$8-SQRT((1-R445)*($G$8-$E$8)*($G$8-$F$8))))</f>
        <v>0.996265774191474</v>
      </c>
      <c r="E445" s="37" t="n">
        <f aca="false">1+IF($G$9=$E$9,$F$9,IF(S445&lt;($F$9-$E$9)/($G$9-$E$9),$E$9+SQRT(S445*($G$9-$E$9)*($F$9-$E$9)),$G$9-SQRT((1-S445)*($G$9-$E$9)*($G$9-$F$9))))</f>
        <v>1.06123287543075</v>
      </c>
      <c r="F445" s="37" t="n">
        <f aca="false">1+IF($G$10=$E$10,$F$10,IF(T445&lt;($F$10-$E$10)/($G$10-$E$10),$E$10+SQRT(T445*($G$10-$E$10)*($F$10-$E$10)),$G$10-SQRT((1-T445)*($G$10-$E$10)*($G$10-$F$10))))</f>
        <v>1.0917036699476</v>
      </c>
      <c r="G445" s="38" t="n">
        <f aca="false">IF($G$11=$E$11,$F$11,IF(U445&lt;($F$11-$E$11)/($G$11-$E$11),$E$11+SQRT(U445*($G$11-$E$11)*($F$11-$E$11)),$G$11-SQRT((1-U445)*($G$11-$E$11)*($G$11-$F$11))))</f>
        <v>0.104175084872495</v>
      </c>
      <c r="H445" s="39" t="n">
        <f aca="false">(('Business Case'!B11*$C445*'Business Case'!B12*$B445)-'Business Case'!B11*$C445*'Business Case'!B13*$D445-'Business Case'!B14*$E445)-MAX(0,(('Business Case'!B11*$C445*'Business Case'!B12*$B445)-'Business Case'!B11*$C445*'Business Case'!B13*$D445-'Business Case'!B14*$E445))*'Business Case'!$B$7-'Business Case'!$B$8*('Business Case'!B11*$C445*'Business Case'!B12*$B445)-'Business Case'!B15*$F445</f>
        <v>-2183407339.8952</v>
      </c>
      <c r="I445" s="39" t="n">
        <f aca="false">(('Business Case'!C11*$C445*'Business Case'!C12*$B445)-'Business Case'!C11*$C445*'Business Case'!C13*$D445-'Business Case'!C14*$E445)-MAX(0,(('Business Case'!C11*$C445*'Business Case'!C12*$B445)-'Business Case'!C11*$C445*'Business Case'!C13*$D445-'Business Case'!C14*$E445))*'Business Case'!$B$7-'Business Case'!$B$8*(('Business Case'!C11*$C445*'Business Case'!C12*$B445)-('Business Case'!B11*$C445*'Business Case'!B12*$B445))-'Business Case'!C15*$F445</f>
        <v>6848965.42842512</v>
      </c>
      <c r="J445" s="39" t="n">
        <f aca="false">(('Business Case'!D11*$C445*'Business Case'!D12*$B445)-'Business Case'!D11*$C445*'Business Case'!D13*$D445-'Business Case'!D14*$E445)-MAX(0,(('Business Case'!D11*$C445*'Business Case'!D12*$B445)-'Business Case'!D11*$C445*'Business Case'!D13*$D445-'Business Case'!D14*$E445))*'Business Case'!$B$7-'Business Case'!$B$8*(('Business Case'!D11*$C445*'Business Case'!D12*$B445)-('Business Case'!C11*$C445*'Business Case'!C12*$B445))-'Business Case'!D15*$F445</f>
        <v>325845573.289742</v>
      </c>
      <c r="K445" s="39" t="n">
        <f aca="false">(('Business Case'!E11*$C445*'Business Case'!E12*$B445)-'Business Case'!E11*$C445*'Business Case'!E13*$D445-'Business Case'!E14*$E445)-MAX(0,(('Business Case'!E11*$C445*'Business Case'!E12*$B445)-'Business Case'!E11*$C445*'Business Case'!E13*$D445-'Business Case'!E14*$E445))*'Business Case'!$B$7-'Business Case'!$B$8*(('Business Case'!E11*$C445*'Business Case'!E12*$B445)-('Business Case'!D11*$C445*'Business Case'!D12*$B445))-'Business Case'!E15*$F445</f>
        <v>699427364.648439</v>
      </c>
      <c r="L445" s="39" t="n">
        <f aca="false">(('Business Case'!F11*$C445*'Business Case'!F12*$B445)-'Business Case'!F11*$C445*'Business Case'!F13*$D445-'Business Case'!F14*$E445)-MAX(0,(('Business Case'!F11*$C445*'Business Case'!F12*$B445)-'Business Case'!F11*$C445*'Business Case'!F13*$D445-'Business Case'!F14*$E445))*'Business Case'!$B$7-'Business Case'!$B$8*(('Business Case'!F11*$C445*'Business Case'!F12*$B445)-('Business Case'!E11*$C445*'Business Case'!E12*$B445))-'Business Case'!F15*$F445</f>
        <v>840472874.303464</v>
      </c>
      <c r="M445" s="39" t="n">
        <f aca="false">(('Business Case'!G11*$C445*'Business Case'!G12*$B445)-'Business Case'!G11*$C445*'Business Case'!G13*$D445-'Business Case'!G14*$E445)-MAX(0,(('Business Case'!G11*$C445*'Business Case'!G12*$B445)-'Business Case'!G11*$C445*'Business Case'!G13*$D445-'Business Case'!G14*$E445))*'Business Case'!$B$7-'Business Case'!$B$8*(('Business Case'!G11*$C445*'Business Case'!G12*$B445)-('Business Case'!F11*$C445*'Business Case'!F12*$B445))-'Business Case'!G15*$F445+'Business Case'!$B$8*('Business Case'!G11*$C445*'Business Case'!G12*$B445)</f>
        <v>1031396062.99369</v>
      </c>
      <c r="N445" s="39" t="n">
        <f aca="false">IF(COUNT('Business Case'!B11:G11)=0,"",H445+NPV(G445,I445:M445))</f>
        <v>-196571232.448263</v>
      </c>
      <c r="P445" s="40" t="n">
        <f aca="true">RAND()</f>
        <v>0.854781441273321</v>
      </c>
      <c r="Q445" s="40" t="n">
        <f aca="true">RAND()</f>
        <v>0.612899194722626</v>
      </c>
      <c r="R445" s="40" t="n">
        <f aca="true">RAND()</f>
        <v>0.285402914871526</v>
      </c>
      <c r="S445" s="40" t="n">
        <f aca="true">RAND()</f>
        <v>0.789877269218864</v>
      </c>
      <c r="T445" s="40" t="n">
        <f aca="true">RAND()</f>
        <v>0.665896958559216</v>
      </c>
      <c r="U445" s="40" t="n">
        <f aca="true">RAND()</f>
        <v>0.555382505771449</v>
      </c>
    </row>
    <row r="446" customFormat="false" ht="15" hidden="false" customHeight="false" outlineLevel="0" collapsed="false">
      <c r="A446" s="36" t="n">
        <v>366</v>
      </c>
      <c r="B446" s="37" t="n">
        <f aca="false">1+IF($G$6=$E$6,$F$6,IF(P446&lt;($F$6-$E$6)/($G$6-$E$6),$E$6+SQRT(P446*($G$6-$E$6)*($F$6-$E$6)),$G$6-SQRT((1-P446)*($G$6-$E$6)*($G$6-$F$6))))</f>
        <v>0.987434271049499</v>
      </c>
      <c r="C446" s="37" t="n">
        <f aca="false">1+IF($G$7=$E$7,$F$7,IF(Q446&lt;($F$7-$E$7)/($G$7-$E$7),$E$7+SQRT(Q446*($G$7-$E$7)*($F$7-$E$7)),$G$7-SQRT((1-Q446)*($G$7-$E$7)*($G$7-$F$7))))</f>
        <v>1.01733458046799</v>
      </c>
      <c r="D446" s="37" t="n">
        <f aca="false">1+IF($G$8=$E$8,$F$8,IF(R446&lt;($F$8-$E$8)/($G$8-$E$8),$E$8+SQRT(R446*($G$8-$E$8)*($F$8-$E$8)),$G$8-SQRT((1-R446)*($G$8-$E$8)*($G$8-$F$8))))</f>
        <v>1.09452701929605</v>
      </c>
      <c r="E446" s="37" t="n">
        <f aca="false">1+IF($G$9=$E$9,$F$9,IF(S446&lt;($F$9-$E$9)/($G$9-$E$9),$E$9+SQRT(S446*($G$9-$E$9)*($F$9-$E$9)),$G$9-SQRT((1-S446)*($G$9-$E$9)*($G$9-$F$9))))</f>
        <v>0.98124267940523</v>
      </c>
      <c r="F446" s="37" t="n">
        <f aca="false">1+IF($G$10=$E$10,$F$10,IF(T446&lt;($F$10-$E$10)/($G$10-$E$10),$E$10+SQRT(T446*($G$10-$E$10)*($F$10-$E$10)),$G$10-SQRT((1-T446)*($G$10-$E$10)*($G$10-$F$10))))</f>
        <v>1.13121914773314</v>
      </c>
      <c r="G446" s="38" t="n">
        <f aca="false">IF($G$11=$E$11,$F$11,IF(U446&lt;($F$11-$E$11)/($G$11-$E$11),$E$11+SQRT(U446*($G$11-$E$11)*($F$11-$E$11)),$G$11-SQRT((1-U446)*($G$11-$E$11)*($G$11-$F$11))))</f>
        <v>0.109066201558771</v>
      </c>
      <c r="H446" s="39" t="n">
        <f aca="false">(('Business Case'!B11*$C446*'Business Case'!B12*$B446)-'Business Case'!B11*$C446*'Business Case'!B13*$D446-'Business Case'!B14*$E446)-MAX(0,(('Business Case'!B11*$C446*'Business Case'!B12*$B446)-'Business Case'!B11*$C446*'Business Case'!B13*$D446-'Business Case'!B14*$E446))*'Business Case'!$B$7-'Business Case'!$B$8*('Business Case'!B11*$C446*'Business Case'!B12*$B446)-'Business Case'!B15*$F446</f>
        <v>-2262438295.46628</v>
      </c>
      <c r="I446" s="39" t="n">
        <f aca="false">(('Business Case'!C11*$C446*'Business Case'!C12*$B446)-'Business Case'!C11*$C446*'Business Case'!C13*$D446-'Business Case'!C14*$E446)-MAX(0,(('Business Case'!C11*$C446*'Business Case'!C12*$B446)-'Business Case'!C11*$C446*'Business Case'!C13*$D446-'Business Case'!C14*$E446))*'Business Case'!$B$7-'Business Case'!$B$8*(('Business Case'!C11*$C446*'Business Case'!C12*$B446)-('Business Case'!B11*$C446*'Business Case'!B12*$B446))-'Business Case'!C15*$F446</f>
        <v>-51953943.2396592</v>
      </c>
      <c r="J446" s="39" t="n">
        <f aca="false">(('Business Case'!D11*$C446*'Business Case'!D12*$B446)-'Business Case'!D11*$C446*'Business Case'!D13*$D446-'Business Case'!D14*$E446)-MAX(0,(('Business Case'!D11*$C446*'Business Case'!D12*$B446)-'Business Case'!D11*$C446*'Business Case'!D13*$D446-'Business Case'!D14*$E446))*'Business Case'!$B$7-'Business Case'!$B$8*(('Business Case'!D11*$C446*'Business Case'!D12*$B446)-('Business Case'!C11*$C446*'Business Case'!C12*$B446))-'Business Case'!D15*$F446</f>
        <v>200822662.694287</v>
      </c>
      <c r="K446" s="39" t="n">
        <f aca="false">(('Business Case'!E11*$C446*'Business Case'!E12*$B446)-'Business Case'!E11*$C446*'Business Case'!E13*$D446-'Business Case'!E14*$E446)-MAX(0,(('Business Case'!E11*$C446*'Business Case'!E12*$B446)-'Business Case'!E11*$C446*'Business Case'!E13*$D446-'Business Case'!E14*$E446))*'Business Case'!$B$7-'Business Case'!$B$8*(('Business Case'!E11*$C446*'Business Case'!E12*$B446)-('Business Case'!D11*$C446*'Business Case'!D12*$B446))-'Business Case'!E15*$F446</f>
        <v>510160226.014891</v>
      </c>
      <c r="L446" s="39" t="n">
        <f aca="false">(('Business Case'!F11*$C446*'Business Case'!F12*$B446)-'Business Case'!F11*$C446*'Business Case'!F13*$D446-'Business Case'!F14*$E446)-MAX(0,(('Business Case'!F11*$C446*'Business Case'!F12*$B446)-'Business Case'!F11*$C446*'Business Case'!F13*$D446-'Business Case'!F14*$E446))*'Business Case'!$B$7-'Business Case'!$B$8*(('Business Case'!F11*$C446*'Business Case'!F12*$B446)-('Business Case'!E11*$C446*'Business Case'!E12*$B446))-'Business Case'!F15*$F446</f>
        <v>629136378.252119</v>
      </c>
      <c r="M446" s="39" t="n">
        <f aca="false">(('Business Case'!G11*$C446*'Business Case'!G12*$B446)-'Business Case'!G11*$C446*'Business Case'!G13*$D446-'Business Case'!G14*$E446)-MAX(0,(('Business Case'!G11*$C446*'Business Case'!G12*$B446)-'Business Case'!G11*$C446*'Business Case'!G13*$D446-'Business Case'!G14*$E446))*'Business Case'!$B$7-'Business Case'!$B$8*(('Business Case'!G11*$C446*'Business Case'!G12*$B446)-('Business Case'!F11*$C446*'Business Case'!F12*$B446))-'Business Case'!G15*$F446+'Business Case'!$B$8*('Business Case'!G11*$C446*'Business Case'!G12*$B446)</f>
        <v>820081438.011301</v>
      </c>
      <c r="N446" s="39" t="n">
        <f aca="false">IF(COUNT('Business Case'!B11:G11)=0,"",H446+NPV(G446,I446:M446))</f>
        <v>-867488671.174351</v>
      </c>
      <c r="P446" s="40" t="n">
        <f aca="true">RAND()</f>
        <v>0.509650116930482</v>
      </c>
      <c r="Q446" s="40" t="n">
        <f aca="true">RAND()</f>
        <v>0.739257577191035</v>
      </c>
      <c r="R446" s="40" t="n">
        <f aca="true">RAND()</f>
        <v>0.998003098814276</v>
      </c>
      <c r="S446" s="40" t="n">
        <f aca="true">RAND()</f>
        <v>0.264014918277639</v>
      </c>
      <c r="T446" s="40" t="n">
        <f aca="true">RAND()</f>
        <v>0.81188145513012</v>
      </c>
      <c r="U446" s="40" t="n">
        <f aca="true">RAND()</f>
        <v>0.707850721881325</v>
      </c>
    </row>
    <row r="447" customFormat="false" ht="15" hidden="false" customHeight="false" outlineLevel="0" collapsed="false">
      <c r="A447" s="36" t="n">
        <v>367</v>
      </c>
      <c r="B447" s="37" t="n">
        <f aca="false">1+IF($G$6=$E$6,$F$6,IF(P447&lt;($F$6-$E$6)/($G$6-$E$6),$E$6+SQRT(P447*($G$6-$E$6)*($F$6-$E$6)),$G$6-SQRT((1-P447)*($G$6-$E$6)*($G$6-$F$6))))</f>
        <v>1.00244435479647</v>
      </c>
      <c r="C447" s="37" t="n">
        <f aca="false">1+IF($G$7=$E$7,$F$7,IF(Q447&lt;($F$7-$E$7)/($G$7-$E$7),$E$7+SQRT(Q447*($G$7-$E$7)*($F$7-$E$7)),$G$7-SQRT((1-Q447)*($G$7-$E$7)*($G$7-$F$7))))</f>
        <v>0.982513567710351</v>
      </c>
      <c r="D447" s="37" t="n">
        <f aca="false">1+IF($G$8=$E$8,$F$8,IF(R447&lt;($F$8-$E$8)/($G$8-$E$8),$E$8+SQRT(R447*($G$8-$E$8)*($F$8-$E$8)),$G$8-SQRT((1-R447)*($G$8-$E$8)*($G$8-$F$8))))</f>
        <v>1.02717347454737</v>
      </c>
      <c r="E447" s="37" t="n">
        <f aca="false">1+IF($G$9=$E$9,$F$9,IF(S447&lt;($F$9-$E$9)/($G$9-$E$9),$E$9+SQRT(S447*($G$9-$E$9)*($F$9-$E$9)),$G$9-SQRT((1-S447)*($G$9-$E$9)*($G$9-$F$9))))</f>
        <v>1.03841797371013</v>
      </c>
      <c r="F447" s="37" t="n">
        <f aca="false">1+IF($G$10=$E$10,$F$10,IF(T447&lt;($F$10-$E$10)/($G$10-$E$10),$E$10+SQRT(T447*($G$10-$E$10)*($F$10-$E$10)),$G$10-SQRT((1-T447)*($G$10-$E$10)*($G$10-$F$10))))</f>
        <v>1.03466430883265</v>
      </c>
      <c r="G447" s="38" t="n">
        <f aca="false">IF($G$11=$E$11,$F$11,IF(U447&lt;($F$11-$E$11)/($G$11-$E$11),$E$11+SQRT(U447*($G$11-$E$11)*($F$11-$E$11)),$G$11-SQRT((1-U447)*($G$11-$E$11)*($G$11-$F$11))))</f>
        <v>0.117947189046666</v>
      </c>
      <c r="H447" s="39" t="n">
        <f aca="false">(('Business Case'!B11*$C447*'Business Case'!B12*$B447)-'Business Case'!B11*$C447*'Business Case'!B13*$D447-'Business Case'!B14*$E447)-MAX(0,(('Business Case'!B11*$C447*'Business Case'!B12*$B447)-'Business Case'!B11*$C447*'Business Case'!B13*$D447-'Business Case'!B14*$E447))*'Business Case'!$B$7-'Business Case'!$B$8*('Business Case'!B11*$C447*'Business Case'!B12*$B447)-'Business Case'!B15*$F447</f>
        <v>-2069328617.66531</v>
      </c>
      <c r="I447" s="39" t="n">
        <f aca="false">(('Business Case'!C11*$C447*'Business Case'!C12*$B447)-'Business Case'!C11*$C447*'Business Case'!C13*$D447-'Business Case'!C14*$E447)-MAX(0,(('Business Case'!C11*$C447*'Business Case'!C12*$B447)-'Business Case'!C11*$C447*'Business Case'!C13*$D447-'Business Case'!C14*$E447))*'Business Case'!$B$7-'Business Case'!$B$8*(('Business Case'!C11*$C447*'Business Case'!C12*$B447)-('Business Case'!B11*$C447*'Business Case'!B12*$B447))-'Business Case'!C15*$F447</f>
        <v>-12106766.8948131</v>
      </c>
      <c r="J447" s="39" t="n">
        <f aca="false">(('Business Case'!D11*$C447*'Business Case'!D12*$B447)-'Business Case'!D11*$C447*'Business Case'!D13*$D447-'Business Case'!D14*$E447)-MAX(0,(('Business Case'!D11*$C447*'Business Case'!D12*$B447)-'Business Case'!D11*$C447*'Business Case'!D13*$D447-'Business Case'!D14*$E447))*'Business Case'!$B$7-'Business Case'!$B$8*(('Business Case'!D11*$C447*'Business Case'!D12*$B447)-('Business Case'!C11*$C447*'Business Case'!C12*$B447))-'Business Case'!D15*$F447</f>
        <v>277973935.858539</v>
      </c>
      <c r="K447" s="39" t="n">
        <f aca="false">(('Business Case'!E11*$C447*'Business Case'!E12*$B447)-'Business Case'!E11*$C447*'Business Case'!E13*$D447-'Business Case'!E14*$E447)-MAX(0,(('Business Case'!E11*$C447*'Business Case'!E12*$B447)-'Business Case'!E11*$C447*'Business Case'!E13*$D447-'Business Case'!E14*$E447))*'Business Case'!$B$7-'Business Case'!$B$8*(('Business Case'!E11*$C447*'Business Case'!E12*$B447)-('Business Case'!D11*$C447*'Business Case'!D12*$B447))-'Business Case'!E15*$F447</f>
        <v>619787854.053523</v>
      </c>
      <c r="L447" s="39" t="n">
        <f aca="false">(('Business Case'!F11*$C447*'Business Case'!F12*$B447)-'Business Case'!F11*$C447*'Business Case'!F13*$D447-'Business Case'!F14*$E447)-MAX(0,(('Business Case'!F11*$C447*'Business Case'!F12*$B447)-'Business Case'!F11*$C447*'Business Case'!F13*$D447-'Business Case'!F14*$E447))*'Business Case'!$B$7-'Business Case'!$B$8*(('Business Case'!F11*$C447*'Business Case'!F12*$B447)-('Business Case'!E11*$C447*'Business Case'!E12*$B447))-'Business Case'!F15*$F447</f>
        <v>750520090.240187</v>
      </c>
      <c r="M447" s="39" t="n">
        <f aca="false">(('Business Case'!G11*$C447*'Business Case'!G12*$B447)-'Business Case'!G11*$C447*'Business Case'!G13*$D447-'Business Case'!G14*$E447)-MAX(0,(('Business Case'!G11*$C447*'Business Case'!G12*$B447)-'Business Case'!G11*$C447*'Business Case'!G13*$D447-'Business Case'!G14*$E447))*'Business Case'!$B$7-'Business Case'!$B$8*(('Business Case'!G11*$C447*'Business Case'!G12*$B447)-('Business Case'!F11*$C447*'Business Case'!F12*$B447))-'Business Case'!G15*$F447+'Business Case'!$B$8*('Business Case'!G11*$C447*'Business Case'!G12*$B447)</f>
        <v>937732767.552358</v>
      </c>
      <c r="N447" s="39" t="n">
        <f aca="false">IF(COUNT('Business Case'!B11:G11)=0,"",H447+NPV(G447,I447:M447))</f>
        <v>-396676974.154872</v>
      </c>
      <c r="P447" s="40" t="n">
        <f aca="true">RAND()</f>
        <v>0.69846141457014</v>
      </c>
      <c r="Q447" s="40" t="n">
        <f aca="true">RAND()</f>
        <v>0.591214192151341</v>
      </c>
      <c r="R447" s="40" t="n">
        <f aca="true">RAND()</f>
        <v>0.646419812699831</v>
      </c>
      <c r="S447" s="40" t="n">
        <f aca="true">RAND()</f>
        <v>0.667985370907897</v>
      </c>
      <c r="T447" s="40" t="n">
        <f aca="true">RAND()</f>
        <v>0.381740534793085</v>
      </c>
      <c r="U447" s="40" t="n">
        <f aca="true">RAND()</f>
        <v>0.903153165415454</v>
      </c>
    </row>
    <row r="448" customFormat="false" ht="15" hidden="false" customHeight="false" outlineLevel="0" collapsed="false">
      <c r="A448" s="36" t="n">
        <v>368</v>
      </c>
      <c r="B448" s="37" t="n">
        <f aca="false">1+IF($G$6=$E$6,$F$6,IF(P448&lt;($F$6-$E$6)/($G$6-$E$6),$E$6+SQRT(P448*($G$6-$E$6)*($F$6-$E$6)),$G$6-SQRT((1-P448)*($G$6-$E$6)*($G$6-$F$6))))</f>
        <v>1.02899745443626</v>
      </c>
      <c r="C448" s="37" t="n">
        <f aca="false">1+IF($G$7=$E$7,$F$7,IF(Q448&lt;($F$7-$E$7)/($G$7-$E$7),$E$7+SQRT(Q448*($G$7-$E$7)*($F$7-$E$7)),$G$7-SQRT((1-Q448)*($G$7-$E$7)*($G$7-$F$7))))</f>
        <v>1.13569543541645</v>
      </c>
      <c r="D448" s="37" t="n">
        <f aca="false">1+IF($G$8=$E$8,$F$8,IF(R448&lt;($F$8-$E$8)/($G$8-$E$8),$E$8+SQRT(R448*($G$8-$E$8)*($F$8-$E$8)),$G$8-SQRT((1-R448)*($G$8-$E$8)*($G$8-$F$8))))</f>
        <v>1.02580665869399</v>
      </c>
      <c r="E448" s="37" t="n">
        <f aca="false">1+IF($G$9=$E$9,$F$9,IF(S448&lt;($F$9-$E$9)/($G$9-$E$9),$E$9+SQRT(S448*($G$9-$E$9)*($F$9-$E$9)),$G$9-SQRT((1-S448)*($G$9-$E$9)*($G$9-$F$9))))</f>
        <v>1.07569956486241</v>
      </c>
      <c r="F448" s="37" t="n">
        <f aca="false">1+IF($G$10=$E$10,$F$10,IF(T448&lt;($F$10-$E$10)/($G$10-$E$10),$E$10+SQRT(T448*($G$10-$E$10)*($F$10-$E$10)),$G$10-SQRT((1-T448)*($G$10-$E$10)*($G$10-$F$10))))</f>
        <v>0.992039623618823</v>
      </c>
      <c r="G448" s="38" t="n">
        <f aca="false">IF($G$11=$E$11,$F$11,IF(U448&lt;($F$11-$E$11)/($G$11-$E$11),$E$11+SQRT(U448*($G$11-$E$11)*($F$11-$E$11)),$G$11-SQRT((1-U448)*($G$11-$E$11)*($G$11-$F$11))))</f>
        <v>0.112248979077644</v>
      </c>
      <c r="H448" s="39" t="n">
        <f aca="false">(('Business Case'!B11*$C448*'Business Case'!B12*$B448)-'Business Case'!B11*$C448*'Business Case'!B13*$D448-'Business Case'!B14*$E448)-MAX(0,(('Business Case'!B11*$C448*'Business Case'!B12*$B448)-'Business Case'!B11*$C448*'Business Case'!B13*$D448-'Business Case'!B14*$E448))*'Business Case'!$B$7-'Business Case'!$B$8*('Business Case'!B11*$C448*'Business Case'!B12*$B448)-'Business Case'!B15*$F448</f>
        <v>-1984079247.23765</v>
      </c>
      <c r="I448" s="39" t="n">
        <f aca="false">(('Business Case'!C11*$C448*'Business Case'!C12*$B448)-'Business Case'!C11*$C448*'Business Case'!C13*$D448-'Business Case'!C14*$E448)-MAX(0,(('Business Case'!C11*$C448*'Business Case'!C12*$B448)-'Business Case'!C11*$C448*'Business Case'!C13*$D448-'Business Case'!C14*$E448))*'Business Case'!$B$7-'Business Case'!$B$8*(('Business Case'!C11*$C448*'Business Case'!C12*$B448)-('Business Case'!B11*$C448*'Business Case'!B12*$B448))-'Business Case'!C15*$F448</f>
        <v>48051319.3798037</v>
      </c>
      <c r="J448" s="39" t="n">
        <f aca="false">(('Business Case'!D11*$C448*'Business Case'!D12*$B448)-'Business Case'!D11*$C448*'Business Case'!D13*$D448-'Business Case'!D14*$E448)-MAX(0,(('Business Case'!D11*$C448*'Business Case'!D12*$B448)-'Business Case'!D11*$C448*'Business Case'!D13*$D448-'Business Case'!D14*$E448))*'Business Case'!$B$7-'Business Case'!$B$8*(('Business Case'!D11*$C448*'Business Case'!D12*$B448)-('Business Case'!C11*$C448*'Business Case'!C12*$B448))-'Business Case'!D15*$F448</f>
        <v>408852739.838033</v>
      </c>
      <c r="K448" s="39" t="n">
        <f aca="false">(('Business Case'!E11*$C448*'Business Case'!E12*$B448)-'Business Case'!E11*$C448*'Business Case'!E13*$D448-'Business Case'!E14*$E448)-MAX(0,(('Business Case'!E11*$C448*'Business Case'!E12*$B448)-'Business Case'!E11*$C448*'Business Case'!E13*$D448-'Business Case'!E14*$E448))*'Business Case'!$B$7-'Business Case'!$B$8*(('Business Case'!E11*$C448*'Business Case'!E12*$B448)-('Business Case'!D11*$C448*'Business Case'!D12*$B448))-'Business Case'!E15*$F448</f>
        <v>819256141.477203</v>
      </c>
      <c r="L448" s="39" t="n">
        <f aca="false">(('Business Case'!F11*$C448*'Business Case'!F12*$B448)-'Business Case'!F11*$C448*'Business Case'!F13*$D448-'Business Case'!F14*$E448)-MAX(0,(('Business Case'!F11*$C448*'Business Case'!F12*$B448)-'Business Case'!F11*$C448*'Business Case'!F13*$D448-'Business Case'!F14*$E448))*'Business Case'!$B$7-'Business Case'!$B$8*(('Business Case'!F11*$C448*'Business Case'!F12*$B448)-('Business Case'!E11*$C448*'Business Case'!E12*$B448))-'Business Case'!F15*$F448</f>
        <v>979911055.358684</v>
      </c>
      <c r="M448" s="39" t="n">
        <f aca="false">(('Business Case'!G11*$C448*'Business Case'!G12*$B448)-'Business Case'!G11*$C448*'Business Case'!G13*$D448-'Business Case'!G14*$E448)-MAX(0,(('Business Case'!G11*$C448*'Business Case'!G12*$B448)-'Business Case'!G11*$C448*'Business Case'!G13*$D448-'Business Case'!G14*$E448))*'Business Case'!$B$7-'Business Case'!$B$8*(('Business Case'!G11*$C448*'Business Case'!G12*$B448)-('Business Case'!F11*$C448*'Business Case'!F12*$B448))-'Business Case'!G15*$F448+'Business Case'!$B$8*('Business Case'!G11*$C448*'Business Case'!G12*$B448)</f>
        <v>1202043810.86674</v>
      </c>
      <c r="N448" s="39" t="n">
        <f aca="false">IF(COUNT('Business Case'!B11:G11)=0,"",H448+NPV(G448,I448:M448))</f>
        <v>331487101.420436</v>
      </c>
      <c r="P448" s="40" t="n">
        <f aca="true">RAND()</f>
        <v>0.941185743979049</v>
      </c>
      <c r="Q448" s="40" t="n">
        <f aca="true">RAND()</f>
        <v>0.996968584178889</v>
      </c>
      <c r="R448" s="40" t="n">
        <f aca="true">RAND()</f>
        <v>0.633023207056616</v>
      </c>
      <c r="S448" s="40" t="n">
        <f aca="true">RAND()</f>
        <v>0.85278520902308</v>
      </c>
      <c r="T448" s="40" t="n">
        <f aca="true">RAND()</f>
        <v>0.117821996934153</v>
      </c>
      <c r="U448" s="40" t="n">
        <f aca="true">RAND()</f>
        <v>0.789934170809392</v>
      </c>
    </row>
    <row r="449" customFormat="false" ht="15" hidden="false" customHeight="false" outlineLevel="0" collapsed="false">
      <c r="A449" s="36" t="n">
        <v>369</v>
      </c>
      <c r="B449" s="37" t="n">
        <f aca="false">1+IF($G$6=$E$6,$F$6,IF(P449&lt;($F$6-$E$6)/($G$6-$E$6),$E$6+SQRT(P449*($G$6-$E$6)*($F$6-$E$6)),$G$6-SQRT((1-P449)*($G$6-$E$6)*($G$6-$F$6))))</f>
        <v>0.988337626200102</v>
      </c>
      <c r="C449" s="37" t="n">
        <f aca="false">1+IF($G$7=$E$7,$F$7,IF(Q449&lt;($F$7-$E$7)/($G$7-$E$7),$E$7+SQRT(Q449*($G$7-$E$7)*($F$7-$E$7)),$G$7-SQRT((1-Q449)*($G$7-$E$7)*($G$7-$F$7))))</f>
        <v>0.886063812923072</v>
      </c>
      <c r="D449" s="37" t="n">
        <f aca="false">1+IF($G$8=$E$8,$F$8,IF(R449&lt;($F$8-$E$8)/($G$8-$E$8),$E$8+SQRT(R449*($G$8-$E$8)*($F$8-$E$8)),$G$8-SQRT((1-R449)*($G$8-$E$8)*($G$8-$F$8))))</f>
        <v>0.981139417819364</v>
      </c>
      <c r="E449" s="37" t="n">
        <f aca="false">1+IF($G$9=$E$9,$F$9,IF(S449&lt;($F$9-$E$9)/($G$9-$E$9),$E$9+SQRT(S449*($G$9-$E$9)*($F$9-$E$9)),$G$9-SQRT((1-S449)*($G$9-$E$9)*($G$9-$F$9))))</f>
        <v>1.04066731947253</v>
      </c>
      <c r="F449" s="37" t="n">
        <f aca="false">1+IF($G$10=$E$10,$F$10,IF(T449&lt;($F$10-$E$10)/($G$10-$E$10),$E$10+SQRT(T449*($G$10-$E$10)*($F$10-$E$10)),$G$10-SQRT((1-T449)*($G$10-$E$10)*($G$10-$F$10))))</f>
        <v>1.16676112185333</v>
      </c>
      <c r="G449" s="38" t="n">
        <f aca="false">IF($G$11=$E$11,$F$11,IF(U449&lt;($F$11-$E$11)/($G$11-$E$11),$E$11+SQRT(U449*($G$11-$E$11)*($F$11-$E$11)),$G$11-SQRT((1-U449)*($G$11-$E$11)*($G$11-$F$11))))</f>
        <v>0.122000574734625</v>
      </c>
      <c r="H449" s="39" t="n">
        <f aca="false">(('Business Case'!B11*$C449*'Business Case'!B12*$B449)-'Business Case'!B11*$C449*'Business Case'!B13*$D449-'Business Case'!B14*$E449)-MAX(0,(('Business Case'!B11*$C449*'Business Case'!B12*$B449)-'Business Case'!B11*$C449*'Business Case'!B13*$D449-'Business Case'!B14*$E449))*'Business Case'!$B$7-'Business Case'!$B$8*('Business Case'!B11*$C449*'Business Case'!B12*$B449)-'Business Case'!B15*$F449</f>
        <v>-2333522243.70665</v>
      </c>
      <c r="I449" s="39" t="n">
        <f aca="false">(('Business Case'!C11*$C449*'Business Case'!C12*$B449)-'Business Case'!C11*$C449*'Business Case'!C13*$D449-'Business Case'!C14*$E449)-MAX(0,(('Business Case'!C11*$C449*'Business Case'!C12*$B449)-'Business Case'!C11*$C449*'Business Case'!C13*$D449-'Business Case'!C14*$E449))*'Business Case'!$B$7-'Business Case'!$B$8*(('Business Case'!C11*$C449*'Business Case'!C12*$B449)-('Business Case'!B11*$C449*'Business Case'!B12*$B449))-'Business Case'!C15*$F449</f>
        <v>-37809512.1811836</v>
      </c>
      <c r="J449" s="39" t="n">
        <f aca="false">(('Business Case'!D11*$C449*'Business Case'!D12*$B449)-'Business Case'!D11*$C449*'Business Case'!D13*$D449-'Business Case'!D14*$E449)-MAX(0,(('Business Case'!D11*$C449*'Business Case'!D12*$B449)-'Business Case'!D11*$C449*'Business Case'!D13*$D449-'Business Case'!D14*$E449))*'Business Case'!$B$7-'Business Case'!$B$8*(('Business Case'!D11*$C449*'Business Case'!D12*$B449)-('Business Case'!C11*$C449*'Business Case'!C12*$B449))-'Business Case'!D15*$F449</f>
        <v>234437834.506438</v>
      </c>
      <c r="K449" s="39" t="n">
        <f aca="false">(('Business Case'!E11*$C449*'Business Case'!E12*$B449)-'Business Case'!E11*$C449*'Business Case'!E13*$D449-'Business Case'!E14*$E449)-MAX(0,(('Business Case'!E11*$C449*'Business Case'!E12*$B449)-'Business Case'!E11*$C449*'Business Case'!E13*$D449-'Business Case'!E14*$E449))*'Business Case'!$B$7-'Business Case'!$B$8*(('Business Case'!E11*$C449*'Business Case'!E12*$B449)-('Business Case'!D11*$C449*'Business Case'!D12*$B449))-'Business Case'!E15*$F449</f>
        <v>565023237.286725</v>
      </c>
      <c r="L449" s="39" t="n">
        <f aca="false">(('Business Case'!F11*$C449*'Business Case'!F12*$B449)-'Business Case'!F11*$C449*'Business Case'!F13*$D449-'Business Case'!F14*$E449)-MAX(0,(('Business Case'!F11*$C449*'Business Case'!F12*$B449)-'Business Case'!F11*$C449*'Business Case'!F13*$D449-'Business Case'!F14*$E449))*'Business Case'!$B$7-'Business Case'!$B$8*(('Business Case'!F11*$C449*'Business Case'!F12*$B449)-('Business Case'!E11*$C449*'Business Case'!E12*$B449))-'Business Case'!F15*$F449</f>
        <v>686037588.752251</v>
      </c>
      <c r="M449" s="39" t="n">
        <f aca="false">(('Business Case'!G11*$C449*'Business Case'!G12*$B449)-'Business Case'!G11*$C449*'Business Case'!G13*$D449-'Business Case'!G14*$E449)-MAX(0,(('Business Case'!G11*$C449*'Business Case'!G12*$B449)-'Business Case'!G11*$C449*'Business Case'!G13*$D449-'Business Case'!G14*$E449))*'Business Case'!$B$7-'Business Case'!$B$8*(('Business Case'!G11*$C449*'Business Case'!G12*$B449)-('Business Case'!F11*$C449*'Business Case'!F12*$B449))-'Business Case'!G15*$F449+'Business Case'!$B$8*('Business Case'!G11*$C449*'Business Case'!G12*$B449)</f>
        <v>852496386.218671</v>
      </c>
      <c r="N449" s="39" t="n">
        <f aca="false">IF(COUNT('Business Case'!B11:G11)=0,"",H449+NPV(G449,I449:M449))</f>
        <v>-868648882.90986</v>
      </c>
      <c r="P449" s="40" t="n">
        <f aca="true">RAND()</f>
        <v>0.5202357468446</v>
      </c>
      <c r="Q449" s="40" t="n">
        <f aca="true">RAND()</f>
        <v>0.256442536884977</v>
      </c>
      <c r="R449" s="40" t="n">
        <f aca="true">RAND()</f>
        <v>0.129288445617187</v>
      </c>
      <c r="S449" s="40" t="n">
        <f aca="true">RAND()</f>
        <v>0.681236399164758</v>
      </c>
      <c r="T449" s="40" t="n">
        <f aca="true">RAND()</f>
        <v>0.907617188865107</v>
      </c>
      <c r="U449" s="40" t="n">
        <f aca="true">RAND()</f>
        <v>0.957339463615792</v>
      </c>
    </row>
    <row r="450" customFormat="false" ht="15" hidden="false" customHeight="false" outlineLevel="0" collapsed="false">
      <c r="A450" s="36" t="n">
        <v>370</v>
      </c>
      <c r="B450" s="37" t="n">
        <f aca="false">1+IF($G$6=$E$6,$F$6,IF(P450&lt;($F$6-$E$6)/($G$6-$E$6),$E$6+SQRT(P450*($G$6-$E$6)*($F$6-$E$6)),$G$6-SQRT((1-P450)*($G$6-$E$6)*($G$6-$F$6))))</f>
        <v>1.00374815357417</v>
      </c>
      <c r="C450" s="37" t="n">
        <f aca="false">1+IF($G$7=$E$7,$F$7,IF(Q450&lt;($F$7-$E$7)/($G$7-$E$7),$E$7+SQRT(Q450*($G$7-$E$7)*($F$7-$E$7)),$G$7-SQRT((1-Q450)*($G$7-$E$7)*($G$7-$F$7))))</f>
        <v>1.00948503540854</v>
      </c>
      <c r="D450" s="37" t="n">
        <f aca="false">1+IF($G$8=$E$8,$F$8,IF(R450&lt;($F$8-$E$8)/($G$8-$E$8),$E$8+SQRT(R450*($G$8-$E$8)*($F$8-$E$8)),$G$8-SQRT((1-R450)*($G$8-$E$8)*($G$8-$F$8))))</f>
        <v>0.995907518067709</v>
      </c>
      <c r="E450" s="37" t="n">
        <f aca="false">1+IF($G$9=$E$9,$F$9,IF(S450&lt;($F$9-$E$9)/($G$9-$E$9),$E$9+SQRT(S450*($G$9-$E$9)*($F$9-$E$9)),$G$9-SQRT((1-S450)*($G$9-$E$9)*($G$9-$F$9))))</f>
        <v>0.940508905085419</v>
      </c>
      <c r="F450" s="37" t="n">
        <f aca="false">1+IF($G$10=$E$10,$F$10,IF(T450&lt;($F$10-$E$10)/($G$10-$E$10),$E$10+SQRT(T450*($G$10-$E$10)*($F$10-$E$10)),$G$10-SQRT((1-T450)*($G$10-$E$10)*($G$10-$F$10))))</f>
        <v>1.03138302770084</v>
      </c>
      <c r="G450" s="38" t="n">
        <f aca="false">IF($G$11=$E$11,$F$11,IF(U450&lt;($F$11-$E$11)/($G$11-$E$11),$E$11+SQRT(U450*($G$11-$E$11)*($F$11-$E$11)),$G$11-SQRT((1-U450)*($G$11-$E$11)*($G$11-$F$11))))</f>
        <v>0.110805169668149</v>
      </c>
      <c r="H450" s="39" t="n">
        <f aca="false">(('Business Case'!B11*$C450*'Business Case'!B12*$B450)-'Business Case'!B11*$C450*'Business Case'!B13*$D450-'Business Case'!B14*$E450)-MAX(0,(('Business Case'!B11*$C450*'Business Case'!B12*$B450)-'Business Case'!B11*$C450*'Business Case'!B13*$D450-'Business Case'!B14*$E450))*'Business Case'!$B$7-'Business Case'!$B$8*('Business Case'!B11*$C450*'Business Case'!B12*$B450)-'Business Case'!B15*$F450</f>
        <v>-2062766055.40169</v>
      </c>
      <c r="I450" s="39" t="n">
        <f aca="false">(('Business Case'!C11*$C450*'Business Case'!C12*$B450)-'Business Case'!C11*$C450*'Business Case'!C13*$D450-'Business Case'!C14*$E450)-MAX(0,(('Business Case'!C11*$C450*'Business Case'!C12*$B450)-'Business Case'!C11*$C450*'Business Case'!C13*$D450-'Business Case'!C14*$E450))*'Business Case'!$B$7-'Business Case'!$B$8*(('Business Case'!C11*$C450*'Business Case'!C12*$B450)-('Business Case'!B11*$C450*'Business Case'!B12*$B450))-'Business Case'!C15*$F450</f>
        <v>25872848.51968</v>
      </c>
      <c r="J450" s="39" t="n">
        <f aca="false">(('Business Case'!D11*$C450*'Business Case'!D12*$B450)-'Business Case'!D11*$C450*'Business Case'!D13*$D450-'Business Case'!D14*$E450)-MAX(0,(('Business Case'!D11*$C450*'Business Case'!D12*$B450)-'Business Case'!D11*$C450*'Business Case'!D13*$D450-'Business Case'!D14*$E450))*'Business Case'!$B$7-'Business Case'!$B$8*(('Business Case'!D11*$C450*'Business Case'!D12*$B450)-('Business Case'!C11*$C450*'Business Case'!C12*$B450))-'Business Case'!D15*$F450</f>
        <v>341152217.612443</v>
      </c>
      <c r="K450" s="39" t="n">
        <f aca="false">(('Business Case'!E11*$C450*'Business Case'!E12*$B450)-'Business Case'!E11*$C450*'Business Case'!E13*$D450-'Business Case'!E14*$E450)-MAX(0,(('Business Case'!E11*$C450*'Business Case'!E12*$B450)-'Business Case'!E11*$C450*'Business Case'!E13*$D450-'Business Case'!E14*$E450))*'Business Case'!$B$7-'Business Case'!$B$8*(('Business Case'!E11*$C450*'Business Case'!E12*$B450)-('Business Case'!D11*$C450*'Business Case'!D12*$B450))-'Business Case'!E15*$F450</f>
        <v>708000738.090248</v>
      </c>
      <c r="L450" s="39" t="n">
        <f aca="false">(('Business Case'!F11*$C450*'Business Case'!F12*$B450)-'Business Case'!F11*$C450*'Business Case'!F13*$D450-'Business Case'!F14*$E450)-MAX(0,(('Business Case'!F11*$C450*'Business Case'!F12*$B450)-'Business Case'!F11*$C450*'Business Case'!F13*$D450-'Business Case'!F14*$E450))*'Business Case'!$B$7-'Business Case'!$B$8*(('Business Case'!F11*$C450*'Business Case'!F12*$B450)-('Business Case'!E11*$C450*'Business Case'!E12*$B450))-'Business Case'!F15*$F450</f>
        <v>848112428.787737</v>
      </c>
      <c r="M450" s="39" t="n">
        <f aca="false">(('Business Case'!G11*$C450*'Business Case'!G12*$B450)-'Business Case'!G11*$C450*'Business Case'!G13*$D450-'Business Case'!G14*$E450)-MAX(0,(('Business Case'!G11*$C450*'Business Case'!G12*$B450)-'Business Case'!G11*$C450*'Business Case'!G13*$D450-'Business Case'!G14*$E450))*'Business Case'!$B$7-'Business Case'!$B$8*(('Business Case'!G11*$C450*'Business Case'!G12*$B450)-('Business Case'!F11*$C450*'Business Case'!F12*$B450))-'Business Case'!G15*$F450+'Business Case'!$B$8*('Business Case'!G11*$C450*'Business Case'!G12*$B450)</f>
        <v>1040714550.95386</v>
      </c>
      <c r="N450" s="39" t="n">
        <f aca="false">IF(COUNT('Business Case'!B11:G11)=0,"",H450+NPV(G450,I450:M450))</f>
        <v>-73991290.5201931</v>
      </c>
      <c r="P450" s="40" t="n">
        <f aca="true">RAND()</f>
        <v>0.714768893626916</v>
      </c>
      <c r="Q450" s="40" t="n">
        <f aca="true">RAND()</f>
        <v>0.707489551494227</v>
      </c>
      <c r="R450" s="40" t="n">
        <f aca="true">RAND()</f>
        <v>0.28100002868494</v>
      </c>
      <c r="S450" s="40" t="n">
        <f aca="true">RAND()</f>
        <v>0.0656388556487806</v>
      </c>
      <c r="T450" s="40" t="n">
        <f aca="true">RAND()</f>
        <v>0.362754925636665</v>
      </c>
      <c r="U450" s="40" t="n">
        <f aca="true">RAND()</f>
        <v>0.754372325687635</v>
      </c>
    </row>
    <row r="451" customFormat="false" ht="15" hidden="false" customHeight="false" outlineLevel="0" collapsed="false">
      <c r="A451" s="36" t="n">
        <v>371</v>
      </c>
      <c r="B451" s="37" t="n">
        <f aca="false">1+IF($G$6=$E$6,$F$6,IF(P451&lt;($F$6-$E$6)/($G$6-$E$6),$E$6+SQRT(P451*($G$6-$E$6)*($F$6-$E$6)),$G$6-SQRT((1-P451)*($G$6-$E$6)*($G$6-$F$6))))</f>
        <v>1.00701930267354</v>
      </c>
      <c r="C451" s="37" t="n">
        <f aca="false">1+IF($G$7=$E$7,$F$7,IF(Q451&lt;($F$7-$E$7)/($G$7-$E$7),$E$7+SQRT(Q451*($G$7-$E$7)*($F$7-$E$7)),$G$7-SQRT((1-Q451)*($G$7-$E$7)*($G$7-$F$7))))</f>
        <v>0.996077130827274</v>
      </c>
      <c r="D451" s="37" t="n">
        <f aca="false">1+IF($G$8=$E$8,$F$8,IF(R451&lt;($F$8-$E$8)/($G$8-$E$8),$E$8+SQRT(R451*($G$8-$E$8)*($F$8-$E$8)),$G$8-SQRT((1-R451)*($G$8-$E$8)*($G$8-$F$8))))</f>
        <v>1.0116357131689</v>
      </c>
      <c r="E451" s="37" t="n">
        <f aca="false">1+IF($G$9=$E$9,$F$9,IF(S451&lt;($F$9-$E$9)/($G$9-$E$9),$E$9+SQRT(S451*($G$9-$E$9)*($F$9-$E$9)),$G$9-SQRT((1-S451)*($G$9-$E$9)*($G$9-$F$9))))</f>
        <v>0.973389227034881</v>
      </c>
      <c r="F451" s="37" t="n">
        <f aca="false">1+IF($G$10=$E$10,$F$10,IF(T451&lt;($F$10-$E$10)/($G$10-$E$10),$E$10+SQRT(T451*($G$10-$E$10)*($F$10-$E$10)),$G$10-SQRT((1-T451)*($G$10-$E$10)*($G$10-$F$10))))</f>
        <v>1.05344565963042</v>
      </c>
      <c r="G451" s="38" t="n">
        <f aca="false">IF($G$11=$E$11,$F$11,IF(U451&lt;($F$11-$E$11)/($G$11-$E$11),$E$11+SQRT(U451*($G$11-$E$11)*($F$11-$E$11)),$G$11-SQRT((1-U451)*($G$11-$E$11)*($G$11-$F$11))))</f>
        <v>0.110329583234208</v>
      </c>
      <c r="H451" s="39" t="n">
        <f aca="false">(('Business Case'!B11*$C451*'Business Case'!B12*$B451)-'Business Case'!B11*$C451*'Business Case'!B13*$D451-'Business Case'!B14*$E451)-MAX(0,(('Business Case'!B11*$C451*'Business Case'!B12*$B451)-'Business Case'!B11*$C451*'Business Case'!B13*$D451-'Business Case'!B14*$E451))*'Business Case'!$B$7-'Business Case'!$B$8*('Business Case'!B11*$C451*'Business Case'!B12*$B451)-'Business Case'!B15*$F451</f>
        <v>-2106891319.26084</v>
      </c>
      <c r="I451" s="39" t="n">
        <f aca="false">(('Business Case'!C11*$C451*'Business Case'!C12*$B451)-'Business Case'!C11*$C451*'Business Case'!C13*$D451-'Business Case'!C14*$E451)-MAX(0,(('Business Case'!C11*$C451*'Business Case'!C12*$B451)-'Business Case'!C11*$C451*'Business Case'!C13*$D451-'Business Case'!C14*$E451))*'Business Case'!$B$7-'Business Case'!$B$8*(('Business Case'!C11*$C451*'Business Case'!C12*$B451)-('Business Case'!B11*$C451*'Business Case'!B12*$B451))-'Business Case'!C15*$F451</f>
        <v>9981050.15338579</v>
      </c>
      <c r="J451" s="39" t="n">
        <f aca="false">(('Business Case'!D11*$C451*'Business Case'!D12*$B451)-'Business Case'!D11*$C451*'Business Case'!D13*$D451-'Business Case'!D14*$E451)-MAX(0,(('Business Case'!D11*$C451*'Business Case'!D12*$B451)-'Business Case'!D11*$C451*'Business Case'!D13*$D451-'Business Case'!D14*$E451))*'Business Case'!$B$7-'Business Case'!$B$8*(('Business Case'!D11*$C451*'Business Case'!D12*$B451)-('Business Case'!C11*$C451*'Business Case'!C12*$B451))-'Business Case'!D15*$F451</f>
        <v>315721706.010669</v>
      </c>
      <c r="K451" s="39" t="n">
        <f aca="false">(('Business Case'!E11*$C451*'Business Case'!E12*$B451)-'Business Case'!E11*$C451*'Business Case'!E13*$D451-'Business Case'!E14*$E451)-MAX(0,(('Business Case'!E11*$C451*'Business Case'!E12*$B451)-'Business Case'!E11*$C451*'Business Case'!E13*$D451-'Business Case'!E14*$E451))*'Business Case'!$B$7-'Business Case'!$B$8*(('Business Case'!E11*$C451*'Business Case'!E12*$B451)-('Business Case'!D11*$C451*'Business Case'!D12*$B451))-'Business Case'!E15*$F451</f>
        <v>674134644.849473</v>
      </c>
      <c r="L451" s="39" t="n">
        <f aca="false">(('Business Case'!F11*$C451*'Business Case'!F12*$B451)-'Business Case'!F11*$C451*'Business Case'!F13*$D451-'Business Case'!F14*$E451)-MAX(0,(('Business Case'!F11*$C451*'Business Case'!F12*$B451)-'Business Case'!F11*$C451*'Business Case'!F13*$D451-'Business Case'!F14*$E451))*'Business Case'!$B$7-'Business Case'!$B$8*(('Business Case'!F11*$C451*'Business Case'!F12*$B451)-('Business Case'!E11*$C451*'Business Case'!E12*$B451))-'Business Case'!F15*$F451</f>
        <v>810714257.90623</v>
      </c>
      <c r="M451" s="39" t="n">
        <f aca="false">(('Business Case'!G11*$C451*'Business Case'!G12*$B451)-'Business Case'!G11*$C451*'Business Case'!G13*$D451-'Business Case'!G14*$E451)-MAX(0,(('Business Case'!G11*$C451*'Business Case'!G12*$B451)-'Business Case'!G11*$C451*'Business Case'!G13*$D451-'Business Case'!G14*$E451))*'Business Case'!$B$7-'Business Case'!$B$8*(('Business Case'!G11*$C451*'Business Case'!G12*$B451)-('Business Case'!F11*$C451*'Business Case'!F12*$B451))-'Business Case'!G15*$F451+'Business Case'!$B$8*('Business Case'!G11*$C451*'Business Case'!G12*$B451)</f>
        <v>1001377593.98005</v>
      </c>
      <c r="N451" s="39" t="n">
        <f aca="false">IF(COUNT('Business Case'!B11:G11)=0,"",H451+NPV(G451,I451:M451))</f>
        <v>-222528530.322818</v>
      </c>
      <c r="P451" s="40" t="n">
        <f aca="true">RAND()</f>
        <v>0.753687954310782</v>
      </c>
      <c r="Q451" s="40" t="n">
        <f aca="true">RAND()</f>
        <v>0.649345684436375</v>
      </c>
      <c r="R451" s="40" t="n">
        <f aca="true">RAND()</f>
        <v>0.479450187522109</v>
      </c>
      <c r="S451" s="40" t="n">
        <f aca="true">RAND()</f>
        <v>0.215439145791094</v>
      </c>
      <c r="T451" s="40" t="n">
        <f aca="true">RAND()</f>
        <v>0.484885217091727</v>
      </c>
      <c r="U451" s="40" t="n">
        <f aca="true">RAND()</f>
        <v>0.742049802840023</v>
      </c>
    </row>
    <row r="452" customFormat="false" ht="15" hidden="false" customHeight="false" outlineLevel="0" collapsed="false">
      <c r="A452" s="36" t="n">
        <v>372</v>
      </c>
      <c r="B452" s="37" t="n">
        <f aca="false">1+IF($G$6=$E$6,$F$6,IF(P452&lt;($F$6-$E$6)/($G$6-$E$6),$E$6+SQRT(P452*($G$6-$E$6)*($F$6-$E$6)),$G$6-SQRT((1-P452)*($G$6-$E$6)*($G$6-$F$6))))</f>
        <v>0.998272749057597</v>
      </c>
      <c r="C452" s="37" t="n">
        <f aca="false">1+IF($G$7=$E$7,$F$7,IF(Q452&lt;($F$7-$E$7)/($G$7-$E$7),$E$7+SQRT(Q452*($G$7-$E$7)*($F$7-$E$7)),$G$7-SQRT((1-Q452)*($G$7-$E$7)*($G$7-$F$7))))</f>
        <v>0.961641942835023</v>
      </c>
      <c r="D452" s="37" t="n">
        <f aca="false">1+IF($G$8=$E$8,$F$8,IF(R452&lt;($F$8-$E$8)/($G$8-$E$8),$E$8+SQRT(R452*($G$8-$E$8)*($F$8-$E$8)),$G$8-SQRT((1-R452)*($G$8-$E$8)*($G$8-$F$8))))</f>
        <v>1.02633733008406</v>
      </c>
      <c r="E452" s="37" t="n">
        <f aca="false">1+IF($G$9=$E$9,$F$9,IF(S452&lt;($F$9-$E$9)/($G$9-$E$9),$E$9+SQRT(S452*($G$9-$E$9)*($F$9-$E$9)),$G$9-SQRT((1-S452)*($G$9-$E$9)*($G$9-$F$9))))</f>
        <v>0.985695880665569</v>
      </c>
      <c r="F452" s="37" t="n">
        <f aca="false">1+IF($G$10=$E$10,$F$10,IF(T452&lt;($F$10-$E$10)/($G$10-$E$10),$E$10+SQRT(T452*($G$10-$E$10)*($F$10-$E$10)),$G$10-SQRT((1-T452)*($G$10-$E$10)*($G$10-$F$10))))</f>
        <v>1.07729423312777</v>
      </c>
      <c r="G452" s="38" t="n">
        <f aca="false">IF($G$11=$E$11,$F$11,IF(U452&lt;($F$11-$E$11)/($G$11-$E$11),$E$11+SQRT(U452*($G$11-$E$11)*($F$11-$E$11)),$G$11-SQRT((1-U452)*($G$11-$E$11)*($G$11-$F$11))))</f>
        <v>0.104285608908649</v>
      </c>
      <c r="H452" s="39" t="n">
        <f aca="false">(('Business Case'!B11*$C452*'Business Case'!B12*$B452)-'Business Case'!B11*$C452*'Business Case'!B13*$D452-'Business Case'!B14*$E452)-MAX(0,(('Business Case'!B11*$C452*'Business Case'!B12*$B452)-'Business Case'!B11*$C452*'Business Case'!B13*$D452-'Business Case'!B14*$E452))*'Business Case'!$B$7-'Business Case'!$B$8*('Business Case'!B11*$C452*'Business Case'!B12*$B452)-'Business Case'!B15*$F452</f>
        <v>-2154588466.25555</v>
      </c>
      <c r="I452" s="39" t="n">
        <f aca="false">(('Business Case'!C11*$C452*'Business Case'!C12*$B452)-'Business Case'!C11*$C452*'Business Case'!C13*$D452-'Business Case'!C14*$E452)-MAX(0,(('Business Case'!C11*$C452*'Business Case'!C12*$B452)-'Business Case'!C11*$C452*'Business Case'!C13*$D452-'Business Case'!C14*$E452))*'Business Case'!$B$7-'Business Case'!$B$8*(('Business Case'!C11*$C452*'Business Case'!C12*$B452)-('Business Case'!B11*$C452*'Business Case'!B12*$B452))-'Business Case'!C15*$F452</f>
        <v>-16616459.2921272</v>
      </c>
      <c r="J452" s="39" t="n">
        <f aca="false">(('Business Case'!D11*$C452*'Business Case'!D12*$B452)-'Business Case'!D11*$C452*'Business Case'!D13*$D452-'Business Case'!D14*$E452)-MAX(0,(('Business Case'!D11*$C452*'Business Case'!D12*$B452)-'Business Case'!D11*$C452*'Business Case'!D13*$D452-'Business Case'!D14*$E452))*'Business Case'!$B$7-'Business Case'!$B$8*(('Business Case'!D11*$C452*'Business Case'!D12*$B452)-('Business Case'!C11*$C452*'Business Case'!C12*$B452))-'Business Case'!D15*$F452</f>
        <v>264427871.193742</v>
      </c>
      <c r="K452" s="39" t="n">
        <f aca="false">(('Business Case'!E11*$C452*'Business Case'!E12*$B452)-'Business Case'!E11*$C452*'Business Case'!E13*$D452-'Business Case'!E14*$E452)-MAX(0,(('Business Case'!E11*$C452*'Business Case'!E12*$B452)-'Business Case'!E11*$C452*'Business Case'!E13*$D452-'Business Case'!E14*$E452))*'Business Case'!$B$7-'Business Case'!$B$8*(('Business Case'!E11*$C452*'Business Case'!E12*$B452)-('Business Case'!D11*$C452*'Business Case'!D12*$B452))-'Business Case'!E15*$F452</f>
        <v>599336913.336</v>
      </c>
      <c r="L452" s="39" t="n">
        <f aca="false">(('Business Case'!F11*$C452*'Business Case'!F12*$B452)-'Business Case'!F11*$C452*'Business Case'!F13*$D452-'Business Case'!F14*$E452)-MAX(0,(('Business Case'!F11*$C452*'Business Case'!F12*$B452)-'Business Case'!F11*$C452*'Business Case'!F13*$D452-'Business Case'!F14*$E452))*'Business Case'!$B$7-'Business Case'!$B$8*(('Business Case'!F11*$C452*'Business Case'!F12*$B452)-('Business Case'!E11*$C452*'Business Case'!E12*$B452))-'Business Case'!F15*$F452</f>
        <v>726195298.321007</v>
      </c>
      <c r="M452" s="39" t="n">
        <f aca="false">(('Business Case'!G11*$C452*'Business Case'!G12*$B452)-'Business Case'!G11*$C452*'Business Case'!G13*$D452-'Business Case'!G14*$E452)-MAX(0,(('Business Case'!G11*$C452*'Business Case'!G12*$B452)-'Business Case'!G11*$C452*'Business Case'!G13*$D452-'Business Case'!G14*$E452))*'Business Case'!$B$7-'Business Case'!$B$8*(('Business Case'!G11*$C452*'Business Case'!G12*$B452)-('Business Case'!F11*$C452*'Business Case'!F12*$B452))-'Business Case'!G15*$F452+'Business Case'!$B$8*('Business Case'!G11*$C452*'Business Case'!G12*$B452)</f>
        <v>908668476.514449</v>
      </c>
      <c r="N452" s="39" t="n">
        <f aca="false">IF(COUNT('Business Case'!B11:G11)=0,"",H452+NPV(G452,I452:M452))</f>
        <v>-466030548.712118</v>
      </c>
      <c r="P452" s="40" t="n">
        <f aca="true">RAND()</f>
        <v>0.643835547155832</v>
      </c>
      <c r="Q452" s="40" t="n">
        <f aca="true">RAND()</f>
        <v>0.507085231485077</v>
      </c>
      <c r="R452" s="40" t="n">
        <f aca="true">RAND()</f>
        <v>0.638254070723663</v>
      </c>
      <c r="S452" s="40" t="n">
        <f aca="true">RAND()</f>
        <v>0.293751358521899</v>
      </c>
      <c r="T452" s="40" t="n">
        <f aca="true">RAND()</f>
        <v>0.602302907854351</v>
      </c>
      <c r="U452" s="40" t="n">
        <f aca="true">RAND()</f>
        <v>0.559180060534036</v>
      </c>
    </row>
    <row r="453" customFormat="false" ht="15" hidden="false" customHeight="false" outlineLevel="0" collapsed="false">
      <c r="A453" s="36" t="n">
        <v>373</v>
      </c>
      <c r="B453" s="37" t="n">
        <f aca="false">1+IF($G$6=$E$6,$F$6,IF(P453&lt;($F$6-$E$6)/($G$6-$E$6),$E$6+SQRT(P453*($G$6-$E$6)*($F$6-$E$6)),$G$6-SQRT((1-P453)*($G$6-$E$6)*($G$6-$F$6))))</f>
        <v>1.03276891538512</v>
      </c>
      <c r="C453" s="37" t="n">
        <f aca="false">1+IF($G$7=$E$7,$F$7,IF(Q453&lt;($F$7-$E$7)/($G$7-$E$7),$E$7+SQRT(Q453*($G$7-$E$7)*($F$7-$E$7)),$G$7-SQRT((1-Q453)*($G$7-$E$7)*($G$7-$F$7))))</f>
        <v>0.97778456113115</v>
      </c>
      <c r="D453" s="37" t="n">
        <f aca="false">1+IF($G$8=$E$8,$F$8,IF(R453&lt;($F$8-$E$8)/($G$8-$E$8),$E$8+SQRT(R453*($G$8-$E$8)*($F$8-$E$8)),$G$8-SQRT((1-R453)*($G$8-$E$8)*($G$8-$F$8))))</f>
        <v>1.0979871606493</v>
      </c>
      <c r="E453" s="37" t="n">
        <f aca="false">1+IF($G$9=$E$9,$F$9,IF(S453&lt;($F$9-$E$9)/($G$9-$E$9),$E$9+SQRT(S453*($G$9-$E$9)*($F$9-$E$9)),$G$9-SQRT((1-S453)*($G$9-$E$9)*($G$9-$F$9))))</f>
        <v>1.05414018238843</v>
      </c>
      <c r="F453" s="37" t="n">
        <f aca="false">1+IF($G$10=$E$10,$F$10,IF(T453&lt;($F$10-$E$10)/($G$10-$E$10),$E$10+SQRT(T453*($G$10-$E$10)*($F$10-$E$10)),$G$10-SQRT((1-T453)*($G$10-$E$10)*($G$10-$F$10))))</f>
        <v>1.04774461743446</v>
      </c>
      <c r="G453" s="38" t="n">
        <f aca="false">IF($G$11=$E$11,$F$11,IF(U453&lt;($F$11-$E$11)/($G$11-$E$11),$E$11+SQRT(U453*($G$11-$E$11)*($F$11-$E$11)),$G$11-SQRT((1-U453)*($G$11-$E$11)*($G$11-$F$11))))</f>
        <v>0.0992979246153188</v>
      </c>
      <c r="H453" s="39" t="n">
        <f aca="false">(('Business Case'!B11*$C453*'Business Case'!B12*$B453)-'Business Case'!B11*$C453*'Business Case'!B13*$D453-'Business Case'!B14*$E453)-MAX(0,(('Business Case'!B11*$C453*'Business Case'!B12*$B453)-'Business Case'!B11*$C453*'Business Case'!B13*$D453-'Business Case'!B14*$E453))*'Business Case'!$B$7-'Business Case'!$B$8*('Business Case'!B11*$C453*'Business Case'!B12*$B453)-'Business Case'!B15*$F453</f>
        <v>-2095489234.86892</v>
      </c>
      <c r="I453" s="39" t="n">
        <f aca="false">(('Business Case'!C11*$C453*'Business Case'!C12*$B453)-'Business Case'!C11*$C453*'Business Case'!C13*$D453-'Business Case'!C14*$E453)-MAX(0,(('Business Case'!C11*$C453*'Business Case'!C12*$B453)-'Business Case'!C11*$C453*'Business Case'!C13*$D453-'Business Case'!C14*$E453))*'Business Case'!$B$7-'Business Case'!$B$8*(('Business Case'!C11*$C453*'Business Case'!C12*$B453)-('Business Case'!B11*$C453*'Business Case'!B12*$B453))-'Business Case'!C15*$F453</f>
        <v>-29497455.2796417</v>
      </c>
      <c r="J453" s="39" t="n">
        <f aca="false">(('Business Case'!D11*$C453*'Business Case'!D12*$B453)-'Business Case'!D11*$C453*'Business Case'!D13*$D453-'Business Case'!D14*$E453)-MAX(0,(('Business Case'!D11*$C453*'Business Case'!D12*$B453)-'Business Case'!D11*$C453*'Business Case'!D13*$D453-'Business Case'!D14*$E453))*'Business Case'!$B$7-'Business Case'!$B$8*(('Business Case'!D11*$C453*'Business Case'!D12*$B453)-('Business Case'!C11*$C453*'Business Case'!C12*$B453))-'Business Case'!D15*$F453</f>
        <v>248027639.075035</v>
      </c>
      <c r="K453" s="39" t="n">
        <f aca="false">(('Business Case'!E11*$C453*'Business Case'!E12*$B453)-'Business Case'!E11*$C453*'Business Case'!E13*$D453-'Business Case'!E14*$E453)-MAX(0,(('Business Case'!E11*$C453*'Business Case'!E12*$B453)-'Business Case'!E11*$C453*'Business Case'!E13*$D453-'Business Case'!E14*$E453))*'Business Case'!$B$7-'Business Case'!$B$8*(('Business Case'!E11*$C453*'Business Case'!E12*$B453)-('Business Case'!D11*$C453*'Business Case'!D12*$B453))-'Business Case'!E15*$F453</f>
        <v>577939964.301435</v>
      </c>
      <c r="L453" s="39" t="n">
        <f aca="false">(('Business Case'!F11*$C453*'Business Case'!F12*$B453)-'Business Case'!F11*$C453*'Business Case'!F13*$D453-'Business Case'!F14*$E453)-MAX(0,(('Business Case'!F11*$C453*'Business Case'!F12*$B453)-'Business Case'!F11*$C453*'Business Case'!F13*$D453-'Business Case'!F14*$E453))*'Business Case'!$B$7-'Business Case'!$B$8*(('Business Case'!F11*$C453*'Business Case'!F12*$B453)-('Business Case'!E11*$C453*'Business Case'!E12*$B453))-'Business Case'!F15*$F453</f>
        <v>705347898.389819</v>
      </c>
      <c r="M453" s="39" t="n">
        <f aca="false">(('Business Case'!G11*$C453*'Business Case'!G12*$B453)-'Business Case'!G11*$C453*'Business Case'!G13*$D453-'Business Case'!G14*$E453)-MAX(0,(('Business Case'!G11*$C453*'Business Case'!G12*$B453)-'Business Case'!G11*$C453*'Business Case'!G13*$D453-'Business Case'!G14*$E453))*'Business Case'!$B$7-'Business Case'!$B$8*(('Business Case'!G11*$C453*'Business Case'!G12*$B453)-('Business Case'!F11*$C453*'Business Case'!F12*$B453))-'Business Case'!G15*$F453+'Business Case'!$B$8*('Business Case'!G11*$C453*'Business Case'!G12*$B453)</f>
        <v>897295529.559023</v>
      </c>
      <c r="N453" s="39" t="n">
        <f aca="false">IF(COUNT('Business Case'!B11:G11)=0,"",H453+NPV(G453,I453:M453))</f>
        <v>-440106122.566463</v>
      </c>
      <c r="P453" s="40" t="n">
        <f aca="true">RAND()</f>
        <v>0.960411963065987</v>
      </c>
      <c r="Q453" s="40" t="n">
        <f aca="true">RAND()</f>
        <v>0.571587128909818</v>
      </c>
      <c r="R453" s="40" t="n">
        <f aca="true">RAND()</f>
        <v>0.999729898516552</v>
      </c>
      <c r="S453" s="40" t="n">
        <f aca="true">RAND()</f>
        <v>0.754957209799391</v>
      </c>
      <c r="T453" s="40" t="n">
        <f aca="true">RAND()</f>
        <v>0.454570136310222</v>
      </c>
      <c r="U453" s="40" t="n">
        <f aca="true">RAND()</f>
        <v>0.372409894458528</v>
      </c>
    </row>
    <row r="454" customFormat="false" ht="15" hidden="false" customHeight="false" outlineLevel="0" collapsed="false">
      <c r="A454" s="36" t="n">
        <v>374</v>
      </c>
      <c r="B454" s="37" t="n">
        <f aca="false">1+IF($G$6=$E$6,$F$6,IF(P454&lt;($F$6-$E$6)/($G$6-$E$6),$E$6+SQRT(P454*($G$6-$E$6)*($F$6-$E$6)),$G$6-SQRT((1-P454)*($G$6-$E$6)*($G$6-$F$6))))</f>
        <v>0.990624668286208</v>
      </c>
      <c r="C454" s="37" t="n">
        <f aca="false">1+IF($G$7=$E$7,$F$7,IF(Q454&lt;($F$7-$E$7)/($G$7-$E$7),$E$7+SQRT(Q454*($G$7-$E$7)*($F$7-$E$7)),$G$7-SQRT((1-Q454)*($G$7-$E$7)*($G$7-$F$7))))</f>
        <v>1.13624145183271</v>
      </c>
      <c r="D454" s="37" t="n">
        <f aca="false">1+IF($G$8=$E$8,$F$8,IF(R454&lt;($F$8-$E$8)/($G$8-$E$8),$E$8+SQRT(R454*($G$8-$E$8)*($F$8-$E$8)),$G$8-SQRT((1-R454)*($G$8-$E$8)*($G$8-$F$8))))</f>
        <v>1.02401046909941</v>
      </c>
      <c r="E454" s="37" t="n">
        <f aca="false">1+IF($G$9=$E$9,$F$9,IF(S454&lt;($F$9-$E$9)/($G$9-$E$9),$E$9+SQRT(S454*($G$9-$E$9)*($F$9-$E$9)),$G$9-SQRT((1-S454)*($G$9-$E$9)*($G$9-$F$9))))</f>
        <v>1.07890762092772</v>
      </c>
      <c r="F454" s="37" t="n">
        <f aca="false">1+IF($G$10=$E$10,$F$10,IF(T454&lt;($F$10-$E$10)/($G$10-$E$10),$E$10+SQRT(T454*($G$10-$E$10)*($F$10-$E$10)),$G$10-SQRT((1-T454)*($G$10-$E$10)*($G$10-$F$10))))</f>
        <v>1.17031372011555</v>
      </c>
      <c r="G454" s="38" t="n">
        <f aca="false">IF($G$11=$E$11,$F$11,IF(U454&lt;($F$11-$E$11)/($G$11-$E$11),$E$11+SQRT(U454*($G$11-$E$11)*($F$11-$E$11)),$G$11-SQRT((1-U454)*($G$11-$E$11)*($G$11-$F$11))))</f>
        <v>0.0994747928322662</v>
      </c>
      <c r="H454" s="39" t="n">
        <f aca="false">(('Business Case'!B11*$C454*'Business Case'!B12*$B454)-'Business Case'!B11*$C454*'Business Case'!B13*$D454-'Business Case'!B14*$E454)-MAX(0,(('Business Case'!B11*$C454*'Business Case'!B12*$B454)-'Business Case'!B11*$C454*'Business Case'!B13*$D454-'Business Case'!B14*$E454))*'Business Case'!$B$7-'Business Case'!$B$8*('Business Case'!B11*$C454*'Business Case'!B12*$B454)-'Business Case'!B15*$F454</f>
        <v>-2340627440.2311</v>
      </c>
      <c r="I454" s="39" t="n">
        <f aca="false">(('Business Case'!C11*$C454*'Business Case'!C12*$B454)-'Business Case'!C11*$C454*'Business Case'!C13*$D454-'Business Case'!C14*$E454)-MAX(0,(('Business Case'!C11*$C454*'Business Case'!C12*$B454)-'Business Case'!C11*$C454*'Business Case'!C13*$D454-'Business Case'!C14*$E454))*'Business Case'!$B$7-'Business Case'!$B$8*(('Business Case'!C11*$C454*'Business Case'!C12*$B454)-('Business Case'!B11*$C454*'Business Case'!B12*$B454))-'Business Case'!C15*$F454</f>
        <v>-2495047.72934029</v>
      </c>
      <c r="J454" s="39" t="n">
        <f aca="false">(('Business Case'!D11*$C454*'Business Case'!D12*$B454)-'Business Case'!D11*$C454*'Business Case'!D13*$D454-'Business Case'!D14*$E454)-MAX(0,(('Business Case'!D11*$C454*'Business Case'!D12*$B454)-'Business Case'!D11*$C454*'Business Case'!D13*$D454-'Business Case'!D14*$E454))*'Business Case'!$B$7-'Business Case'!$B$8*(('Business Case'!D11*$C454*'Business Case'!D12*$B454)-('Business Case'!C11*$C454*'Business Case'!C12*$B454))-'Business Case'!D15*$F454</f>
        <v>323812464.227356</v>
      </c>
      <c r="K454" s="39" t="n">
        <f aca="false">(('Business Case'!E11*$C454*'Business Case'!E12*$B454)-'Business Case'!E11*$C454*'Business Case'!E13*$D454-'Business Case'!E14*$E454)-MAX(0,(('Business Case'!E11*$C454*'Business Case'!E12*$B454)-'Business Case'!E11*$C454*'Business Case'!E13*$D454-'Business Case'!E14*$E454))*'Business Case'!$B$7-'Business Case'!$B$8*(('Business Case'!E11*$C454*'Business Case'!E12*$B454)-('Business Case'!D11*$C454*'Business Case'!D12*$B454))-'Business Case'!E15*$F454</f>
        <v>708635662.189831</v>
      </c>
      <c r="L454" s="39" t="n">
        <f aca="false">(('Business Case'!F11*$C454*'Business Case'!F12*$B454)-'Business Case'!F11*$C454*'Business Case'!F13*$D454-'Business Case'!F14*$E454)-MAX(0,(('Business Case'!F11*$C454*'Business Case'!F12*$B454)-'Business Case'!F11*$C454*'Business Case'!F13*$D454-'Business Case'!F14*$E454))*'Business Case'!$B$7-'Business Case'!$B$8*(('Business Case'!F11*$C454*'Business Case'!F12*$B454)-('Business Case'!E11*$C454*'Business Case'!E12*$B454))-'Business Case'!F15*$F454</f>
        <v>856305182.161103</v>
      </c>
      <c r="M454" s="39" t="n">
        <f aca="false">(('Business Case'!G11*$C454*'Business Case'!G12*$B454)-'Business Case'!G11*$C454*'Business Case'!G13*$D454-'Business Case'!G14*$E454)-MAX(0,(('Business Case'!G11*$C454*'Business Case'!G12*$B454)-'Business Case'!G11*$C454*'Business Case'!G13*$D454-'Business Case'!G14*$E454))*'Business Case'!$B$7-'Business Case'!$B$8*(('Business Case'!G11*$C454*'Business Case'!G12*$B454)-('Business Case'!F11*$C454*'Business Case'!F12*$B454))-'Business Case'!G15*$F454+'Business Case'!$B$8*('Business Case'!G11*$C454*'Business Case'!G12*$B454)</f>
        <v>1070257103.41582</v>
      </c>
      <c r="N454" s="39" t="n">
        <f aca="false">IF(COUNT('Business Case'!B11:G11)=0,"",H454+NPV(G454,I454:M454))</f>
        <v>-289735098.508688</v>
      </c>
      <c r="P454" s="40" t="n">
        <f aca="true">RAND()</f>
        <v>0.547522033465685</v>
      </c>
      <c r="Q454" s="40" t="n">
        <f aca="true">RAND()</f>
        <v>0.997195590404865</v>
      </c>
      <c r="R454" s="40" t="n">
        <f aca="true">RAND()</f>
        <v>0.615039412900579</v>
      </c>
      <c r="S454" s="40" t="n">
        <f aca="true">RAND()</f>
        <v>0.865223297009136</v>
      </c>
      <c r="T454" s="40" t="n">
        <f aca="true">RAND()</f>
        <v>0.9153346239757</v>
      </c>
      <c r="U454" s="40" t="n">
        <f aca="true">RAND()</f>
        <v>0.379267555859688</v>
      </c>
    </row>
    <row r="455" customFormat="false" ht="15" hidden="false" customHeight="false" outlineLevel="0" collapsed="false">
      <c r="A455" s="36" t="n">
        <v>375</v>
      </c>
      <c r="B455" s="37" t="n">
        <f aca="false">1+IF($G$6=$E$6,$F$6,IF(P455&lt;($F$6-$E$6)/($G$6-$E$6),$E$6+SQRT(P455*($G$6-$E$6)*($F$6-$E$6)),$G$6-SQRT((1-P455)*($G$6-$E$6)*($G$6-$F$6))))</f>
        <v>0.959690485949444</v>
      </c>
      <c r="C455" s="37" t="n">
        <f aca="false">1+IF($G$7=$E$7,$F$7,IF(Q455&lt;($F$7-$E$7)/($G$7-$E$7),$E$7+SQRT(Q455*($G$7-$E$7)*($F$7-$E$7)),$G$7-SQRT((1-Q455)*($G$7-$E$7)*($G$7-$F$7))))</f>
        <v>1.00860417519381</v>
      </c>
      <c r="D455" s="37" t="n">
        <f aca="false">1+IF($G$8=$E$8,$F$8,IF(R455&lt;($F$8-$E$8)/($G$8-$E$8),$E$8+SQRT(R455*($G$8-$E$8)*($F$8-$E$8)),$G$8-SQRT((1-R455)*($G$8-$E$8)*($G$8-$F$8))))</f>
        <v>1.03369156291996</v>
      </c>
      <c r="E455" s="37" t="n">
        <f aca="false">1+IF($G$9=$E$9,$F$9,IF(S455&lt;($F$9-$E$9)/($G$9-$E$9),$E$9+SQRT(S455*($G$9-$E$9)*($F$9-$E$9)),$G$9-SQRT((1-S455)*($G$9-$E$9)*($G$9-$F$9))))</f>
        <v>1.10527955958653</v>
      </c>
      <c r="F455" s="37" t="n">
        <f aca="false">1+IF($G$10=$E$10,$F$10,IF(T455&lt;($F$10-$E$10)/($G$10-$E$10),$E$10+SQRT(T455*($G$10-$E$10)*($F$10-$E$10)),$G$10-SQRT((1-T455)*($G$10-$E$10)*($G$10-$F$10))))</f>
        <v>1.06350600895059</v>
      </c>
      <c r="G455" s="38" t="n">
        <f aca="false">IF($G$11=$E$11,$F$11,IF(U455&lt;($F$11-$E$11)/($G$11-$E$11),$E$11+SQRT(U455*($G$11-$E$11)*($F$11-$E$11)),$G$11-SQRT((1-U455)*($G$11-$E$11)*($G$11-$F$11))))</f>
        <v>0.116708775638021</v>
      </c>
      <c r="H455" s="39" t="n">
        <f aca="false">(('Business Case'!B11*$C455*'Business Case'!B12*$B455)-'Business Case'!B11*$C455*'Business Case'!B13*$D455-'Business Case'!B14*$E455)-MAX(0,(('Business Case'!B11*$C455*'Business Case'!B12*$B455)-'Business Case'!B11*$C455*'Business Case'!B13*$D455-'Business Case'!B14*$E455))*'Business Case'!$B$7-'Business Case'!$B$8*('Business Case'!B11*$C455*'Business Case'!B12*$B455)-'Business Case'!B15*$F455</f>
        <v>-2127012017.90119</v>
      </c>
      <c r="I455" s="39" t="n">
        <f aca="false">(('Business Case'!C11*$C455*'Business Case'!C12*$B455)-'Business Case'!C11*$C455*'Business Case'!C13*$D455-'Business Case'!C14*$E455)-MAX(0,(('Business Case'!C11*$C455*'Business Case'!C12*$B455)-'Business Case'!C11*$C455*'Business Case'!C13*$D455-'Business Case'!C14*$E455))*'Business Case'!$B$7-'Business Case'!$B$8*(('Business Case'!C11*$C455*'Business Case'!C12*$B455)-('Business Case'!B11*$C455*'Business Case'!B12*$B455))-'Business Case'!C15*$F455</f>
        <v>-54601237.7537287</v>
      </c>
      <c r="J455" s="39" t="n">
        <f aca="false">(('Business Case'!D11*$C455*'Business Case'!D12*$B455)-'Business Case'!D11*$C455*'Business Case'!D13*$D455-'Business Case'!D14*$E455)-MAX(0,(('Business Case'!D11*$C455*'Business Case'!D12*$B455)-'Business Case'!D11*$C455*'Business Case'!D13*$D455-'Business Case'!D14*$E455))*'Business Case'!$B$7-'Business Case'!$B$8*(('Business Case'!D11*$C455*'Business Case'!D12*$B455)-('Business Case'!C11*$C455*'Business Case'!C12*$B455))-'Business Case'!D15*$F455</f>
        <v>204497294.321006</v>
      </c>
      <c r="K455" s="39" t="n">
        <f aca="false">(('Business Case'!E11*$C455*'Business Case'!E12*$B455)-'Business Case'!E11*$C455*'Business Case'!E13*$D455-'Business Case'!E14*$E455)-MAX(0,(('Business Case'!E11*$C455*'Business Case'!E12*$B455)-'Business Case'!E11*$C455*'Business Case'!E13*$D455-'Business Case'!E14*$E455))*'Business Case'!$B$7-'Business Case'!$B$8*(('Business Case'!E11*$C455*'Business Case'!E12*$B455)-('Business Case'!D11*$C455*'Business Case'!D12*$B455))-'Business Case'!E15*$F455</f>
        <v>516771126.843271</v>
      </c>
      <c r="L455" s="39" t="n">
        <f aca="false">(('Business Case'!F11*$C455*'Business Case'!F12*$B455)-'Business Case'!F11*$C455*'Business Case'!F13*$D455-'Business Case'!F14*$E455)-MAX(0,(('Business Case'!F11*$C455*'Business Case'!F12*$B455)-'Business Case'!F11*$C455*'Business Case'!F13*$D455-'Business Case'!F14*$E455))*'Business Case'!$B$7-'Business Case'!$B$8*(('Business Case'!F11*$C455*'Business Case'!F12*$B455)-('Business Case'!E11*$C455*'Business Case'!E12*$B455))-'Business Case'!F15*$F455</f>
        <v>636589581.24165</v>
      </c>
      <c r="M455" s="39" t="n">
        <f aca="false">(('Business Case'!G11*$C455*'Business Case'!G12*$B455)-'Business Case'!G11*$C455*'Business Case'!G13*$D455-'Business Case'!G14*$E455)-MAX(0,(('Business Case'!G11*$C455*'Business Case'!G12*$B455)-'Business Case'!G11*$C455*'Business Case'!G13*$D455-'Business Case'!G14*$E455))*'Business Case'!$B$7-'Business Case'!$B$8*(('Business Case'!G11*$C455*'Business Case'!G12*$B455)-('Business Case'!F11*$C455*'Business Case'!F12*$B455))-'Business Case'!G15*$F455+'Business Case'!$B$8*('Business Case'!G11*$C455*'Business Case'!G12*$B455)</f>
        <v>820577104.962384</v>
      </c>
      <c r="N455" s="39" t="n">
        <f aca="false">IF(COUNT('Business Case'!B11:G11)=0,"",H455+NPV(G455,I455:M455))</f>
        <v>-758956890.032787</v>
      </c>
      <c r="P455" s="40" t="n">
        <f aca="true">RAND()</f>
        <v>0.237530274192052</v>
      </c>
      <c r="Q455" s="40" t="n">
        <f aca="true">RAND()</f>
        <v>0.703810677442612</v>
      </c>
      <c r="R455" s="40" t="n">
        <f aca="true">RAND()</f>
        <v>0.706879411466861</v>
      </c>
      <c r="S455" s="40" t="n">
        <f aca="true">RAND()</f>
        <v>0.946668858912664</v>
      </c>
      <c r="T455" s="40" t="n">
        <f aca="true">RAND()</f>
        <v>0.536266550699515</v>
      </c>
      <c r="U455" s="40" t="n">
        <f aca="true">RAND()</f>
        <v>0.882228903306355</v>
      </c>
    </row>
    <row r="456" customFormat="false" ht="15" hidden="false" customHeight="false" outlineLevel="0" collapsed="false">
      <c r="A456" s="36" t="n">
        <v>376</v>
      </c>
      <c r="B456" s="37" t="n">
        <f aca="false">1+IF($G$6=$E$6,$F$6,IF(P456&lt;($F$6-$E$6)/($G$6-$E$6),$E$6+SQRT(P456*($G$6-$E$6)*($F$6-$E$6)),$G$6-SQRT((1-P456)*($G$6-$E$6)*($G$6-$F$6))))</f>
        <v>0.991056756720389</v>
      </c>
      <c r="C456" s="37" t="n">
        <f aca="false">1+IF($G$7=$E$7,$F$7,IF(Q456&lt;($F$7-$E$7)/($G$7-$E$7),$E$7+SQRT(Q456*($G$7-$E$7)*($F$7-$E$7)),$G$7-SQRT((1-Q456)*($G$7-$E$7)*($G$7-$F$7))))</f>
        <v>1.05574081647434</v>
      </c>
      <c r="D456" s="37" t="n">
        <f aca="false">1+IF($G$8=$E$8,$F$8,IF(R456&lt;($F$8-$E$8)/($G$8-$E$8),$E$8+SQRT(R456*($G$8-$E$8)*($F$8-$E$8)),$G$8-SQRT((1-R456)*($G$8-$E$8)*($G$8-$F$8))))</f>
        <v>0.986162846024498</v>
      </c>
      <c r="E456" s="37" t="n">
        <f aca="false">1+IF($G$9=$E$9,$F$9,IF(S456&lt;($F$9-$E$9)/($G$9-$E$9),$E$9+SQRT(S456*($G$9-$E$9)*($F$9-$E$9)),$G$9-SQRT((1-S456)*($G$9-$E$9)*($G$9-$F$9))))</f>
        <v>0.93132173495209</v>
      </c>
      <c r="F456" s="37" t="n">
        <f aca="false">1+IF($G$10=$E$10,$F$10,IF(T456&lt;($F$10-$E$10)/($G$10-$E$10),$E$10+SQRT(T456*($G$10-$E$10)*($F$10-$E$10)),$G$10-SQRT((1-T456)*($G$10-$E$10)*($G$10-$F$10))))</f>
        <v>1.05582688766845</v>
      </c>
      <c r="G456" s="38" t="n">
        <f aca="false">IF($G$11=$E$11,$F$11,IF(U456&lt;($F$11-$E$11)/($G$11-$E$11),$E$11+SQRT(U456*($G$11-$E$11)*($F$11-$E$11)),$G$11-SQRT((1-U456)*($G$11-$E$11)*($G$11-$F$11))))</f>
        <v>0.0902447530163648</v>
      </c>
      <c r="H456" s="39" t="n">
        <f aca="false">(('Business Case'!B11*$C456*'Business Case'!B12*$B456)-'Business Case'!B11*$C456*'Business Case'!B13*$D456-'Business Case'!B14*$E456)-MAX(0,(('Business Case'!B11*$C456*'Business Case'!B12*$B456)-'Business Case'!B11*$C456*'Business Case'!B13*$D456-'Business Case'!B14*$E456))*'Business Case'!$B$7-'Business Case'!$B$8*('Business Case'!B11*$C456*'Business Case'!B12*$B456)-'Business Case'!B15*$F456</f>
        <v>-2111653775.33691</v>
      </c>
      <c r="I456" s="39" t="n">
        <f aca="false">(('Business Case'!C11*$C456*'Business Case'!C12*$B456)-'Business Case'!C11*$C456*'Business Case'!C13*$D456-'Business Case'!C14*$E456)-MAX(0,(('Business Case'!C11*$C456*'Business Case'!C12*$B456)-'Business Case'!C11*$C456*'Business Case'!C13*$D456-'Business Case'!C14*$E456))*'Business Case'!$B$7-'Business Case'!$B$8*(('Business Case'!C11*$C456*'Business Case'!C12*$B456)-('Business Case'!B11*$C456*'Business Case'!B12*$B456))-'Business Case'!C15*$F456</f>
        <v>31761006.2744152</v>
      </c>
      <c r="J456" s="39" t="n">
        <f aca="false">(('Business Case'!D11*$C456*'Business Case'!D12*$B456)-'Business Case'!D11*$C456*'Business Case'!D13*$D456-'Business Case'!D14*$E456)-MAX(0,(('Business Case'!D11*$C456*'Business Case'!D12*$B456)-'Business Case'!D11*$C456*'Business Case'!D13*$D456-'Business Case'!D14*$E456))*'Business Case'!$B$7-'Business Case'!$B$8*(('Business Case'!D11*$C456*'Business Case'!D12*$B456)-('Business Case'!C11*$C456*'Business Case'!C12*$B456))-'Business Case'!D15*$F456</f>
        <v>355778795.789385</v>
      </c>
      <c r="K456" s="39" t="n">
        <f aca="false">(('Business Case'!E11*$C456*'Business Case'!E12*$B456)-'Business Case'!E11*$C456*'Business Case'!E13*$D456-'Business Case'!E14*$E456)-MAX(0,(('Business Case'!E11*$C456*'Business Case'!E12*$B456)-'Business Case'!E11*$C456*'Business Case'!E13*$D456-'Business Case'!E14*$E456))*'Business Case'!$B$7-'Business Case'!$B$8*(('Business Case'!E11*$C456*'Business Case'!E12*$B456)-('Business Case'!D11*$C456*'Business Case'!D12*$B456))-'Business Case'!E15*$F456</f>
        <v>732587929.687779</v>
      </c>
      <c r="L456" s="39" t="n">
        <f aca="false">(('Business Case'!F11*$C456*'Business Case'!F12*$B456)-'Business Case'!F11*$C456*'Business Case'!F13*$D456-'Business Case'!F14*$E456)-MAX(0,(('Business Case'!F11*$C456*'Business Case'!F12*$B456)-'Business Case'!F11*$C456*'Business Case'!F13*$D456-'Business Case'!F14*$E456))*'Business Case'!$B$7-'Business Case'!$B$8*(('Business Case'!F11*$C456*'Business Case'!F12*$B456)-('Business Case'!E11*$C456*'Business Case'!E12*$B456))-'Business Case'!F15*$F456</f>
        <v>876753955.36845</v>
      </c>
      <c r="M456" s="39" t="n">
        <f aca="false">(('Business Case'!G11*$C456*'Business Case'!G12*$B456)-'Business Case'!G11*$C456*'Business Case'!G13*$D456-'Business Case'!G14*$E456)-MAX(0,(('Business Case'!G11*$C456*'Business Case'!G12*$B456)-'Business Case'!G11*$C456*'Business Case'!G13*$D456-'Business Case'!G14*$E456))*'Business Case'!$B$7-'Business Case'!$B$8*(('Business Case'!G11*$C456*'Business Case'!G12*$B456)-('Business Case'!F11*$C456*'Business Case'!F12*$B456))-'Business Case'!G15*$F456+'Business Case'!$B$8*('Business Case'!G11*$C456*'Business Case'!G12*$B456)</f>
        <v>1075634482.50137</v>
      </c>
      <c r="N456" s="39" t="n">
        <f aca="false">IF(COUNT('Business Case'!B11:G11)=0,"",H456+NPV(G456,I456:M456))</f>
        <v>100968386.511012</v>
      </c>
      <c r="P456" s="40" t="n">
        <f aca="true">RAND()</f>
        <v>0.552755529629072</v>
      </c>
      <c r="Q456" s="40" t="n">
        <f aca="true">RAND()</f>
        <v>0.868373426978894</v>
      </c>
      <c r="R456" s="40" t="n">
        <f aca="true">RAND()</f>
        <v>0.174366857678875</v>
      </c>
      <c r="S456" s="40" t="n">
        <f aca="true">RAND()</f>
        <v>0.0392420432163589</v>
      </c>
      <c r="T456" s="40" t="n">
        <f aca="true">RAND()</f>
        <v>0.49729069929974</v>
      </c>
      <c r="U456" s="40" t="n">
        <f aca="true">RAND()</f>
        <v>0.104954964366315</v>
      </c>
    </row>
    <row r="457" customFormat="false" ht="15" hidden="false" customHeight="false" outlineLevel="0" collapsed="false">
      <c r="A457" s="36" t="n">
        <v>377</v>
      </c>
      <c r="B457" s="37" t="n">
        <f aca="false">1+IF($G$6=$E$6,$F$6,IF(P457&lt;($F$6-$E$6)/($G$6-$E$6),$E$6+SQRT(P457*($G$6-$E$6)*($F$6-$E$6)),$G$6-SQRT((1-P457)*($G$6-$E$6)*($G$6-$F$6))))</f>
        <v>0.962131018186761</v>
      </c>
      <c r="C457" s="37" t="n">
        <f aca="false">1+IF($G$7=$E$7,$F$7,IF(Q457&lt;($F$7-$E$7)/($G$7-$E$7),$E$7+SQRT(Q457*($G$7-$E$7)*($F$7-$E$7)),$G$7-SQRT((1-Q457)*($G$7-$E$7)*($G$7-$F$7))))</f>
        <v>0.893285246407036</v>
      </c>
      <c r="D457" s="37" t="n">
        <f aca="false">1+IF($G$8=$E$8,$F$8,IF(R457&lt;($F$8-$E$8)/($G$8-$E$8),$E$8+SQRT(R457*($G$8-$E$8)*($F$8-$E$8)),$G$8-SQRT((1-R457)*($G$8-$E$8)*($G$8-$F$8))))</f>
        <v>0.989504342747672</v>
      </c>
      <c r="E457" s="37" t="n">
        <f aca="false">1+IF($G$9=$E$9,$F$9,IF(S457&lt;($F$9-$E$9)/($G$9-$E$9),$E$9+SQRT(S457*($G$9-$E$9)*($F$9-$E$9)),$G$9-SQRT((1-S457)*($G$9-$E$9)*($G$9-$F$9))))</f>
        <v>1.03764949335814</v>
      </c>
      <c r="F457" s="37" t="n">
        <f aca="false">1+IF($G$10=$E$10,$F$10,IF(T457&lt;($F$10-$E$10)/($G$10-$E$10),$E$10+SQRT(T457*($G$10-$E$10)*($F$10-$E$10)),$G$10-SQRT((1-T457)*($G$10-$E$10)*($G$10-$F$10))))</f>
        <v>1.02143492891803</v>
      </c>
      <c r="G457" s="38" t="n">
        <f aca="false">IF($G$11=$E$11,$F$11,IF(U457&lt;($F$11-$E$11)/($G$11-$E$11),$E$11+SQRT(U457*($G$11-$E$11)*($F$11-$E$11)),$G$11-SQRT((1-U457)*($G$11-$E$11)*($G$11-$F$11))))</f>
        <v>0.108629063478326</v>
      </c>
      <c r="H457" s="39" t="n">
        <f aca="false">(('Business Case'!B11*$C457*'Business Case'!B12*$B457)-'Business Case'!B11*$C457*'Business Case'!B13*$D457-'Business Case'!B14*$E457)-MAX(0,(('Business Case'!B11*$C457*'Business Case'!B12*$B457)-'Business Case'!B11*$C457*'Business Case'!B13*$D457-'Business Case'!B14*$E457))*'Business Case'!$B$7-'Business Case'!$B$8*('Business Case'!B11*$C457*'Business Case'!B12*$B457)-'Business Case'!B15*$F457</f>
        <v>-2042869857.83606</v>
      </c>
      <c r="I457" s="39" t="n">
        <f aca="false">(('Business Case'!C11*$C457*'Business Case'!C12*$B457)-'Business Case'!C11*$C457*'Business Case'!C13*$D457-'Business Case'!C14*$E457)-MAX(0,(('Business Case'!C11*$C457*'Business Case'!C12*$B457)-'Business Case'!C11*$C457*'Business Case'!C13*$D457-'Business Case'!C14*$E457))*'Business Case'!$B$7-'Business Case'!$B$8*(('Business Case'!C11*$C457*'Business Case'!C12*$B457)-('Business Case'!B11*$C457*'Business Case'!B12*$B457))-'Business Case'!C15*$F457</f>
        <v>-42785015.5488556</v>
      </c>
      <c r="J457" s="39" t="n">
        <f aca="false">(('Business Case'!D11*$C457*'Business Case'!D12*$B457)-'Business Case'!D11*$C457*'Business Case'!D13*$D457-'Business Case'!D14*$E457)-MAX(0,(('Business Case'!D11*$C457*'Business Case'!D12*$B457)-'Business Case'!D11*$C457*'Business Case'!D13*$D457-'Business Case'!D14*$E457))*'Business Case'!$B$7-'Business Case'!$B$8*(('Business Case'!D11*$C457*'Business Case'!D12*$B457)-('Business Case'!C11*$C457*'Business Case'!C12*$B457))-'Business Case'!D15*$F457</f>
        <v>208681493.628789</v>
      </c>
      <c r="K457" s="39" t="n">
        <f aca="false">(('Business Case'!E11*$C457*'Business Case'!E12*$B457)-'Business Case'!E11*$C457*'Business Case'!E13*$D457-'Business Case'!E14*$E457)-MAX(0,(('Business Case'!E11*$C457*'Business Case'!E12*$B457)-'Business Case'!E11*$C457*'Business Case'!E13*$D457-'Business Case'!E14*$E457))*'Business Case'!$B$7-'Business Case'!$B$8*(('Business Case'!E11*$C457*'Business Case'!E12*$B457)-('Business Case'!D11*$C457*'Business Case'!D12*$B457))-'Business Case'!E15*$F457</f>
        <v>511219749.252336</v>
      </c>
      <c r="L457" s="39" t="n">
        <f aca="false">(('Business Case'!F11*$C457*'Business Case'!F12*$B457)-'Business Case'!F11*$C457*'Business Case'!F13*$D457-'Business Case'!F14*$E457)-MAX(0,(('Business Case'!F11*$C457*'Business Case'!F12*$B457)-'Business Case'!F11*$C457*'Business Case'!F13*$D457-'Business Case'!F14*$E457))*'Business Case'!$B$7-'Business Case'!$B$8*(('Business Case'!F11*$C457*'Business Case'!F12*$B457)-('Business Case'!E11*$C457*'Business Case'!E12*$B457))-'Business Case'!F15*$F457</f>
        <v>624744768.230996</v>
      </c>
      <c r="M457" s="39" t="n">
        <f aca="false">(('Business Case'!G11*$C457*'Business Case'!G12*$B457)-'Business Case'!G11*$C457*'Business Case'!G13*$D457-'Business Case'!G14*$E457)-MAX(0,(('Business Case'!G11*$C457*'Business Case'!G12*$B457)-'Business Case'!G11*$C457*'Business Case'!G13*$D457-'Business Case'!G14*$E457))*'Business Case'!$B$7-'Business Case'!$B$8*(('Business Case'!G11*$C457*'Business Case'!G12*$B457)-('Business Case'!F11*$C457*'Business Case'!F12*$B457))-'Business Case'!G15*$F457+'Business Case'!$B$8*('Business Case'!G11*$C457*'Business Case'!G12*$B457)</f>
        <v>788110439.121283</v>
      </c>
      <c r="N457" s="39" t="n">
        <f aca="false">IF(COUNT('Business Case'!B11:G11)=0,"",H457+NPV(G457,I457:M457))</f>
        <v>-652302601.055213</v>
      </c>
      <c r="P457" s="40" t="n">
        <f aca="true">RAND()</f>
        <v>0.257350894728242</v>
      </c>
      <c r="Q457" s="40" t="n">
        <f aca="true">RAND()</f>
        <v>0.27673471465651</v>
      </c>
      <c r="R457" s="40" t="n">
        <f aca="true">RAND()</f>
        <v>0.208079079456739</v>
      </c>
      <c r="S457" s="40" t="n">
        <f aca="true">RAND()</f>
        <v>0.663396364195153</v>
      </c>
      <c r="T457" s="40" t="n">
        <f aca="true">RAND()</f>
        <v>0.303440110417249</v>
      </c>
      <c r="U457" s="40" t="n">
        <f aca="true">RAND()</f>
        <v>0.695522048124381</v>
      </c>
    </row>
    <row r="458" customFormat="false" ht="15" hidden="false" customHeight="false" outlineLevel="0" collapsed="false">
      <c r="A458" s="36" t="n">
        <v>378</v>
      </c>
      <c r="B458" s="37" t="n">
        <f aca="false">1+IF($G$6=$E$6,$F$6,IF(P458&lt;($F$6-$E$6)/($G$6-$E$6),$E$6+SQRT(P458*($G$6-$E$6)*($F$6-$E$6)),$G$6-SQRT((1-P458)*($G$6-$E$6)*($G$6-$F$6))))</f>
        <v>0.986070756281911</v>
      </c>
      <c r="C458" s="37" t="n">
        <f aca="false">1+IF($G$7=$E$7,$F$7,IF(Q458&lt;($F$7-$E$7)/($G$7-$E$7),$E$7+SQRT(Q458*($G$7-$E$7)*($F$7-$E$7)),$G$7-SQRT((1-Q458)*($G$7-$E$7)*($G$7-$F$7))))</f>
        <v>1.11855693715597</v>
      </c>
      <c r="D458" s="37" t="n">
        <f aca="false">1+IF($G$8=$E$8,$F$8,IF(R458&lt;($F$8-$E$8)/($G$8-$E$8),$E$8+SQRT(R458*($G$8-$E$8)*($F$8-$E$8)),$G$8-SQRT((1-R458)*($G$8-$E$8)*($G$8-$F$8))))</f>
        <v>1.04965924753624</v>
      </c>
      <c r="E458" s="37" t="n">
        <f aca="false">1+IF($G$9=$E$9,$F$9,IF(S458&lt;($F$9-$E$9)/($G$9-$E$9),$E$9+SQRT(S458*($G$9-$E$9)*($F$9-$E$9)),$G$9-SQRT((1-S458)*($G$9-$E$9)*($G$9-$F$9))))</f>
        <v>0.951800114208053</v>
      </c>
      <c r="F458" s="37" t="n">
        <f aca="false">1+IF($G$10=$E$10,$F$10,IF(T458&lt;($F$10-$E$10)/($G$10-$E$10),$E$10+SQRT(T458*($G$10-$E$10)*($F$10-$E$10)),$G$10-SQRT((1-T458)*($G$10-$E$10)*($G$10-$F$10))))</f>
        <v>0.988622473313919</v>
      </c>
      <c r="G458" s="38" t="n">
        <f aca="false">IF($G$11=$E$11,$F$11,IF(U458&lt;($F$11-$E$11)/($G$11-$E$11),$E$11+SQRT(U458*($G$11-$E$11)*($F$11-$E$11)),$G$11-SQRT((1-U458)*($G$11-$E$11)*($G$11-$F$11))))</f>
        <v>0.108547057929711</v>
      </c>
      <c r="H458" s="39" t="n">
        <f aca="false">(('Business Case'!B11*$C458*'Business Case'!B12*$B458)-'Business Case'!B11*$C458*'Business Case'!B13*$D458-'Business Case'!B14*$E458)-MAX(0,(('Business Case'!B11*$C458*'Business Case'!B12*$B458)-'Business Case'!B11*$C458*'Business Case'!B13*$D458-'Business Case'!B14*$E458))*'Business Case'!$B$7-'Business Case'!$B$8*('Business Case'!B11*$C458*'Business Case'!B12*$B458)-'Business Case'!B15*$F458</f>
        <v>-1977244946.62784</v>
      </c>
      <c r="I458" s="39" t="n">
        <f aca="false">(('Business Case'!C11*$C458*'Business Case'!C12*$B458)-'Business Case'!C11*$C458*'Business Case'!C13*$D458-'Business Case'!C14*$E458)-MAX(0,(('Business Case'!C11*$C458*'Business Case'!C12*$B458)-'Business Case'!C11*$C458*'Business Case'!C13*$D458-'Business Case'!C14*$E458))*'Business Case'!$B$7-'Business Case'!$B$8*(('Business Case'!C11*$C458*'Business Case'!C12*$B458)-('Business Case'!B11*$C458*'Business Case'!B12*$B458))-'Business Case'!C15*$F458</f>
        <v>10983345.6991501</v>
      </c>
      <c r="J458" s="39" t="n">
        <f aca="false">(('Business Case'!D11*$C458*'Business Case'!D12*$B458)-'Business Case'!D11*$C458*'Business Case'!D13*$D458-'Business Case'!D14*$E458)-MAX(0,(('Business Case'!D11*$C458*'Business Case'!D12*$B458)-'Business Case'!D11*$C458*'Business Case'!D13*$D458-'Business Case'!D14*$E458))*'Business Case'!$B$7-'Business Case'!$B$8*(('Business Case'!D11*$C458*'Business Case'!D12*$B458)-('Business Case'!C11*$C458*'Business Case'!C12*$B458))-'Business Case'!D15*$F458</f>
        <v>313353205.582702</v>
      </c>
      <c r="K458" s="39" t="n">
        <f aca="false">(('Business Case'!E11*$C458*'Business Case'!E12*$B458)-'Business Case'!E11*$C458*'Business Case'!E13*$D458-'Business Case'!E14*$E458)-MAX(0,(('Business Case'!E11*$C458*'Business Case'!E12*$B458)-'Business Case'!E11*$C458*'Business Case'!E13*$D458-'Business Case'!E14*$E458))*'Business Case'!$B$7-'Business Case'!$B$8*(('Business Case'!E11*$C458*'Business Case'!E12*$B458)-('Business Case'!D11*$C458*'Business Case'!D12*$B458))-'Business Case'!E15*$F458</f>
        <v>665154189.131951</v>
      </c>
      <c r="L458" s="39" t="n">
        <f aca="false">(('Business Case'!F11*$C458*'Business Case'!F12*$B458)-'Business Case'!F11*$C458*'Business Case'!F13*$D458-'Business Case'!F14*$E458)-MAX(0,(('Business Case'!F11*$C458*'Business Case'!F12*$B458)-'Business Case'!F11*$C458*'Business Case'!F13*$D458-'Business Case'!F14*$E458))*'Business Case'!$B$7-'Business Case'!$B$8*(('Business Case'!F11*$C458*'Business Case'!F12*$B458)-('Business Case'!E11*$C458*'Business Case'!E12*$B458))-'Business Case'!F15*$F458</f>
        <v>804063002.834885</v>
      </c>
      <c r="M458" s="39" t="n">
        <f aca="false">(('Business Case'!G11*$C458*'Business Case'!G12*$B458)-'Business Case'!G11*$C458*'Business Case'!G13*$D458-'Business Case'!G14*$E458)-MAX(0,(('Business Case'!G11*$C458*'Business Case'!G12*$B458)-'Business Case'!G11*$C458*'Business Case'!G13*$D458-'Business Case'!G14*$E458))*'Business Case'!$B$7-'Business Case'!$B$8*(('Business Case'!G11*$C458*'Business Case'!G12*$B458)-('Business Case'!F11*$C458*'Business Case'!F12*$B458))-'Business Case'!G15*$F458+'Business Case'!$B$8*('Business Case'!G11*$C458*'Business Case'!G12*$B458)</f>
        <v>1013716735.08118</v>
      </c>
      <c r="N458" s="39" t="n">
        <f aca="false">IF(COUNT('Business Case'!B11:G11)=0,"",H458+NPV(G458,I458:M458))</f>
        <v>-86087740.515692</v>
      </c>
      <c r="P458" s="40" t="n">
        <f aca="true">RAND()</f>
        <v>0.493878339129336</v>
      </c>
      <c r="Q458" s="40" t="n">
        <f aca="true">RAND()</f>
        <v>0.985353093318316</v>
      </c>
      <c r="R458" s="40" t="n">
        <f aca="true">RAND()</f>
        <v>0.831053909425468</v>
      </c>
      <c r="S458" s="40" t="n">
        <f aca="true">RAND()</f>
        <v>0.107330073278694</v>
      </c>
      <c r="T458" s="40" t="n">
        <f aca="true">RAND()</f>
        <v>0.0994463629922902</v>
      </c>
      <c r="U458" s="40" t="n">
        <f aca="true">RAND()</f>
        <v>0.693180851019224</v>
      </c>
    </row>
    <row r="459" customFormat="false" ht="15" hidden="false" customHeight="false" outlineLevel="0" collapsed="false">
      <c r="A459" s="36" t="n">
        <v>379</v>
      </c>
      <c r="B459" s="37" t="n">
        <f aca="false">1+IF($G$6=$E$6,$F$6,IF(P459&lt;($F$6-$E$6)/($G$6-$E$6),$E$6+SQRT(P459*($G$6-$E$6)*($F$6-$E$6)),$G$6-SQRT((1-P459)*($G$6-$E$6)*($G$6-$F$6))))</f>
        <v>1.00825915217243</v>
      </c>
      <c r="C459" s="37" t="n">
        <f aca="false">1+IF($G$7=$E$7,$F$7,IF(Q459&lt;($F$7-$E$7)/($G$7-$E$7),$E$7+SQRT(Q459*($G$7-$E$7)*($F$7-$E$7)),$G$7-SQRT((1-Q459)*($G$7-$E$7)*($G$7-$F$7))))</f>
        <v>1.0911073276675</v>
      </c>
      <c r="D459" s="37" t="n">
        <f aca="false">1+IF($G$8=$E$8,$F$8,IF(R459&lt;($F$8-$E$8)/($G$8-$E$8),$E$8+SQRT(R459*($G$8-$E$8)*($F$8-$E$8)),$G$8-SQRT((1-R459)*($G$8-$E$8)*($G$8-$F$8))))</f>
        <v>1.04079529709645</v>
      </c>
      <c r="E459" s="37" t="n">
        <f aca="false">1+IF($G$9=$E$9,$F$9,IF(S459&lt;($F$9-$E$9)/($G$9-$E$9),$E$9+SQRT(S459*($G$9-$E$9)*($F$9-$E$9)),$G$9-SQRT((1-S459)*($G$9-$E$9)*($G$9-$F$9))))</f>
        <v>0.947771965008876</v>
      </c>
      <c r="F459" s="37" t="n">
        <f aca="false">1+IF($G$10=$E$10,$F$10,IF(T459&lt;($F$10-$E$10)/($G$10-$E$10),$E$10+SQRT(T459*($G$10-$E$10)*($F$10-$E$10)),$G$10-SQRT((1-T459)*($G$10-$E$10)*($G$10-$F$10))))</f>
        <v>0.992680467399009</v>
      </c>
      <c r="G459" s="38" t="n">
        <f aca="false">IF($G$11=$E$11,$F$11,IF(U459&lt;($F$11-$E$11)/($G$11-$E$11),$E$11+SQRT(U459*($G$11-$E$11)*($F$11-$E$11)),$G$11-SQRT((1-U459)*($G$11-$E$11)*($G$11-$F$11))))</f>
        <v>0.104159266941514</v>
      </c>
      <c r="H459" s="39" t="n">
        <f aca="false">(('Business Case'!B11*$C459*'Business Case'!B12*$B459)-'Business Case'!B11*$C459*'Business Case'!B13*$D459-'Business Case'!B14*$E459)-MAX(0,(('Business Case'!B11*$C459*'Business Case'!B12*$B459)-'Business Case'!B11*$C459*'Business Case'!B13*$D459-'Business Case'!B14*$E459))*'Business Case'!$B$7-'Business Case'!$B$8*('Business Case'!B11*$C459*'Business Case'!B12*$B459)-'Business Case'!B15*$F459</f>
        <v>-1985360934.79802</v>
      </c>
      <c r="I459" s="39" t="n">
        <f aca="false">(('Business Case'!C11*$C459*'Business Case'!C12*$B459)-'Business Case'!C11*$C459*'Business Case'!C13*$D459-'Business Case'!C14*$E459)-MAX(0,(('Business Case'!C11*$C459*'Business Case'!C12*$B459)-'Business Case'!C11*$C459*'Business Case'!C13*$D459-'Business Case'!C14*$E459))*'Business Case'!$B$7-'Business Case'!$B$8*(('Business Case'!C11*$C459*'Business Case'!C12*$B459)-('Business Case'!B11*$C459*'Business Case'!B12*$B459))-'Business Case'!C15*$F459</f>
        <v>28658970.824449</v>
      </c>
      <c r="J459" s="39" t="n">
        <f aca="false">(('Business Case'!D11*$C459*'Business Case'!D12*$B459)-'Business Case'!D11*$C459*'Business Case'!D13*$D459-'Business Case'!D14*$E459)-MAX(0,(('Business Case'!D11*$C459*'Business Case'!D12*$B459)-'Business Case'!D11*$C459*'Business Case'!D13*$D459-'Business Case'!D14*$E459))*'Business Case'!$B$7-'Business Case'!$B$8*(('Business Case'!D11*$C459*'Business Case'!D12*$B459)-('Business Case'!C11*$C459*'Business Case'!C12*$B459))-'Business Case'!D15*$F459</f>
        <v>348389328.135606</v>
      </c>
      <c r="K459" s="39" t="n">
        <f aca="false">(('Business Case'!E11*$C459*'Business Case'!E12*$B459)-'Business Case'!E11*$C459*'Business Case'!E13*$D459-'Business Case'!E14*$E459)-MAX(0,(('Business Case'!E11*$C459*'Business Case'!E12*$B459)-'Business Case'!E11*$C459*'Business Case'!E13*$D459-'Business Case'!E14*$E459))*'Business Case'!$B$7-'Business Case'!$B$8*(('Business Case'!E11*$C459*'Business Case'!E12*$B459)-('Business Case'!D11*$C459*'Business Case'!D12*$B459))-'Business Case'!E15*$F459</f>
        <v>717753708.816714</v>
      </c>
      <c r="L459" s="39" t="n">
        <f aca="false">(('Business Case'!F11*$C459*'Business Case'!F12*$B459)-'Business Case'!F11*$C459*'Business Case'!F13*$D459-'Business Case'!F14*$E459)-MAX(0,(('Business Case'!F11*$C459*'Business Case'!F12*$B459)-'Business Case'!F11*$C459*'Business Case'!F13*$D459-'Business Case'!F14*$E459))*'Business Case'!$B$7-'Business Case'!$B$8*(('Business Case'!F11*$C459*'Business Case'!F12*$B459)-('Business Case'!E11*$C459*'Business Case'!E12*$B459))-'Business Case'!F15*$F459</f>
        <v>862350605.468795</v>
      </c>
      <c r="M459" s="39" t="n">
        <f aca="false">(('Business Case'!G11*$C459*'Business Case'!G12*$B459)-'Business Case'!G11*$C459*'Business Case'!G13*$D459-'Business Case'!G14*$E459)-MAX(0,(('Business Case'!G11*$C459*'Business Case'!G12*$B459)-'Business Case'!G11*$C459*'Business Case'!G13*$D459-'Business Case'!G14*$E459))*'Business Case'!$B$7-'Business Case'!$B$8*(('Business Case'!G11*$C459*'Business Case'!G12*$B459)-('Business Case'!F11*$C459*'Business Case'!F12*$B459))-'Business Case'!G15*$F459+'Business Case'!$B$8*('Business Case'!G11*$C459*'Business Case'!G12*$B459)</f>
        <v>1071461215.31813</v>
      </c>
      <c r="N459" s="39" t="n">
        <f aca="false">IF(COUNT('Business Case'!B11:G11)=0,"",H459+NPV(G459,I459:M459))</f>
        <v>92571368.6012509</v>
      </c>
      <c r="P459" s="40" t="n">
        <f aca="true">RAND()</f>
        <v>0.767693549684795</v>
      </c>
      <c r="Q459" s="40" t="n">
        <f aca="true">RAND()</f>
        <v>0.948617083637576</v>
      </c>
      <c r="R459" s="40" t="n">
        <f aca="true">RAND()</f>
        <v>0.766320210273502</v>
      </c>
      <c r="S459" s="40" t="n">
        <f aca="true">RAND()</f>
        <v>0.0912864256323706</v>
      </c>
      <c r="T459" s="40" t="n">
        <f aca="true">RAND()</f>
        <v>0.12144148649319</v>
      </c>
      <c r="U459" s="40" t="n">
        <f aca="true">RAND()</f>
        <v>0.554837676666707</v>
      </c>
    </row>
    <row r="460" customFormat="false" ht="15" hidden="false" customHeight="false" outlineLevel="0" collapsed="false">
      <c r="A460" s="36" t="n">
        <v>380</v>
      </c>
      <c r="B460" s="37" t="n">
        <f aca="false">1+IF($G$6=$E$6,$F$6,IF(P460&lt;($F$6-$E$6)/($G$6-$E$6),$E$6+SQRT(P460*($G$6-$E$6)*($F$6-$E$6)),$G$6-SQRT((1-P460)*($G$6-$E$6)*($G$6-$F$6))))</f>
        <v>0.976893539316908</v>
      </c>
      <c r="C460" s="37" t="n">
        <f aca="false">1+IF($G$7=$E$7,$F$7,IF(Q460&lt;($F$7-$E$7)/($G$7-$E$7),$E$7+SQRT(Q460*($G$7-$E$7)*($F$7-$E$7)),$G$7-SQRT((1-Q460)*($G$7-$E$7)*($G$7-$F$7))))</f>
        <v>0.967535714741728</v>
      </c>
      <c r="D460" s="37" t="n">
        <f aca="false">1+IF($G$8=$E$8,$F$8,IF(R460&lt;($F$8-$E$8)/($G$8-$E$8),$E$8+SQRT(R460*($G$8-$E$8)*($F$8-$E$8)),$G$8-SQRT((1-R460)*($G$8-$E$8)*($G$8-$F$8))))</f>
        <v>1.05076293415358</v>
      </c>
      <c r="E460" s="37" t="n">
        <f aca="false">1+IF($G$9=$E$9,$F$9,IF(S460&lt;($F$9-$E$9)/($G$9-$E$9),$E$9+SQRT(S460*($G$9-$E$9)*($F$9-$E$9)),$G$9-SQRT((1-S460)*($G$9-$E$9)*($G$9-$F$9))))</f>
        <v>0.983092167758518</v>
      </c>
      <c r="F460" s="37" t="n">
        <f aca="false">1+IF($G$10=$E$10,$F$10,IF(T460&lt;($F$10-$E$10)/($G$10-$E$10),$E$10+SQRT(T460*($G$10-$E$10)*($F$10-$E$10)),$G$10-SQRT((1-T460)*($G$10-$E$10)*($G$10-$F$10))))</f>
        <v>1.10168728500923</v>
      </c>
      <c r="G460" s="38" t="n">
        <f aca="false">IF($G$11=$E$11,$F$11,IF(U460&lt;($F$11-$E$11)/($G$11-$E$11),$E$11+SQRT(U460*($G$11-$E$11)*($F$11-$E$11)),$G$11-SQRT((1-U460)*($G$11-$E$11)*($G$11-$F$11))))</f>
        <v>0.103788994229144</v>
      </c>
      <c r="H460" s="39" t="n">
        <f aca="false">(('Business Case'!B11*$C460*'Business Case'!B12*$B460)-'Business Case'!B11*$C460*'Business Case'!B13*$D460-'Business Case'!B14*$E460)-MAX(0,(('Business Case'!B11*$C460*'Business Case'!B12*$B460)-'Business Case'!B11*$C460*'Business Case'!B13*$D460-'Business Case'!B14*$E460))*'Business Case'!$B$7-'Business Case'!$B$8*('Business Case'!B11*$C460*'Business Case'!B12*$B460)-'Business Case'!B15*$F460</f>
        <v>-2203374570.01845</v>
      </c>
      <c r="I460" s="39" t="n">
        <f aca="false">(('Business Case'!C11*$C460*'Business Case'!C12*$B460)-'Business Case'!C11*$C460*'Business Case'!C13*$D460-'Business Case'!C14*$E460)-MAX(0,(('Business Case'!C11*$C460*'Business Case'!C12*$B460)-'Business Case'!C11*$C460*'Business Case'!C13*$D460-'Business Case'!C14*$E460))*'Business Case'!$B$7-'Business Case'!$B$8*(('Business Case'!C11*$C460*'Business Case'!C12*$B460)-('Business Case'!B11*$C460*'Business Case'!B12*$B460))-'Business Case'!C15*$F460</f>
        <v>-45236371.1415143</v>
      </c>
      <c r="J460" s="39" t="n">
        <f aca="false">(('Business Case'!D11*$C460*'Business Case'!D12*$B460)-'Business Case'!D11*$C460*'Business Case'!D13*$D460-'Business Case'!D14*$E460)-MAX(0,(('Business Case'!D11*$C460*'Business Case'!D12*$B460)-'Business Case'!D11*$C460*'Business Case'!D13*$D460-'Business Case'!D14*$E460))*'Business Case'!$B$7-'Business Case'!$B$8*(('Business Case'!D11*$C460*'Business Case'!D12*$B460)-('Business Case'!C11*$C460*'Business Case'!C12*$B460))-'Business Case'!D15*$F460</f>
        <v>208489791.988006</v>
      </c>
      <c r="K460" s="39" t="n">
        <f aca="false">(('Business Case'!E11*$C460*'Business Case'!E12*$B460)-'Business Case'!E11*$C460*'Business Case'!E13*$D460-'Business Case'!E14*$E460)-MAX(0,(('Business Case'!E11*$C460*'Business Case'!E12*$B460)-'Business Case'!E11*$C460*'Business Case'!E13*$D460-'Business Case'!E14*$E460))*'Business Case'!$B$7-'Business Case'!$B$8*(('Business Case'!E11*$C460*'Business Case'!E12*$B460)-('Business Case'!D11*$C460*'Business Case'!D12*$B460))-'Business Case'!E15*$F460</f>
        <v>517300319.367988</v>
      </c>
      <c r="L460" s="39" t="n">
        <f aca="false">(('Business Case'!F11*$C460*'Business Case'!F12*$B460)-'Business Case'!F11*$C460*'Business Case'!F13*$D460-'Business Case'!F14*$E460)-MAX(0,(('Business Case'!F11*$C460*'Business Case'!F12*$B460)-'Business Case'!F11*$C460*'Business Case'!F13*$D460-'Business Case'!F14*$E460))*'Business Case'!$B$7-'Business Case'!$B$8*(('Business Case'!F11*$C460*'Business Case'!F12*$B460)-('Business Case'!E11*$C460*'Business Case'!E12*$B460))-'Business Case'!F15*$F460</f>
        <v>634541106.754395</v>
      </c>
      <c r="M460" s="39" t="n">
        <f aca="false">(('Business Case'!G11*$C460*'Business Case'!G12*$B460)-'Business Case'!G11*$C460*'Business Case'!G13*$D460-'Business Case'!G14*$E460)-MAX(0,(('Business Case'!G11*$C460*'Business Case'!G12*$B460)-'Business Case'!G11*$C460*'Business Case'!G13*$D460-'Business Case'!G14*$E460))*'Business Case'!$B$7-'Business Case'!$B$8*(('Business Case'!G11*$C460*'Business Case'!G12*$B460)-('Business Case'!F11*$C460*'Business Case'!F12*$B460))-'Business Case'!G15*$F460+'Business Case'!$B$8*('Business Case'!G11*$C460*'Business Case'!G12*$B460)</f>
        <v>814200804.975515</v>
      </c>
      <c r="N460" s="39" t="n">
        <f aca="false">IF(COUNT('Business Case'!B11:G11)=0,"",H460+NPV(G460,I460:M460))</f>
        <v>-764149397.597656</v>
      </c>
      <c r="P460" s="40" t="n">
        <f aca="true">RAND()</f>
        <v>0.394174425912059</v>
      </c>
      <c r="Q460" s="40" t="n">
        <f aca="true">RAND()</f>
        <v>0.53018784194346</v>
      </c>
      <c r="R460" s="40" t="n">
        <f aca="true">RAND()</f>
        <v>0.838380756455687</v>
      </c>
      <c r="S460" s="40" t="n">
        <f aca="true">RAND()</f>
        <v>0.276172333712389</v>
      </c>
      <c r="T460" s="40" t="n">
        <f aca="true">RAND()</f>
        <v>0.706711180960876</v>
      </c>
      <c r="U460" s="40" t="n">
        <f aca="true">RAND()</f>
        <v>0.541988784320093</v>
      </c>
    </row>
    <row r="461" customFormat="false" ht="15" hidden="false" customHeight="false" outlineLevel="0" collapsed="false">
      <c r="A461" s="36" t="n">
        <v>381</v>
      </c>
      <c r="B461" s="37" t="n">
        <f aca="false">1+IF($G$6=$E$6,$F$6,IF(P461&lt;($F$6-$E$6)/($G$6-$E$6),$E$6+SQRT(P461*($G$6-$E$6)*($F$6-$E$6)),$G$6-SQRT((1-P461)*($G$6-$E$6)*($G$6-$F$6))))</f>
        <v>0.963213610676064</v>
      </c>
      <c r="C461" s="37" t="n">
        <f aca="false">1+IF($G$7=$E$7,$F$7,IF(Q461&lt;($F$7-$E$7)/($G$7-$E$7),$E$7+SQRT(Q461*($G$7-$E$7)*($F$7-$E$7)),$G$7-SQRT((1-Q461)*($G$7-$E$7)*($G$7-$F$7))))</f>
        <v>1.0566598029494</v>
      </c>
      <c r="D461" s="37" t="n">
        <f aca="false">1+IF($G$8=$E$8,$F$8,IF(R461&lt;($F$8-$E$8)/($G$8-$E$8),$E$8+SQRT(R461*($G$8-$E$8)*($F$8-$E$8)),$G$8-SQRT((1-R461)*($G$8-$E$8)*($G$8-$F$8))))</f>
        <v>1.03318569103508</v>
      </c>
      <c r="E461" s="37" t="n">
        <f aca="false">1+IF($G$9=$E$9,$F$9,IF(S461&lt;($F$9-$E$9)/($G$9-$E$9),$E$9+SQRT(S461*($G$9-$E$9)*($F$9-$E$9)),$G$9-SQRT((1-S461)*($G$9-$E$9)*($G$9-$F$9))))</f>
        <v>0.952320173569267</v>
      </c>
      <c r="F461" s="37" t="n">
        <f aca="false">1+IF($G$10=$E$10,$F$10,IF(T461&lt;($F$10-$E$10)/($G$10-$E$10),$E$10+SQRT(T461*($G$10-$E$10)*($F$10-$E$10)),$G$10-SQRT((1-T461)*($G$10-$E$10)*($G$10-$F$10))))</f>
        <v>1.15053978219831</v>
      </c>
      <c r="G461" s="38" t="n">
        <f aca="false">IF($G$11=$E$11,$F$11,IF(U461&lt;($F$11-$E$11)/($G$11-$E$11),$E$11+SQRT(U461*($G$11-$E$11)*($F$11-$E$11)),$G$11-SQRT((1-U461)*($G$11-$E$11)*($G$11-$F$11))))</f>
        <v>0.110811109329593</v>
      </c>
      <c r="H461" s="39" t="n">
        <f aca="false">(('Business Case'!B11*$C461*'Business Case'!B12*$B461)-'Business Case'!B11*$C461*'Business Case'!B13*$D461-'Business Case'!B14*$E461)-MAX(0,(('Business Case'!B11*$C461*'Business Case'!B12*$B461)-'Business Case'!B11*$C461*'Business Case'!B13*$D461-'Business Case'!B14*$E461))*'Business Case'!$B$7-'Business Case'!$B$8*('Business Case'!B11*$C461*'Business Case'!B12*$B461)-'Business Case'!B15*$F461</f>
        <v>-2301079564.39663</v>
      </c>
      <c r="I461" s="39" t="n">
        <f aca="false">(('Business Case'!C11*$C461*'Business Case'!C12*$B461)-'Business Case'!C11*$C461*'Business Case'!C13*$D461-'Business Case'!C14*$E461)-MAX(0,(('Business Case'!C11*$C461*'Business Case'!C12*$B461)-'Business Case'!C11*$C461*'Business Case'!C13*$D461-'Business Case'!C14*$E461))*'Business Case'!$B$7-'Business Case'!$B$8*(('Business Case'!C11*$C461*'Business Case'!C12*$B461)-('Business Case'!B11*$C461*'Business Case'!B12*$B461))-'Business Case'!C15*$F461</f>
        <v>-28469802.7698684</v>
      </c>
      <c r="J461" s="39" t="n">
        <f aca="false">(('Business Case'!D11*$C461*'Business Case'!D12*$B461)-'Business Case'!D11*$C461*'Business Case'!D13*$D461-'Business Case'!D14*$E461)-MAX(0,(('Business Case'!D11*$C461*'Business Case'!D12*$B461)-'Business Case'!D11*$C461*'Business Case'!D13*$D461-'Business Case'!D14*$E461))*'Business Case'!$B$7-'Business Case'!$B$8*(('Business Case'!D11*$C461*'Business Case'!D12*$B461)-('Business Case'!C11*$C461*'Business Case'!C12*$B461))-'Business Case'!D15*$F461</f>
        <v>246296488.515863</v>
      </c>
      <c r="K461" s="39" t="n">
        <f aca="false">(('Business Case'!E11*$C461*'Business Case'!E12*$B461)-'Business Case'!E11*$C461*'Business Case'!E13*$D461-'Business Case'!E14*$E461)-MAX(0,(('Business Case'!E11*$C461*'Business Case'!E12*$B461)-'Business Case'!E11*$C461*'Business Case'!E13*$D461-'Business Case'!E14*$E461))*'Business Case'!$B$7-'Business Case'!$B$8*(('Business Case'!E11*$C461*'Business Case'!E12*$B461)-('Business Case'!D11*$C461*'Business Case'!D12*$B461))-'Business Case'!E15*$F461</f>
        <v>578589768.911511</v>
      </c>
      <c r="L461" s="39" t="n">
        <f aca="false">(('Business Case'!F11*$C461*'Business Case'!F12*$B461)-'Business Case'!F11*$C461*'Business Case'!F13*$D461-'Business Case'!F14*$E461)-MAX(0,(('Business Case'!F11*$C461*'Business Case'!F12*$B461)-'Business Case'!F11*$C461*'Business Case'!F13*$D461-'Business Case'!F14*$E461))*'Business Case'!$B$7-'Business Case'!$B$8*(('Business Case'!F11*$C461*'Business Case'!F12*$B461)-('Business Case'!E11*$C461*'Business Case'!E12*$B461))-'Business Case'!F15*$F461</f>
        <v>705353324.109567</v>
      </c>
      <c r="M461" s="39" t="n">
        <f aca="false">(('Business Case'!G11*$C461*'Business Case'!G12*$B461)-'Business Case'!G11*$C461*'Business Case'!G13*$D461-'Business Case'!G14*$E461)-MAX(0,(('Business Case'!G11*$C461*'Business Case'!G12*$B461)-'Business Case'!G11*$C461*'Business Case'!G13*$D461-'Business Case'!G14*$E461))*'Business Case'!$B$7-'Business Case'!$B$8*(('Business Case'!G11*$C461*'Business Case'!G12*$B461)-('Business Case'!F11*$C461*'Business Case'!F12*$B461))-'Business Case'!G15*$F461+'Business Case'!$B$8*('Business Case'!G11*$C461*'Business Case'!G12*$B461)</f>
        <v>898814677.008371</v>
      </c>
      <c r="N461" s="39" t="n">
        <f aca="false">IF(COUNT('Business Case'!B11:G11)=0,"",H461+NPV(G461,I461:M461))</f>
        <v>-710226971.82956</v>
      </c>
      <c r="P461" s="40" t="n">
        <f aca="true">RAND()</f>
        <v>0.266397371646998</v>
      </c>
      <c r="Q461" s="40" t="n">
        <f aca="true">RAND()</f>
        <v>0.870927520215636</v>
      </c>
      <c r="R461" s="40" t="n">
        <f aca="true">RAND()</f>
        <v>0.70238987450267</v>
      </c>
      <c r="S461" s="40" t="n">
        <f aca="true">RAND()</f>
        <v>0.10949602249273</v>
      </c>
      <c r="T461" s="40" t="n">
        <f aca="true">RAND()</f>
        <v>0.868102200997883</v>
      </c>
      <c r="U461" s="40" t="n">
        <f aca="true">RAND()</f>
        <v>0.754524316559437</v>
      </c>
    </row>
    <row r="462" customFormat="false" ht="15" hidden="false" customHeight="false" outlineLevel="0" collapsed="false">
      <c r="A462" s="36" t="n">
        <v>382</v>
      </c>
      <c r="B462" s="37" t="n">
        <f aca="false">1+IF($G$6=$E$6,$F$6,IF(P462&lt;($F$6-$E$6)/($G$6-$E$6),$E$6+SQRT(P462*($G$6-$E$6)*($F$6-$E$6)),$G$6-SQRT((1-P462)*($G$6-$E$6)*($G$6-$F$6))))</f>
        <v>1.02844331618734</v>
      </c>
      <c r="C462" s="37" t="n">
        <f aca="false">1+IF($G$7=$E$7,$F$7,IF(Q462&lt;($F$7-$E$7)/($G$7-$E$7),$E$7+SQRT(Q462*($G$7-$E$7)*($F$7-$E$7)),$G$7-SQRT((1-Q462)*($G$7-$E$7)*($G$7-$F$7))))</f>
        <v>0.98279213976417</v>
      </c>
      <c r="D462" s="37" t="n">
        <f aca="false">1+IF($G$8=$E$8,$F$8,IF(R462&lt;($F$8-$E$8)/($G$8-$E$8),$E$8+SQRT(R462*($G$8-$E$8)*($F$8-$E$8)),$G$8-SQRT((1-R462)*($G$8-$E$8)*($G$8-$F$8))))</f>
        <v>1.06356834589991</v>
      </c>
      <c r="E462" s="37" t="n">
        <f aca="false">1+IF($G$9=$E$9,$F$9,IF(S462&lt;($F$9-$E$9)/($G$9-$E$9),$E$9+SQRT(S462*($G$9-$E$9)*($F$9-$E$9)),$G$9-SQRT((1-S462)*($G$9-$E$9)*($G$9-$F$9))))</f>
        <v>1.02549841749416</v>
      </c>
      <c r="F462" s="37" t="n">
        <f aca="false">1+IF($G$10=$E$10,$F$10,IF(T462&lt;($F$10-$E$10)/($G$10-$E$10),$E$10+SQRT(T462*($G$10-$E$10)*($F$10-$E$10)),$G$10-SQRT((1-T462)*($G$10-$E$10)*($G$10-$F$10))))</f>
        <v>1.05526973823575</v>
      </c>
      <c r="G462" s="38" t="n">
        <f aca="false">IF($G$11=$E$11,$F$11,IF(U462&lt;($F$11-$E$11)/($G$11-$E$11),$E$11+SQRT(U462*($G$11-$E$11)*($F$11-$E$11)),$G$11-SQRT((1-U462)*($G$11-$E$11)*($G$11-$F$11))))</f>
        <v>0.112922674439841</v>
      </c>
      <c r="H462" s="39" t="n">
        <f aca="false">(('Business Case'!B11*$C462*'Business Case'!B12*$B462)-'Business Case'!B11*$C462*'Business Case'!B13*$D462-'Business Case'!B14*$E462)-MAX(0,(('Business Case'!B11*$C462*'Business Case'!B12*$B462)-'Business Case'!B11*$C462*'Business Case'!B13*$D462-'Business Case'!B14*$E462))*'Business Case'!$B$7-'Business Case'!$B$8*('Business Case'!B11*$C462*'Business Case'!B12*$B462)-'Business Case'!B15*$F462</f>
        <v>-2110539476.47151</v>
      </c>
      <c r="I462" s="39" t="n">
        <f aca="false">(('Business Case'!C11*$C462*'Business Case'!C12*$B462)-'Business Case'!C11*$C462*'Business Case'!C13*$D462-'Business Case'!C14*$E462)-MAX(0,(('Business Case'!C11*$C462*'Business Case'!C12*$B462)-'Business Case'!C11*$C462*'Business Case'!C13*$D462-'Business Case'!C14*$E462))*'Business Case'!$B$7-'Business Case'!$B$8*(('Business Case'!C11*$C462*'Business Case'!C12*$B462)-('Business Case'!B11*$C462*'Business Case'!B12*$B462))-'Business Case'!C15*$F462</f>
        <v>-10969051.3090909</v>
      </c>
      <c r="J462" s="39" t="n">
        <f aca="false">(('Business Case'!D11*$C462*'Business Case'!D12*$B462)-'Business Case'!D11*$C462*'Business Case'!D13*$D462-'Business Case'!D14*$E462)-MAX(0,(('Business Case'!D11*$C462*'Business Case'!D12*$B462)-'Business Case'!D11*$C462*'Business Case'!D13*$D462-'Business Case'!D14*$E462))*'Business Case'!$B$7-'Business Case'!$B$8*(('Business Case'!D11*$C462*'Business Case'!D12*$B462)-('Business Case'!C11*$C462*'Business Case'!C12*$B462))-'Business Case'!D15*$F462</f>
        <v>281811819.193667</v>
      </c>
      <c r="K462" s="39" t="n">
        <f aca="false">(('Business Case'!E11*$C462*'Business Case'!E12*$B462)-'Business Case'!E11*$C462*'Business Case'!E13*$D462-'Business Case'!E14*$E462)-MAX(0,(('Business Case'!E11*$C462*'Business Case'!E12*$B462)-'Business Case'!E11*$C462*'Business Case'!E13*$D462-'Business Case'!E14*$E462))*'Business Case'!$B$7-'Business Case'!$B$8*(('Business Case'!E11*$C462*'Business Case'!E12*$B462)-('Business Case'!D11*$C462*'Business Case'!D12*$B462))-'Business Case'!E15*$F462</f>
        <v>627356176.608213</v>
      </c>
      <c r="L462" s="39" t="n">
        <f aca="false">(('Business Case'!F11*$C462*'Business Case'!F12*$B462)-'Business Case'!F11*$C462*'Business Case'!F13*$D462-'Business Case'!F14*$E462)-MAX(0,(('Business Case'!F11*$C462*'Business Case'!F12*$B462)-'Business Case'!F11*$C462*'Business Case'!F13*$D462-'Business Case'!F14*$E462))*'Business Case'!$B$7-'Business Case'!$B$8*(('Business Case'!F11*$C462*'Business Case'!F12*$B462)-('Business Case'!E11*$C462*'Business Case'!E12*$B462))-'Business Case'!F15*$F462</f>
        <v>759881182.122869</v>
      </c>
      <c r="M462" s="39" t="n">
        <f aca="false">(('Business Case'!G11*$C462*'Business Case'!G12*$B462)-'Business Case'!G11*$C462*'Business Case'!G13*$D462-'Business Case'!G14*$E462)-MAX(0,(('Business Case'!G11*$C462*'Business Case'!G12*$B462)-'Business Case'!G11*$C462*'Business Case'!G13*$D462-'Business Case'!G14*$E462))*'Business Case'!$B$7-'Business Case'!$B$8*(('Business Case'!G11*$C462*'Business Case'!G12*$B462)-('Business Case'!F11*$C462*'Business Case'!F12*$B462))-'Business Case'!G15*$F462+'Business Case'!$B$8*('Business Case'!G11*$C462*'Business Case'!G12*$B462)</f>
        <v>952003783.19842</v>
      </c>
      <c r="N462" s="39" t="n">
        <f aca="false">IF(COUNT('Business Case'!B11:G11)=0,"",H462+NPV(G462,I462:M462))</f>
        <v>-384849307.091529</v>
      </c>
      <c r="P462" s="40" t="n">
        <f aca="true">RAND()</f>
        <v>0.938041251066788</v>
      </c>
      <c r="Q462" s="40" t="n">
        <f aca="true">RAND()</f>
        <v>0.592380698610356</v>
      </c>
      <c r="R462" s="40" t="n">
        <f aca="true">RAND()</f>
        <v>0.911515638635412</v>
      </c>
      <c r="S462" s="40" t="n">
        <f aca="true">RAND()</f>
        <v>0.58664949209442</v>
      </c>
      <c r="T462" s="40" t="n">
        <f aca="true">RAND()</f>
        <v>0.494401668709708</v>
      </c>
      <c r="U462" s="40" t="n">
        <f aca="true">RAND()</f>
        <v>0.805576634474886</v>
      </c>
    </row>
    <row r="463" customFormat="false" ht="15" hidden="false" customHeight="false" outlineLevel="0" collapsed="false">
      <c r="A463" s="36" t="n">
        <v>383</v>
      </c>
      <c r="B463" s="37" t="n">
        <f aca="false">1+IF($G$6=$E$6,$F$6,IF(P463&lt;($F$6-$E$6)/($G$6-$E$6),$E$6+SQRT(P463*($G$6-$E$6)*($F$6-$E$6)),$G$6-SQRT((1-P463)*($G$6-$E$6)*($G$6-$F$6))))</f>
        <v>0.913678698156811</v>
      </c>
      <c r="C463" s="37" t="n">
        <f aca="false">1+IF($G$7=$E$7,$F$7,IF(Q463&lt;($F$7-$E$7)/($G$7-$E$7),$E$7+SQRT(Q463*($G$7-$E$7)*($F$7-$E$7)),$G$7-SQRT((1-Q463)*($G$7-$E$7)*($G$7-$F$7))))</f>
        <v>0.903335369280125</v>
      </c>
      <c r="D463" s="37" t="n">
        <f aca="false">1+IF($G$8=$E$8,$F$8,IF(R463&lt;($F$8-$E$8)/($G$8-$E$8),$E$8+SQRT(R463*($G$8-$E$8)*($F$8-$E$8)),$G$8-SQRT((1-R463)*($G$8-$E$8)*($G$8-$F$8))))</f>
        <v>0.969480508422417</v>
      </c>
      <c r="E463" s="37" t="n">
        <f aca="false">1+IF($G$9=$E$9,$F$9,IF(S463&lt;($F$9-$E$9)/($G$9-$E$9),$E$9+SQRT(S463*($G$9-$E$9)*($F$9-$E$9)),$G$9-SQRT((1-S463)*($G$9-$E$9)*($G$9-$F$9))))</f>
        <v>1.01914799178768</v>
      </c>
      <c r="F463" s="37" t="n">
        <f aca="false">1+IF($G$10=$E$10,$F$10,IF(T463&lt;($F$10-$E$10)/($G$10-$E$10),$E$10+SQRT(T463*($G$10-$E$10)*($F$10-$E$10)),$G$10-SQRT((1-T463)*($G$10-$E$10)*($G$10-$F$10))))</f>
        <v>1.11609788197108</v>
      </c>
      <c r="G463" s="38" t="n">
        <f aca="false">IF($G$11=$E$11,$F$11,IF(U463&lt;($F$11-$E$11)/($G$11-$E$11),$E$11+SQRT(U463*($G$11-$E$11)*($F$11-$E$11)),$G$11-SQRT((1-U463)*($G$11-$E$11)*($G$11-$F$11))))</f>
        <v>0.107976594695426</v>
      </c>
      <c r="H463" s="39" t="n">
        <f aca="false">(('Business Case'!B11*$C463*'Business Case'!B12*$B463)-'Business Case'!B11*$C463*'Business Case'!B13*$D463-'Business Case'!B14*$E463)-MAX(0,(('Business Case'!B11*$C463*'Business Case'!B12*$B463)-'Business Case'!B11*$C463*'Business Case'!B13*$D463-'Business Case'!B14*$E463))*'Business Case'!$B$7-'Business Case'!$B$8*('Business Case'!B11*$C463*'Business Case'!B12*$B463)-'Business Case'!B15*$F463</f>
        <v>-2232195763.94216</v>
      </c>
      <c r="I463" s="39" t="n">
        <f aca="false">(('Business Case'!C11*$C463*'Business Case'!C12*$B463)-'Business Case'!C11*$C463*'Business Case'!C13*$D463-'Business Case'!C14*$E463)-MAX(0,(('Business Case'!C11*$C463*'Business Case'!C12*$B463)-'Business Case'!C11*$C463*'Business Case'!C13*$D463-'Business Case'!C14*$E463))*'Business Case'!$B$7-'Business Case'!$B$8*(('Business Case'!C11*$C463*'Business Case'!C12*$B463)-('Business Case'!B11*$C463*'Business Case'!B12*$B463))-'Business Case'!C15*$F463</f>
        <v>-71613493.1809871</v>
      </c>
      <c r="J463" s="39" t="n">
        <f aca="false">(('Business Case'!D11*$C463*'Business Case'!D12*$B463)-'Business Case'!D11*$C463*'Business Case'!D13*$D463-'Business Case'!D14*$E463)-MAX(0,(('Business Case'!D11*$C463*'Business Case'!D12*$B463)-'Business Case'!D11*$C463*'Business Case'!D13*$D463-'Business Case'!D14*$E463))*'Business Case'!$B$7-'Business Case'!$B$8*(('Business Case'!D11*$C463*'Business Case'!D12*$B463)-('Business Case'!C11*$C463*'Business Case'!C12*$B463))-'Business Case'!D15*$F463</f>
        <v>156092219.720418</v>
      </c>
      <c r="K463" s="39" t="n">
        <f aca="false">(('Business Case'!E11*$C463*'Business Case'!E12*$B463)-'Business Case'!E11*$C463*'Business Case'!E13*$D463-'Business Case'!E14*$E463)-MAX(0,(('Business Case'!E11*$C463*'Business Case'!E12*$B463)-'Business Case'!E11*$C463*'Business Case'!E13*$D463-'Business Case'!E14*$E463))*'Business Case'!$B$7-'Business Case'!$B$8*(('Business Case'!E11*$C463*'Business Case'!E12*$B463)-('Business Case'!D11*$C463*'Business Case'!D12*$B463))-'Business Case'!E15*$F463</f>
        <v>439602826.720378</v>
      </c>
      <c r="L463" s="39" t="n">
        <f aca="false">(('Business Case'!F11*$C463*'Business Case'!F12*$B463)-'Business Case'!F11*$C463*'Business Case'!F13*$D463-'Business Case'!F14*$E463)-MAX(0,(('Business Case'!F11*$C463*'Business Case'!F12*$B463)-'Business Case'!F11*$C463*'Business Case'!F13*$D463-'Business Case'!F14*$E463))*'Business Case'!$B$7-'Business Case'!$B$8*(('Business Case'!F11*$C463*'Business Case'!F12*$B463)-('Business Case'!E11*$C463*'Business Case'!E12*$B463))-'Business Case'!F15*$F463</f>
        <v>544029113.322898</v>
      </c>
      <c r="M463" s="39" t="n">
        <f aca="false">(('Business Case'!G11*$C463*'Business Case'!G12*$B463)-'Business Case'!G11*$C463*'Business Case'!G13*$D463-'Business Case'!G14*$E463)-MAX(0,(('Business Case'!G11*$C463*'Business Case'!G12*$B463)-'Business Case'!G11*$C463*'Business Case'!G13*$D463-'Business Case'!G14*$E463))*'Business Case'!$B$7-'Business Case'!$B$8*(('Business Case'!G11*$C463*'Business Case'!G12*$B463)-('Business Case'!F11*$C463*'Business Case'!F12*$B463))-'Business Case'!G15*$F463+'Business Case'!$B$8*('Business Case'!G11*$C463*'Business Case'!G12*$B463)</f>
        <v>700913215.984179</v>
      </c>
      <c r="N463" s="39" t="n">
        <f aca="false">IF(COUNT('Business Case'!B11:G11)=0,"",H463+NPV(G463,I463:M463))</f>
        <v>-1065717350.73949</v>
      </c>
      <c r="P463" s="40" t="n">
        <f aca="true">RAND()</f>
        <v>0.0124737855510087</v>
      </c>
      <c r="Q463" s="40" t="n">
        <f aca="true">RAND()</f>
        <v>0.306261277039147</v>
      </c>
      <c r="R463" s="40" t="n">
        <f aca="true">RAND()</f>
        <v>0.0505986944527815</v>
      </c>
      <c r="S463" s="40" t="n">
        <f aca="true">RAND()</f>
        <v>0.54340671858139</v>
      </c>
      <c r="T463" s="40" t="n">
        <f aca="true">RAND()</f>
        <v>0.760936303831597</v>
      </c>
      <c r="U463" s="40" t="n">
        <f aca="true">RAND()</f>
        <v>0.676646412526977</v>
      </c>
    </row>
    <row r="464" customFormat="false" ht="15" hidden="false" customHeight="false" outlineLevel="0" collapsed="false">
      <c r="A464" s="36" t="n">
        <v>384</v>
      </c>
      <c r="B464" s="37" t="n">
        <f aca="false">1+IF($G$6=$E$6,$F$6,IF(P464&lt;($F$6-$E$6)/($G$6-$E$6),$E$6+SQRT(P464*($G$6-$E$6)*($F$6-$E$6)),$G$6-SQRT((1-P464)*($G$6-$E$6)*($G$6-$F$6))))</f>
        <v>0.950920009538833</v>
      </c>
      <c r="C464" s="37" t="n">
        <f aca="false">1+IF($G$7=$E$7,$F$7,IF(Q464&lt;($F$7-$E$7)/($G$7-$E$7),$E$7+SQRT(Q464*($G$7-$E$7)*($F$7-$E$7)),$G$7-SQRT((1-Q464)*($G$7-$E$7)*($G$7-$F$7))))</f>
        <v>0.848008513213448</v>
      </c>
      <c r="D464" s="37" t="n">
        <f aca="false">1+IF($G$8=$E$8,$F$8,IF(R464&lt;($F$8-$E$8)/($G$8-$E$8),$E$8+SQRT(R464*($G$8-$E$8)*($F$8-$E$8)),$G$8-SQRT((1-R464)*($G$8-$E$8)*($G$8-$F$8))))</f>
        <v>0.997982919836655</v>
      </c>
      <c r="E464" s="37" t="n">
        <f aca="false">1+IF($G$9=$E$9,$F$9,IF(S464&lt;($F$9-$E$9)/($G$9-$E$9),$E$9+SQRT(S464*($G$9-$E$9)*($F$9-$E$9)),$G$9-SQRT((1-S464)*($G$9-$E$9)*($G$9-$F$9))))</f>
        <v>1.11596235685114</v>
      </c>
      <c r="F464" s="37" t="n">
        <f aca="false">1+IF($G$10=$E$10,$F$10,IF(T464&lt;($F$10-$E$10)/($G$10-$E$10),$E$10+SQRT(T464*($G$10-$E$10)*($F$10-$E$10)),$G$10-SQRT((1-T464)*($G$10-$E$10)*($G$10-$F$10))))</f>
        <v>1.17836895613428</v>
      </c>
      <c r="G464" s="38" t="n">
        <f aca="false">IF($G$11=$E$11,$F$11,IF(U464&lt;($F$11-$E$11)/($G$11-$E$11),$E$11+SQRT(U464*($G$11-$E$11)*($F$11-$E$11)),$G$11-SQRT((1-U464)*($G$11-$E$11)*($G$11-$F$11))))</f>
        <v>0.103519952294227</v>
      </c>
      <c r="H464" s="39" t="n">
        <f aca="false">(('Business Case'!B11*$C464*'Business Case'!B12*$B464)-'Business Case'!B11*$C464*'Business Case'!B13*$D464-'Business Case'!B14*$E464)-MAX(0,(('Business Case'!B11*$C464*'Business Case'!B12*$B464)-'Business Case'!B11*$C464*'Business Case'!B13*$D464-'Business Case'!B14*$E464))*'Business Case'!$B$7-'Business Case'!$B$8*('Business Case'!B11*$C464*'Business Case'!B12*$B464)-'Business Case'!B15*$F464</f>
        <v>-2356737912.26857</v>
      </c>
      <c r="I464" s="39" t="n">
        <f aca="false">(('Business Case'!C11*$C464*'Business Case'!C12*$B464)-'Business Case'!C11*$C464*'Business Case'!C13*$D464-'Business Case'!C14*$E464)-MAX(0,(('Business Case'!C11*$C464*'Business Case'!C12*$B464)-'Business Case'!C11*$C464*'Business Case'!C13*$D464-'Business Case'!C14*$E464))*'Business Case'!$B$7-'Business Case'!$B$8*(('Business Case'!C11*$C464*'Business Case'!C12*$B464)-('Business Case'!B11*$C464*'Business Case'!B12*$B464))-'Business Case'!C15*$F464</f>
        <v>-91076740.9313615</v>
      </c>
      <c r="J464" s="39" t="n">
        <f aca="false">(('Business Case'!D11*$C464*'Business Case'!D12*$B464)-'Business Case'!D11*$C464*'Business Case'!D13*$D464-'Business Case'!D14*$E464)-MAX(0,(('Business Case'!D11*$C464*'Business Case'!D12*$B464)-'Business Case'!D11*$C464*'Business Case'!D13*$D464-'Business Case'!D14*$E464))*'Business Case'!$B$7-'Business Case'!$B$8*(('Business Case'!D11*$C464*'Business Case'!D12*$B464)-('Business Case'!C11*$C464*'Business Case'!C12*$B464))-'Business Case'!D15*$F464</f>
        <v>136176428.473427</v>
      </c>
      <c r="K464" s="39" t="n">
        <f aca="false">(('Business Case'!E11*$C464*'Business Case'!E12*$B464)-'Business Case'!E11*$C464*'Business Case'!E13*$D464-'Business Case'!E14*$E464)-MAX(0,(('Business Case'!E11*$C464*'Business Case'!E12*$B464)-'Business Case'!E11*$C464*'Business Case'!E13*$D464-'Business Case'!E14*$E464))*'Business Case'!$B$7-'Business Case'!$B$8*(('Business Case'!E11*$C464*'Business Case'!E12*$B464)-('Business Case'!D11*$C464*'Business Case'!D12*$B464))-'Business Case'!E15*$F464</f>
        <v>422348045.68493</v>
      </c>
      <c r="L464" s="39" t="n">
        <f aca="false">(('Business Case'!F11*$C464*'Business Case'!F12*$B464)-'Business Case'!F11*$C464*'Business Case'!F13*$D464-'Business Case'!F14*$E464)-MAX(0,(('Business Case'!F11*$C464*'Business Case'!F12*$B464)-'Business Case'!F11*$C464*'Business Case'!F13*$D464-'Business Case'!F14*$E464))*'Business Case'!$B$7-'Business Case'!$B$8*(('Business Case'!F11*$C464*'Business Case'!F12*$B464)-('Business Case'!E11*$C464*'Business Case'!E12*$B464))-'Business Case'!F15*$F464</f>
        <v>525967880.538853</v>
      </c>
      <c r="M464" s="39" t="n">
        <f aca="false">(('Business Case'!G11*$C464*'Business Case'!G12*$B464)-'Business Case'!G11*$C464*'Business Case'!G13*$D464-'Business Case'!G14*$E464)-MAX(0,(('Business Case'!G11*$C464*'Business Case'!G12*$B464)-'Business Case'!G11*$C464*'Business Case'!G13*$D464-'Business Case'!G14*$E464))*'Business Case'!$B$7-'Business Case'!$B$8*(('Business Case'!G11*$C464*'Business Case'!G12*$B464)-('Business Case'!F11*$C464*'Business Case'!F12*$B464))-'Business Case'!G15*$F464+'Business Case'!$B$8*('Business Case'!G11*$C464*'Business Case'!G12*$B464)</f>
        <v>679246161.65998</v>
      </c>
      <c r="N464" s="39" t="n">
        <f aca="false">IF(COUNT('Business Case'!B11:G11)=0,"",H464+NPV(G464,I464:M464))</f>
        <v>-1243399507.54396</v>
      </c>
      <c r="P464" s="40" t="n">
        <f aca="true">RAND()</f>
        <v>0.172856491428987</v>
      </c>
      <c r="Q464" s="40" t="n">
        <f aca="true">RAND()</f>
        <v>0.162270518397447</v>
      </c>
      <c r="R464" s="40" t="n">
        <f aca="true">RAND()</f>
        <v>0.306981412806781</v>
      </c>
      <c r="S464" s="40" t="n">
        <f aca="true">RAND()</f>
        <v>0.969105035969897</v>
      </c>
      <c r="T464" s="40" t="n">
        <f aca="true">RAND()</f>
        <v>0.931586580729438</v>
      </c>
      <c r="U464" s="40" t="n">
        <f aca="true">RAND()</f>
        <v>0.532538048999983</v>
      </c>
    </row>
    <row r="465" customFormat="false" ht="15" hidden="false" customHeight="false" outlineLevel="0" collapsed="false">
      <c r="A465" s="36" t="n">
        <v>385</v>
      </c>
      <c r="B465" s="37" t="n">
        <f aca="false">1+IF($G$6=$E$6,$F$6,IF(P465&lt;($F$6-$E$6)/($G$6-$E$6),$E$6+SQRT(P465*($G$6-$E$6)*($F$6-$E$6)),$G$6-SQRT((1-P465)*($G$6-$E$6)*($G$6-$F$6))))</f>
        <v>1.01035412073652</v>
      </c>
      <c r="C465" s="37" t="n">
        <f aca="false">1+IF($G$7=$E$7,$F$7,IF(Q465&lt;($F$7-$E$7)/($G$7-$E$7),$E$7+SQRT(Q465*($G$7-$E$7)*($F$7-$E$7)),$G$7-SQRT((1-Q465)*($G$7-$E$7)*($G$7-$F$7))))</f>
        <v>0.877099546499918</v>
      </c>
      <c r="D465" s="37" t="n">
        <f aca="false">1+IF($G$8=$E$8,$F$8,IF(R465&lt;($F$8-$E$8)/($G$8-$E$8),$E$8+SQRT(R465*($G$8-$E$8)*($F$8-$E$8)),$G$8-SQRT((1-R465)*($G$8-$E$8)*($G$8-$F$8))))</f>
        <v>1.08132764086348</v>
      </c>
      <c r="E465" s="37" t="n">
        <f aca="false">1+IF($G$9=$E$9,$F$9,IF(S465&lt;($F$9-$E$9)/($G$9-$E$9),$E$9+SQRT(S465*($G$9-$E$9)*($F$9-$E$9)),$G$9-SQRT((1-S465)*($G$9-$E$9)*($G$9-$F$9))))</f>
        <v>0.945090775946614</v>
      </c>
      <c r="F465" s="37" t="n">
        <f aca="false">1+IF($G$10=$E$10,$F$10,IF(T465&lt;($F$10-$E$10)/($G$10-$E$10),$E$10+SQRT(T465*($G$10-$E$10)*($F$10-$E$10)),$G$10-SQRT((1-T465)*($G$10-$E$10)*($G$10-$F$10))))</f>
        <v>1.00091840744174</v>
      </c>
      <c r="G465" s="38" t="n">
        <f aca="false">IF($G$11=$E$11,$F$11,IF(U465&lt;($F$11-$E$11)/($G$11-$E$11),$E$11+SQRT(U465*($G$11-$E$11)*($F$11-$E$11)),$G$11-SQRT((1-U465)*($G$11-$E$11)*($G$11-$F$11))))</f>
        <v>0.094021625723721</v>
      </c>
      <c r="H465" s="39" t="n">
        <f aca="false">(('Business Case'!B11*$C465*'Business Case'!B12*$B465)-'Business Case'!B11*$C465*'Business Case'!B13*$D465-'Business Case'!B14*$E465)-MAX(0,(('Business Case'!B11*$C465*'Business Case'!B12*$B465)-'Business Case'!B11*$C465*'Business Case'!B13*$D465-'Business Case'!B14*$E465))*'Business Case'!$B$7-'Business Case'!$B$8*('Business Case'!B11*$C465*'Business Case'!B12*$B465)-'Business Case'!B15*$F465</f>
        <v>-2001836814.88348</v>
      </c>
      <c r="I465" s="39" t="n">
        <f aca="false">(('Business Case'!C11*$C465*'Business Case'!C12*$B465)-'Business Case'!C11*$C465*'Business Case'!C13*$D465-'Business Case'!C14*$E465)-MAX(0,(('Business Case'!C11*$C465*'Business Case'!C12*$B465)-'Business Case'!C11*$C465*'Business Case'!C13*$D465-'Business Case'!C14*$E465))*'Business Case'!$B$7-'Business Case'!$B$8*(('Business Case'!C11*$C465*'Business Case'!C12*$B465)-('Business Case'!B11*$C465*'Business Case'!B12*$B465))-'Business Case'!C15*$F465</f>
        <v>-40098520.7855126</v>
      </c>
      <c r="J465" s="39" t="n">
        <f aca="false">(('Business Case'!D11*$C465*'Business Case'!D12*$B465)-'Business Case'!D11*$C465*'Business Case'!D13*$D465-'Business Case'!D14*$E465)-MAX(0,(('Business Case'!D11*$C465*'Business Case'!D12*$B465)-'Business Case'!D11*$C465*'Business Case'!D13*$D465-'Business Case'!D14*$E465))*'Business Case'!$B$7-'Business Case'!$B$8*(('Business Case'!D11*$C465*'Business Case'!D12*$B465)-('Business Case'!C11*$C465*'Business Case'!C12*$B465))-'Business Case'!D15*$F465</f>
        <v>200226337.867502</v>
      </c>
      <c r="K465" s="39" t="n">
        <f aca="false">(('Business Case'!E11*$C465*'Business Case'!E12*$B465)-'Business Case'!E11*$C465*'Business Case'!E13*$D465-'Business Case'!E14*$E465)-MAX(0,(('Business Case'!E11*$C465*'Business Case'!E12*$B465)-'Business Case'!E11*$C465*'Business Case'!E13*$D465-'Business Case'!E14*$E465))*'Business Case'!$B$7-'Business Case'!$B$8*(('Business Case'!E11*$C465*'Business Case'!E12*$B465)-('Business Case'!D11*$C465*'Business Case'!D12*$B465))-'Business Case'!E15*$F465</f>
        <v>490597116.892604</v>
      </c>
      <c r="L465" s="39" t="n">
        <f aca="false">(('Business Case'!F11*$C465*'Business Case'!F12*$B465)-'Business Case'!F11*$C465*'Business Case'!F13*$D465-'Business Case'!F14*$E465)-MAX(0,(('Business Case'!F11*$C465*'Business Case'!F12*$B465)-'Business Case'!F11*$C465*'Business Case'!F13*$D465-'Business Case'!F14*$E465))*'Business Case'!$B$7-'Business Case'!$B$8*(('Business Case'!F11*$C465*'Business Case'!F12*$B465)-('Business Case'!E11*$C465*'Business Case'!E12*$B465))-'Business Case'!F15*$F465</f>
        <v>601331823.346772</v>
      </c>
      <c r="M465" s="39" t="n">
        <f aca="false">(('Business Case'!G11*$C465*'Business Case'!G12*$B465)-'Business Case'!G11*$C465*'Business Case'!G13*$D465-'Business Case'!G14*$E465)-MAX(0,(('Business Case'!G11*$C465*'Business Case'!G12*$B465)-'Business Case'!G11*$C465*'Business Case'!G13*$D465-'Business Case'!G14*$E465))*'Business Case'!$B$7-'Business Case'!$B$8*(('Business Case'!G11*$C465*'Business Case'!G12*$B465)-('Business Case'!F11*$C465*'Business Case'!F12*$B465))-'Business Case'!G15*$F465+'Business Case'!$B$8*('Business Case'!G11*$C465*'Business Case'!G12*$B465)</f>
        <v>769777134.647503</v>
      </c>
      <c r="N465" s="39" t="n">
        <f aca="false">IF(COUNT('Business Case'!B11:G11)=0,"",H465+NPV(G465,I465:M465))</f>
        <v>-585587560.139765</v>
      </c>
      <c r="P465" s="40" t="n">
        <f aca="true">RAND()</f>
        <v>0.79042723432344</v>
      </c>
      <c r="Q465" s="40" t="n">
        <f aca="true">RAND()</f>
        <v>0.232327773114643</v>
      </c>
      <c r="R465" s="40" t="n">
        <f aca="true">RAND()</f>
        <v>0.976756200285133</v>
      </c>
      <c r="S465" s="40" t="n">
        <f aca="true">RAND()</f>
        <v>0.0813271230187085</v>
      </c>
      <c r="T465" s="40" t="n">
        <f aca="true">RAND()</f>
        <v>0.172778136648559</v>
      </c>
      <c r="U465" s="40" t="n">
        <f aca="true">RAND()</f>
        <v>0.196605987936113</v>
      </c>
    </row>
    <row r="466" customFormat="false" ht="15" hidden="false" customHeight="false" outlineLevel="0" collapsed="false">
      <c r="A466" s="36" t="n">
        <v>386</v>
      </c>
      <c r="B466" s="37" t="n">
        <f aca="false">1+IF($G$6=$E$6,$F$6,IF(P466&lt;($F$6-$E$6)/($G$6-$E$6),$E$6+SQRT(P466*($G$6-$E$6)*($F$6-$E$6)),$G$6-SQRT((1-P466)*($G$6-$E$6)*($G$6-$F$6))))</f>
        <v>0.934143104226689</v>
      </c>
      <c r="C466" s="37" t="n">
        <f aca="false">1+IF($G$7=$E$7,$F$7,IF(Q466&lt;($F$7-$E$7)/($G$7-$E$7),$E$7+SQRT(Q466*($G$7-$E$7)*($F$7-$E$7)),$G$7-SQRT((1-Q466)*($G$7-$E$7)*($G$7-$F$7))))</f>
        <v>1.04598677596308</v>
      </c>
      <c r="D466" s="37" t="n">
        <f aca="false">1+IF($G$8=$E$8,$F$8,IF(R466&lt;($F$8-$E$8)/($G$8-$E$8),$E$8+SQRT(R466*($G$8-$E$8)*($F$8-$E$8)),$G$8-SQRT((1-R466)*($G$8-$E$8)*($G$8-$F$8))))</f>
        <v>0.971166851699224</v>
      </c>
      <c r="E466" s="37" t="n">
        <f aca="false">1+IF($G$9=$E$9,$F$9,IF(S466&lt;($F$9-$E$9)/($G$9-$E$9),$E$9+SQRT(S466*($G$9-$E$9)*($F$9-$E$9)),$G$9-SQRT((1-S466)*($G$9-$E$9)*($G$9-$F$9))))</f>
        <v>1.0196754911431</v>
      </c>
      <c r="F466" s="37" t="n">
        <f aca="false">1+IF($G$10=$E$10,$F$10,IF(T466&lt;($F$10-$E$10)/($G$10-$E$10),$E$10+SQRT(T466*($G$10-$E$10)*($F$10-$E$10)),$G$10-SQRT((1-T466)*($G$10-$E$10)*($G$10-$F$10))))</f>
        <v>0.972983588398605</v>
      </c>
      <c r="G466" s="38" t="n">
        <f aca="false">IF($G$11=$E$11,$F$11,IF(U466&lt;($F$11-$E$11)/($G$11-$E$11),$E$11+SQRT(U466*($G$11-$E$11)*($F$11-$E$11)),$G$11-SQRT((1-U466)*($G$11-$E$11)*($G$11-$F$11))))</f>
        <v>0.120274617662044</v>
      </c>
      <c r="H466" s="39" t="n">
        <f aca="false">(('Business Case'!B11*$C466*'Business Case'!B12*$B466)-'Business Case'!B11*$C466*'Business Case'!B13*$D466-'Business Case'!B14*$E466)-MAX(0,(('Business Case'!B11*$C466*'Business Case'!B12*$B466)-'Business Case'!B11*$C466*'Business Case'!B13*$D466-'Business Case'!B14*$E466))*'Business Case'!$B$7-'Business Case'!$B$8*('Business Case'!B11*$C466*'Business Case'!B12*$B466)-'Business Case'!B15*$F466</f>
        <v>-1945967176.79721</v>
      </c>
      <c r="I466" s="39" t="n">
        <f aca="false">(('Business Case'!C11*$C466*'Business Case'!C12*$B466)-'Business Case'!C11*$C466*'Business Case'!C13*$D466-'Business Case'!C14*$E466)-MAX(0,(('Business Case'!C11*$C466*'Business Case'!C12*$B466)-'Business Case'!C11*$C466*'Business Case'!C13*$D466-'Business Case'!C14*$E466))*'Business Case'!$B$7-'Business Case'!$B$8*(('Business Case'!C11*$C466*'Business Case'!C12*$B466)-('Business Case'!B11*$C466*'Business Case'!B12*$B466))-'Business Case'!C15*$F466</f>
        <v>-12655311.1467412</v>
      </c>
      <c r="J466" s="39" t="n">
        <f aca="false">(('Business Case'!D11*$C466*'Business Case'!D12*$B466)-'Business Case'!D11*$C466*'Business Case'!D13*$D466-'Business Case'!D14*$E466)-MAX(0,(('Business Case'!D11*$C466*'Business Case'!D12*$B466)-'Business Case'!D11*$C466*'Business Case'!D13*$D466-'Business Case'!D14*$E466))*'Business Case'!$B$7-'Business Case'!$B$8*(('Business Case'!D11*$C466*'Business Case'!D12*$B466)-('Business Case'!C11*$C466*'Business Case'!C12*$B466))-'Business Case'!D15*$F466</f>
        <v>267638524.535174</v>
      </c>
      <c r="K466" s="39" t="n">
        <f aca="false">(('Business Case'!E11*$C466*'Business Case'!E12*$B466)-'Business Case'!E11*$C466*'Business Case'!E13*$D466-'Business Case'!E14*$E466)-MAX(0,(('Business Case'!E11*$C466*'Business Case'!E12*$B466)-'Business Case'!E11*$C466*'Business Case'!E13*$D466-'Business Case'!E14*$E466))*'Business Case'!$B$7-'Business Case'!$B$8*(('Business Case'!E11*$C466*'Business Case'!E12*$B466)-('Business Case'!D11*$C466*'Business Case'!D12*$B466))-'Business Case'!E15*$F466</f>
        <v>596581539.63702</v>
      </c>
      <c r="L466" s="39" t="n">
        <f aca="false">(('Business Case'!F11*$C466*'Business Case'!F12*$B466)-'Business Case'!F11*$C466*'Business Case'!F13*$D466-'Business Case'!F14*$E466)-MAX(0,(('Business Case'!F11*$C466*'Business Case'!F12*$B466)-'Business Case'!F11*$C466*'Business Case'!F13*$D466-'Business Case'!F14*$E466))*'Business Case'!$B$7-'Business Case'!$B$8*(('Business Case'!F11*$C466*'Business Case'!F12*$B466)-('Business Case'!E11*$C466*'Business Case'!E12*$B466))-'Business Case'!F15*$F466</f>
        <v>723781440.296489</v>
      </c>
      <c r="M466" s="39" t="n">
        <f aca="false">(('Business Case'!G11*$C466*'Business Case'!G12*$B466)-'Business Case'!G11*$C466*'Business Case'!G13*$D466-'Business Case'!G14*$E466)-MAX(0,(('Business Case'!G11*$C466*'Business Case'!G12*$B466)-'Business Case'!G11*$C466*'Business Case'!G13*$D466-'Business Case'!G14*$E466))*'Business Case'!$B$7-'Business Case'!$B$8*(('Business Case'!G11*$C466*'Business Case'!G12*$B466)-('Business Case'!F11*$C466*'Business Case'!F12*$B466))-'Business Case'!G15*$F466+'Business Case'!$B$8*('Business Case'!G11*$C466*'Business Case'!G12*$B466)</f>
        <v>909508861.840062</v>
      </c>
      <c r="N466" s="39" t="n">
        <f aca="false">IF(COUNT('Business Case'!B11:G11)=0,"",H466+NPV(G466,I466:M466))</f>
        <v>-344712982.541572</v>
      </c>
      <c r="P466" s="40" t="n">
        <f aca="true">RAND()</f>
        <v>0.0777167710823051</v>
      </c>
      <c r="Q466" s="40" t="n">
        <f aca="true">RAND()</f>
        <v>0.839722210747351</v>
      </c>
      <c r="R466" s="40" t="n">
        <f aca="true">RAND()</f>
        <v>0.0597380814475933</v>
      </c>
      <c r="S466" s="40" t="n">
        <f aca="true">RAND()</f>
        <v>0.547080597098883</v>
      </c>
      <c r="T466" s="40" t="n">
        <f aca="true">RAND()</f>
        <v>0.0352163557117658</v>
      </c>
      <c r="U466" s="40" t="n">
        <f aca="true">RAND()</f>
        <v>0.936944625587051</v>
      </c>
    </row>
    <row r="467" customFormat="false" ht="15" hidden="false" customHeight="false" outlineLevel="0" collapsed="false">
      <c r="A467" s="36" t="n">
        <v>387</v>
      </c>
      <c r="B467" s="37" t="n">
        <f aca="false">1+IF($G$6=$E$6,$F$6,IF(P467&lt;($F$6-$E$6)/($G$6-$E$6),$E$6+SQRT(P467*($G$6-$E$6)*($F$6-$E$6)),$G$6-SQRT((1-P467)*($G$6-$E$6)*($G$6-$F$6))))</f>
        <v>0.987459460531437</v>
      </c>
      <c r="C467" s="37" t="n">
        <f aca="false">1+IF($G$7=$E$7,$F$7,IF(Q467&lt;($F$7-$E$7)/($G$7-$E$7),$E$7+SQRT(Q467*($G$7-$E$7)*($F$7-$E$7)),$G$7-SQRT((1-Q467)*($G$7-$E$7)*($G$7-$F$7))))</f>
        <v>0.920214443504151</v>
      </c>
      <c r="D467" s="37" t="n">
        <f aca="false">1+IF($G$8=$E$8,$F$8,IF(R467&lt;($F$8-$E$8)/($G$8-$E$8),$E$8+SQRT(R467*($G$8-$E$8)*($F$8-$E$8)),$G$8-SQRT((1-R467)*($G$8-$E$8)*($G$8-$F$8))))</f>
        <v>0.973700628059345</v>
      </c>
      <c r="E467" s="37" t="n">
        <f aca="false">1+IF($G$9=$E$9,$F$9,IF(S467&lt;($F$9-$E$9)/($G$9-$E$9),$E$9+SQRT(S467*($G$9-$E$9)*($F$9-$E$9)),$G$9-SQRT((1-S467)*($G$9-$E$9)*($G$9-$F$9))))</f>
        <v>0.94394062863127</v>
      </c>
      <c r="F467" s="37" t="n">
        <f aca="false">1+IF($G$10=$E$10,$F$10,IF(T467&lt;($F$10-$E$10)/($G$10-$E$10),$E$10+SQRT(T467*($G$10-$E$10)*($F$10-$E$10)),$G$10-SQRT((1-T467)*($G$10-$E$10)*($G$10-$F$10))))</f>
        <v>1.1785758424876</v>
      </c>
      <c r="G467" s="38" t="n">
        <f aca="false">IF($G$11=$E$11,$F$11,IF(U467&lt;($F$11-$E$11)/($G$11-$E$11),$E$11+SQRT(U467*($G$11-$E$11)*($F$11-$E$11)),$G$11-SQRT((1-U467)*($G$11-$E$11)*($G$11-$F$11))))</f>
        <v>0.0980271589274999</v>
      </c>
      <c r="H467" s="39" t="n">
        <f aca="false">(('Business Case'!B11*$C467*'Business Case'!B12*$B467)-'Business Case'!B11*$C467*'Business Case'!B13*$D467-'Business Case'!B14*$E467)-MAX(0,(('Business Case'!B11*$C467*'Business Case'!B12*$B467)-'Business Case'!B11*$C467*'Business Case'!B13*$D467-'Business Case'!B14*$E467))*'Business Case'!$B$7-'Business Case'!$B$8*('Business Case'!B11*$C467*'Business Case'!B12*$B467)-'Business Case'!B15*$F467</f>
        <v>-2357151684.97519</v>
      </c>
      <c r="I467" s="39" t="n">
        <f aca="false">(('Business Case'!C11*$C467*'Business Case'!C12*$B467)-'Business Case'!C11*$C467*'Business Case'!C13*$D467-'Business Case'!C14*$E467)-MAX(0,(('Business Case'!C11*$C467*'Business Case'!C12*$B467)-'Business Case'!C11*$C467*'Business Case'!C13*$D467-'Business Case'!C14*$E467))*'Business Case'!$B$7-'Business Case'!$B$8*(('Business Case'!C11*$C467*'Business Case'!C12*$B467)-('Business Case'!B11*$C467*'Business Case'!B12*$B467))-'Business Case'!C15*$F467</f>
        <v>-13608990.2169276</v>
      </c>
      <c r="J467" s="39" t="n">
        <f aca="false">(('Business Case'!D11*$C467*'Business Case'!D12*$B467)-'Business Case'!D11*$C467*'Business Case'!D13*$D467-'Business Case'!D14*$E467)-MAX(0,(('Business Case'!D11*$C467*'Business Case'!D12*$B467)-'Business Case'!D11*$C467*'Business Case'!D13*$D467-'Business Case'!D14*$E467))*'Business Case'!$B$7-'Business Case'!$B$8*(('Business Case'!D11*$C467*'Business Case'!D12*$B467)-('Business Case'!C11*$C467*'Business Case'!C12*$B467))-'Business Case'!D15*$F467</f>
        <v>271973645.106702</v>
      </c>
      <c r="K467" s="39" t="n">
        <f aca="false">(('Business Case'!E11*$C467*'Business Case'!E12*$B467)-'Business Case'!E11*$C467*'Business Case'!E13*$D467-'Business Case'!E14*$E467)-MAX(0,(('Business Case'!E11*$C467*'Business Case'!E12*$B467)-'Business Case'!E11*$C467*'Business Case'!E13*$D467-'Business Case'!E14*$E467))*'Business Case'!$B$7-'Business Case'!$B$8*(('Business Case'!E11*$C467*'Business Case'!E12*$B467)-('Business Case'!D11*$C467*'Business Case'!D12*$B467))-'Business Case'!E15*$F467</f>
        <v>616485072.554712</v>
      </c>
      <c r="L467" s="39" t="n">
        <f aca="false">(('Business Case'!F11*$C467*'Business Case'!F12*$B467)-'Business Case'!F11*$C467*'Business Case'!F13*$D467-'Business Case'!F14*$E467)-MAX(0,(('Business Case'!F11*$C467*'Business Case'!F12*$B467)-'Business Case'!F11*$C467*'Business Case'!F13*$D467-'Business Case'!F14*$E467))*'Business Case'!$B$7-'Business Case'!$B$8*(('Business Case'!F11*$C467*'Business Case'!F12*$B467)-('Business Case'!E11*$C467*'Business Case'!E12*$B467))-'Business Case'!F15*$F467</f>
        <v>743083073.596209</v>
      </c>
      <c r="M467" s="39" t="n">
        <f aca="false">(('Business Case'!G11*$C467*'Business Case'!G12*$B467)-'Business Case'!G11*$C467*'Business Case'!G13*$D467-'Business Case'!G14*$E467)-MAX(0,(('Business Case'!G11*$C467*'Business Case'!G12*$B467)-'Business Case'!G11*$C467*'Business Case'!G13*$D467-'Business Case'!G14*$E467))*'Business Case'!$B$7-'Business Case'!$B$8*(('Business Case'!G11*$C467*'Business Case'!G12*$B467)-('Business Case'!F11*$C467*'Business Case'!F12*$B467))-'Business Case'!G15*$F467+'Business Case'!$B$8*('Business Case'!G11*$C467*'Business Case'!G12*$B467)</f>
        <v>915803914.564456</v>
      </c>
      <c r="N467" s="39" t="n">
        <f aca="false">IF(COUNT('Business Case'!B11:G11)=0,"",H467+NPV(G467,I467:M467))</f>
        <v>-593328092.66689</v>
      </c>
      <c r="P467" s="40" t="n">
        <f aca="true">RAND()</f>
        <v>0.509943815763329</v>
      </c>
      <c r="Q467" s="40" t="n">
        <f aca="true">RAND()</f>
        <v>0.35921778613217</v>
      </c>
      <c r="R467" s="40" t="n">
        <f aca="true">RAND()</f>
        <v>0.0748959693876557</v>
      </c>
      <c r="S467" s="40" t="n">
        <f aca="true">RAND()</f>
        <v>0.0772311537804473</v>
      </c>
      <c r="T467" s="40" t="n">
        <f aca="true">RAND()</f>
        <v>0.931981196315245</v>
      </c>
      <c r="U467" s="40" t="n">
        <f aca="true">RAND()</f>
        <v>0.324978458997338</v>
      </c>
    </row>
    <row r="468" customFormat="false" ht="15" hidden="false" customHeight="false" outlineLevel="0" collapsed="false">
      <c r="A468" s="36" t="n">
        <v>388</v>
      </c>
      <c r="B468" s="37" t="n">
        <f aca="false">1+IF($G$6=$E$6,$F$6,IF(P468&lt;($F$6-$E$6)/($G$6-$E$6),$E$6+SQRT(P468*($G$6-$E$6)*($F$6-$E$6)),$G$6-SQRT((1-P468)*($G$6-$E$6)*($G$6-$F$6))))</f>
        <v>0.973971555251564</v>
      </c>
      <c r="C468" s="37" t="n">
        <f aca="false">1+IF($G$7=$E$7,$F$7,IF(Q468&lt;($F$7-$E$7)/($G$7-$E$7),$E$7+SQRT(Q468*($G$7-$E$7)*($F$7-$E$7)),$G$7-SQRT((1-Q468)*($G$7-$E$7)*($G$7-$F$7))))</f>
        <v>1.01975342079266</v>
      </c>
      <c r="D468" s="37" t="n">
        <f aca="false">1+IF($G$8=$E$8,$F$8,IF(R468&lt;($F$8-$E$8)/($G$8-$E$8),$E$8+SQRT(R468*($G$8-$E$8)*($F$8-$E$8)),$G$8-SQRT((1-R468)*($G$8-$E$8)*($G$8-$F$8))))</f>
        <v>1.0544362328732</v>
      </c>
      <c r="E468" s="37" t="n">
        <f aca="false">1+IF($G$9=$E$9,$F$9,IF(S468&lt;($F$9-$E$9)/($G$9-$E$9),$E$9+SQRT(S468*($G$9-$E$9)*($F$9-$E$9)),$G$9-SQRT((1-S468)*($G$9-$E$9)*($G$9-$F$9))))</f>
        <v>0.99582800397084</v>
      </c>
      <c r="F468" s="37" t="n">
        <f aca="false">1+IF($G$10=$E$10,$F$10,IF(T468&lt;($F$10-$E$10)/($G$10-$E$10),$E$10+SQRT(T468*($G$10-$E$10)*($F$10-$E$10)),$G$10-SQRT((1-T468)*($G$10-$E$10)*($G$10-$F$10))))</f>
        <v>1.048105808932</v>
      </c>
      <c r="G468" s="38" t="n">
        <f aca="false">IF($G$11=$E$11,$F$11,IF(U468&lt;($F$11-$E$11)/($G$11-$E$11),$E$11+SQRT(U468*($G$11-$E$11)*($F$11-$E$11)),$G$11-SQRT((1-U468)*($G$11-$E$11)*($G$11-$F$11))))</f>
        <v>0.0868461790580727</v>
      </c>
      <c r="H468" s="39" t="n">
        <f aca="false">(('Business Case'!B11*$C468*'Business Case'!B12*$B468)-'Business Case'!B11*$C468*'Business Case'!B13*$D468-'Business Case'!B14*$E468)-MAX(0,(('Business Case'!B11*$C468*'Business Case'!B12*$B468)-'Business Case'!B11*$C468*'Business Case'!B13*$D468-'Business Case'!B14*$E468))*'Business Case'!$B$7-'Business Case'!$B$8*('Business Case'!B11*$C468*'Business Case'!B12*$B468)-'Business Case'!B15*$F468</f>
        <v>-2096211617.86399</v>
      </c>
      <c r="I468" s="39" t="n">
        <f aca="false">(('Business Case'!C11*$C468*'Business Case'!C12*$B468)-'Business Case'!C11*$C468*'Business Case'!C13*$D468-'Business Case'!C14*$E468)-MAX(0,(('Business Case'!C11*$C468*'Business Case'!C12*$B468)-'Business Case'!C11*$C468*'Business Case'!C13*$D468-'Business Case'!C14*$E468))*'Business Case'!$B$7-'Business Case'!$B$8*(('Business Case'!C11*$C468*'Business Case'!C12*$B468)-('Business Case'!B11*$C468*'Business Case'!B12*$B468))-'Business Case'!C15*$F468</f>
        <v>-34843831.2101305</v>
      </c>
      <c r="J468" s="39" t="n">
        <f aca="false">(('Business Case'!D11*$C468*'Business Case'!D12*$B468)-'Business Case'!D11*$C468*'Business Case'!D13*$D468-'Business Case'!D14*$E468)-MAX(0,(('Business Case'!D11*$C468*'Business Case'!D12*$B468)-'Business Case'!D11*$C468*'Business Case'!D13*$D468-'Business Case'!D14*$E468))*'Business Case'!$B$7-'Business Case'!$B$8*(('Business Case'!D11*$C468*'Business Case'!D12*$B468)-('Business Case'!C11*$C468*'Business Case'!C12*$B468))-'Business Case'!D15*$F468</f>
        <v>228217709.817128</v>
      </c>
      <c r="K468" s="39" t="n">
        <f aca="false">(('Business Case'!E11*$C468*'Business Case'!E12*$B468)-'Business Case'!E11*$C468*'Business Case'!E13*$D468-'Business Case'!E14*$E468)-MAX(0,(('Business Case'!E11*$C468*'Business Case'!E12*$B468)-'Business Case'!E11*$C468*'Business Case'!E13*$D468-'Business Case'!E14*$E468))*'Business Case'!$B$7-'Business Case'!$B$8*(('Business Case'!E11*$C468*'Business Case'!E12*$B468)-('Business Case'!D11*$C468*'Business Case'!D12*$B468))-'Business Case'!E15*$F468</f>
        <v>543684541.290986</v>
      </c>
      <c r="L468" s="39" t="n">
        <f aca="false">(('Business Case'!F11*$C468*'Business Case'!F12*$B468)-'Business Case'!F11*$C468*'Business Case'!F13*$D468-'Business Case'!F14*$E468)-MAX(0,(('Business Case'!F11*$C468*'Business Case'!F12*$B468)-'Business Case'!F11*$C468*'Business Case'!F13*$D468-'Business Case'!F14*$E468))*'Business Case'!$B$7-'Business Case'!$B$8*(('Business Case'!F11*$C468*'Business Case'!F12*$B468)-('Business Case'!E11*$C468*'Business Case'!E12*$B468))-'Business Case'!F15*$F468</f>
        <v>665697087.753095</v>
      </c>
      <c r="M468" s="39" t="n">
        <f aca="false">(('Business Case'!G11*$C468*'Business Case'!G12*$B468)-'Business Case'!G11*$C468*'Business Case'!G13*$D468-'Business Case'!G14*$E468)-MAX(0,(('Business Case'!G11*$C468*'Business Case'!G12*$B468)-'Business Case'!G11*$C468*'Business Case'!G13*$D468-'Business Case'!G14*$E468))*'Business Case'!$B$7-'Business Case'!$B$8*(('Business Case'!G11*$C468*'Business Case'!G12*$B468)-('Business Case'!F11*$C468*'Business Case'!F12*$B468))-'Business Case'!G15*$F468+'Business Case'!$B$8*('Business Case'!G11*$C468*'Business Case'!G12*$B468)</f>
        <v>854486601.411393</v>
      </c>
      <c r="N468" s="39" t="n">
        <f aca="false">IF(COUNT('Business Case'!B11:G11)=0,"",H468+NPV(G468,I468:M468))</f>
        <v>-471022236.508136</v>
      </c>
      <c r="P468" s="40" t="n">
        <f aca="true">RAND()</f>
        <v>0.364786065755675</v>
      </c>
      <c r="Q468" s="40" t="n">
        <f aca="true">RAND()</f>
        <v>0.74867894229311</v>
      </c>
      <c r="R468" s="40" t="n">
        <f aca="true">RAND()</f>
        <v>0.861596208347635</v>
      </c>
      <c r="S468" s="40" t="n">
        <f aca="true">RAND()</f>
        <v>0.367320253801411</v>
      </c>
      <c r="T468" s="40" t="n">
        <f aca="true">RAND()</f>
        <v>0.45651647483995</v>
      </c>
      <c r="U468" s="40" t="n">
        <f aca="true">RAND()</f>
        <v>0.046870167695193</v>
      </c>
    </row>
    <row r="469" customFormat="false" ht="15" hidden="false" customHeight="false" outlineLevel="0" collapsed="false">
      <c r="A469" s="36" t="n">
        <v>389</v>
      </c>
      <c r="B469" s="37" t="n">
        <f aca="false">1+IF($G$6=$E$6,$F$6,IF(P469&lt;($F$6-$E$6)/($G$6-$E$6),$E$6+SQRT(P469*($G$6-$E$6)*($F$6-$E$6)),$G$6-SQRT((1-P469)*($G$6-$E$6)*($G$6-$F$6))))</f>
        <v>1.01538512519035</v>
      </c>
      <c r="C469" s="37" t="n">
        <f aca="false">1+IF($G$7=$E$7,$F$7,IF(Q469&lt;($F$7-$E$7)/($G$7-$E$7),$E$7+SQRT(Q469*($G$7-$E$7)*($F$7-$E$7)),$G$7-SQRT((1-Q469)*($G$7-$E$7)*($G$7-$F$7))))</f>
        <v>0.902620949479557</v>
      </c>
      <c r="D469" s="37" t="n">
        <f aca="false">1+IF($G$8=$E$8,$F$8,IF(R469&lt;($F$8-$E$8)/($G$8-$E$8),$E$8+SQRT(R469*($G$8-$E$8)*($F$8-$E$8)),$G$8-SQRT((1-R469)*($G$8-$E$8)*($G$8-$F$8))))</f>
        <v>0.981409099014587</v>
      </c>
      <c r="E469" s="37" t="n">
        <f aca="false">1+IF($G$9=$E$9,$F$9,IF(S469&lt;($F$9-$E$9)/($G$9-$E$9),$E$9+SQRT(S469*($G$9-$E$9)*($F$9-$E$9)),$G$9-SQRT((1-S469)*($G$9-$E$9)*($G$9-$F$9))))</f>
        <v>0.952675251916516</v>
      </c>
      <c r="F469" s="37" t="n">
        <f aca="false">1+IF($G$10=$E$10,$F$10,IF(T469&lt;($F$10-$E$10)/($G$10-$E$10),$E$10+SQRT(T469*($G$10-$E$10)*($F$10-$E$10)),$G$10-SQRT((1-T469)*($G$10-$E$10)*($G$10-$F$10))))</f>
        <v>1.02324431320771</v>
      </c>
      <c r="G469" s="38" t="n">
        <f aca="false">IF($G$11=$E$11,$F$11,IF(U469&lt;($F$11-$E$11)/($G$11-$E$11),$E$11+SQRT(U469*($G$11-$E$11)*($F$11-$E$11)),$G$11-SQRT((1-U469)*($G$11-$E$11)*($G$11-$F$11))))</f>
        <v>0.121659389169926</v>
      </c>
      <c r="H469" s="39" t="n">
        <f aca="false">(('Business Case'!B11*$C469*'Business Case'!B12*$B469)-'Business Case'!B11*$C469*'Business Case'!B13*$D469-'Business Case'!B14*$E469)-MAX(0,(('Business Case'!B11*$C469*'Business Case'!B12*$B469)-'Business Case'!B11*$C469*'Business Case'!B13*$D469-'Business Case'!B14*$E469))*'Business Case'!$B$7-'Business Case'!$B$8*('Business Case'!B11*$C469*'Business Case'!B12*$B469)-'Business Case'!B15*$F469</f>
        <v>-2046488626.41542</v>
      </c>
      <c r="I469" s="39" t="n">
        <f aca="false">(('Business Case'!C11*$C469*'Business Case'!C12*$B469)-'Business Case'!C11*$C469*'Business Case'!C13*$D469-'Business Case'!C14*$E469)-MAX(0,(('Business Case'!C11*$C469*'Business Case'!C12*$B469)-'Business Case'!C11*$C469*'Business Case'!C13*$D469-'Business Case'!C14*$E469))*'Business Case'!$B$7-'Business Case'!$B$8*(('Business Case'!C11*$C469*'Business Case'!C12*$B469)-('Business Case'!B11*$C469*'Business Case'!B12*$B469))-'Business Case'!C15*$F469</f>
        <v>11899901.9740736</v>
      </c>
      <c r="J469" s="39" t="n">
        <f aca="false">(('Business Case'!D11*$C469*'Business Case'!D12*$B469)-'Business Case'!D11*$C469*'Business Case'!D13*$D469-'Business Case'!D14*$E469)-MAX(0,(('Business Case'!D11*$C469*'Business Case'!D12*$B469)-'Business Case'!D11*$C469*'Business Case'!D13*$D469-'Business Case'!D14*$E469))*'Business Case'!$B$7-'Business Case'!$B$8*(('Business Case'!D11*$C469*'Business Case'!D12*$B469)-('Business Case'!C11*$C469*'Business Case'!C12*$B469))-'Business Case'!D15*$F469</f>
        <v>309106424.890631</v>
      </c>
      <c r="K469" s="39" t="n">
        <f aca="false">(('Business Case'!E11*$C469*'Business Case'!E12*$B469)-'Business Case'!E11*$C469*'Business Case'!E13*$D469-'Business Case'!E14*$E469)-MAX(0,(('Business Case'!E11*$C469*'Business Case'!E12*$B469)-'Business Case'!E11*$C469*'Business Case'!E13*$D469-'Business Case'!E14*$E469))*'Business Case'!$B$7-'Business Case'!$B$8*(('Business Case'!E11*$C469*'Business Case'!E12*$B469)-('Business Case'!D11*$C469*'Business Case'!D12*$B469))-'Business Case'!E15*$F469</f>
        <v>657475163.467575</v>
      </c>
      <c r="L469" s="39" t="n">
        <f aca="false">(('Business Case'!F11*$C469*'Business Case'!F12*$B469)-'Business Case'!F11*$C469*'Business Case'!F13*$D469-'Business Case'!F14*$E469)-MAX(0,(('Business Case'!F11*$C469*'Business Case'!F12*$B469)-'Business Case'!F11*$C469*'Business Case'!F13*$D469-'Business Case'!F14*$E469))*'Business Case'!$B$7-'Business Case'!$B$8*(('Business Case'!F11*$C469*'Business Case'!F12*$B469)-('Business Case'!E11*$C469*'Business Case'!E12*$B469))-'Business Case'!F15*$F469</f>
        <v>788218516.97255</v>
      </c>
      <c r="M469" s="39" t="n">
        <f aca="false">(('Business Case'!G11*$C469*'Business Case'!G12*$B469)-'Business Case'!G11*$C469*'Business Case'!G13*$D469-'Business Case'!G14*$E469)-MAX(0,(('Business Case'!G11*$C469*'Business Case'!G12*$B469)-'Business Case'!G11*$C469*'Business Case'!G13*$D469-'Business Case'!G14*$E469))*'Business Case'!$B$7-'Business Case'!$B$8*(('Business Case'!G11*$C469*'Business Case'!G12*$B469)-('Business Case'!F11*$C469*'Business Case'!F12*$B469))-'Business Case'!G15*$F469+'Business Case'!$B$8*('Business Case'!G11*$C469*'Business Case'!G12*$B469)</f>
        <v>962428335.902893</v>
      </c>
      <c r="N469" s="39" t="n">
        <f aca="false">IF(COUNT('Business Case'!B11:G11)=0,"",H469+NPV(G469,I469:M469))</f>
        <v>-284236891.698817</v>
      </c>
      <c r="P469" s="40" t="n">
        <f aca="true">RAND()</f>
        <v>0.840241392254982</v>
      </c>
      <c r="Q469" s="40" t="n">
        <f aca="true">RAND()</f>
        <v>0.30411295679998</v>
      </c>
      <c r="R469" s="40" t="n">
        <f aca="true">RAND()</f>
        <v>0.131537533454419</v>
      </c>
      <c r="S469" s="40" t="n">
        <f aca="true">RAND()</f>
        <v>0.110987286578736</v>
      </c>
      <c r="T469" s="40" t="n">
        <f aca="true">RAND()</f>
        <v>0.314424780098096</v>
      </c>
      <c r="U469" s="40" t="n">
        <f aca="true">RAND()</f>
        <v>0.953622807320837</v>
      </c>
    </row>
    <row r="470" customFormat="false" ht="15" hidden="false" customHeight="false" outlineLevel="0" collapsed="false">
      <c r="A470" s="36" t="n">
        <v>390</v>
      </c>
      <c r="B470" s="37" t="n">
        <f aca="false">1+IF($G$6=$E$6,$F$6,IF(P470&lt;($F$6-$E$6)/($G$6-$E$6),$E$6+SQRT(P470*($G$6-$E$6)*($F$6-$E$6)),$G$6-SQRT((1-P470)*($G$6-$E$6)*($G$6-$F$6))))</f>
        <v>1.02893241365411</v>
      </c>
      <c r="C470" s="37" t="n">
        <f aca="false">1+IF($G$7=$E$7,$F$7,IF(Q470&lt;($F$7-$E$7)/($G$7-$E$7),$E$7+SQRT(Q470*($G$7-$E$7)*($F$7-$E$7)),$G$7-SQRT((1-Q470)*($G$7-$E$7)*($G$7-$F$7))))</f>
        <v>0.872626911458037</v>
      </c>
      <c r="D470" s="37" t="n">
        <f aca="false">1+IF($G$8=$E$8,$F$8,IF(R470&lt;($F$8-$E$8)/($G$8-$E$8),$E$8+SQRT(R470*($G$8-$E$8)*($F$8-$E$8)),$G$8-SQRT((1-R470)*($G$8-$E$8)*($G$8-$F$8))))</f>
        <v>1.01798101895899</v>
      </c>
      <c r="E470" s="37" t="n">
        <f aca="false">1+IF($G$9=$E$9,$F$9,IF(S470&lt;($F$9-$E$9)/($G$9-$E$9),$E$9+SQRT(S470*($G$9-$E$9)*($F$9-$E$9)),$G$9-SQRT((1-S470)*($G$9-$E$9)*($G$9-$F$9))))</f>
        <v>1.05422531941439</v>
      </c>
      <c r="F470" s="37" t="n">
        <f aca="false">1+IF($G$10=$E$10,$F$10,IF(T470&lt;($F$10-$E$10)/($G$10-$E$10),$E$10+SQRT(T470*($G$10-$E$10)*($F$10-$E$10)),$G$10-SQRT((1-T470)*($G$10-$E$10)*($G$10-$F$10))))</f>
        <v>0.977497290884878</v>
      </c>
      <c r="G470" s="38" t="n">
        <f aca="false">IF($G$11=$E$11,$F$11,IF(U470&lt;($F$11-$E$11)/($G$11-$E$11),$E$11+SQRT(U470*($G$11-$E$11)*($F$11-$E$11)),$G$11-SQRT((1-U470)*($G$11-$E$11)*($G$11-$F$11))))</f>
        <v>0.0978428188192463</v>
      </c>
      <c r="H470" s="39" t="n">
        <f aca="false">(('Business Case'!B11*$C470*'Business Case'!B12*$B470)-'Business Case'!B11*$C470*'Business Case'!B13*$D470-'Business Case'!B14*$E470)-MAX(0,(('Business Case'!B11*$C470*'Business Case'!B12*$B470)-'Business Case'!B11*$C470*'Business Case'!B13*$D470-'Business Case'!B14*$E470))*'Business Case'!$B$7-'Business Case'!$B$8*('Business Case'!B11*$C470*'Business Case'!B12*$B470)-'Business Case'!B15*$F470</f>
        <v>-1954994581.76976</v>
      </c>
      <c r="I470" s="39" t="n">
        <f aca="false">(('Business Case'!C11*$C470*'Business Case'!C12*$B470)-'Business Case'!C11*$C470*'Business Case'!C13*$D470-'Business Case'!C14*$E470)-MAX(0,(('Business Case'!C11*$C470*'Business Case'!C12*$B470)-'Business Case'!C11*$C470*'Business Case'!C13*$D470-'Business Case'!C14*$E470))*'Business Case'!$B$7-'Business Case'!$B$8*(('Business Case'!C11*$C470*'Business Case'!C12*$B470)-('Business Case'!B11*$C470*'Business Case'!B12*$B470))-'Business Case'!C15*$F470</f>
        <v>-13530379.5312456</v>
      </c>
      <c r="J470" s="39" t="n">
        <f aca="false">(('Business Case'!D11*$C470*'Business Case'!D12*$B470)-'Business Case'!D11*$C470*'Business Case'!D13*$D470-'Business Case'!D14*$E470)-MAX(0,(('Business Case'!D11*$C470*'Business Case'!D12*$B470)-'Business Case'!D11*$C470*'Business Case'!D13*$D470-'Business Case'!D14*$E470))*'Business Case'!$B$7-'Business Case'!$B$8*(('Business Case'!D11*$C470*'Business Case'!D12*$B470)-('Business Case'!C11*$C470*'Business Case'!C12*$B470))-'Business Case'!D15*$F470</f>
        <v>267145604.528201</v>
      </c>
      <c r="K470" s="39" t="n">
        <f aca="false">(('Business Case'!E11*$C470*'Business Case'!E12*$B470)-'Business Case'!E11*$C470*'Business Case'!E13*$D470-'Business Case'!E14*$E470)-MAX(0,(('Business Case'!E11*$C470*'Business Case'!E12*$B470)-'Business Case'!E11*$C470*'Business Case'!E13*$D470-'Business Case'!E14*$E470))*'Business Case'!$B$7-'Business Case'!$B$8*(('Business Case'!E11*$C470*'Business Case'!E12*$B470)-('Business Case'!D11*$C470*'Business Case'!D12*$B470))-'Business Case'!E15*$F470</f>
        <v>596696453.131891</v>
      </c>
      <c r="L470" s="39" t="n">
        <f aca="false">(('Business Case'!F11*$C470*'Business Case'!F12*$B470)-'Business Case'!F11*$C470*'Business Case'!F13*$D470-'Business Case'!F14*$E470)-MAX(0,(('Business Case'!F11*$C470*'Business Case'!F12*$B470)-'Business Case'!F11*$C470*'Business Case'!F13*$D470-'Business Case'!F14*$E470))*'Business Case'!$B$7-'Business Case'!$B$8*(('Business Case'!F11*$C470*'Business Case'!F12*$B470)-('Business Case'!E11*$C470*'Business Case'!E12*$B470))-'Business Case'!F15*$F470</f>
        <v>721285643.872692</v>
      </c>
      <c r="M470" s="39" t="n">
        <f aca="false">(('Business Case'!G11*$C470*'Business Case'!G12*$B470)-'Business Case'!G11*$C470*'Business Case'!G13*$D470-'Business Case'!G14*$E470)-MAX(0,(('Business Case'!G11*$C470*'Business Case'!G12*$B470)-'Business Case'!G11*$C470*'Business Case'!G13*$D470-'Business Case'!G14*$E470))*'Business Case'!$B$7-'Business Case'!$B$8*(('Business Case'!G11*$C470*'Business Case'!G12*$B470)-('Business Case'!F11*$C470*'Business Case'!F12*$B470))-'Business Case'!G15*$F470+'Business Case'!$B$8*('Business Case'!G11*$C470*'Business Case'!G12*$B470)</f>
        <v>891953555.504779</v>
      </c>
      <c r="N470" s="39" t="n">
        <f aca="false">IF(COUNT('Business Case'!B11:G11)=0,"",H470+NPV(G470,I470:M470))</f>
        <v>-238887459.253123</v>
      </c>
      <c r="P470" s="40" t="n">
        <f aca="true">RAND()</f>
        <v>0.940820907407768</v>
      </c>
      <c r="Q470" s="40" t="n">
        <f aca="true">RAND()</f>
        <v>0.220741115255858</v>
      </c>
      <c r="R470" s="40" t="n">
        <f aca="true">RAND()</f>
        <v>0.551525783266266</v>
      </c>
      <c r="S470" s="40" t="n">
        <f aca="true">RAND()</f>
        <v>0.755392281565979</v>
      </c>
      <c r="T470" s="40" t="n">
        <f aca="true">RAND()</f>
        <v>0.0504067337338392</v>
      </c>
      <c r="U470" s="40" t="n">
        <f aca="true">RAND()</f>
        <v>0.31836618341645</v>
      </c>
    </row>
    <row r="471" customFormat="false" ht="15" hidden="false" customHeight="false" outlineLevel="0" collapsed="false">
      <c r="A471" s="36" t="n">
        <v>391</v>
      </c>
      <c r="B471" s="37" t="n">
        <f aca="false">1+IF($G$6=$E$6,$F$6,IF(P471&lt;($F$6-$E$6)/($G$6-$E$6),$E$6+SQRT(P471*($G$6-$E$6)*($F$6-$E$6)),$G$6-SQRT((1-P471)*($G$6-$E$6)*($G$6-$F$6))))</f>
        <v>1.00420513146977</v>
      </c>
      <c r="C471" s="37" t="n">
        <f aca="false">1+IF($G$7=$E$7,$F$7,IF(Q471&lt;($F$7-$E$7)/($G$7-$E$7),$E$7+SQRT(Q471*($G$7-$E$7)*($F$7-$E$7)),$G$7-SQRT((1-Q471)*($G$7-$E$7)*($G$7-$F$7))))</f>
        <v>0.936427021452566</v>
      </c>
      <c r="D471" s="37" t="n">
        <f aca="false">1+IF($G$8=$E$8,$F$8,IF(R471&lt;($F$8-$E$8)/($G$8-$E$8),$E$8+SQRT(R471*($G$8-$E$8)*($F$8-$E$8)),$G$8-SQRT((1-R471)*($G$8-$E$8)*($G$8-$F$8))))</f>
        <v>1.00127757639138</v>
      </c>
      <c r="E471" s="37" t="n">
        <f aca="false">1+IF($G$9=$E$9,$F$9,IF(S471&lt;($F$9-$E$9)/($G$9-$E$9),$E$9+SQRT(S471*($G$9-$E$9)*($F$9-$E$9)),$G$9-SQRT((1-S471)*($G$9-$E$9)*($G$9-$F$9))))</f>
        <v>0.974012014242383</v>
      </c>
      <c r="F471" s="37" t="n">
        <f aca="false">1+IF($G$10=$E$10,$F$10,IF(T471&lt;($F$10-$E$10)/($G$10-$E$10),$E$10+SQRT(T471*($G$10-$E$10)*($F$10-$E$10)),$G$10-SQRT((1-T471)*($G$10-$E$10)*($G$10-$F$10))))</f>
        <v>1.08965435918365</v>
      </c>
      <c r="G471" s="38" t="n">
        <f aca="false">IF($G$11=$E$11,$F$11,IF(U471&lt;($F$11-$E$11)/($G$11-$E$11),$E$11+SQRT(U471*($G$11-$E$11)*($F$11-$E$11)),$G$11-SQRT((1-U471)*($G$11-$E$11)*($G$11-$F$11))))</f>
        <v>0.124983000908306</v>
      </c>
      <c r="H471" s="39" t="n">
        <f aca="false">(('Business Case'!B11*$C471*'Business Case'!B12*$B471)-'Business Case'!B11*$C471*'Business Case'!B13*$D471-'Business Case'!B14*$E471)-MAX(0,(('Business Case'!B11*$C471*'Business Case'!B12*$B471)-'Business Case'!B11*$C471*'Business Case'!B13*$D471-'Business Case'!B14*$E471))*'Business Case'!$B$7-'Business Case'!$B$8*('Business Case'!B11*$C471*'Business Case'!B12*$B471)-'Business Case'!B15*$F471</f>
        <v>-2179308718.36729</v>
      </c>
      <c r="I471" s="39" t="n">
        <f aca="false">(('Business Case'!C11*$C471*'Business Case'!C12*$B471)-'Business Case'!C11*$C471*'Business Case'!C13*$D471-'Business Case'!C14*$E471)-MAX(0,(('Business Case'!C11*$C471*'Business Case'!C12*$B471)-'Business Case'!C11*$C471*'Business Case'!C13*$D471-'Business Case'!C14*$E471))*'Business Case'!$B$7-'Business Case'!$B$8*(('Business Case'!C11*$C471*'Business Case'!C12*$B471)-('Business Case'!B11*$C471*'Business Case'!B12*$B471))-'Business Case'!C15*$F471</f>
        <v>-5980122.54542555</v>
      </c>
      <c r="J471" s="39" t="n">
        <f aca="false">(('Business Case'!D11*$C471*'Business Case'!D12*$B471)-'Business Case'!D11*$C471*'Business Case'!D13*$D471-'Business Case'!D14*$E471)-MAX(0,(('Business Case'!D11*$C471*'Business Case'!D12*$B471)-'Business Case'!D11*$C471*'Business Case'!D13*$D471-'Business Case'!D14*$E471))*'Business Case'!$B$7-'Business Case'!$B$8*(('Business Case'!D11*$C471*'Business Case'!D12*$B471)-('Business Case'!C11*$C471*'Business Case'!C12*$B471))-'Business Case'!D15*$F471</f>
        <v>284258211.53141</v>
      </c>
      <c r="K471" s="39" t="n">
        <f aca="false">(('Business Case'!E11*$C471*'Business Case'!E12*$B471)-'Business Case'!E11*$C471*'Business Case'!E13*$D471-'Business Case'!E14*$E471)-MAX(0,(('Business Case'!E11*$C471*'Business Case'!E12*$B471)-'Business Case'!E11*$C471*'Business Case'!E13*$D471-'Business Case'!E14*$E471))*'Business Case'!$B$7-'Business Case'!$B$8*(('Business Case'!E11*$C471*'Business Case'!E12*$B471)-('Business Case'!D11*$C471*'Business Case'!D12*$B471))-'Business Case'!E15*$F471</f>
        <v>628979263.567428</v>
      </c>
      <c r="L471" s="39" t="n">
        <f aca="false">(('Business Case'!F11*$C471*'Business Case'!F12*$B471)-'Business Case'!F11*$C471*'Business Case'!F13*$D471-'Business Case'!F14*$E471)-MAX(0,(('Business Case'!F11*$C471*'Business Case'!F12*$B471)-'Business Case'!F11*$C471*'Business Case'!F13*$D471-'Business Case'!F14*$E471))*'Business Case'!$B$7-'Business Case'!$B$8*(('Business Case'!F11*$C471*'Business Case'!F12*$B471)-('Business Case'!E11*$C471*'Business Case'!E12*$B471))-'Business Case'!F15*$F471</f>
        <v>758224383.112127</v>
      </c>
      <c r="M471" s="39" t="n">
        <f aca="false">(('Business Case'!G11*$C471*'Business Case'!G12*$B471)-'Business Case'!G11*$C471*'Business Case'!G13*$D471-'Business Case'!G14*$E471)-MAX(0,(('Business Case'!G11*$C471*'Business Case'!G12*$B471)-'Business Case'!G11*$C471*'Business Case'!G13*$D471-'Business Case'!G14*$E471))*'Business Case'!$B$7-'Business Case'!$B$8*(('Business Case'!G11*$C471*'Business Case'!G12*$B471)-('Business Case'!F11*$C471*'Business Case'!F12*$B471))-'Business Case'!G15*$F471+'Business Case'!$B$8*('Business Case'!G11*$C471*'Business Case'!G12*$B471)</f>
        <v>936968928.133771</v>
      </c>
      <c r="N471" s="39" t="n">
        <f aca="false">IF(COUNT('Business Case'!B11:G11)=0,"",H471+NPV(G471,I471:M471))</f>
        <v>-524871493.071967</v>
      </c>
      <c r="P471" s="40" t="n">
        <f aca="true">RAND()</f>
        <v>0.720377335506572</v>
      </c>
      <c r="Q471" s="40" t="n">
        <f aca="true">RAND()</f>
        <v>0.414057307206906</v>
      </c>
      <c r="R471" s="40" t="n">
        <f aca="true">RAND()</f>
        <v>0.350258871789298</v>
      </c>
      <c r="S471" s="40" t="n">
        <f aca="true">RAND()</f>
        <v>0.21911113008859</v>
      </c>
      <c r="T471" s="40" t="n">
        <f aca="true">RAND()</f>
        <v>0.657190339615901</v>
      </c>
      <c r="U471" s="40" t="n">
        <f aca="true">RAND()</f>
        <v>0.983219813409297</v>
      </c>
    </row>
    <row r="472" customFormat="false" ht="15" hidden="false" customHeight="false" outlineLevel="0" collapsed="false">
      <c r="A472" s="36" t="n">
        <v>392</v>
      </c>
      <c r="B472" s="37" t="n">
        <f aca="false">1+IF($G$6=$E$6,$F$6,IF(P472&lt;($F$6-$E$6)/($G$6-$E$6),$E$6+SQRT(P472*($G$6-$E$6)*($F$6-$E$6)),$G$6-SQRT((1-P472)*($G$6-$E$6)*($G$6-$F$6))))</f>
        <v>0.990045564632822</v>
      </c>
      <c r="C472" s="37" t="n">
        <f aca="false">1+IF($G$7=$E$7,$F$7,IF(Q472&lt;($F$7-$E$7)/($G$7-$E$7),$E$7+SQRT(Q472*($G$7-$E$7)*($F$7-$E$7)),$G$7-SQRT((1-Q472)*($G$7-$E$7)*($G$7-$F$7))))</f>
        <v>1.06842669938992</v>
      </c>
      <c r="D472" s="37" t="n">
        <f aca="false">1+IF($G$8=$E$8,$F$8,IF(R472&lt;($F$8-$E$8)/($G$8-$E$8),$E$8+SQRT(R472*($G$8-$E$8)*($F$8-$E$8)),$G$8-SQRT((1-R472)*($G$8-$E$8)*($G$8-$F$8))))</f>
        <v>1.06118589223364</v>
      </c>
      <c r="E472" s="37" t="n">
        <f aca="false">1+IF($G$9=$E$9,$F$9,IF(S472&lt;($F$9-$E$9)/($G$9-$E$9),$E$9+SQRT(S472*($G$9-$E$9)*($F$9-$E$9)),$G$9-SQRT((1-S472)*($G$9-$E$9)*($G$9-$F$9))))</f>
        <v>1.00717929750151</v>
      </c>
      <c r="F472" s="37" t="n">
        <f aca="false">1+IF($G$10=$E$10,$F$10,IF(T472&lt;($F$10-$E$10)/($G$10-$E$10),$E$10+SQRT(T472*($G$10-$E$10)*($F$10-$E$10)),$G$10-SQRT((1-T472)*($G$10-$E$10)*($G$10-$F$10))))</f>
        <v>1.14646485386545</v>
      </c>
      <c r="G472" s="38" t="n">
        <f aca="false">IF($G$11=$E$11,$F$11,IF(U472&lt;($F$11-$E$11)/($G$11-$E$11),$E$11+SQRT(U472*($G$11-$E$11)*($F$11-$E$11)),$G$11-SQRT((1-U472)*($G$11-$E$11)*($G$11-$F$11))))</f>
        <v>0.0866054133923859</v>
      </c>
      <c r="H472" s="39" t="n">
        <f aca="false">(('Business Case'!B11*$C472*'Business Case'!B12*$B472)-'Business Case'!B11*$C472*'Business Case'!B13*$D472-'Business Case'!B14*$E472)-MAX(0,(('Business Case'!B11*$C472*'Business Case'!B12*$B472)-'Business Case'!B11*$C472*'Business Case'!B13*$D472-'Business Case'!B14*$E472))*'Business Case'!$B$7-'Business Case'!$B$8*('Business Case'!B11*$C472*'Business Case'!B12*$B472)-'Business Case'!B15*$F472</f>
        <v>-2292929707.7309</v>
      </c>
      <c r="I472" s="39" t="n">
        <f aca="false">(('Business Case'!C11*$C472*'Business Case'!C12*$B472)-'Business Case'!C11*$C472*'Business Case'!C13*$D472-'Business Case'!C14*$E472)-MAX(0,(('Business Case'!C11*$C472*'Business Case'!C12*$B472)-'Business Case'!C11*$C472*'Business Case'!C13*$D472-'Business Case'!C14*$E472))*'Business Case'!$B$7-'Business Case'!$B$8*(('Business Case'!C11*$C472*'Business Case'!C12*$B472)-('Business Case'!B11*$C472*'Business Case'!B12*$B472))-'Business Case'!C15*$F472</f>
        <v>-26710747.125464</v>
      </c>
      <c r="J472" s="39" t="n">
        <f aca="false">(('Business Case'!D11*$C472*'Business Case'!D12*$B472)-'Business Case'!D11*$C472*'Business Case'!D13*$D472-'Business Case'!D14*$E472)-MAX(0,(('Business Case'!D11*$C472*'Business Case'!D12*$B472)-'Business Case'!D11*$C472*'Business Case'!D13*$D472-'Business Case'!D14*$E472))*'Business Case'!$B$7-'Business Case'!$B$8*(('Business Case'!D11*$C472*'Business Case'!D12*$B472)-('Business Case'!C11*$C472*'Business Case'!C12*$B472))-'Business Case'!D15*$F472</f>
        <v>259281778.634999</v>
      </c>
      <c r="K472" s="39" t="n">
        <f aca="false">(('Business Case'!E11*$C472*'Business Case'!E12*$B472)-'Business Case'!E11*$C472*'Business Case'!E13*$D472-'Business Case'!E14*$E472)-MAX(0,(('Business Case'!E11*$C472*'Business Case'!E12*$B472)-'Business Case'!E11*$C472*'Business Case'!E13*$D472-'Business Case'!E14*$E472))*'Business Case'!$B$7-'Business Case'!$B$8*(('Business Case'!E11*$C472*'Business Case'!E12*$B472)-('Business Case'!D11*$C472*'Business Case'!D12*$B472))-'Business Case'!E15*$F472</f>
        <v>602597547.088735</v>
      </c>
      <c r="L472" s="39" t="n">
        <f aca="false">(('Business Case'!F11*$C472*'Business Case'!F12*$B472)-'Business Case'!F11*$C472*'Business Case'!F13*$D472-'Business Case'!F14*$E472)-MAX(0,(('Business Case'!F11*$C472*'Business Case'!F12*$B472)-'Business Case'!F11*$C472*'Business Case'!F13*$D472-'Business Case'!F14*$E472))*'Business Case'!$B$7-'Business Case'!$B$8*(('Business Case'!F11*$C472*'Business Case'!F12*$B472)-('Business Case'!E11*$C472*'Business Case'!E12*$B472))-'Business Case'!F15*$F472</f>
        <v>734485649.938668</v>
      </c>
      <c r="M472" s="39" t="n">
        <f aca="false">(('Business Case'!G11*$C472*'Business Case'!G12*$B472)-'Business Case'!G11*$C472*'Business Case'!G13*$D472-'Business Case'!G14*$E472)-MAX(0,(('Business Case'!G11*$C472*'Business Case'!G12*$B472)-'Business Case'!G11*$C472*'Business Case'!G13*$D472-'Business Case'!G14*$E472))*'Business Case'!$B$7-'Business Case'!$B$8*(('Business Case'!G11*$C472*'Business Case'!G12*$B472)-('Business Case'!F11*$C472*'Business Case'!F12*$B472))-'Business Case'!G15*$F472+'Business Case'!$B$8*('Business Case'!G11*$C472*'Business Case'!G12*$B472)</f>
        <v>935550585.05245</v>
      </c>
      <c r="N472" s="39" t="n">
        <f aca="false">IF(COUNT('Business Case'!B11:G11)=0,"",H472+NPV(G472,I472:M472))</f>
        <v>-483761391.146134</v>
      </c>
      <c r="P472" s="40" t="n">
        <f aca="true">RAND()</f>
        <v>0.540546914002916</v>
      </c>
      <c r="Q472" s="40" t="n">
        <f aca="true">RAND()</f>
        <v>0.901419209297449</v>
      </c>
      <c r="R472" s="40" t="n">
        <f aca="true">RAND()</f>
        <v>0.899564335886777</v>
      </c>
      <c r="S472" s="40" t="n">
        <f aca="true">RAND()</f>
        <v>0.456059918342343</v>
      </c>
      <c r="T472" s="40" t="n">
        <f aca="true">RAND()</f>
        <v>0.857072980198627</v>
      </c>
      <c r="U472" s="40" t="n">
        <f aca="true">RAND()</f>
        <v>0.0436314860843109</v>
      </c>
    </row>
    <row r="473" customFormat="false" ht="15" hidden="false" customHeight="false" outlineLevel="0" collapsed="false">
      <c r="A473" s="36" t="n">
        <v>393</v>
      </c>
      <c r="B473" s="37" t="n">
        <f aca="false">1+IF($G$6=$E$6,$F$6,IF(P473&lt;($F$6-$E$6)/($G$6-$E$6),$E$6+SQRT(P473*($G$6-$E$6)*($F$6-$E$6)),$G$6-SQRT((1-P473)*($G$6-$E$6)*($G$6-$F$6))))</f>
        <v>0.970845373319167</v>
      </c>
      <c r="C473" s="37" t="n">
        <f aca="false">1+IF($G$7=$E$7,$F$7,IF(Q473&lt;($F$7-$E$7)/($G$7-$E$7),$E$7+SQRT(Q473*($G$7-$E$7)*($F$7-$E$7)),$G$7-SQRT((1-Q473)*($G$7-$E$7)*($G$7-$F$7))))</f>
        <v>0.926272246762172</v>
      </c>
      <c r="D473" s="37" t="n">
        <f aca="false">1+IF($G$8=$E$8,$F$8,IF(R473&lt;($F$8-$E$8)/($G$8-$E$8),$E$8+SQRT(R473*($G$8-$E$8)*($F$8-$E$8)),$G$8-SQRT((1-R473)*($G$8-$E$8)*($G$8-$F$8))))</f>
        <v>1.05560191256672</v>
      </c>
      <c r="E473" s="37" t="n">
        <f aca="false">1+IF($G$9=$E$9,$F$9,IF(S473&lt;($F$9-$E$9)/($G$9-$E$9),$E$9+SQRT(S473*($G$9-$E$9)*($F$9-$E$9)),$G$9-SQRT((1-S473)*($G$9-$E$9)*($G$9-$F$9))))</f>
        <v>0.962538170036069</v>
      </c>
      <c r="F473" s="37" t="n">
        <f aca="false">1+IF($G$10=$E$10,$F$10,IF(T473&lt;($F$10-$E$10)/($G$10-$E$10),$E$10+SQRT(T473*($G$10-$E$10)*($F$10-$E$10)),$G$10-SQRT((1-T473)*($G$10-$E$10)*($G$10-$F$10))))</f>
        <v>1.06771407234915</v>
      </c>
      <c r="G473" s="38" t="n">
        <f aca="false">IF($G$11=$E$11,$F$11,IF(U473&lt;($F$11-$E$11)/($G$11-$E$11),$E$11+SQRT(U473*($G$11-$E$11)*($F$11-$E$11)),$G$11-SQRT((1-U473)*($G$11-$E$11)*($G$11-$F$11))))</f>
        <v>0.0900039467400058</v>
      </c>
      <c r="H473" s="39" t="n">
        <f aca="false">(('Business Case'!B11*$C473*'Business Case'!B12*$B473)-'Business Case'!B11*$C473*'Business Case'!B13*$D473-'Business Case'!B14*$E473)-MAX(0,(('Business Case'!B11*$C473*'Business Case'!B12*$B473)-'Business Case'!B11*$C473*'Business Case'!B13*$D473-'Business Case'!B14*$E473))*'Business Case'!$B$7-'Business Case'!$B$8*('Business Case'!B11*$C473*'Business Case'!B12*$B473)-'Business Case'!B15*$F473</f>
        <v>-2135428144.69829</v>
      </c>
      <c r="I473" s="39" t="n">
        <f aca="false">(('Business Case'!C11*$C473*'Business Case'!C12*$B473)-'Business Case'!C11*$C473*'Business Case'!C13*$D473-'Business Case'!C14*$E473)-MAX(0,(('Business Case'!C11*$C473*'Business Case'!C12*$B473)-'Business Case'!C11*$C473*'Business Case'!C13*$D473-'Business Case'!C14*$E473))*'Business Case'!$B$7-'Business Case'!$B$8*(('Business Case'!C11*$C473*'Business Case'!C12*$B473)-('Business Case'!B11*$C473*'Business Case'!B12*$B473))-'Business Case'!C15*$F473</f>
        <v>-54240272.7125591</v>
      </c>
      <c r="J473" s="39" t="n">
        <f aca="false">(('Business Case'!D11*$C473*'Business Case'!D12*$B473)-'Business Case'!D11*$C473*'Business Case'!D13*$D473-'Business Case'!D14*$E473)-MAX(0,(('Business Case'!D11*$C473*'Business Case'!D12*$B473)-'Business Case'!D11*$C473*'Business Case'!D13*$D473-'Business Case'!D14*$E473))*'Business Case'!$B$7-'Business Case'!$B$8*(('Business Case'!D11*$C473*'Business Case'!D12*$B473)-('Business Case'!C11*$C473*'Business Case'!C12*$B473))-'Business Case'!D15*$F473</f>
        <v>181781797.359449</v>
      </c>
      <c r="K473" s="39" t="n">
        <f aca="false">(('Business Case'!E11*$C473*'Business Case'!E12*$B473)-'Business Case'!E11*$C473*'Business Case'!E13*$D473-'Business Case'!E14*$E473)-MAX(0,(('Business Case'!E11*$C473*'Business Case'!E12*$B473)-'Business Case'!E11*$C473*'Business Case'!E13*$D473-'Business Case'!E14*$E473))*'Business Case'!$B$7-'Business Case'!$B$8*(('Business Case'!E11*$C473*'Business Case'!E12*$B473)-('Business Case'!D11*$C473*'Business Case'!D12*$B473))-'Business Case'!E15*$F473</f>
        <v>471189571.048914</v>
      </c>
      <c r="L473" s="39" t="n">
        <f aca="false">(('Business Case'!F11*$C473*'Business Case'!F12*$B473)-'Business Case'!F11*$C473*'Business Case'!F13*$D473-'Business Case'!F14*$E473)-MAX(0,(('Business Case'!F11*$C473*'Business Case'!F12*$B473)-'Business Case'!F11*$C473*'Business Case'!F13*$D473-'Business Case'!F14*$E473))*'Business Case'!$B$7-'Business Case'!$B$8*(('Business Case'!F11*$C473*'Business Case'!F12*$B473)-('Business Case'!E11*$C473*'Business Case'!E12*$B473))-'Business Case'!F15*$F473</f>
        <v>580942266.253266</v>
      </c>
      <c r="M473" s="39" t="n">
        <f aca="false">(('Business Case'!G11*$C473*'Business Case'!G12*$B473)-'Business Case'!G11*$C473*'Business Case'!G13*$D473-'Business Case'!G14*$E473)-MAX(0,(('Business Case'!G11*$C473*'Business Case'!G12*$B473)-'Business Case'!G11*$C473*'Business Case'!G13*$D473-'Business Case'!G14*$E473))*'Business Case'!$B$7-'Business Case'!$B$8*(('Business Case'!G11*$C473*'Business Case'!G12*$B473)-('Business Case'!F11*$C473*'Business Case'!F12*$B473))-'Business Case'!G15*$F473+'Business Case'!$B$8*('Business Case'!G11*$C473*'Business Case'!G12*$B473)</f>
        <v>751874961.411853</v>
      </c>
      <c r="N473" s="39" t="n">
        <f aca="false">IF(COUNT('Business Case'!B11:G11)=0,"",H473+NPV(G473,I473:M473))</f>
        <v>-768141362.12074</v>
      </c>
      <c r="P473" s="40" t="n">
        <f aca="true">RAND()</f>
        <v>0.334604461382142</v>
      </c>
      <c r="Q473" s="40" t="n">
        <f aca="true">RAND()</f>
        <v>0.379252812257787</v>
      </c>
      <c r="R473" s="40" t="n">
        <f aca="true">RAND()</f>
        <v>0.868587322151122</v>
      </c>
      <c r="S473" s="40" t="n">
        <f aca="true">RAND()</f>
        <v>0.156440908458408</v>
      </c>
      <c r="T473" s="40" t="n">
        <f aca="true">RAND()</f>
        <v>0.55695787440623</v>
      </c>
      <c r="U473" s="40" t="n">
        <f aca="true">RAND()</f>
        <v>0.100078950376873</v>
      </c>
    </row>
    <row r="474" customFormat="false" ht="15" hidden="false" customHeight="false" outlineLevel="0" collapsed="false">
      <c r="A474" s="36" t="n">
        <v>394</v>
      </c>
      <c r="B474" s="37" t="n">
        <f aca="false">1+IF($G$6=$E$6,$F$6,IF(P474&lt;($F$6-$E$6)/($G$6-$E$6),$E$6+SQRT(P474*($G$6-$E$6)*($F$6-$E$6)),$G$6-SQRT((1-P474)*($G$6-$E$6)*($G$6-$F$6))))</f>
        <v>0.998535766574214</v>
      </c>
      <c r="C474" s="37" t="n">
        <f aca="false">1+IF($G$7=$E$7,$F$7,IF(Q474&lt;($F$7-$E$7)/($G$7-$E$7),$E$7+SQRT(Q474*($G$7-$E$7)*($F$7-$E$7)),$G$7-SQRT((1-Q474)*($G$7-$E$7)*($G$7-$F$7))))</f>
        <v>0.980259149526095</v>
      </c>
      <c r="D474" s="37" t="n">
        <f aca="false">1+IF($G$8=$E$8,$F$8,IF(R474&lt;($F$8-$E$8)/($G$8-$E$8),$E$8+SQRT(R474*($G$8-$E$8)*($F$8-$E$8)),$G$8-SQRT((1-R474)*($G$8-$E$8)*($G$8-$F$8))))</f>
        <v>1.0436168630682</v>
      </c>
      <c r="E474" s="37" t="n">
        <f aca="false">1+IF($G$9=$E$9,$F$9,IF(S474&lt;($F$9-$E$9)/($G$9-$E$9),$E$9+SQRT(S474*($G$9-$E$9)*($F$9-$E$9)),$G$9-SQRT((1-S474)*($G$9-$E$9)*($G$9-$F$9))))</f>
        <v>0.959747627893836</v>
      </c>
      <c r="F474" s="37" t="n">
        <f aca="false">1+IF($G$10=$E$10,$F$10,IF(T474&lt;($F$10-$E$10)/($G$10-$E$10),$E$10+SQRT(T474*($G$10-$E$10)*($F$10-$E$10)),$G$10-SQRT((1-T474)*($G$10-$E$10)*($G$10-$F$10))))</f>
        <v>1.10163138707913</v>
      </c>
      <c r="G474" s="38" t="n">
        <f aca="false">IF($G$11=$E$11,$F$11,IF(U474&lt;($F$11-$E$11)/($G$11-$E$11),$E$11+SQRT(U474*($G$11-$E$11)*($F$11-$E$11)),$G$11-SQRT((1-U474)*($G$11-$E$11)*($G$11-$F$11))))</f>
        <v>0.103916034670508</v>
      </c>
      <c r="H474" s="39" t="n">
        <f aca="false">(('Business Case'!B11*$C474*'Business Case'!B12*$B474)-'Business Case'!B11*$C474*'Business Case'!B13*$D474-'Business Case'!B14*$E474)-MAX(0,(('Business Case'!B11*$C474*'Business Case'!B12*$B474)-'Business Case'!B11*$C474*'Business Case'!B13*$D474-'Business Case'!B14*$E474))*'Business Case'!$B$7-'Business Case'!$B$8*('Business Case'!B11*$C474*'Business Case'!B12*$B474)-'Business Case'!B15*$F474</f>
        <v>-2203262774.15825</v>
      </c>
      <c r="I474" s="39" t="n">
        <f aca="false">(('Business Case'!C11*$C474*'Business Case'!C12*$B474)-'Business Case'!C11*$C474*'Business Case'!C13*$D474-'Business Case'!C14*$E474)-MAX(0,(('Business Case'!C11*$C474*'Business Case'!C12*$B474)-'Business Case'!C11*$C474*'Business Case'!C13*$D474-'Business Case'!C14*$E474))*'Business Case'!$B$7-'Business Case'!$B$8*(('Business Case'!C11*$C474*'Business Case'!C12*$B474)-('Business Case'!B11*$C474*'Business Case'!B12*$B474))-'Business Case'!C15*$F474</f>
        <v>-19356121.1768149</v>
      </c>
      <c r="J474" s="39" t="n">
        <f aca="false">(('Business Case'!D11*$C474*'Business Case'!D12*$B474)-'Business Case'!D11*$C474*'Business Case'!D13*$D474-'Business Case'!D14*$E474)-MAX(0,(('Business Case'!D11*$C474*'Business Case'!D12*$B474)-'Business Case'!D11*$C474*'Business Case'!D13*$D474-'Business Case'!D14*$E474))*'Business Case'!$B$7-'Business Case'!$B$8*(('Business Case'!D11*$C474*'Business Case'!D12*$B474)-('Business Case'!C11*$C474*'Business Case'!C12*$B474))-'Business Case'!D15*$F474</f>
        <v>258669235.937674</v>
      </c>
      <c r="K474" s="39" t="n">
        <f aca="false">(('Business Case'!E11*$C474*'Business Case'!E12*$B474)-'Business Case'!E11*$C474*'Business Case'!E13*$D474-'Business Case'!E14*$E474)-MAX(0,(('Business Case'!E11*$C474*'Business Case'!E12*$B474)-'Business Case'!E11*$C474*'Business Case'!E13*$D474-'Business Case'!E14*$E474))*'Business Case'!$B$7-'Business Case'!$B$8*(('Business Case'!E11*$C474*'Business Case'!E12*$B474)-('Business Case'!D11*$C474*'Business Case'!D12*$B474))-'Business Case'!E15*$F474</f>
        <v>591776162.40612</v>
      </c>
      <c r="L474" s="39" t="n">
        <f aca="false">(('Business Case'!F11*$C474*'Business Case'!F12*$B474)-'Business Case'!F11*$C474*'Business Case'!F13*$D474-'Business Case'!F14*$E474)-MAX(0,(('Business Case'!F11*$C474*'Business Case'!F12*$B474)-'Business Case'!F11*$C474*'Business Case'!F13*$D474-'Business Case'!F14*$E474))*'Business Case'!$B$7-'Business Case'!$B$8*(('Business Case'!F11*$C474*'Business Case'!F12*$B474)-('Business Case'!E11*$C474*'Business Case'!E12*$B474))-'Business Case'!F15*$F474</f>
        <v>718279432.708875</v>
      </c>
      <c r="M474" s="39" t="n">
        <f aca="false">(('Business Case'!G11*$C474*'Business Case'!G12*$B474)-'Business Case'!G11*$C474*'Business Case'!G13*$D474-'Business Case'!G14*$E474)-MAX(0,(('Business Case'!G11*$C474*'Business Case'!G12*$B474)-'Business Case'!G11*$C474*'Business Case'!G13*$D474-'Business Case'!G14*$E474))*'Business Case'!$B$7-'Business Case'!$B$8*(('Business Case'!G11*$C474*'Business Case'!G12*$B474)-('Business Case'!F11*$C474*'Business Case'!F12*$B474))-'Business Case'!G15*$F474+'Business Case'!$B$8*('Business Case'!G11*$C474*'Business Case'!G12*$B474)</f>
        <v>904334264.664131</v>
      </c>
      <c r="N474" s="39" t="n">
        <f aca="false">IF(COUNT('Business Case'!B11:G11)=0,"",H474+NPV(G474,I474:M474))</f>
        <v>-533338016.675503</v>
      </c>
      <c r="P474" s="40" t="n">
        <f aca="true">RAND()</f>
        <v>0.647286486291192</v>
      </c>
      <c r="Q474" s="40" t="n">
        <f aca="true">RAND()</f>
        <v>0.581816228837704</v>
      </c>
      <c r="R474" s="40" t="n">
        <f aca="true">RAND()</f>
        <v>0.788062791315334</v>
      </c>
      <c r="S474" s="40" t="n">
        <f aca="true">RAND()</f>
        <v>0.142791161557613</v>
      </c>
      <c r="T474" s="40" t="n">
        <f aca="true">RAND()</f>
        <v>0.706490062665814</v>
      </c>
      <c r="U474" s="40" t="n">
        <f aca="true">RAND()</f>
        <v>0.546417835126581</v>
      </c>
    </row>
    <row r="475" customFormat="false" ht="15" hidden="false" customHeight="false" outlineLevel="0" collapsed="false">
      <c r="A475" s="36" t="n">
        <v>395</v>
      </c>
      <c r="B475" s="37" t="n">
        <f aca="false">1+IF($G$6=$E$6,$F$6,IF(P475&lt;($F$6-$E$6)/($G$6-$E$6),$E$6+SQRT(P475*($G$6-$E$6)*($F$6-$E$6)),$G$6-SQRT((1-P475)*($G$6-$E$6)*($G$6-$F$6))))</f>
        <v>0.963278700719894</v>
      </c>
      <c r="C475" s="37" t="n">
        <f aca="false">1+IF($G$7=$E$7,$F$7,IF(Q475&lt;($F$7-$E$7)/($G$7-$E$7),$E$7+SQRT(Q475*($G$7-$E$7)*($F$7-$E$7)),$G$7-SQRT((1-Q475)*($G$7-$E$7)*($G$7-$F$7))))</f>
        <v>1.03154765318963</v>
      </c>
      <c r="D475" s="37" t="n">
        <f aca="false">1+IF($G$8=$E$8,$F$8,IF(R475&lt;($F$8-$E$8)/($G$8-$E$8),$E$8+SQRT(R475*($G$8-$E$8)*($F$8-$E$8)),$G$8-SQRT((1-R475)*($G$8-$E$8)*($G$8-$F$8))))</f>
        <v>1.07028555924559</v>
      </c>
      <c r="E475" s="37" t="n">
        <f aca="false">1+IF($G$9=$E$9,$F$9,IF(S475&lt;($F$9-$E$9)/($G$9-$E$9),$E$9+SQRT(S475*($G$9-$E$9)*($F$9-$E$9)),$G$9-SQRT((1-S475)*($G$9-$E$9)*($G$9-$F$9))))</f>
        <v>0.956437721442029</v>
      </c>
      <c r="F475" s="37" t="n">
        <f aca="false">1+IF($G$10=$E$10,$F$10,IF(T475&lt;($F$10-$E$10)/($G$10-$E$10),$E$10+SQRT(T475*($G$10-$E$10)*($F$10-$E$10)),$G$10-SQRT((1-T475)*($G$10-$E$10)*($G$10-$F$10))))</f>
        <v>1.0082226398562</v>
      </c>
      <c r="G475" s="38" t="n">
        <f aca="false">IF($G$11=$E$11,$F$11,IF(U475&lt;($F$11-$E$11)/($G$11-$E$11),$E$11+SQRT(U475*($G$11-$E$11)*($F$11-$E$11)),$G$11-SQRT((1-U475)*($G$11-$E$11)*($G$11-$F$11))))</f>
        <v>0.103542774441468</v>
      </c>
      <c r="H475" s="39" t="n">
        <f aca="false">(('Business Case'!B11*$C475*'Business Case'!B12*$B475)-'Business Case'!B11*$C475*'Business Case'!B13*$D475-'Business Case'!B14*$E475)-MAX(0,(('Business Case'!B11*$C475*'Business Case'!B12*$B475)-'Business Case'!B11*$C475*'Business Case'!B13*$D475-'Business Case'!B14*$E475))*'Business Case'!$B$7-'Business Case'!$B$8*('Business Case'!B11*$C475*'Business Case'!B12*$B475)-'Business Case'!B15*$F475</f>
        <v>-2016445279.7124</v>
      </c>
      <c r="I475" s="39" t="n">
        <f aca="false">(('Business Case'!C11*$C475*'Business Case'!C12*$B475)-'Business Case'!C11*$C475*'Business Case'!C13*$D475-'Business Case'!C14*$E475)-MAX(0,(('Business Case'!C11*$C475*'Business Case'!C12*$B475)-'Business Case'!C11*$C475*'Business Case'!C13*$D475-'Business Case'!C14*$E475))*'Business Case'!$B$7-'Business Case'!$B$8*(('Business Case'!C11*$C475*'Business Case'!C12*$B475)-('Business Case'!B11*$C475*'Business Case'!B12*$B475))-'Business Case'!C15*$F475</f>
        <v>-39639471.7711169</v>
      </c>
      <c r="J475" s="39" t="n">
        <f aca="false">(('Business Case'!D11*$C475*'Business Case'!D12*$B475)-'Business Case'!D11*$C475*'Business Case'!D13*$D475-'Business Case'!D14*$E475)-MAX(0,(('Business Case'!D11*$C475*'Business Case'!D12*$B475)-'Business Case'!D11*$C475*'Business Case'!D13*$D475-'Business Case'!D14*$E475))*'Business Case'!$B$7-'Business Case'!$B$8*(('Business Case'!D11*$C475*'Business Case'!D12*$B475)-('Business Case'!C11*$C475*'Business Case'!C12*$B475))-'Business Case'!D15*$F475</f>
        <v>209060507.492096</v>
      </c>
      <c r="K475" s="39" t="n">
        <f aca="false">(('Business Case'!E11*$C475*'Business Case'!E12*$B475)-'Business Case'!E11*$C475*'Business Case'!E13*$D475-'Business Case'!E14*$E475)-MAX(0,(('Business Case'!E11*$C475*'Business Case'!E12*$B475)-'Business Case'!E11*$C475*'Business Case'!E13*$D475-'Business Case'!E14*$E475))*'Business Case'!$B$7-'Business Case'!$B$8*(('Business Case'!E11*$C475*'Business Case'!E12*$B475)-('Business Case'!D11*$C475*'Business Case'!D12*$B475))-'Business Case'!E15*$F475</f>
        <v>508171618.748119</v>
      </c>
      <c r="L475" s="39" t="n">
        <f aca="false">(('Business Case'!F11*$C475*'Business Case'!F12*$B475)-'Business Case'!F11*$C475*'Business Case'!F13*$D475-'Business Case'!F14*$E475)-MAX(0,(('Business Case'!F11*$C475*'Business Case'!F12*$B475)-'Business Case'!F11*$C475*'Business Case'!F13*$D475-'Business Case'!F14*$E475))*'Business Case'!$B$7-'Business Case'!$B$8*(('Business Case'!F11*$C475*'Business Case'!F12*$B475)-('Business Case'!E11*$C475*'Business Case'!E12*$B475))-'Business Case'!F15*$F475</f>
        <v>625412773.875625</v>
      </c>
      <c r="M475" s="39" t="n">
        <f aca="false">(('Business Case'!G11*$C475*'Business Case'!G12*$B475)-'Business Case'!G11*$C475*'Business Case'!G13*$D475-'Business Case'!G14*$E475)-MAX(0,(('Business Case'!G11*$C475*'Business Case'!G12*$B475)-'Business Case'!G11*$C475*'Business Case'!G13*$D475-'Business Case'!G14*$E475))*'Business Case'!$B$7-'Business Case'!$B$8*(('Business Case'!G11*$C475*'Business Case'!G12*$B475)-('Business Case'!F11*$C475*'Business Case'!F12*$B475))-'Business Case'!G15*$F475+'Business Case'!$B$8*('Business Case'!G11*$C475*'Business Case'!G12*$B475)</f>
        <v>814289165.094354</v>
      </c>
      <c r="N475" s="39" t="n">
        <f aca="false">IF(COUNT('Business Case'!B11:G11)=0,"",H475+NPV(G475,I475:M475))</f>
        <v>-583312473.340493</v>
      </c>
      <c r="P475" s="40" t="n">
        <f aca="true">RAND()</f>
        <v>0.266946264319864</v>
      </c>
      <c r="Q475" s="40" t="n">
        <f aca="true">RAND()</f>
        <v>0.792133948668394</v>
      </c>
      <c r="R475" s="40" t="n">
        <f aca="true">RAND()</f>
        <v>0.941136800710174</v>
      </c>
      <c r="S475" s="40" t="n">
        <f aca="true">RAND()</f>
        <v>0.127408656062723</v>
      </c>
      <c r="T475" s="40" t="n">
        <f aca="true">RAND()</f>
        <v>0.220582774958608</v>
      </c>
      <c r="U475" s="40" t="n">
        <f aca="true">RAND()</f>
        <v>0.533343477163296</v>
      </c>
    </row>
    <row r="476" customFormat="false" ht="15" hidden="false" customHeight="false" outlineLevel="0" collapsed="false">
      <c r="A476" s="36" t="n">
        <v>396</v>
      </c>
      <c r="B476" s="37" t="n">
        <f aca="false">1+IF($G$6=$E$6,$F$6,IF(P476&lt;($F$6-$E$6)/($G$6-$E$6),$E$6+SQRT(P476*($G$6-$E$6)*($F$6-$E$6)),$G$6-SQRT((1-P476)*($G$6-$E$6)*($G$6-$F$6))))</f>
        <v>0.927237831048613</v>
      </c>
      <c r="C476" s="37" t="n">
        <f aca="false">1+IF($G$7=$E$7,$F$7,IF(Q476&lt;($F$7-$E$7)/($G$7-$E$7),$E$7+SQRT(Q476*($G$7-$E$7)*($F$7-$E$7)),$G$7-SQRT((1-Q476)*($G$7-$E$7)*($G$7-$F$7))))</f>
        <v>0.840733198641655</v>
      </c>
      <c r="D476" s="37" t="n">
        <f aca="false">1+IF($G$8=$E$8,$F$8,IF(R476&lt;($F$8-$E$8)/($G$8-$E$8),$E$8+SQRT(R476*($G$8-$E$8)*($F$8-$E$8)),$G$8-SQRT((1-R476)*($G$8-$E$8)*($G$8-$F$8))))</f>
        <v>0.996215179204475</v>
      </c>
      <c r="E476" s="37" t="n">
        <f aca="false">1+IF($G$9=$E$9,$F$9,IF(S476&lt;($F$9-$E$9)/($G$9-$E$9),$E$9+SQRT(S476*($G$9-$E$9)*($F$9-$E$9)),$G$9-SQRT((1-S476)*($G$9-$E$9)*($G$9-$F$9))))</f>
        <v>1.01169834578353</v>
      </c>
      <c r="F476" s="37" t="n">
        <f aca="false">1+IF($G$10=$E$10,$F$10,IF(T476&lt;($F$10-$E$10)/($G$10-$E$10),$E$10+SQRT(T476*($G$10-$E$10)*($F$10-$E$10)),$G$10-SQRT((1-T476)*($G$10-$E$10)*($G$10-$F$10))))</f>
        <v>1.21919306816908</v>
      </c>
      <c r="G476" s="38" t="n">
        <f aca="false">IF($G$11=$E$11,$F$11,IF(U476&lt;($F$11-$E$11)/($G$11-$E$11),$E$11+SQRT(U476*($G$11-$E$11)*($F$11-$E$11)),$G$11-SQRT((1-U476)*($G$11-$E$11)*($G$11-$F$11))))</f>
        <v>0.102677910480955</v>
      </c>
      <c r="H476" s="39" t="n">
        <f aca="false">(('Business Case'!B11*$C476*'Business Case'!B12*$B476)-'Business Case'!B11*$C476*'Business Case'!B13*$D476-'Business Case'!B14*$E476)-MAX(0,(('Business Case'!B11*$C476*'Business Case'!B12*$B476)-'Business Case'!B11*$C476*'Business Case'!B13*$D476-'Business Case'!B14*$E476))*'Business Case'!$B$7-'Business Case'!$B$8*('Business Case'!B11*$C476*'Business Case'!B12*$B476)-'Business Case'!B15*$F476</f>
        <v>-2438386136.33815</v>
      </c>
      <c r="I476" s="39" t="n">
        <f aca="false">(('Business Case'!C11*$C476*'Business Case'!C12*$B476)-'Business Case'!C11*$C476*'Business Case'!C13*$D476-'Business Case'!C14*$E476)-MAX(0,(('Business Case'!C11*$C476*'Business Case'!C12*$B476)-'Business Case'!C11*$C476*'Business Case'!C13*$D476-'Business Case'!C14*$E476))*'Business Case'!$B$7-'Business Case'!$B$8*(('Business Case'!C11*$C476*'Business Case'!C12*$B476)-('Business Case'!B11*$C476*'Business Case'!B12*$B476))-'Business Case'!C15*$F476</f>
        <v>-96438916.4550683</v>
      </c>
      <c r="J476" s="39" t="n">
        <f aca="false">(('Business Case'!D11*$C476*'Business Case'!D12*$B476)-'Business Case'!D11*$C476*'Business Case'!D13*$D476-'Business Case'!D14*$E476)-MAX(0,(('Business Case'!D11*$C476*'Business Case'!D12*$B476)-'Business Case'!D11*$C476*'Business Case'!D13*$D476-'Business Case'!D14*$E476))*'Business Case'!$B$7-'Business Case'!$B$8*(('Business Case'!D11*$C476*'Business Case'!D12*$B476)-('Business Case'!C11*$C476*'Business Case'!C12*$B476))-'Business Case'!D15*$F476</f>
        <v>113317349.771924</v>
      </c>
      <c r="K476" s="39" t="n">
        <f aca="false">(('Business Case'!E11*$C476*'Business Case'!E12*$B476)-'Business Case'!E11*$C476*'Business Case'!E13*$D476-'Business Case'!E14*$E476)-MAX(0,(('Business Case'!E11*$C476*'Business Case'!E12*$B476)-'Business Case'!E11*$C476*'Business Case'!E13*$D476-'Business Case'!E14*$E476))*'Business Case'!$B$7-'Business Case'!$B$8*(('Business Case'!E11*$C476*'Business Case'!E12*$B476)-('Business Case'!D11*$C476*'Business Case'!D12*$B476))-'Business Case'!E15*$F476</f>
        <v>384033269.40737</v>
      </c>
      <c r="L476" s="39" t="n">
        <f aca="false">(('Business Case'!F11*$C476*'Business Case'!F12*$B476)-'Business Case'!F11*$C476*'Business Case'!F13*$D476-'Business Case'!F14*$E476)-MAX(0,(('Business Case'!F11*$C476*'Business Case'!F12*$B476)-'Business Case'!F11*$C476*'Business Case'!F13*$D476-'Business Case'!F14*$E476))*'Business Case'!$B$7-'Business Case'!$B$8*(('Business Case'!F11*$C476*'Business Case'!F12*$B476)-('Business Case'!E11*$C476*'Business Case'!E12*$B476))-'Business Case'!F15*$F476</f>
        <v>480893605.546191</v>
      </c>
      <c r="M476" s="39" t="n">
        <f aca="false">(('Business Case'!G11*$C476*'Business Case'!G12*$B476)-'Business Case'!G11*$C476*'Business Case'!G13*$D476-'Business Case'!G14*$E476)-MAX(0,(('Business Case'!G11*$C476*'Business Case'!G12*$B476)-'Business Case'!G11*$C476*'Business Case'!G13*$D476-'Business Case'!G14*$E476))*'Business Case'!$B$7-'Business Case'!$B$8*(('Business Case'!G11*$C476*'Business Case'!G12*$B476)-('Business Case'!F11*$C476*'Business Case'!F12*$B476))-'Business Case'!G15*$F476+'Business Case'!$B$8*('Business Case'!G11*$C476*'Business Case'!G12*$B476)</f>
        <v>629072299.560219</v>
      </c>
      <c r="N476" s="39" t="n">
        <f aca="false">IF(COUNT('Business Case'!B11:G11)=0,"",H476+NPV(G476,I476:M476))</f>
        <v>-1435053647.95413</v>
      </c>
      <c r="P476" s="40" t="n">
        <f aca="true">RAND()</f>
        <v>0.0494599626821858</v>
      </c>
      <c r="Q476" s="40" t="n">
        <f aca="true">RAND()</f>
        <v>0.1467098755549</v>
      </c>
      <c r="R476" s="40" t="n">
        <f aca="true">RAND()</f>
        <v>0.284779038520231</v>
      </c>
      <c r="S476" s="40" t="n">
        <f aca="true">RAND()</f>
        <v>0.489937398426363</v>
      </c>
      <c r="T476" s="40" t="n">
        <f aca="true">RAND()</f>
        <v>0.987345772682197</v>
      </c>
      <c r="U476" s="40" t="n">
        <f aca="true">RAND()</f>
        <v>0.502335616208869</v>
      </c>
    </row>
    <row r="477" customFormat="false" ht="15" hidden="false" customHeight="false" outlineLevel="0" collapsed="false">
      <c r="A477" s="36" t="n">
        <v>397</v>
      </c>
      <c r="B477" s="37" t="n">
        <f aca="false">1+IF($G$6=$E$6,$F$6,IF(P477&lt;($F$6-$E$6)/($G$6-$E$6),$E$6+SQRT(P477*($G$6-$E$6)*($F$6-$E$6)),$G$6-SQRT((1-P477)*($G$6-$E$6)*($G$6-$F$6))))</f>
        <v>0.942502663869537</v>
      </c>
      <c r="C477" s="37" t="n">
        <f aca="false">1+IF($G$7=$E$7,$F$7,IF(Q477&lt;($F$7-$E$7)/($G$7-$E$7),$E$7+SQRT(Q477*($G$7-$E$7)*($F$7-$E$7)),$G$7-SQRT((1-Q477)*($G$7-$E$7)*($G$7-$F$7))))</f>
        <v>0.931332875138189</v>
      </c>
      <c r="D477" s="37" t="n">
        <f aca="false">1+IF($G$8=$E$8,$F$8,IF(R477&lt;($F$8-$E$8)/($G$8-$E$8),$E$8+SQRT(R477*($G$8-$E$8)*($F$8-$E$8)),$G$8-SQRT((1-R477)*($G$8-$E$8)*($G$8-$F$8))))</f>
        <v>0.996533834253417</v>
      </c>
      <c r="E477" s="37" t="n">
        <f aca="false">1+IF($G$9=$E$9,$F$9,IF(S477&lt;($F$9-$E$9)/($G$9-$E$9),$E$9+SQRT(S477*($G$9-$E$9)*($F$9-$E$9)),$G$9-SQRT((1-S477)*($G$9-$E$9)*($G$9-$F$9))))</f>
        <v>1.09347198175305</v>
      </c>
      <c r="F477" s="37" t="n">
        <f aca="false">1+IF($G$10=$E$10,$F$10,IF(T477&lt;($F$10-$E$10)/($G$10-$E$10),$E$10+SQRT(T477*($G$10-$E$10)*($F$10-$E$10)),$G$10-SQRT((1-T477)*($G$10-$E$10)*($G$10-$F$10))))</f>
        <v>1.00055295344009</v>
      </c>
      <c r="G477" s="38" t="n">
        <f aca="false">IF($G$11=$E$11,$F$11,IF(U477&lt;($F$11-$E$11)/($G$11-$E$11),$E$11+SQRT(U477*($G$11-$E$11)*($F$11-$E$11)),$G$11-SQRT((1-U477)*($G$11-$E$11)*($G$11-$F$11))))</f>
        <v>0.123168546421609</v>
      </c>
      <c r="H477" s="39" t="n">
        <f aca="false">(('Business Case'!B11*$C477*'Business Case'!B12*$B477)-'Business Case'!B11*$C477*'Business Case'!B13*$D477-'Business Case'!B14*$E477)-MAX(0,(('Business Case'!B11*$C477*'Business Case'!B12*$B477)-'Business Case'!B11*$C477*'Business Case'!B13*$D477-'Business Case'!B14*$E477))*'Business Case'!$B$7-'Business Case'!$B$8*('Business Case'!B11*$C477*'Business Case'!B12*$B477)-'Business Case'!B15*$F477</f>
        <v>-2001105906.88018</v>
      </c>
      <c r="I477" s="39" t="n">
        <f aca="false">(('Business Case'!C11*$C477*'Business Case'!C12*$B477)-'Business Case'!C11*$C477*'Business Case'!C13*$D477-'Business Case'!C14*$E477)-MAX(0,(('Business Case'!C11*$C477*'Business Case'!C12*$B477)-'Business Case'!C11*$C477*'Business Case'!C13*$D477-'Business Case'!C14*$E477))*'Business Case'!$B$7-'Business Case'!$B$8*(('Business Case'!C11*$C477*'Business Case'!C12*$B477)-('Business Case'!B11*$C477*'Business Case'!B12*$B477))-'Business Case'!C15*$F477</f>
        <v>-57198624.1224413</v>
      </c>
      <c r="J477" s="39" t="n">
        <f aca="false">(('Business Case'!D11*$C477*'Business Case'!D12*$B477)-'Business Case'!D11*$C477*'Business Case'!D13*$D477-'Business Case'!D14*$E477)-MAX(0,(('Business Case'!D11*$C477*'Business Case'!D12*$B477)-'Business Case'!D11*$C477*'Business Case'!D13*$D477-'Business Case'!D14*$E477))*'Business Case'!$B$7-'Business Case'!$B$8*(('Business Case'!D11*$C477*'Business Case'!D12*$B477)-('Business Case'!C11*$C477*'Business Case'!C12*$B477))-'Business Case'!D15*$F477</f>
        <v>186654070.729772</v>
      </c>
      <c r="K477" s="39" t="n">
        <f aca="false">(('Business Case'!E11*$C477*'Business Case'!E12*$B477)-'Business Case'!E11*$C477*'Business Case'!E13*$D477-'Business Case'!E14*$E477)-MAX(0,(('Business Case'!E11*$C477*'Business Case'!E12*$B477)-'Business Case'!E11*$C477*'Business Case'!E13*$D477-'Business Case'!E14*$E477))*'Business Case'!$B$7-'Business Case'!$B$8*(('Business Case'!E11*$C477*'Business Case'!E12*$B477)-('Business Case'!D11*$C477*'Business Case'!D12*$B477))-'Business Case'!E15*$F477</f>
        <v>480534413.25399</v>
      </c>
      <c r="L477" s="39" t="n">
        <f aca="false">(('Business Case'!F11*$C477*'Business Case'!F12*$B477)-'Business Case'!F11*$C477*'Business Case'!F13*$D477-'Business Case'!F14*$E477)-MAX(0,(('Business Case'!F11*$C477*'Business Case'!F12*$B477)-'Business Case'!F11*$C477*'Business Case'!F13*$D477-'Business Case'!F14*$E477))*'Business Case'!$B$7-'Business Case'!$B$8*(('Business Case'!F11*$C477*'Business Case'!F12*$B477)-('Business Case'!E11*$C477*'Business Case'!E12*$B477))-'Business Case'!F15*$F477</f>
        <v>592154850.088303</v>
      </c>
      <c r="M477" s="39" t="n">
        <f aca="false">(('Business Case'!G11*$C477*'Business Case'!G12*$B477)-'Business Case'!G11*$C477*'Business Case'!G13*$D477-'Business Case'!G14*$E477)-MAX(0,(('Business Case'!G11*$C477*'Business Case'!G12*$B477)-'Business Case'!G11*$C477*'Business Case'!G13*$D477-'Business Case'!G14*$E477))*'Business Case'!$B$7-'Business Case'!$B$8*(('Business Case'!G11*$C477*'Business Case'!G12*$B477)-('Business Case'!F11*$C477*'Business Case'!F12*$B477))-'Business Case'!G15*$F477+'Business Case'!$B$8*('Business Case'!G11*$C477*'Business Case'!G12*$B477)</f>
        <v>759003978.781298</v>
      </c>
      <c r="N477" s="39" t="n">
        <f aca="false">IF(COUNT('Business Case'!B11:G11)=0,"",H477+NPV(G477,I477:M477))</f>
        <v>-768187577.849899</v>
      </c>
      <c r="P477" s="40" t="n">
        <f aca="true">RAND()</f>
        <v>0.120431762400457</v>
      </c>
      <c r="Q477" s="40" t="n">
        <f aca="true">RAND()</f>
        <v>0.396406660145933</v>
      </c>
      <c r="R477" s="40" t="n">
        <f aca="true">RAND()</f>
        <v>0.288719697376597</v>
      </c>
      <c r="S477" s="40" t="n">
        <f aca="true">RAND()</f>
        <v>0.914788884081931</v>
      </c>
      <c r="T477" s="40" t="n">
        <f aca="true">RAND()</f>
        <v>0.170348946167173</v>
      </c>
      <c r="U477" s="40" t="n">
        <f aca="true">RAND()</f>
        <v>0.968887494670855</v>
      </c>
    </row>
    <row r="478" customFormat="false" ht="15" hidden="false" customHeight="false" outlineLevel="0" collapsed="false">
      <c r="A478" s="36" t="n">
        <v>398</v>
      </c>
      <c r="B478" s="37" t="n">
        <f aca="false">1+IF($G$6=$E$6,$F$6,IF(P478&lt;($F$6-$E$6)/($G$6-$E$6),$E$6+SQRT(P478*($G$6-$E$6)*($F$6-$E$6)),$G$6-SQRT((1-P478)*($G$6-$E$6)*($G$6-$F$6))))</f>
        <v>0.934259662854548</v>
      </c>
      <c r="C478" s="37" t="n">
        <f aca="false">1+IF($G$7=$E$7,$F$7,IF(Q478&lt;($F$7-$E$7)/($G$7-$E$7),$E$7+SQRT(Q478*($G$7-$E$7)*($F$7-$E$7)),$G$7-SQRT((1-Q478)*($G$7-$E$7)*($G$7-$F$7))))</f>
        <v>0.93032004346251</v>
      </c>
      <c r="D478" s="37" t="n">
        <f aca="false">1+IF($G$8=$E$8,$F$8,IF(R478&lt;($F$8-$E$8)/($G$8-$E$8),$E$8+SQRT(R478*($G$8-$E$8)*($F$8-$E$8)),$G$8-SQRT((1-R478)*($G$8-$E$8)*($G$8-$F$8))))</f>
        <v>0.989980238694173</v>
      </c>
      <c r="E478" s="37" t="n">
        <f aca="false">1+IF($G$9=$E$9,$F$9,IF(S478&lt;($F$9-$E$9)/($G$9-$E$9),$E$9+SQRT(S478*($G$9-$E$9)*($F$9-$E$9)),$G$9-SQRT((1-S478)*($G$9-$E$9)*($G$9-$F$9))))</f>
        <v>1.10078541765055</v>
      </c>
      <c r="F478" s="37" t="n">
        <f aca="false">1+IF($G$10=$E$10,$F$10,IF(T478&lt;($F$10-$E$10)/($G$10-$E$10),$E$10+SQRT(T478*($G$10-$E$10)*($F$10-$E$10)),$G$10-SQRT((1-T478)*($G$10-$E$10)*($G$10-$F$10))))</f>
        <v>1.07849880501895</v>
      </c>
      <c r="G478" s="38" t="n">
        <f aca="false">IF($G$11=$E$11,$F$11,IF(U478&lt;($F$11-$E$11)/($G$11-$E$11),$E$11+SQRT(U478*($G$11-$E$11)*($F$11-$E$11)),$G$11-SQRT((1-U478)*($G$11-$E$11)*($G$11-$F$11))))</f>
        <v>0.101191933934179</v>
      </c>
      <c r="H478" s="39" t="n">
        <f aca="false">(('Business Case'!B11*$C478*'Business Case'!B12*$B478)-'Business Case'!B11*$C478*'Business Case'!B13*$D478-'Business Case'!B14*$E478)-MAX(0,(('Business Case'!B11*$C478*'Business Case'!B12*$B478)-'Business Case'!B11*$C478*'Business Case'!B13*$D478-'Business Case'!B14*$E478))*'Business Case'!$B$7-'Business Case'!$B$8*('Business Case'!B11*$C478*'Business Case'!B12*$B478)-'Business Case'!B15*$F478</f>
        <v>-2156997610.03789</v>
      </c>
      <c r="I478" s="39" t="n">
        <f aca="false">(('Business Case'!C11*$C478*'Business Case'!C12*$B478)-'Business Case'!C11*$C478*'Business Case'!C13*$D478-'Business Case'!C14*$E478)-MAX(0,(('Business Case'!C11*$C478*'Business Case'!C12*$B478)-'Business Case'!C11*$C478*'Business Case'!C13*$D478-'Business Case'!C14*$E478))*'Business Case'!$B$7-'Business Case'!$B$8*(('Business Case'!C11*$C478*'Business Case'!C12*$B478)-('Business Case'!B11*$C478*'Business Case'!B12*$B478))-'Business Case'!C15*$F478</f>
        <v>-69011356.683484</v>
      </c>
      <c r="J478" s="39" t="n">
        <f aca="false">(('Business Case'!D11*$C478*'Business Case'!D12*$B478)-'Business Case'!D11*$C478*'Business Case'!D13*$D478-'Business Case'!D14*$E478)-MAX(0,(('Business Case'!D11*$C478*'Business Case'!D12*$B478)-'Business Case'!D11*$C478*'Business Case'!D13*$D478-'Business Case'!D14*$E478))*'Business Case'!$B$7-'Business Case'!$B$8*(('Business Case'!D11*$C478*'Business Case'!D12*$B478)-('Business Case'!C11*$C478*'Business Case'!C12*$B478))-'Business Case'!D15*$F478</f>
        <v>171416133.33432</v>
      </c>
      <c r="K478" s="39" t="n">
        <f aca="false">(('Business Case'!E11*$C478*'Business Case'!E12*$B478)-'Business Case'!E11*$C478*'Business Case'!E13*$D478-'Business Case'!E14*$E478)-MAX(0,(('Business Case'!E11*$C478*'Business Case'!E12*$B478)-'Business Case'!E11*$C478*'Business Case'!E13*$D478-'Business Case'!E14*$E478))*'Business Case'!$B$7-'Business Case'!$B$8*(('Business Case'!E11*$C478*'Business Case'!E12*$B478)-('Business Case'!D11*$C478*'Business Case'!D12*$B478))-'Business Case'!E15*$F478</f>
        <v>465768563.603071</v>
      </c>
      <c r="L478" s="39" t="n">
        <f aca="false">(('Business Case'!F11*$C478*'Business Case'!F12*$B478)-'Business Case'!F11*$C478*'Business Case'!F13*$D478-'Business Case'!F14*$E478)-MAX(0,(('Business Case'!F11*$C478*'Business Case'!F12*$B478)-'Business Case'!F11*$C478*'Business Case'!F13*$D478-'Business Case'!F14*$E478))*'Business Case'!$B$7-'Business Case'!$B$8*(('Business Case'!F11*$C478*'Business Case'!F12*$B478)-('Business Case'!E11*$C478*'Business Case'!E12*$B478))-'Business Case'!F15*$F478</f>
        <v>575949246.81533</v>
      </c>
      <c r="M478" s="39" t="n">
        <f aca="false">(('Business Case'!G11*$C478*'Business Case'!G12*$B478)-'Business Case'!G11*$C478*'Business Case'!G13*$D478-'Business Case'!G14*$E478)-MAX(0,(('Business Case'!G11*$C478*'Business Case'!G12*$B478)-'Business Case'!G11*$C478*'Business Case'!G13*$D478-'Business Case'!G14*$E478))*'Business Case'!$B$7-'Business Case'!$B$8*(('Business Case'!G11*$C478*'Business Case'!G12*$B478)-('Business Case'!F11*$C478*'Business Case'!F12*$B478))-'Business Case'!G15*$F478+'Business Case'!$B$8*('Business Case'!G11*$C478*'Business Case'!G12*$B478)</f>
        <v>741159272.783443</v>
      </c>
      <c r="N478" s="39" t="n">
        <f aca="false">IF(COUNT('Business Case'!B11:G11)=0,"",H478+NPV(G478,I478:M478))</f>
        <v>-880106844.042151</v>
      </c>
      <c r="P478" s="40" t="n">
        <f aca="true">RAND()</f>
        <v>0.0782482999271527</v>
      </c>
      <c r="Q478" s="40" t="n">
        <f aca="true">RAND()</f>
        <v>0.392943129041278</v>
      </c>
      <c r="R478" s="40" t="n">
        <f aca="true">RAND()</f>
        <v>0.213122598139077</v>
      </c>
      <c r="S478" s="40" t="n">
        <f aca="true">RAND()</f>
        <v>0.935411330244506</v>
      </c>
      <c r="T478" s="40" t="n">
        <f aca="true">RAND()</f>
        <v>0.607831201600939</v>
      </c>
      <c r="U478" s="40" t="n">
        <f aca="true">RAND()</f>
        <v>0.446730219698193</v>
      </c>
    </row>
    <row r="479" customFormat="false" ht="15" hidden="false" customHeight="false" outlineLevel="0" collapsed="false">
      <c r="A479" s="36" t="n">
        <v>399</v>
      </c>
      <c r="B479" s="37" t="n">
        <f aca="false">1+IF($G$6=$E$6,$F$6,IF(P479&lt;($F$6-$E$6)/($G$6-$E$6),$E$6+SQRT(P479*($G$6-$E$6)*($F$6-$E$6)),$G$6-SQRT((1-P479)*($G$6-$E$6)*($G$6-$F$6))))</f>
        <v>0.990065352647713</v>
      </c>
      <c r="C479" s="37" t="n">
        <f aca="false">1+IF($G$7=$E$7,$F$7,IF(Q479&lt;($F$7-$E$7)/($G$7-$E$7),$E$7+SQRT(Q479*($G$7-$E$7)*($F$7-$E$7)),$G$7-SQRT((1-Q479)*($G$7-$E$7)*($G$7-$F$7))))</f>
        <v>1.05107572900462</v>
      </c>
      <c r="D479" s="37" t="n">
        <f aca="false">1+IF($G$8=$E$8,$F$8,IF(R479&lt;($F$8-$E$8)/($G$8-$E$8),$E$8+SQRT(R479*($G$8-$E$8)*($F$8-$E$8)),$G$8-SQRT((1-R479)*($G$8-$E$8)*($G$8-$F$8))))</f>
        <v>1.03223975018297</v>
      </c>
      <c r="E479" s="37" t="n">
        <f aca="false">1+IF($G$9=$E$9,$F$9,IF(S479&lt;($F$9-$E$9)/($G$9-$E$9),$E$9+SQRT(S479*($G$9-$E$9)*($F$9-$E$9)),$G$9-SQRT((1-S479)*($G$9-$E$9)*($G$9-$F$9))))</f>
        <v>0.9974341840766</v>
      </c>
      <c r="F479" s="37" t="n">
        <f aca="false">1+IF($G$10=$E$10,$F$10,IF(T479&lt;($F$10-$E$10)/($G$10-$E$10),$E$10+SQRT(T479*($G$10-$E$10)*($F$10-$E$10)),$G$10-SQRT((1-T479)*($G$10-$E$10)*($G$10-$F$10))))</f>
        <v>1.15273696017507</v>
      </c>
      <c r="G479" s="38" t="n">
        <f aca="false">IF($G$11=$E$11,$F$11,IF(U479&lt;($F$11-$E$11)/($G$11-$E$11),$E$11+SQRT(U479*($G$11-$E$11)*($F$11-$E$11)),$G$11-SQRT((1-U479)*($G$11-$E$11)*($G$11-$F$11))))</f>
        <v>0.101476718820698</v>
      </c>
      <c r="H479" s="39" t="n">
        <f aca="false">(('Business Case'!B11*$C479*'Business Case'!B12*$B479)-'Business Case'!B11*$C479*'Business Case'!B13*$D479-'Business Case'!B14*$E479)-MAX(0,(('Business Case'!B11*$C479*'Business Case'!B12*$B479)-'Business Case'!B11*$C479*'Business Case'!B13*$D479-'Business Case'!B14*$E479))*'Business Case'!$B$7-'Business Case'!$B$8*('Business Case'!B11*$C479*'Business Case'!B12*$B479)-'Business Case'!B15*$F479</f>
        <v>-2305473920.35014</v>
      </c>
      <c r="I479" s="39" t="n">
        <f aca="false">(('Business Case'!C11*$C479*'Business Case'!C12*$B479)-'Business Case'!C11*$C479*'Business Case'!C13*$D479-'Business Case'!C14*$E479)-MAX(0,(('Business Case'!C11*$C479*'Business Case'!C12*$B479)-'Business Case'!C11*$C479*'Business Case'!C13*$D479-'Business Case'!C14*$E479))*'Business Case'!$B$7-'Business Case'!$B$8*(('Business Case'!C11*$C479*'Business Case'!C12*$B479)-('Business Case'!B11*$C479*'Business Case'!B12*$B479))-'Business Case'!C15*$F479</f>
        <v>-14115213.7710945</v>
      </c>
      <c r="J479" s="39" t="n">
        <f aca="false">(('Business Case'!D11*$C479*'Business Case'!D12*$B479)-'Business Case'!D11*$C479*'Business Case'!D13*$D479-'Business Case'!D14*$E479)-MAX(0,(('Business Case'!D11*$C479*'Business Case'!D12*$B479)-'Business Case'!D11*$C479*'Business Case'!D13*$D479-'Business Case'!D14*$E479))*'Business Case'!$B$7-'Business Case'!$B$8*(('Business Case'!D11*$C479*'Business Case'!D12*$B479)-('Business Case'!C11*$C479*'Business Case'!C12*$B479))-'Business Case'!D15*$F479</f>
        <v>282824858.504457</v>
      </c>
      <c r="K479" s="39" t="n">
        <f aca="false">(('Business Case'!E11*$C479*'Business Case'!E12*$B479)-'Business Case'!E11*$C479*'Business Case'!E13*$D479-'Business Case'!E14*$E479)-MAX(0,(('Business Case'!E11*$C479*'Business Case'!E12*$B479)-'Business Case'!E11*$C479*'Business Case'!E13*$D479-'Business Case'!E14*$E479))*'Business Case'!$B$7-'Business Case'!$B$8*(('Business Case'!E11*$C479*'Business Case'!E12*$B479)-('Business Case'!D11*$C479*'Business Case'!D12*$B479))-'Business Case'!E15*$F479</f>
        <v>637401778.788761</v>
      </c>
      <c r="L479" s="39" t="n">
        <f aca="false">(('Business Case'!F11*$C479*'Business Case'!F12*$B479)-'Business Case'!F11*$C479*'Business Case'!F13*$D479-'Business Case'!F14*$E479)-MAX(0,(('Business Case'!F11*$C479*'Business Case'!F12*$B479)-'Business Case'!F11*$C479*'Business Case'!F13*$D479-'Business Case'!F14*$E479))*'Business Case'!$B$7-'Business Case'!$B$8*(('Business Case'!F11*$C479*'Business Case'!F12*$B479)-('Business Case'!E11*$C479*'Business Case'!E12*$B479))-'Business Case'!F15*$F479</f>
        <v>772346102.249576</v>
      </c>
      <c r="M479" s="39" t="n">
        <f aca="false">(('Business Case'!G11*$C479*'Business Case'!G12*$B479)-'Business Case'!G11*$C479*'Business Case'!G13*$D479-'Business Case'!G14*$E479)-MAX(0,(('Business Case'!G11*$C479*'Business Case'!G12*$B479)-'Business Case'!G11*$C479*'Business Case'!G13*$D479-'Business Case'!G14*$E479))*'Business Case'!$B$7-'Business Case'!$B$8*(('Business Case'!G11*$C479*'Business Case'!G12*$B479)-('Business Case'!F11*$C479*'Business Case'!F12*$B479))-'Business Case'!G15*$F479+'Business Case'!$B$8*('Business Case'!G11*$C479*'Business Case'!G12*$B479)</f>
        <v>970149748.778878</v>
      </c>
      <c r="N479" s="39" t="n">
        <f aca="false">IF(COUNT('Business Case'!B11:G11)=0,"",H479+NPV(G479,I479:M479))</f>
        <v>-485150633.340759</v>
      </c>
      <c r="P479" s="40" t="n">
        <f aca="true">RAND()</f>
        <v>0.540784516503798</v>
      </c>
      <c r="Q479" s="40" t="n">
        <f aca="true">RAND()</f>
        <v>0.855022053452346</v>
      </c>
      <c r="R479" s="40" t="n">
        <f aca="true">RAND()</f>
        <v>0.693903236315604</v>
      </c>
      <c r="S479" s="40" t="n">
        <f aca="true">RAND()</f>
        <v>0.379736809066909</v>
      </c>
      <c r="T479" s="40" t="n">
        <f aca="true">RAND()</f>
        <v>0.873865347786856</v>
      </c>
      <c r="U479" s="40" t="n">
        <f aca="true">RAND()</f>
        <v>0.457614953844311</v>
      </c>
    </row>
    <row r="480" customFormat="false" ht="15" hidden="false" customHeight="false" outlineLevel="0" collapsed="false">
      <c r="A480" s="36" t="n">
        <v>400</v>
      </c>
      <c r="B480" s="37" t="n">
        <f aca="false">1+IF($G$6=$E$6,$F$6,IF(P480&lt;($F$6-$E$6)/($G$6-$E$6),$E$6+SQRT(P480*($G$6-$E$6)*($F$6-$E$6)),$G$6-SQRT((1-P480)*($G$6-$E$6)*($G$6-$F$6))))</f>
        <v>0.996691772274849</v>
      </c>
      <c r="C480" s="37" t="n">
        <f aca="false">1+IF($G$7=$E$7,$F$7,IF(Q480&lt;($F$7-$E$7)/($G$7-$E$7),$E$7+SQRT(Q480*($G$7-$E$7)*($F$7-$E$7)),$G$7-SQRT((1-Q480)*($G$7-$E$7)*($G$7-$F$7))))</f>
        <v>0.836579868573676</v>
      </c>
      <c r="D480" s="37" t="n">
        <f aca="false">1+IF($G$8=$E$8,$F$8,IF(R480&lt;($F$8-$E$8)/($G$8-$E$8),$E$8+SQRT(R480*($G$8-$E$8)*($F$8-$E$8)),$G$8-SQRT((1-R480)*($G$8-$E$8)*($G$8-$F$8))))</f>
        <v>1.05553748773967</v>
      </c>
      <c r="E480" s="37" t="n">
        <f aca="false">1+IF($G$9=$E$9,$F$9,IF(S480&lt;($F$9-$E$9)/($G$9-$E$9),$E$9+SQRT(S480*($G$9-$E$9)*($F$9-$E$9)),$G$9-SQRT((1-S480)*($G$9-$E$9)*($G$9-$F$9))))</f>
        <v>1.0742231393945</v>
      </c>
      <c r="F480" s="37" t="n">
        <f aca="false">1+IF($G$10=$E$10,$F$10,IF(T480&lt;($F$10-$E$10)/($G$10-$E$10),$E$10+SQRT(T480*($G$10-$E$10)*($F$10-$E$10)),$G$10-SQRT((1-T480)*($G$10-$E$10)*($G$10-$F$10))))</f>
        <v>1.12518675619549</v>
      </c>
      <c r="G480" s="38" t="n">
        <f aca="false">IF($G$11=$E$11,$F$11,IF(U480&lt;($F$11-$E$11)/($G$11-$E$11),$E$11+SQRT(U480*($G$11-$E$11)*($F$11-$E$11)),$G$11-SQRT((1-U480)*($G$11-$E$11)*($G$11-$F$11))))</f>
        <v>0.10072388067916</v>
      </c>
      <c r="H480" s="39" t="n">
        <f aca="false">(('Business Case'!B11*$C480*'Business Case'!B12*$B480)-'Business Case'!B11*$C480*'Business Case'!B13*$D480-'Business Case'!B14*$E480)-MAX(0,(('Business Case'!B11*$C480*'Business Case'!B12*$B480)-'Business Case'!B11*$C480*'Business Case'!B13*$D480-'Business Case'!B14*$E480))*'Business Case'!$B$7-'Business Case'!$B$8*('Business Case'!B11*$C480*'Business Case'!B12*$B480)-'Business Case'!B15*$F480</f>
        <v>-2250373512.39098</v>
      </c>
      <c r="I480" s="39" t="n">
        <f aca="false">(('Business Case'!C11*$C480*'Business Case'!C12*$B480)-'Business Case'!C11*$C480*'Business Case'!C13*$D480-'Business Case'!C14*$E480)-MAX(0,(('Business Case'!C11*$C480*'Business Case'!C12*$B480)-'Business Case'!C11*$C480*'Business Case'!C13*$D480-'Business Case'!C14*$E480))*'Business Case'!$B$7-'Business Case'!$B$8*(('Business Case'!C11*$C480*'Business Case'!C12*$B480)-('Business Case'!B11*$C480*'Business Case'!B12*$B480))-'Business Case'!C15*$F480</f>
        <v>-77592309.1032846</v>
      </c>
      <c r="J480" s="39" t="n">
        <f aca="false">(('Business Case'!D11*$C480*'Business Case'!D12*$B480)-'Business Case'!D11*$C480*'Business Case'!D13*$D480-'Business Case'!D14*$E480)-MAX(0,(('Business Case'!D11*$C480*'Business Case'!D12*$B480)-'Business Case'!D11*$C480*'Business Case'!D13*$D480-'Business Case'!D14*$E480))*'Business Case'!$B$7-'Business Case'!$B$8*(('Business Case'!D11*$C480*'Business Case'!D12*$B480)-('Business Case'!C11*$C480*'Business Case'!C12*$B480))-'Business Case'!D15*$F480</f>
        <v>153313416.008005</v>
      </c>
      <c r="K480" s="39" t="n">
        <f aca="false">(('Business Case'!E11*$C480*'Business Case'!E12*$B480)-'Business Case'!E11*$C480*'Business Case'!E13*$D480-'Business Case'!E14*$E480)-MAX(0,(('Business Case'!E11*$C480*'Business Case'!E12*$B480)-'Business Case'!E11*$C480*'Business Case'!E13*$D480-'Business Case'!E14*$E480))*'Business Case'!$B$7-'Business Case'!$B$8*(('Business Case'!E11*$C480*'Business Case'!E12*$B480)-('Business Case'!D11*$C480*'Business Case'!D12*$B480))-'Business Case'!E15*$F480</f>
        <v>440478478.929069</v>
      </c>
      <c r="L480" s="39" t="n">
        <f aca="false">(('Business Case'!F11*$C480*'Business Case'!F12*$B480)-'Business Case'!F11*$C480*'Business Case'!F13*$D480-'Business Case'!F14*$E480)-MAX(0,(('Business Case'!F11*$C480*'Business Case'!F12*$B480)-'Business Case'!F11*$C480*'Business Case'!F13*$D480-'Business Case'!F14*$E480))*'Business Case'!$B$7-'Business Case'!$B$8*(('Business Case'!F11*$C480*'Business Case'!F12*$B480)-('Business Case'!E11*$C480*'Business Case'!E12*$B480))-'Business Case'!F15*$F480</f>
        <v>546263606.081583</v>
      </c>
      <c r="M480" s="39" t="n">
        <f aca="false">(('Business Case'!G11*$C480*'Business Case'!G12*$B480)-'Business Case'!G11*$C480*'Business Case'!G13*$D480-'Business Case'!G14*$E480)-MAX(0,(('Business Case'!G11*$C480*'Business Case'!G12*$B480)-'Business Case'!G11*$C480*'Business Case'!G13*$D480-'Business Case'!G14*$E480))*'Business Case'!$B$7-'Business Case'!$B$8*(('Business Case'!G11*$C480*'Business Case'!G12*$B480)-('Business Case'!F11*$C480*'Business Case'!F12*$B480))-'Business Case'!G15*$F480+'Business Case'!$B$8*('Business Case'!G11*$C480*'Business Case'!G12*$B480)</f>
        <v>704754642.716382</v>
      </c>
      <c r="N480" s="39" t="n">
        <f aca="false">IF(COUNT('Business Case'!B11:G11)=0,"",H480+NPV(G480,I480:M480))</f>
        <v>-1055756314.71982</v>
      </c>
      <c r="P480" s="40" t="n">
        <f aca="true">RAND()</f>
        <v>0.623286588376752</v>
      </c>
      <c r="Q480" s="40" t="n">
        <f aca="true">RAND()</f>
        <v>0.138178225922982</v>
      </c>
      <c r="R480" s="40" t="n">
        <f aca="true">RAND()</f>
        <v>0.868205666900028</v>
      </c>
      <c r="S480" s="40" t="n">
        <f aca="true">RAND()</f>
        <v>0.846876463913995</v>
      </c>
      <c r="T480" s="40" t="n">
        <f aca="true">RAND()</f>
        <v>0.792288722279953</v>
      </c>
      <c r="U480" s="40" t="n">
        <f aca="true">RAND()</f>
        <v>0.428605891674633</v>
      </c>
    </row>
    <row r="481" customFormat="false" ht="15" hidden="false" customHeight="false" outlineLevel="0" collapsed="false">
      <c r="A481" s="36" t="n">
        <v>401</v>
      </c>
      <c r="B481" s="37" t="n">
        <f aca="false">1+IF($G$6=$E$6,$F$6,IF(P481&lt;($F$6-$E$6)/($G$6-$E$6),$E$6+SQRT(P481*($G$6-$E$6)*($F$6-$E$6)),$G$6-SQRT((1-P481)*($G$6-$E$6)*($G$6-$F$6))))</f>
        <v>1.02472934373272</v>
      </c>
      <c r="C481" s="37" t="n">
        <f aca="false">1+IF($G$7=$E$7,$F$7,IF(Q481&lt;($F$7-$E$7)/($G$7-$E$7),$E$7+SQRT(Q481*($G$7-$E$7)*($F$7-$E$7)),$G$7-SQRT((1-Q481)*($G$7-$E$7)*($G$7-$F$7))))</f>
        <v>0.951424677053316</v>
      </c>
      <c r="D481" s="37" t="n">
        <f aca="false">1+IF($G$8=$E$8,$F$8,IF(R481&lt;($F$8-$E$8)/($G$8-$E$8),$E$8+SQRT(R481*($G$8-$E$8)*($F$8-$E$8)),$G$8-SQRT((1-R481)*($G$8-$E$8)*($G$8-$F$8))))</f>
        <v>1.01924661805007</v>
      </c>
      <c r="E481" s="37" t="n">
        <f aca="false">1+IF($G$9=$E$9,$F$9,IF(S481&lt;($F$9-$E$9)/($G$9-$E$9),$E$9+SQRT(S481*($G$9-$E$9)*($F$9-$E$9)),$G$9-SQRT((1-S481)*($G$9-$E$9)*($G$9-$F$9))))</f>
        <v>1.11324653642544</v>
      </c>
      <c r="F481" s="37" t="n">
        <f aca="false">1+IF($G$10=$E$10,$F$10,IF(T481&lt;($F$10-$E$10)/($G$10-$E$10),$E$10+SQRT(T481*($G$10-$E$10)*($F$10-$E$10)),$G$10-SQRT((1-T481)*($G$10-$E$10)*($G$10-$F$10))))</f>
        <v>1.05388073339902</v>
      </c>
      <c r="G481" s="38" t="n">
        <f aca="false">IF($G$11=$E$11,$F$11,IF(U481&lt;($F$11-$E$11)/($G$11-$E$11),$E$11+SQRT(U481*($G$11-$E$11)*($F$11-$E$11)),$G$11-SQRT((1-U481)*($G$11-$E$11)*($G$11-$F$11))))</f>
        <v>0.0866117893985479</v>
      </c>
      <c r="H481" s="39" t="n">
        <f aca="false">(('Business Case'!B11*$C481*'Business Case'!B12*$B481)-'Business Case'!B11*$C481*'Business Case'!B13*$D481-'Business Case'!B14*$E481)-MAX(0,(('Business Case'!B11*$C481*'Business Case'!B12*$B481)-'Business Case'!B11*$C481*'Business Case'!B13*$D481-'Business Case'!B14*$E481))*'Business Case'!$B$7-'Business Case'!$B$8*('Business Case'!B11*$C481*'Business Case'!B12*$B481)-'Business Case'!B15*$F481</f>
        <v>-2107761466.79804</v>
      </c>
      <c r="I481" s="39" t="n">
        <f aca="false">(('Business Case'!C11*$C481*'Business Case'!C12*$B481)-'Business Case'!C11*$C481*'Business Case'!C13*$D481-'Business Case'!C14*$E481)-MAX(0,(('Business Case'!C11*$C481*'Business Case'!C12*$B481)-'Business Case'!C11*$C481*'Business Case'!C13*$D481-'Business Case'!C14*$E481))*'Business Case'!$B$7-'Business Case'!$B$8*(('Business Case'!C11*$C481*'Business Case'!C12*$B481)-('Business Case'!B11*$C481*'Business Case'!B12*$B481))-'Business Case'!C15*$F481</f>
        <v>-12104205.6439778</v>
      </c>
      <c r="J481" s="39" t="n">
        <f aca="false">(('Business Case'!D11*$C481*'Business Case'!D12*$B481)-'Business Case'!D11*$C481*'Business Case'!D13*$D481-'Business Case'!D14*$E481)-MAX(0,(('Business Case'!D11*$C481*'Business Case'!D12*$B481)-'Business Case'!D11*$C481*'Business Case'!D13*$D481-'Business Case'!D14*$E481))*'Business Case'!$B$7-'Business Case'!$B$8*(('Business Case'!D11*$C481*'Business Case'!D12*$B481)-('Business Case'!C11*$C481*'Business Case'!C12*$B481))-'Business Case'!D15*$F481</f>
        <v>290024871.902309</v>
      </c>
      <c r="K481" s="39" t="n">
        <f aca="false">(('Business Case'!E11*$C481*'Business Case'!E12*$B481)-'Business Case'!E11*$C481*'Business Case'!E13*$D481-'Business Case'!E14*$E481)-MAX(0,(('Business Case'!E11*$C481*'Business Case'!E12*$B481)-'Business Case'!E11*$C481*'Business Case'!E13*$D481-'Business Case'!E14*$E481))*'Business Case'!$B$7-'Business Case'!$B$8*(('Business Case'!E11*$C481*'Business Case'!E12*$B481)-('Business Case'!D11*$C481*'Business Case'!D12*$B481))-'Business Case'!E15*$F481</f>
        <v>644847986.118547</v>
      </c>
      <c r="L481" s="39" t="n">
        <f aca="false">(('Business Case'!F11*$C481*'Business Case'!F12*$B481)-'Business Case'!F11*$C481*'Business Case'!F13*$D481-'Business Case'!F14*$E481)-MAX(0,(('Business Case'!F11*$C481*'Business Case'!F12*$B481)-'Business Case'!F11*$C481*'Business Case'!F13*$D481-'Business Case'!F14*$E481))*'Business Case'!$B$7-'Business Case'!$B$8*(('Business Case'!F11*$C481*'Business Case'!F12*$B481)-('Business Case'!E11*$C481*'Business Case'!E12*$B481))-'Business Case'!F15*$F481</f>
        <v>779252046.881086</v>
      </c>
      <c r="M481" s="39" t="n">
        <f aca="false">(('Business Case'!G11*$C481*'Business Case'!G12*$B481)-'Business Case'!G11*$C481*'Business Case'!G13*$D481-'Business Case'!G14*$E481)-MAX(0,(('Business Case'!G11*$C481*'Business Case'!G12*$B481)-'Business Case'!G11*$C481*'Business Case'!G13*$D481-'Business Case'!G14*$E481))*'Business Case'!$B$7-'Business Case'!$B$8*(('Business Case'!G11*$C481*'Business Case'!G12*$B481)-('Business Case'!F11*$C481*'Business Case'!F12*$B481))-'Business Case'!G15*$F481+'Business Case'!$B$8*('Business Case'!G11*$C481*'Business Case'!G12*$B481)</f>
        <v>964571072.240193</v>
      </c>
      <c r="N481" s="39" t="n">
        <f aca="false">IF(COUNT('Business Case'!B11:G11)=0,"",H481+NPV(G481,I481:M481))</f>
        <v>-174955079.808084</v>
      </c>
      <c r="P481" s="40" t="n">
        <f aca="true">RAND()</f>
        <v>0.91485252424279</v>
      </c>
      <c r="Q481" s="40" t="n">
        <f aca="true">RAND()</f>
        <v>0.468254579491588</v>
      </c>
      <c r="R481" s="40" t="n">
        <f aca="true">RAND()</f>
        <v>0.56525942024328</v>
      </c>
      <c r="S481" s="40" t="n">
        <f aca="true">RAND()</f>
        <v>0.963978211073958</v>
      </c>
      <c r="T481" s="40" t="n">
        <f aca="true">RAND()</f>
        <v>0.487163110238579</v>
      </c>
      <c r="U481" s="40" t="n">
        <f aca="true">RAND()</f>
        <v>0.0437157590507507</v>
      </c>
    </row>
    <row r="482" customFormat="false" ht="15" hidden="false" customHeight="false" outlineLevel="0" collapsed="false">
      <c r="A482" s="36" t="n">
        <v>402</v>
      </c>
      <c r="B482" s="37" t="n">
        <f aca="false">1+IF($G$6=$E$6,$F$6,IF(P482&lt;($F$6-$E$6)/($G$6-$E$6),$E$6+SQRT(P482*($G$6-$E$6)*($F$6-$E$6)),$G$6-SQRT((1-P482)*($G$6-$E$6)*($G$6-$F$6))))</f>
        <v>0.964741306922024</v>
      </c>
      <c r="C482" s="37" t="n">
        <f aca="false">1+IF($G$7=$E$7,$F$7,IF(Q482&lt;($F$7-$E$7)/($G$7-$E$7),$E$7+SQRT(Q482*($G$7-$E$7)*($F$7-$E$7)),$G$7-SQRT((1-Q482)*($G$7-$E$7)*($G$7-$F$7))))</f>
        <v>0.866446756806683</v>
      </c>
      <c r="D482" s="37" t="n">
        <f aca="false">1+IF($G$8=$E$8,$F$8,IF(R482&lt;($F$8-$E$8)/($G$8-$E$8),$E$8+SQRT(R482*($G$8-$E$8)*($F$8-$E$8)),$G$8-SQRT((1-R482)*($G$8-$E$8)*($G$8-$F$8))))</f>
        <v>0.972186993710701</v>
      </c>
      <c r="E482" s="37" t="n">
        <f aca="false">1+IF($G$9=$E$9,$F$9,IF(S482&lt;($F$9-$E$9)/($G$9-$E$9),$E$9+SQRT(S482*($G$9-$E$9)*($F$9-$E$9)),$G$9-SQRT((1-S482)*($G$9-$E$9)*($G$9-$F$9))))</f>
        <v>0.960557594479235</v>
      </c>
      <c r="F482" s="37" t="n">
        <f aca="false">1+IF($G$10=$E$10,$F$10,IF(T482&lt;($F$10-$E$10)/($G$10-$E$10),$E$10+SQRT(T482*($G$10-$E$10)*($F$10-$E$10)),$G$10-SQRT((1-T482)*($G$10-$E$10)*($G$10-$F$10))))</f>
        <v>1.20521289338928</v>
      </c>
      <c r="G482" s="38" t="n">
        <f aca="false">IF($G$11=$E$11,$F$11,IF(U482&lt;($F$11-$E$11)/($G$11-$E$11),$E$11+SQRT(U482*($G$11-$E$11)*($F$11-$E$11)),$G$11-SQRT((1-U482)*($G$11-$E$11)*($G$11-$F$11))))</f>
        <v>0.103351323081821</v>
      </c>
      <c r="H482" s="39" t="n">
        <f aca="false">(('Business Case'!B11*$C482*'Business Case'!B12*$B482)-'Business Case'!B11*$C482*'Business Case'!B13*$D482-'Business Case'!B14*$E482)-MAX(0,(('Business Case'!B11*$C482*'Business Case'!B12*$B482)-'Business Case'!B11*$C482*'Business Case'!B13*$D482-'Business Case'!B14*$E482))*'Business Case'!$B$7-'Business Case'!$B$8*('Business Case'!B11*$C482*'Business Case'!B12*$B482)-'Business Case'!B15*$F482</f>
        <v>-2410425786.77855</v>
      </c>
      <c r="I482" s="39" t="n">
        <f aca="false">(('Business Case'!C11*$C482*'Business Case'!C12*$B482)-'Business Case'!C11*$C482*'Business Case'!C13*$D482-'Business Case'!C14*$E482)-MAX(0,(('Business Case'!C11*$C482*'Business Case'!C12*$B482)-'Business Case'!C11*$C482*'Business Case'!C13*$D482-'Business Case'!C14*$E482))*'Business Case'!$B$7-'Business Case'!$B$8*(('Business Case'!C11*$C482*'Business Case'!C12*$B482)-('Business Case'!B11*$C482*'Business Case'!B12*$B482))-'Business Case'!C15*$F482</f>
        <v>-47000595.3753606</v>
      </c>
      <c r="J482" s="39" t="n">
        <f aca="false">(('Business Case'!D11*$C482*'Business Case'!D12*$B482)-'Business Case'!D11*$C482*'Business Case'!D13*$D482-'Business Case'!D14*$E482)-MAX(0,(('Business Case'!D11*$C482*'Business Case'!D12*$B482)-'Business Case'!D11*$C482*'Business Case'!D13*$D482-'Business Case'!D14*$E482))*'Business Case'!$B$7-'Business Case'!$B$8*(('Business Case'!D11*$C482*'Business Case'!D12*$B482)-('Business Case'!C11*$C482*'Business Case'!C12*$B482))-'Business Case'!D15*$F482</f>
        <v>206444287.786989</v>
      </c>
      <c r="K482" s="39" t="n">
        <f aca="false">(('Business Case'!E11*$C482*'Business Case'!E12*$B482)-'Business Case'!E11*$C482*'Business Case'!E13*$D482-'Business Case'!E14*$E482)-MAX(0,(('Business Case'!E11*$C482*'Business Case'!E12*$B482)-'Business Case'!E11*$C482*'Business Case'!E13*$D482-'Business Case'!E14*$E482))*'Business Case'!$B$7-'Business Case'!$B$8*(('Business Case'!E11*$C482*'Business Case'!E12*$B482)-('Business Case'!D11*$C482*'Business Case'!D12*$B482))-'Business Case'!E15*$F482</f>
        <v>520149815.618802</v>
      </c>
      <c r="L482" s="39" t="n">
        <f aca="false">(('Business Case'!F11*$C482*'Business Case'!F12*$B482)-'Business Case'!F11*$C482*'Business Case'!F13*$D482-'Business Case'!F14*$E482)-MAX(0,(('Business Case'!F11*$C482*'Business Case'!F12*$B482)-'Business Case'!F11*$C482*'Business Case'!F13*$D482-'Business Case'!F14*$E482))*'Business Case'!$B$7-'Business Case'!$B$8*(('Business Case'!F11*$C482*'Business Case'!F12*$B482)-('Business Case'!E11*$C482*'Business Case'!E12*$B482))-'Business Case'!F15*$F482</f>
        <v>633520042.848808</v>
      </c>
      <c r="M482" s="39" t="n">
        <f aca="false">(('Business Case'!G11*$C482*'Business Case'!G12*$B482)-'Business Case'!G11*$C482*'Business Case'!G13*$D482-'Business Case'!G14*$E482)-MAX(0,(('Business Case'!G11*$C482*'Business Case'!G12*$B482)-'Business Case'!G11*$C482*'Business Case'!G13*$D482-'Business Case'!G14*$E482))*'Business Case'!$B$7-'Business Case'!$B$8*(('Business Case'!G11*$C482*'Business Case'!G12*$B482)-('Business Case'!F11*$C482*'Business Case'!F12*$B482))-'Business Case'!G15*$F482+'Business Case'!$B$8*('Business Case'!G11*$C482*'Business Case'!G12*$B482)</f>
        <v>792407340.149537</v>
      </c>
      <c r="N482" s="39" t="n">
        <f aca="false">IF(COUNT('Business Case'!B11:G11)=0,"",H482+NPV(G482,I482:M482))</f>
        <v>-984132582.153492</v>
      </c>
      <c r="P482" s="40" t="n">
        <f aca="true">RAND()</f>
        <v>0.279429121464777</v>
      </c>
      <c r="Q482" s="40" t="n">
        <f aca="true">RAND()</f>
        <v>0.205218687788616</v>
      </c>
      <c r="R482" s="40" t="n">
        <f aca="true">RAND()</f>
        <v>0.0656350253224938</v>
      </c>
      <c r="S482" s="40" t="n">
        <f aca="true">RAND()</f>
        <v>0.14668888996446</v>
      </c>
      <c r="T482" s="40" t="n">
        <f aca="true">RAND()</f>
        <v>0.973254867752528</v>
      </c>
      <c r="U482" s="40" t="n">
        <f aca="true">RAND()</f>
        <v>0.526565345673669</v>
      </c>
    </row>
    <row r="483" customFormat="false" ht="15" hidden="false" customHeight="false" outlineLevel="0" collapsed="false">
      <c r="A483" s="36" t="n">
        <v>403</v>
      </c>
      <c r="B483" s="37" t="n">
        <f aca="false">1+IF($G$6=$E$6,$F$6,IF(P483&lt;($F$6-$E$6)/($G$6-$E$6),$E$6+SQRT(P483*($G$6-$E$6)*($F$6-$E$6)),$G$6-SQRT((1-P483)*($G$6-$E$6)*($G$6-$F$6))))</f>
        <v>1.00001582704983</v>
      </c>
      <c r="C483" s="37" t="n">
        <f aca="false">1+IF($G$7=$E$7,$F$7,IF(Q483&lt;($F$7-$E$7)/($G$7-$E$7),$E$7+SQRT(Q483*($G$7-$E$7)*($F$7-$E$7)),$G$7-SQRT((1-Q483)*($G$7-$E$7)*($G$7-$F$7))))</f>
        <v>0.976334472490151</v>
      </c>
      <c r="D483" s="37" t="n">
        <f aca="false">1+IF($G$8=$E$8,$F$8,IF(R483&lt;($F$8-$E$8)/($G$8-$E$8),$E$8+SQRT(R483*($G$8-$E$8)*($F$8-$E$8)),$G$8-SQRT((1-R483)*($G$8-$E$8)*($G$8-$F$8))))</f>
        <v>1.0610771424919</v>
      </c>
      <c r="E483" s="37" t="n">
        <f aca="false">1+IF($G$9=$E$9,$F$9,IF(S483&lt;($F$9-$E$9)/($G$9-$E$9),$E$9+SQRT(S483*($G$9-$E$9)*($F$9-$E$9)),$G$9-SQRT((1-S483)*($G$9-$E$9)*($G$9-$F$9))))</f>
        <v>1.01379289120625</v>
      </c>
      <c r="F483" s="37" t="n">
        <f aca="false">1+IF($G$10=$E$10,$F$10,IF(T483&lt;($F$10-$E$10)/($G$10-$E$10),$E$10+SQRT(T483*($G$10-$E$10)*($F$10-$E$10)),$G$10-SQRT((1-T483)*($G$10-$E$10)*($G$10-$F$10))))</f>
        <v>1.00269425103661</v>
      </c>
      <c r="G483" s="38" t="n">
        <f aca="false">IF($G$11=$E$11,$F$11,IF(U483&lt;($F$11-$E$11)/($G$11-$E$11),$E$11+SQRT(U483*($G$11-$E$11)*($F$11-$E$11)),$G$11-SQRT((1-U483)*($G$11-$E$11)*($G$11-$F$11))))</f>
        <v>0.0978585464681189</v>
      </c>
      <c r="H483" s="39" t="n">
        <f aca="false">(('Business Case'!B11*$C483*'Business Case'!B12*$B483)-'Business Case'!B11*$C483*'Business Case'!B13*$D483-'Business Case'!B14*$E483)-MAX(0,(('Business Case'!B11*$C483*'Business Case'!B12*$B483)-'Business Case'!B11*$C483*'Business Case'!B13*$D483-'Business Case'!B14*$E483))*'Business Case'!$B$7-'Business Case'!$B$8*('Business Case'!B11*$C483*'Business Case'!B12*$B483)-'Business Case'!B15*$F483</f>
        <v>-2005388502.07321</v>
      </c>
      <c r="I483" s="39" t="n">
        <f aca="false">(('Business Case'!C11*$C483*'Business Case'!C12*$B483)-'Business Case'!C11*$C483*'Business Case'!C13*$D483-'Business Case'!C14*$E483)-MAX(0,(('Business Case'!C11*$C483*'Business Case'!C12*$B483)-'Business Case'!C11*$C483*'Business Case'!C13*$D483-'Business Case'!C14*$E483))*'Business Case'!$B$7-'Business Case'!$B$8*(('Business Case'!C11*$C483*'Business Case'!C12*$B483)-('Business Case'!B11*$C483*'Business Case'!B12*$B483))-'Business Case'!C15*$F483</f>
        <v>-25675681.6914316</v>
      </c>
      <c r="J483" s="39" t="n">
        <f aca="false">(('Business Case'!D11*$C483*'Business Case'!D12*$B483)-'Business Case'!D11*$C483*'Business Case'!D13*$D483-'Business Case'!D14*$E483)-MAX(0,(('Business Case'!D11*$C483*'Business Case'!D12*$B483)-'Business Case'!D11*$C483*'Business Case'!D13*$D483-'Business Case'!D14*$E483))*'Business Case'!$B$7-'Business Case'!$B$8*(('Business Case'!D11*$C483*'Business Case'!D12*$B483)-('Business Case'!C11*$C483*'Business Case'!C12*$B483))-'Business Case'!D15*$F483</f>
        <v>243693390.961523</v>
      </c>
      <c r="K483" s="39" t="n">
        <f aca="false">(('Business Case'!E11*$C483*'Business Case'!E12*$B483)-'Business Case'!E11*$C483*'Business Case'!E13*$D483-'Business Case'!E14*$E483)-MAX(0,(('Business Case'!E11*$C483*'Business Case'!E12*$B483)-'Business Case'!E11*$C483*'Business Case'!E13*$D483-'Business Case'!E14*$E483))*'Business Case'!$B$7-'Business Case'!$B$8*(('Business Case'!E11*$C483*'Business Case'!E12*$B483)-('Business Case'!D11*$C483*'Business Case'!D12*$B483))-'Business Case'!E15*$F483</f>
        <v>563197176.166308</v>
      </c>
      <c r="L483" s="39" t="n">
        <f aca="false">(('Business Case'!F11*$C483*'Business Case'!F12*$B483)-'Business Case'!F11*$C483*'Business Case'!F13*$D483-'Business Case'!F14*$E483)-MAX(0,(('Business Case'!F11*$C483*'Business Case'!F12*$B483)-'Business Case'!F11*$C483*'Business Case'!F13*$D483-'Business Case'!F14*$E483))*'Business Case'!$B$7-'Business Case'!$B$8*(('Business Case'!F11*$C483*'Business Case'!F12*$B483)-('Business Case'!E11*$C483*'Business Case'!E12*$B483))-'Business Case'!F15*$F483</f>
        <v>686729520.458091</v>
      </c>
      <c r="M483" s="39" t="n">
        <f aca="false">(('Business Case'!G11*$C483*'Business Case'!G12*$B483)-'Business Case'!G11*$C483*'Business Case'!G13*$D483-'Business Case'!G14*$E483)-MAX(0,(('Business Case'!G11*$C483*'Business Case'!G12*$B483)-'Business Case'!G11*$C483*'Business Case'!G13*$D483-'Business Case'!G14*$E483))*'Business Case'!$B$7-'Business Case'!$B$8*(('Business Case'!G11*$C483*'Business Case'!G12*$B483)-('Business Case'!F11*$C483*'Business Case'!F12*$B483))-'Business Case'!G15*$F483+'Business Case'!$B$8*('Business Case'!G11*$C483*'Business Case'!G12*$B483)</f>
        <v>872314114.199145</v>
      </c>
      <c r="N483" s="39" t="n">
        <f aca="false">IF(COUNT('Business Case'!B11:G11)=0,"",H483+NPV(G483,I483:M483))</f>
        <v>-381312850.000083</v>
      </c>
      <c r="P483" s="40" t="n">
        <f aca="true">RAND()</f>
        <v>0.66687766059837</v>
      </c>
      <c r="Q483" s="40" t="n">
        <f aca="true">RAND()</f>
        <v>0.565635116195629</v>
      </c>
      <c r="R483" s="40" t="n">
        <f aca="true">RAND()</f>
        <v>0.89900074422692</v>
      </c>
      <c r="S483" s="40" t="n">
        <f aca="true">RAND()</f>
        <v>0.505269960374624</v>
      </c>
      <c r="T483" s="40" t="n">
        <f aca="true">RAND()</f>
        <v>0.184531553728725</v>
      </c>
      <c r="U483" s="40" t="n">
        <f aca="true">RAND()</f>
        <v>0.318927681953961</v>
      </c>
    </row>
    <row r="484" customFormat="false" ht="15" hidden="false" customHeight="false" outlineLevel="0" collapsed="false">
      <c r="A484" s="36" t="n">
        <v>404</v>
      </c>
      <c r="B484" s="37" t="n">
        <f aca="false">1+IF($G$6=$E$6,$F$6,IF(P484&lt;($F$6-$E$6)/($G$6-$E$6),$E$6+SQRT(P484*($G$6-$E$6)*($F$6-$E$6)),$G$6-SQRT((1-P484)*($G$6-$E$6)*($G$6-$F$6))))</f>
        <v>0.956761201127125</v>
      </c>
      <c r="C484" s="37" t="n">
        <f aca="false">1+IF($G$7=$E$7,$F$7,IF(Q484&lt;($F$7-$E$7)/($G$7-$E$7),$E$7+SQRT(Q484*($G$7-$E$7)*($F$7-$E$7)),$G$7-SQRT((1-Q484)*($G$7-$E$7)*($G$7-$F$7))))</f>
        <v>1.0323984838981</v>
      </c>
      <c r="D484" s="37" t="n">
        <f aca="false">1+IF($G$8=$E$8,$F$8,IF(R484&lt;($F$8-$E$8)/($G$8-$E$8),$E$8+SQRT(R484*($G$8-$E$8)*($F$8-$E$8)),$G$8-SQRT((1-R484)*($G$8-$E$8)*($G$8-$F$8))))</f>
        <v>1.00043286765341</v>
      </c>
      <c r="E484" s="37" t="n">
        <f aca="false">1+IF($G$9=$E$9,$F$9,IF(S484&lt;($F$9-$E$9)/($G$9-$E$9),$E$9+SQRT(S484*($G$9-$E$9)*($F$9-$E$9)),$G$9-SQRT((1-S484)*($G$9-$E$9)*($G$9-$F$9))))</f>
        <v>0.967731603002148</v>
      </c>
      <c r="F484" s="37" t="n">
        <f aca="false">1+IF($G$10=$E$10,$F$10,IF(T484&lt;($F$10-$E$10)/($G$10-$E$10),$E$10+SQRT(T484*($G$10-$E$10)*($F$10-$E$10)),$G$10-SQRT((1-T484)*($G$10-$E$10)*($G$10-$F$10))))</f>
        <v>1.12575154930853</v>
      </c>
      <c r="G484" s="38" t="n">
        <f aca="false">IF($G$11=$E$11,$F$11,IF(U484&lt;($F$11-$E$11)/($G$11-$E$11),$E$11+SQRT(U484*($G$11-$E$11)*($F$11-$E$11)),$G$11-SQRT((1-U484)*($G$11-$E$11)*($G$11-$F$11))))</f>
        <v>0.119423078346854</v>
      </c>
      <c r="H484" s="39" t="n">
        <f aca="false">(('Business Case'!B11*$C484*'Business Case'!B12*$B484)-'Business Case'!B11*$C484*'Business Case'!B13*$D484-'Business Case'!B14*$E484)-MAX(0,(('Business Case'!B11*$C484*'Business Case'!B12*$B484)-'Business Case'!B11*$C484*'Business Case'!B13*$D484-'Business Case'!B14*$E484))*'Business Case'!$B$7-'Business Case'!$B$8*('Business Case'!B11*$C484*'Business Case'!B12*$B484)-'Business Case'!B15*$F484</f>
        <v>-2251503098.61706</v>
      </c>
      <c r="I484" s="39" t="n">
        <f aca="false">(('Business Case'!C11*$C484*'Business Case'!C12*$B484)-'Business Case'!C11*$C484*'Business Case'!C13*$D484-'Business Case'!C14*$E484)-MAX(0,(('Business Case'!C11*$C484*'Business Case'!C12*$B484)-'Business Case'!C11*$C484*'Business Case'!C13*$D484-'Business Case'!C14*$E484))*'Business Case'!$B$7-'Business Case'!$B$8*(('Business Case'!C11*$C484*'Business Case'!C12*$B484)-('Business Case'!B11*$C484*'Business Case'!B12*$B484))-'Business Case'!C15*$F484</f>
        <v>-21080623.6646897</v>
      </c>
      <c r="J484" s="39" t="n">
        <f aca="false">(('Business Case'!D11*$C484*'Business Case'!D12*$B484)-'Business Case'!D11*$C484*'Business Case'!D13*$D484-'Business Case'!D14*$E484)-MAX(0,(('Business Case'!D11*$C484*'Business Case'!D12*$B484)-'Business Case'!D11*$C484*'Business Case'!D13*$D484-'Business Case'!D14*$E484))*'Business Case'!$B$7-'Business Case'!$B$8*(('Business Case'!D11*$C484*'Business Case'!D12*$B484)-('Business Case'!C11*$C484*'Business Case'!C12*$B484))-'Business Case'!D15*$F484</f>
        <v>259230758.440021</v>
      </c>
      <c r="K484" s="39" t="n">
        <f aca="false">(('Business Case'!E11*$C484*'Business Case'!E12*$B484)-'Business Case'!E11*$C484*'Business Case'!E13*$D484-'Business Case'!E14*$E484)-MAX(0,(('Business Case'!E11*$C484*'Business Case'!E12*$B484)-'Business Case'!E11*$C484*'Business Case'!E13*$D484-'Business Case'!E14*$E484))*'Business Case'!$B$7-'Business Case'!$B$8*(('Business Case'!E11*$C484*'Business Case'!E12*$B484)-('Business Case'!D11*$C484*'Business Case'!D12*$B484))-'Business Case'!E15*$F484</f>
        <v>595829718.010157</v>
      </c>
      <c r="L484" s="39" t="n">
        <f aca="false">(('Business Case'!F11*$C484*'Business Case'!F12*$B484)-'Business Case'!F11*$C484*'Business Case'!F13*$D484-'Business Case'!F14*$E484)-MAX(0,(('Business Case'!F11*$C484*'Business Case'!F12*$B484)-'Business Case'!F11*$C484*'Business Case'!F13*$D484-'Business Case'!F14*$E484))*'Business Case'!$B$7-'Business Case'!$B$8*(('Business Case'!F11*$C484*'Business Case'!F12*$B484)-('Business Case'!E11*$C484*'Business Case'!E12*$B484))-'Business Case'!F15*$F484</f>
        <v>723403789.972822</v>
      </c>
      <c r="M484" s="39" t="n">
        <f aca="false">(('Business Case'!G11*$C484*'Business Case'!G12*$B484)-'Business Case'!G11*$C484*'Business Case'!G13*$D484-'Business Case'!G14*$E484)-MAX(0,(('Business Case'!G11*$C484*'Business Case'!G12*$B484)-'Business Case'!G11*$C484*'Business Case'!G13*$D484-'Business Case'!G14*$E484))*'Business Case'!$B$7-'Business Case'!$B$8*(('Business Case'!G11*$C484*'Business Case'!G12*$B484)-('Business Case'!F11*$C484*'Business Case'!F12*$B484))-'Business Case'!G15*$F484+'Business Case'!$B$8*('Business Case'!G11*$C484*'Business Case'!G12*$B484)</f>
        <v>911156985.242174</v>
      </c>
      <c r="N484" s="39" t="n">
        <f aca="false">IF(COUNT('Business Case'!B11:G11)=0,"",H484+NPV(G484,I484:M484))</f>
        <v>-659675410.375529</v>
      </c>
      <c r="P484" s="40" t="n">
        <f aca="true">RAND()</f>
        <v>0.214788930226262</v>
      </c>
      <c r="Q484" s="40" t="n">
        <f aca="true">RAND()</f>
        <v>0.795109383859782</v>
      </c>
      <c r="R484" s="40" t="n">
        <f aca="true">RAND()</f>
        <v>0.339092410418398</v>
      </c>
      <c r="S484" s="40" t="n">
        <f aca="true">RAND()</f>
        <v>0.183502801809624</v>
      </c>
      <c r="T484" s="40" t="n">
        <f aca="true">RAND()</f>
        <v>0.794164300010258</v>
      </c>
      <c r="U484" s="40" t="n">
        <f aca="true">RAND()</f>
        <v>0.925419152228813</v>
      </c>
    </row>
    <row r="485" customFormat="false" ht="15" hidden="false" customHeight="false" outlineLevel="0" collapsed="false">
      <c r="A485" s="36" t="n">
        <v>405</v>
      </c>
      <c r="B485" s="37" t="n">
        <f aca="false">1+IF($G$6=$E$6,$F$6,IF(P485&lt;($F$6-$E$6)/($G$6-$E$6),$E$6+SQRT(P485*($G$6-$E$6)*($F$6-$E$6)),$G$6-SQRT((1-P485)*($G$6-$E$6)*($G$6-$F$6))))</f>
        <v>0.937741989342899</v>
      </c>
      <c r="C485" s="37" t="n">
        <f aca="false">1+IF($G$7=$E$7,$F$7,IF(Q485&lt;($F$7-$E$7)/($G$7-$E$7),$E$7+SQRT(Q485*($G$7-$E$7)*($F$7-$E$7)),$G$7-SQRT((1-Q485)*($G$7-$E$7)*($G$7-$F$7))))</f>
        <v>0.796978842377739</v>
      </c>
      <c r="D485" s="37" t="n">
        <f aca="false">1+IF($G$8=$E$8,$F$8,IF(R485&lt;($F$8-$E$8)/($G$8-$E$8),$E$8+SQRT(R485*($G$8-$E$8)*($F$8-$E$8)),$G$8-SQRT((1-R485)*($G$8-$E$8)*($G$8-$F$8))))</f>
        <v>0.998336324555897</v>
      </c>
      <c r="E485" s="37" t="n">
        <f aca="false">1+IF($G$9=$E$9,$F$9,IF(S485&lt;($F$9-$E$9)/($G$9-$E$9),$E$9+SQRT(S485*($G$9-$E$9)*($F$9-$E$9)),$G$9-SQRT((1-S485)*($G$9-$E$9)*($G$9-$F$9))))</f>
        <v>1.02076352391066</v>
      </c>
      <c r="F485" s="37" t="n">
        <f aca="false">1+IF($G$10=$E$10,$F$10,IF(T485&lt;($F$10-$E$10)/($G$10-$E$10),$E$10+SQRT(T485*($G$10-$E$10)*($F$10-$E$10)),$G$10-SQRT((1-T485)*($G$10-$E$10)*($G$10-$F$10))))</f>
        <v>1.02613870070088</v>
      </c>
      <c r="G485" s="38" t="n">
        <f aca="false">IF($G$11=$E$11,$F$11,IF(U485&lt;($F$11-$E$11)/($G$11-$E$11),$E$11+SQRT(U485*($G$11-$E$11)*($F$11-$E$11)),$G$11-SQRT((1-U485)*($G$11-$E$11)*($G$11-$F$11))))</f>
        <v>0.0988526227443339</v>
      </c>
      <c r="H485" s="39" t="n">
        <f aca="false">(('Business Case'!B11*$C485*'Business Case'!B12*$B485)-'Business Case'!B11*$C485*'Business Case'!B13*$D485-'Business Case'!B14*$E485)-MAX(0,(('Business Case'!B11*$C485*'Business Case'!B12*$B485)-'Business Case'!B11*$C485*'Business Case'!B13*$D485-'Business Case'!B14*$E485))*'Business Case'!$B$7-'Business Case'!$B$8*('Business Case'!B11*$C485*'Business Case'!B12*$B485)-'Business Case'!B15*$F485</f>
        <v>-2052277401.40177</v>
      </c>
      <c r="I485" s="39" t="n">
        <f aca="false">(('Business Case'!C11*$C485*'Business Case'!C12*$B485)-'Business Case'!C11*$C485*'Business Case'!C13*$D485-'Business Case'!C14*$E485)-MAX(0,(('Business Case'!C11*$C485*'Business Case'!C12*$B485)-'Business Case'!C11*$C485*'Business Case'!C13*$D485-'Business Case'!C14*$E485))*'Business Case'!$B$7-'Business Case'!$B$8*(('Business Case'!C11*$C485*'Business Case'!C12*$B485)-('Business Case'!B11*$C485*'Business Case'!B12*$B485))-'Business Case'!C15*$F485</f>
        <v>-81678179.793589</v>
      </c>
      <c r="J485" s="39" t="n">
        <f aca="false">(('Business Case'!D11*$C485*'Business Case'!D12*$B485)-'Business Case'!D11*$C485*'Business Case'!D13*$D485-'Business Case'!D14*$E485)-MAX(0,(('Business Case'!D11*$C485*'Business Case'!D12*$B485)-'Business Case'!D11*$C485*'Business Case'!D13*$D485-'Business Case'!D14*$E485))*'Business Case'!$B$7-'Business Case'!$B$8*(('Business Case'!D11*$C485*'Business Case'!D12*$B485)-('Business Case'!C11*$C485*'Business Case'!C12*$B485))-'Business Case'!D15*$F485</f>
        <v>123153253.204994</v>
      </c>
      <c r="K485" s="39" t="n">
        <f aca="false">(('Business Case'!E11*$C485*'Business Case'!E12*$B485)-'Business Case'!E11*$C485*'Business Case'!E13*$D485-'Business Case'!E14*$E485)-MAX(0,(('Business Case'!E11*$C485*'Business Case'!E12*$B485)-'Business Case'!E11*$C485*'Business Case'!E13*$D485-'Business Case'!E14*$E485))*'Business Case'!$B$7-'Business Case'!$B$8*(('Business Case'!E11*$C485*'Business Case'!E12*$B485)-('Business Case'!D11*$C485*'Business Case'!D12*$B485))-'Business Case'!E15*$F485</f>
        <v>379291621.238621</v>
      </c>
      <c r="L485" s="39" t="n">
        <f aca="false">(('Business Case'!F11*$C485*'Business Case'!F12*$B485)-'Business Case'!F11*$C485*'Business Case'!F13*$D485-'Business Case'!F14*$E485)-MAX(0,(('Business Case'!F11*$C485*'Business Case'!F12*$B485)-'Business Case'!F11*$C485*'Business Case'!F13*$D485-'Business Case'!F14*$E485))*'Business Case'!$B$7-'Business Case'!$B$8*(('Business Case'!F11*$C485*'Business Case'!F12*$B485)-('Business Case'!E11*$C485*'Business Case'!E12*$B485))-'Business Case'!F15*$F485</f>
        <v>473397545.319474</v>
      </c>
      <c r="M485" s="39" t="n">
        <f aca="false">(('Business Case'!G11*$C485*'Business Case'!G12*$B485)-'Business Case'!G11*$C485*'Business Case'!G13*$D485-'Business Case'!G14*$E485)-MAX(0,(('Business Case'!G11*$C485*'Business Case'!G12*$B485)-'Business Case'!G11*$C485*'Business Case'!G13*$D485-'Business Case'!G14*$E485))*'Business Case'!$B$7-'Business Case'!$B$8*(('Business Case'!G11*$C485*'Business Case'!G12*$B485)-('Business Case'!F11*$C485*'Business Case'!F12*$B485))-'Business Case'!G15*$F485+'Business Case'!$B$8*('Business Case'!G11*$C485*'Business Case'!G12*$B485)</f>
        <v>615455833.933429</v>
      </c>
      <c r="N485" s="39" t="n">
        <f aca="false">IF(COUNT('Business Case'!B11:G11)=0,"",H485+NPV(G485,I485:M485))</f>
        <v>-1029916203.34121</v>
      </c>
      <c r="P485" s="40" t="n">
        <f aca="true">RAND()</f>
        <v>0.0949638506373016</v>
      </c>
      <c r="Q485" s="40" t="n">
        <f aca="true">RAND()</f>
        <v>0.06966589532538</v>
      </c>
      <c r="R485" s="40" t="n">
        <f aca="true">RAND()</f>
        <v>0.311520036209736</v>
      </c>
      <c r="S485" s="40" t="n">
        <f aca="true">RAND()</f>
        <v>0.554611553280263</v>
      </c>
      <c r="T485" s="40" t="n">
        <f aca="true">RAND()</f>
        <v>0.331814915681482</v>
      </c>
      <c r="U485" s="40" t="n">
        <f aca="true">RAND()</f>
        <v>0.355421384340177</v>
      </c>
    </row>
    <row r="486" customFormat="false" ht="15" hidden="false" customHeight="false" outlineLevel="0" collapsed="false">
      <c r="A486" s="36" t="n">
        <v>406</v>
      </c>
      <c r="B486" s="37" t="n">
        <f aca="false">1+IF($G$6=$E$6,$F$6,IF(P486&lt;($F$6-$E$6)/($G$6-$E$6),$E$6+SQRT(P486*($G$6-$E$6)*($F$6-$E$6)),$G$6-SQRT((1-P486)*($G$6-$E$6)*($G$6-$F$6))))</f>
        <v>1.028641308572</v>
      </c>
      <c r="C486" s="37" t="n">
        <f aca="false">1+IF($G$7=$E$7,$F$7,IF(Q486&lt;($F$7-$E$7)/($G$7-$E$7),$E$7+SQRT(Q486*($G$7-$E$7)*($F$7-$E$7)),$G$7-SQRT((1-Q486)*($G$7-$E$7)*($G$7-$F$7))))</f>
        <v>0.916289233933258</v>
      </c>
      <c r="D486" s="37" t="n">
        <f aca="false">1+IF($G$8=$E$8,$F$8,IF(R486&lt;($F$8-$E$8)/($G$8-$E$8),$E$8+SQRT(R486*($G$8-$E$8)*($F$8-$E$8)),$G$8-SQRT((1-R486)*($G$8-$E$8)*($G$8-$F$8))))</f>
        <v>1.06261129651408</v>
      </c>
      <c r="E486" s="37" t="n">
        <f aca="false">1+IF($G$9=$E$9,$F$9,IF(S486&lt;($F$9-$E$9)/($G$9-$E$9),$E$9+SQRT(S486*($G$9-$E$9)*($F$9-$E$9)),$G$9-SQRT((1-S486)*($G$9-$E$9)*($G$9-$F$9))))</f>
        <v>1.0427053948923</v>
      </c>
      <c r="F486" s="37" t="n">
        <f aca="false">1+IF($G$10=$E$10,$F$10,IF(T486&lt;($F$10-$E$10)/($G$10-$E$10),$E$10+SQRT(T486*($G$10-$E$10)*($F$10-$E$10)),$G$10-SQRT((1-T486)*($G$10-$E$10)*($G$10-$F$10))))</f>
        <v>1.00614644696375</v>
      </c>
      <c r="G486" s="38" t="n">
        <f aca="false">IF($G$11=$E$11,$F$11,IF(U486&lt;($F$11-$E$11)/($G$11-$E$11),$E$11+SQRT(U486*($G$11-$E$11)*($F$11-$E$11)),$G$11-SQRT((1-U486)*($G$11-$E$11)*($G$11-$F$11))))</f>
        <v>0.125174044248538</v>
      </c>
      <c r="H486" s="39" t="n">
        <f aca="false">(('Business Case'!B11*$C486*'Business Case'!B12*$B486)-'Business Case'!B11*$C486*'Business Case'!B13*$D486-'Business Case'!B14*$E486)-MAX(0,(('Business Case'!B11*$C486*'Business Case'!B12*$B486)-'Business Case'!B11*$C486*'Business Case'!B13*$D486-'Business Case'!B14*$E486))*'Business Case'!$B$7-'Business Case'!$B$8*('Business Case'!B11*$C486*'Business Case'!B12*$B486)-'Business Case'!B15*$F486</f>
        <v>-2012292893.9275</v>
      </c>
      <c r="I486" s="39" t="n">
        <f aca="false">(('Business Case'!C11*$C486*'Business Case'!C12*$B486)-'Business Case'!C11*$C486*'Business Case'!C13*$D486-'Business Case'!C14*$E486)-MAX(0,(('Business Case'!C11*$C486*'Business Case'!C12*$B486)-'Business Case'!C11*$C486*'Business Case'!C13*$D486-'Business Case'!C14*$E486))*'Business Case'!$B$7-'Business Case'!$B$8*(('Business Case'!C11*$C486*'Business Case'!C12*$B486)-('Business Case'!B11*$C486*'Business Case'!B12*$B486))-'Business Case'!C15*$F486</f>
        <v>-24181570.6466736</v>
      </c>
      <c r="J486" s="39" t="n">
        <f aca="false">(('Business Case'!D11*$C486*'Business Case'!D12*$B486)-'Business Case'!D11*$C486*'Business Case'!D13*$D486-'Business Case'!D14*$E486)-MAX(0,(('Business Case'!D11*$C486*'Business Case'!D12*$B486)-'Business Case'!D11*$C486*'Business Case'!D13*$D486-'Business Case'!D14*$E486))*'Business Case'!$B$7-'Business Case'!$B$8*(('Business Case'!D11*$C486*'Business Case'!D12*$B486)-('Business Case'!C11*$C486*'Business Case'!C12*$B486))-'Business Case'!D15*$F486</f>
        <v>249385119.028077</v>
      </c>
      <c r="K486" s="39" t="n">
        <f aca="false">(('Business Case'!E11*$C486*'Business Case'!E12*$B486)-'Business Case'!E11*$C486*'Business Case'!E13*$D486-'Business Case'!E14*$E486)-MAX(0,(('Business Case'!E11*$C486*'Business Case'!E12*$B486)-'Business Case'!E11*$C486*'Business Case'!E13*$D486-'Business Case'!E14*$E486))*'Business Case'!$B$7-'Business Case'!$B$8*(('Business Case'!E11*$C486*'Business Case'!E12*$B486)-('Business Case'!D11*$C486*'Business Case'!D12*$B486))-'Business Case'!E15*$F486</f>
        <v>573259131.051015</v>
      </c>
      <c r="L486" s="39" t="n">
        <f aca="false">(('Business Case'!F11*$C486*'Business Case'!F12*$B486)-'Business Case'!F11*$C486*'Business Case'!F13*$D486-'Business Case'!F14*$E486)-MAX(0,(('Business Case'!F11*$C486*'Business Case'!F12*$B486)-'Business Case'!F11*$C486*'Business Case'!F13*$D486-'Business Case'!F14*$E486))*'Business Case'!$B$7-'Business Case'!$B$8*(('Business Case'!F11*$C486*'Business Case'!F12*$B486)-('Business Case'!E11*$C486*'Business Case'!E12*$B486))-'Business Case'!F15*$F486</f>
        <v>697021966.590174</v>
      </c>
      <c r="M486" s="39" t="n">
        <f aca="false">(('Business Case'!G11*$C486*'Business Case'!G12*$B486)-'Business Case'!G11*$C486*'Business Case'!G13*$D486-'Business Case'!G14*$E486)-MAX(0,(('Business Case'!G11*$C486*'Business Case'!G12*$B486)-'Business Case'!G11*$C486*'Business Case'!G13*$D486-'Business Case'!G14*$E486))*'Business Case'!$B$7-'Business Case'!$B$8*(('Business Case'!G11*$C486*'Business Case'!G12*$B486)-('Business Case'!F11*$C486*'Business Case'!F12*$B486))-'Business Case'!G15*$F486+'Business Case'!$B$8*('Business Case'!G11*$C486*'Business Case'!G12*$B486)</f>
        <v>876178630.985178</v>
      </c>
      <c r="N486" s="39" t="n">
        <f aca="false">IF(COUNT('Business Case'!B11:G11)=0,"",H486+NPV(G486,I486:M486))</f>
        <v>-513649642.712562</v>
      </c>
      <c r="P486" s="40" t="n">
        <f aca="true">RAND()</f>
        <v>0.93917417339782</v>
      </c>
      <c r="Q486" s="40" t="n">
        <f aca="true">RAND()</f>
        <v>0.346526168262486</v>
      </c>
      <c r="R486" s="40" t="n">
        <f aca="true">RAND()</f>
        <v>0.906805656776149</v>
      </c>
      <c r="S486" s="40" t="n">
        <f aca="true">RAND()</f>
        <v>0.693009805727514</v>
      </c>
      <c r="T486" s="40" t="n">
        <f aca="true">RAND()</f>
        <v>0.207139262287944</v>
      </c>
      <c r="U486" s="40" t="n">
        <f aca="true">RAND()</f>
        <v>0.984473434056624</v>
      </c>
    </row>
    <row r="487" customFormat="false" ht="15" hidden="false" customHeight="false" outlineLevel="0" collapsed="false">
      <c r="A487" s="36" t="n">
        <v>407</v>
      </c>
      <c r="B487" s="37" t="n">
        <f aca="false">1+IF($G$6=$E$6,$F$6,IF(P487&lt;($F$6-$E$6)/($G$6-$E$6),$E$6+SQRT(P487*($G$6-$E$6)*($F$6-$E$6)),$G$6-SQRT((1-P487)*($G$6-$E$6)*($G$6-$F$6))))</f>
        <v>0.984148916266792</v>
      </c>
      <c r="C487" s="37" t="n">
        <f aca="false">1+IF($G$7=$E$7,$F$7,IF(Q487&lt;($F$7-$E$7)/($G$7-$E$7),$E$7+SQRT(Q487*($G$7-$E$7)*($F$7-$E$7)),$G$7-SQRT((1-Q487)*($G$7-$E$7)*($G$7-$F$7))))</f>
        <v>0.883913729740328</v>
      </c>
      <c r="D487" s="37" t="n">
        <f aca="false">1+IF($G$8=$E$8,$F$8,IF(R487&lt;($F$8-$E$8)/($G$8-$E$8),$E$8+SQRT(R487*($G$8-$E$8)*($F$8-$E$8)),$G$8-SQRT((1-R487)*($G$8-$E$8)*($G$8-$F$8))))</f>
        <v>1.01152226607049</v>
      </c>
      <c r="E487" s="37" t="n">
        <f aca="false">1+IF($G$9=$E$9,$F$9,IF(S487&lt;($F$9-$E$9)/($G$9-$E$9),$E$9+SQRT(S487*($G$9-$E$9)*($F$9-$E$9)),$G$9-SQRT((1-S487)*($G$9-$E$9)*($G$9-$F$9))))</f>
        <v>1.02654485856865</v>
      </c>
      <c r="F487" s="37" t="n">
        <f aca="false">1+IF($G$10=$E$10,$F$10,IF(T487&lt;($F$10-$E$10)/($G$10-$E$10),$E$10+SQRT(T487*($G$10-$E$10)*($F$10-$E$10)),$G$10-SQRT((1-T487)*($G$10-$E$10)*($G$10-$F$10))))</f>
        <v>0.992395144722007</v>
      </c>
      <c r="G487" s="38" t="n">
        <f aca="false">IF($G$11=$E$11,$F$11,IF(U487&lt;($F$11-$E$11)/($G$11-$E$11),$E$11+SQRT(U487*($G$11-$E$11)*($F$11-$E$11)),$G$11-SQRT((1-U487)*($G$11-$E$11)*($G$11-$F$11))))</f>
        <v>0.0996262179464557</v>
      </c>
      <c r="H487" s="39" t="n">
        <f aca="false">(('Business Case'!B11*$C487*'Business Case'!B12*$B487)-'Business Case'!B11*$C487*'Business Case'!B13*$D487-'Business Case'!B14*$E487)-MAX(0,(('Business Case'!B11*$C487*'Business Case'!B12*$B487)-'Business Case'!B11*$C487*'Business Case'!B13*$D487-'Business Case'!B14*$E487))*'Business Case'!$B$7-'Business Case'!$B$8*('Business Case'!B11*$C487*'Business Case'!B12*$B487)-'Business Case'!B15*$F487</f>
        <v>-1984790289.44401</v>
      </c>
      <c r="I487" s="39" t="n">
        <f aca="false">(('Business Case'!C11*$C487*'Business Case'!C12*$B487)-'Business Case'!C11*$C487*'Business Case'!C13*$D487-'Business Case'!C14*$E487)-MAX(0,(('Business Case'!C11*$C487*'Business Case'!C12*$B487)-'Business Case'!C11*$C487*'Business Case'!C13*$D487-'Business Case'!C14*$E487))*'Business Case'!$B$7-'Business Case'!$B$8*(('Business Case'!C11*$C487*'Business Case'!C12*$B487)-('Business Case'!B11*$C487*'Business Case'!B12*$B487))-'Business Case'!C15*$F487</f>
        <v>-35503837.5732335</v>
      </c>
      <c r="J487" s="39" t="n">
        <f aca="false">(('Business Case'!D11*$C487*'Business Case'!D12*$B487)-'Business Case'!D11*$C487*'Business Case'!D13*$D487-'Business Case'!D14*$E487)-MAX(0,(('Business Case'!D11*$C487*'Business Case'!D12*$B487)-'Business Case'!D11*$C487*'Business Case'!D13*$D487-'Business Case'!D14*$E487))*'Business Case'!$B$7-'Business Case'!$B$8*(('Business Case'!D11*$C487*'Business Case'!D12*$B487)-('Business Case'!C11*$C487*'Business Case'!C12*$B487))-'Business Case'!D15*$F487</f>
        <v>219302276.214183</v>
      </c>
      <c r="K487" s="39" t="n">
        <f aca="false">(('Business Case'!E11*$C487*'Business Case'!E12*$B487)-'Business Case'!E11*$C487*'Business Case'!E13*$D487-'Business Case'!E14*$E487)-MAX(0,(('Business Case'!E11*$C487*'Business Case'!E12*$B487)-'Business Case'!E11*$C487*'Business Case'!E13*$D487-'Business Case'!E14*$E487))*'Business Case'!$B$7-'Business Case'!$B$8*(('Business Case'!E11*$C487*'Business Case'!E12*$B487)-('Business Case'!D11*$C487*'Business Case'!D12*$B487))-'Business Case'!E15*$F487</f>
        <v>523728147.2377</v>
      </c>
      <c r="L487" s="39" t="n">
        <f aca="false">(('Business Case'!F11*$C487*'Business Case'!F12*$B487)-'Business Case'!F11*$C487*'Business Case'!F13*$D487-'Business Case'!F14*$E487)-MAX(0,(('Business Case'!F11*$C487*'Business Case'!F12*$B487)-'Business Case'!F11*$C487*'Business Case'!F13*$D487-'Business Case'!F14*$E487))*'Business Case'!$B$7-'Business Case'!$B$8*(('Business Case'!F11*$C487*'Business Case'!F12*$B487)-('Business Case'!E11*$C487*'Business Case'!E12*$B487))-'Business Case'!F15*$F487</f>
        <v>638727357.16683</v>
      </c>
      <c r="M487" s="39" t="n">
        <f aca="false">(('Business Case'!G11*$C487*'Business Case'!G12*$B487)-'Business Case'!G11*$C487*'Business Case'!G13*$D487-'Business Case'!G14*$E487)-MAX(0,(('Business Case'!G11*$C487*'Business Case'!G12*$B487)-'Business Case'!G11*$C487*'Business Case'!G13*$D487-'Business Case'!G14*$E487))*'Business Case'!$B$7-'Business Case'!$B$8*(('Business Case'!G11*$C487*'Business Case'!G12*$B487)-('Business Case'!F11*$C487*'Business Case'!F12*$B487))-'Business Case'!G15*$F487+'Business Case'!$B$8*('Business Case'!G11*$C487*'Business Case'!G12*$B487)</f>
        <v>804078469.83345</v>
      </c>
      <c r="N487" s="39" t="n">
        <f aca="false">IF(COUNT('Business Case'!B11:G11)=0,"",H487+NPV(G487,I487:M487))</f>
        <v>-504855142.33016</v>
      </c>
      <c r="P487" s="40" t="n">
        <f aca="true">RAND()</f>
        <v>0.472069340591701</v>
      </c>
      <c r="Q487" s="40" t="n">
        <f aca="true">RAND()</f>
        <v>0.250550073977766</v>
      </c>
      <c r="R487" s="40" t="n">
        <f aca="true">RAND()</f>
        <v>0.478112706579973</v>
      </c>
      <c r="S487" s="40" t="n">
        <f aca="true">RAND()</f>
        <v>0.593568748111094</v>
      </c>
      <c r="T487" s="40" t="n">
        <f aca="true">RAND()</f>
        <v>0.119823219733325</v>
      </c>
      <c r="U487" s="40" t="n">
        <f aca="true">RAND()</f>
        <v>0.385188430881778</v>
      </c>
    </row>
    <row r="488" customFormat="false" ht="15" hidden="false" customHeight="false" outlineLevel="0" collapsed="false">
      <c r="A488" s="36" t="n">
        <v>408</v>
      </c>
      <c r="B488" s="37" t="n">
        <f aca="false">1+IF($G$6=$E$6,$F$6,IF(P488&lt;($F$6-$E$6)/($G$6-$E$6),$E$6+SQRT(P488*($G$6-$E$6)*($F$6-$E$6)),$G$6-SQRT((1-P488)*($G$6-$E$6)*($G$6-$F$6))))</f>
        <v>1.01757419013312</v>
      </c>
      <c r="C488" s="37" t="n">
        <f aca="false">1+IF($G$7=$E$7,$F$7,IF(Q488&lt;($F$7-$E$7)/($G$7-$E$7),$E$7+SQRT(Q488*($G$7-$E$7)*($F$7-$E$7)),$G$7-SQRT((1-Q488)*($G$7-$E$7)*($G$7-$F$7))))</f>
        <v>0.924882707686505</v>
      </c>
      <c r="D488" s="37" t="n">
        <f aca="false">1+IF($G$8=$E$8,$F$8,IF(R488&lt;($F$8-$E$8)/($G$8-$E$8),$E$8+SQRT(R488*($G$8-$E$8)*($F$8-$E$8)),$G$8-SQRT((1-R488)*($G$8-$E$8)*($G$8-$F$8))))</f>
        <v>1.04288924048663</v>
      </c>
      <c r="E488" s="37" t="n">
        <f aca="false">1+IF($G$9=$E$9,$F$9,IF(S488&lt;($F$9-$E$9)/($G$9-$E$9),$E$9+SQRT(S488*($G$9-$E$9)*($F$9-$E$9)),$G$9-SQRT((1-S488)*($G$9-$E$9)*($G$9-$F$9))))</f>
        <v>1.01155484305426</v>
      </c>
      <c r="F488" s="37" t="n">
        <f aca="false">1+IF($G$10=$E$10,$F$10,IF(T488&lt;($F$10-$E$10)/($G$10-$E$10),$E$10+SQRT(T488*($G$10-$E$10)*($F$10-$E$10)),$G$10-SQRT((1-T488)*($G$10-$E$10)*($G$10-$F$10))))</f>
        <v>0.999975958435265</v>
      </c>
      <c r="G488" s="38" t="n">
        <f aca="false">IF($G$11=$E$11,$F$11,IF(U488&lt;($F$11-$E$11)/($G$11-$E$11),$E$11+SQRT(U488*($G$11-$E$11)*($F$11-$E$11)),$G$11-SQRT((1-U488)*($G$11-$E$11)*($G$11-$F$11))))</f>
        <v>0.11538688917199</v>
      </c>
      <c r="H488" s="39" t="n">
        <f aca="false">(('Business Case'!B11*$C488*'Business Case'!B12*$B488)-'Business Case'!B11*$C488*'Business Case'!B13*$D488-'Business Case'!B14*$E488)-MAX(0,(('Business Case'!B11*$C488*'Business Case'!B12*$B488)-'Business Case'!B11*$C488*'Business Case'!B13*$D488-'Business Case'!B14*$E488))*'Business Case'!$B$7-'Business Case'!$B$8*('Business Case'!B11*$C488*'Business Case'!B12*$B488)-'Business Case'!B15*$F488</f>
        <v>-1999951916.87053</v>
      </c>
      <c r="I488" s="39" t="n">
        <f aca="false">(('Business Case'!C11*$C488*'Business Case'!C12*$B488)-'Business Case'!C11*$C488*'Business Case'!C13*$D488-'Business Case'!C14*$E488)-MAX(0,(('Business Case'!C11*$C488*'Business Case'!C12*$B488)-'Business Case'!C11*$C488*'Business Case'!C13*$D488-'Business Case'!C14*$E488))*'Business Case'!$B$7-'Business Case'!$B$8*(('Business Case'!C11*$C488*'Business Case'!C12*$B488)-('Business Case'!B11*$C488*'Business Case'!B12*$B488))-'Business Case'!C15*$F488</f>
        <v>-15542997.4408285</v>
      </c>
      <c r="J488" s="39" t="n">
        <f aca="false">(('Business Case'!D11*$C488*'Business Case'!D12*$B488)-'Business Case'!D11*$C488*'Business Case'!D13*$D488-'Business Case'!D14*$E488)-MAX(0,(('Business Case'!D11*$C488*'Business Case'!D12*$B488)-'Business Case'!D11*$C488*'Business Case'!D13*$D488-'Business Case'!D14*$E488))*'Business Case'!$B$7-'Business Case'!$B$8*(('Business Case'!D11*$C488*'Business Case'!D12*$B488)-('Business Case'!C11*$C488*'Business Case'!C12*$B488))-'Business Case'!D15*$F488</f>
        <v>261543229.917222</v>
      </c>
      <c r="K488" s="39" t="n">
        <f aca="false">(('Business Case'!E11*$C488*'Business Case'!E12*$B488)-'Business Case'!E11*$C488*'Business Case'!E13*$D488-'Business Case'!E14*$E488)-MAX(0,(('Business Case'!E11*$C488*'Business Case'!E12*$B488)-'Business Case'!E11*$C488*'Business Case'!E13*$D488-'Business Case'!E14*$E488))*'Business Case'!$B$7-'Business Case'!$B$8*(('Business Case'!E11*$C488*'Business Case'!E12*$B488)-('Business Case'!D11*$C488*'Business Case'!D12*$B488))-'Business Case'!E15*$F488</f>
        <v>588628255.197035</v>
      </c>
      <c r="L488" s="39" t="n">
        <f aca="false">(('Business Case'!F11*$C488*'Business Case'!F12*$B488)-'Business Case'!F11*$C488*'Business Case'!F13*$D488-'Business Case'!F14*$E488)-MAX(0,(('Business Case'!F11*$C488*'Business Case'!F12*$B488)-'Business Case'!F11*$C488*'Business Case'!F13*$D488-'Business Case'!F14*$E488))*'Business Case'!$B$7-'Business Case'!$B$8*(('Business Case'!F11*$C488*'Business Case'!F12*$B488)-('Business Case'!E11*$C488*'Business Case'!E12*$B488))-'Business Case'!F15*$F488</f>
        <v>713516017.831744</v>
      </c>
      <c r="M488" s="39" t="n">
        <f aca="false">(('Business Case'!G11*$C488*'Business Case'!G12*$B488)-'Business Case'!G11*$C488*'Business Case'!G13*$D488-'Business Case'!G14*$E488)-MAX(0,(('Business Case'!G11*$C488*'Business Case'!G12*$B488)-'Business Case'!G11*$C488*'Business Case'!G13*$D488-'Business Case'!G14*$E488))*'Business Case'!$B$7-'Business Case'!$B$8*(('Business Case'!G11*$C488*'Business Case'!G12*$B488)-('Business Case'!F11*$C488*'Business Case'!F12*$B488))-'Business Case'!G15*$F488+'Business Case'!$B$8*('Business Case'!G11*$C488*'Business Case'!G12*$B488)</f>
        <v>892407295.499546</v>
      </c>
      <c r="N488" s="39" t="n">
        <f aca="false">IF(COUNT('Business Case'!B11:G11)=0,"",H488+NPV(G488,I488:M488))</f>
        <v>-401529010.289043</v>
      </c>
      <c r="P488" s="40" t="n">
        <f aca="true">RAND()</f>
        <v>0.859808913930298</v>
      </c>
      <c r="Q488" s="40" t="n">
        <f aca="true">RAND()</f>
        <v>0.374609127528994</v>
      </c>
      <c r="R488" s="40" t="n">
        <f aca="true">RAND()</f>
        <v>0.782557409853738</v>
      </c>
      <c r="S488" s="40" t="n">
        <f aca="true">RAND()</f>
        <v>0.488878360487153</v>
      </c>
      <c r="T488" s="40" t="n">
        <f aca="true">RAND()</f>
        <v>0.166506428101555</v>
      </c>
      <c r="U488" s="40" t="n">
        <f aca="true">RAND()</f>
        <v>0.857637994618856</v>
      </c>
    </row>
    <row r="489" customFormat="false" ht="15" hidden="false" customHeight="false" outlineLevel="0" collapsed="false">
      <c r="A489" s="36" t="n">
        <v>409</v>
      </c>
      <c r="B489" s="37" t="n">
        <f aca="false">1+IF($G$6=$E$6,$F$6,IF(P489&lt;($F$6-$E$6)/($G$6-$E$6),$E$6+SQRT(P489*($G$6-$E$6)*($F$6-$E$6)),$G$6-SQRT((1-P489)*($G$6-$E$6)*($G$6-$F$6))))</f>
        <v>0.939770688280628</v>
      </c>
      <c r="C489" s="37" t="n">
        <f aca="false">1+IF($G$7=$E$7,$F$7,IF(Q489&lt;($F$7-$E$7)/($G$7-$E$7),$E$7+SQRT(Q489*($G$7-$E$7)*($F$7-$E$7)),$G$7-SQRT((1-Q489)*($G$7-$E$7)*($G$7-$F$7))))</f>
        <v>1.01164143288478</v>
      </c>
      <c r="D489" s="37" t="n">
        <f aca="false">1+IF($G$8=$E$8,$F$8,IF(R489&lt;($F$8-$E$8)/($G$8-$E$8),$E$8+SQRT(R489*($G$8-$E$8)*($F$8-$E$8)),$G$8-SQRT((1-R489)*($G$8-$E$8)*($G$8-$F$8))))</f>
        <v>1.00670678872886</v>
      </c>
      <c r="E489" s="37" t="n">
        <f aca="false">1+IF($G$9=$E$9,$F$9,IF(S489&lt;($F$9-$E$9)/($G$9-$E$9),$E$9+SQRT(S489*($G$9-$E$9)*($F$9-$E$9)),$G$9-SQRT((1-S489)*($G$9-$E$9)*($G$9-$F$9))))</f>
        <v>0.99914379699435</v>
      </c>
      <c r="F489" s="37" t="n">
        <f aca="false">1+IF($G$10=$E$10,$F$10,IF(T489&lt;($F$10-$E$10)/($G$10-$E$10),$E$10+SQRT(T489*($G$10-$E$10)*($F$10-$E$10)),$G$10-SQRT((1-T489)*($G$10-$E$10)*($G$10-$F$10))))</f>
        <v>1.05866774567237</v>
      </c>
      <c r="G489" s="38" t="n">
        <f aca="false">IF($G$11=$E$11,$F$11,IF(U489&lt;($F$11-$E$11)/($G$11-$E$11),$E$11+SQRT(U489*($G$11-$E$11)*($F$11-$E$11)),$G$11-SQRT((1-U489)*($G$11-$E$11)*($G$11-$F$11))))</f>
        <v>0.106080702083945</v>
      </c>
      <c r="H489" s="39" t="n">
        <f aca="false">(('Business Case'!B11*$C489*'Business Case'!B12*$B489)-'Business Case'!B11*$C489*'Business Case'!B13*$D489-'Business Case'!B14*$E489)-MAX(0,(('Business Case'!B11*$C489*'Business Case'!B12*$B489)-'Business Case'!B11*$C489*'Business Case'!B13*$D489-'Business Case'!B14*$E489))*'Business Case'!$B$7-'Business Case'!$B$8*('Business Case'!B11*$C489*'Business Case'!B12*$B489)-'Business Case'!B15*$F489</f>
        <v>-2117335491.34475</v>
      </c>
      <c r="I489" s="39" t="n">
        <f aca="false">(('Business Case'!C11*$C489*'Business Case'!C12*$B489)-'Business Case'!C11*$C489*'Business Case'!C13*$D489-'Business Case'!C14*$E489)-MAX(0,(('Business Case'!C11*$C489*'Business Case'!C12*$B489)-'Business Case'!C11*$C489*'Business Case'!C13*$D489-'Business Case'!C14*$E489))*'Business Case'!$B$7-'Business Case'!$B$8*(('Business Case'!C11*$C489*'Business Case'!C12*$B489)-('Business Case'!B11*$C489*'Business Case'!B12*$B489))-'Business Case'!C15*$F489</f>
        <v>-39881937.4801409</v>
      </c>
      <c r="J489" s="39" t="n">
        <f aca="false">(('Business Case'!D11*$C489*'Business Case'!D12*$B489)-'Business Case'!D11*$C489*'Business Case'!D13*$D489-'Business Case'!D14*$E489)-MAX(0,(('Business Case'!D11*$C489*'Business Case'!D12*$B489)-'Business Case'!D11*$C489*'Business Case'!D13*$D489-'Business Case'!D14*$E489))*'Business Case'!$B$7-'Business Case'!$B$8*(('Business Case'!D11*$C489*'Business Case'!D12*$B489)-('Business Case'!C11*$C489*'Business Case'!C12*$B489))-'Business Case'!D15*$F489</f>
        <v>217466004.000161</v>
      </c>
      <c r="K489" s="39" t="n">
        <f aca="false">(('Business Case'!E11*$C489*'Business Case'!E12*$B489)-'Business Case'!E11*$C489*'Business Case'!E13*$D489-'Business Case'!E14*$E489)-MAX(0,(('Business Case'!E11*$C489*'Business Case'!E12*$B489)-'Business Case'!E11*$C489*'Business Case'!E13*$D489-'Business Case'!E14*$E489))*'Business Case'!$B$7-'Business Case'!$B$8*(('Business Case'!E11*$C489*'Business Case'!E12*$B489)-('Business Case'!D11*$C489*'Business Case'!D12*$B489))-'Business Case'!E15*$F489</f>
        <v>527747332.764082</v>
      </c>
      <c r="L489" s="39" t="n">
        <f aca="false">(('Business Case'!F11*$C489*'Business Case'!F12*$B489)-'Business Case'!F11*$C489*'Business Case'!F13*$D489-'Business Case'!F14*$E489)-MAX(0,(('Business Case'!F11*$C489*'Business Case'!F12*$B489)-'Business Case'!F11*$C489*'Business Case'!F13*$D489-'Business Case'!F14*$E489))*'Business Case'!$B$7-'Business Case'!$B$8*(('Business Case'!F11*$C489*'Business Case'!F12*$B489)-('Business Case'!E11*$C489*'Business Case'!E12*$B489))-'Business Case'!F15*$F489</f>
        <v>646386550.897922</v>
      </c>
      <c r="M489" s="39" t="n">
        <f aca="false">(('Business Case'!G11*$C489*'Business Case'!G12*$B489)-'Business Case'!G11*$C489*'Business Case'!G13*$D489-'Business Case'!G14*$E489)-MAX(0,(('Business Case'!G11*$C489*'Business Case'!G12*$B489)-'Business Case'!G11*$C489*'Business Case'!G13*$D489-'Business Case'!G14*$E489))*'Business Case'!$B$7-'Business Case'!$B$8*(('Business Case'!G11*$C489*'Business Case'!G12*$B489)-('Business Case'!F11*$C489*'Business Case'!F12*$B489))-'Business Case'!G15*$F489+'Business Case'!$B$8*('Business Case'!G11*$C489*'Business Case'!G12*$B489)</f>
        <v>827097691.25349</v>
      </c>
      <c r="N489" s="39" t="n">
        <f aca="false">IF(COUNT('Business Case'!B11:G11)=0,"",H489+NPV(G489,I489:M489))</f>
        <v>-654175848.837481</v>
      </c>
      <c r="P489" s="40" t="n">
        <f aca="true">RAND()</f>
        <v>0.105447176420993</v>
      </c>
      <c r="Q489" s="40" t="n">
        <f aca="true">RAND()</f>
        <v>0.716398620827029</v>
      </c>
      <c r="R489" s="40" t="n">
        <f aca="true">RAND()</f>
        <v>0.419758448714542</v>
      </c>
      <c r="S489" s="40" t="n">
        <f aca="true">RAND()</f>
        <v>0.393179699298278</v>
      </c>
      <c r="T489" s="40" t="n">
        <f aca="true">RAND()</f>
        <v>0.511892912718774</v>
      </c>
      <c r="U489" s="40" t="n">
        <f aca="true">RAND()</f>
        <v>0.618578124802005</v>
      </c>
    </row>
    <row r="490" customFormat="false" ht="15" hidden="false" customHeight="false" outlineLevel="0" collapsed="false">
      <c r="A490" s="36" t="n">
        <v>410</v>
      </c>
      <c r="B490" s="37" t="n">
        <f aca="false">1+IF($G$6=$E$6,$F$6,IF(P490&lt;($F$6-$E$6)/($G$6-$E$6),$E$6+SQRT(P490*($G$6-$E$6)*($F$6-$E$6)),$G$6-SQRT((1-P490)*($G$6-$E$6)*($G$6-$F$6))))</f>
        <v>0.964105198578238</v>
      </c>
      <c r="C490" s="37" t="n">
        <f aca="false">1+IF($G$7=$E$7,$F$7,IF(Q490&lt;($F$7-$E$7)/($G$7-$E$7),$E$7+SQRT(Q490*($G$7-$E$7)*($F$7-$E$7)),$G$7-SQRT((1-Q490)*($G$7-$E$7)*($G$7-$F$7))))</f>
        <v>0.942960330454108</v>
      </c>
      <c r="D490" s="37" t="n">
        <f aca="false">1+IF($G$8=$E$8,$F$8,IF(R490&lt;($F$8-$E$8)/($G$8-$E$8),$E$8+SQRT(R490*($G$8-$E$8)*($F$8-$E$8)),$G$8-SQRT((1-R490)*($G$8-$E$8)*($G$8-$F$8))))</f>
        <v>1.03600330960336</v>
      </c>
      <c r="E490" s="37" t="n">
        <f aca="false">1+IF($G$9=$E$9,$F$9,IF(S490&lt;($F$9-$E$9)/($G$9-$E$9),$E$9+SQRT(S490*($G$9-$E$9)*($F$9-$E$9)),$G$9-SQRT((1-S490)*($G$9-$E$9)*($G$9-$F$9))))</f>
        <v>1.02830219523336</v>
      </c>
      <c r="F490" s="37" t="n">
        <f aca="false">1+IF($G$10=$E$10,$F$10,IF(T490&lt;($F$10-$E$10)/($G$10-$E$10),$E$10+SQRT(T490*($G$10-$E$10)*($F$10-$E$10)),$G$10-SQRT((1-T490)*($G$10-$E$10)*($G$10-$F$10))))</f>
        <v>1.09487538262799</v>
      </c>
      <c r="G490" s="38" t="n">
        <f aca="false">IF($G$11=$E$11,$F$11,IF(U490&lt;($F$11-$E$11)/($G$11-$E$11),$E$11+SQRT(U490*($G$11-$E$11)*($F$11-$E$11)),$G$11-SQRT((1-U490)*($G$11-$E$11)*($G$11-$F$11))))</f>
        <v>0.0877356913776349</v>
      </c>
      <c r="H490" s="39" t="n">
        <f aca="false">(('Business Case'!B11*$C490*'Business Case'!B12*$B490)-'Business Case'!B11*$C490*'Business Case'!B13*$D490-'Business Case'!B14*$E490)-MAX(0,(('Business Case'!B11*$C490*'Business Case'!B12*$B490)-'Business Case'!B11*$C490*'Business Case'!B13*$D490-'Business Case'!B14*$E490))*'Business Case'!$B$7-'Business Case'!$B$8*('Business Case'!B11*$C490*'Business Case'!B12*$B490)-'Business Case'!B15*$F490</f>
        <v>-2189750765.25597</v>
      </c>
      <c r="I490" s="39" t="n">
        <f aca="false">(('Business Case'!C11*$C490*'Business Case'!C12*$B490)-'Business Case'!C11*$C490*'Business Case'!C13*$D490-'Business Case'!C14*$E490)-MAX(0,(('Business Case'!C11*$C490*'Business Case'!C12*$B490)-'Business Case'!C11*$C490*'Business Case'!C13*$D490-'Business Case'!C14*$E490))*'Business Case'!$B$7-'Business Case'!$B$8*(('Business Case'!C11*$C490*'Business Case'!C12*$B490)-('Business Case'!B11*$C490*'Business Case'!B12*$B490))-'Business Case'!C15*$F490</f>
        <v>-58311337.5370157</v>
      </c>
      <c r="J490" s="39" t="n">
        <f aca="false">(('Business Case'!D11*$C490*'Business Case'!D12*$B490)-'Business Case'!D11*$C490*'Business Case'!D13*$D490-'Business Case'!D14*$E490)-MAX(0,(('Business Case'!D11*$C490*'Business Case'!D12*$B490)-'Business Case'!D11*$C490*'Business Case'!D13*$D490-'Business Case'!D14*$E490))*'Business Case'!$B$7-'Business Case'!$B$8*(('Business Case'!D11*$C490*'Business Case'!D12*$B490)-('Business Case'!C11*$C490*'Business Case'!C12*$B490))-'Business Case'!D15*$F490</f>
        <v>186217851.023368</v>
      </c>
      <c r="K490" s="39" t="n">
        <f aca="false">(('Business Case'!E11*$C490*'Business Case'!E12*$B490)-'Business Case'!E11*$C490*'Business Case'!E13*$D490-'Business Case'!E14*$E490)-MAX(0,(('Business Case'!E11*$C490*'Business Case'!E12*$B490)-'Business Case'!E11*$C490*'Business Case'!E13*$D490-'Business Case'!E14*$E490))*'Business Case'!$B$7-'Business Case'!$B$8*(('Business Case'!E11*$C490*'Business Case'!E12*$B490)-('Business Case'!D11*$C490*'Business Case'!D12*$B490))-'Business Case'!E15*$F490</f>
        <v>485490808.715151</v>
      </c>
      <c r="L490" s="39" t="n">
        <f aca="false">(('Business Case'!F11*$C490*'Business Case'!F12*$B490)-'Business Case'!F11*$C490*'Business Case'!F13*$D490-'Business Case'!F14*$E490)-MAX(0,(('Business Case'!F11*$C490*'Business Case'!F12*$B490)-'Business Case'!F11*$C490*'Business Case'!F13*$D490-'Business Case'!F14*$E490))*'Business Case'!$B$7-'Business Case'!$B$8*(('Business Case'!F11*$C490*'Business Case'!F12*$B490)-('Business Case'!E11*$C490*'Business Case'!E12*$B490))-'Business Case'!F15*$F490</f>
        <v>598419482.016891</v>
      </c>
      <c r="M490" s="39" t="n">
        <f aca="false">(('Business Case'!G11*$C490*'Business Case'!G12*$B490)-'Business Case'!G11*$C490*'Business Case'!G13*$D490-'Business Case'!G14*$E490)-MAX(0,(('Business Case'!G11*$C490*'Business Case'!G12*$B490)-'Business Case'!G11*$C490*'Business Case'!G13*$D490-'Business Case'!G14*$E490))*'Business Case'!$B$7-'Business Case'!$B$8*(('Business Case'!G11*$C490*'Business Case'!G12*$B490)-('Business Case'!F11*$C490*'Business Case'!F12*$B490))-'Business Case'!G15*$F490+'Business Case'!$B$8*('Business Case'!G11*$C490*'Business Case'!G12*$B490)</f>
        <v>771223672.815756</v>
      </c>
      <c r="N490" s="39" t="n">
        <f aca="false">IF(COUNT('Business Case'!B11:G11)=0,"",H490+NPV(G490,I490:M490))</f>
        <v>-774777852.092753</v>
      </c>
      <c r="P490" s="40" t="n">
        <f aca="true">RAND()</f>
        <v>0.273965098983689</v>
      </c>
      <c r="Q490" s="40" t="n">
        <f aca="true">RAND()</f>
        <v>0.437257201291626</v>
      </c>
      <c r="R490" s="40" t="n">
        <f aca="true">RAND()</f>
        <v>0.726961574551784</v>
      </c>
      <c r="S490" s="40" t="n">
        <f aca="true">RAND()</f>
        <v>0.605057181732791</v>
      </c>
      <c r="T490" s="40" t="n">
        <f aca="true">RAND()</f>
        <v>0.679151374469149</v>
      </c>
      <c r="U490" s="40" t="n">
        <f aca="true">RAND()</f>
        <v>0.0598409210900142</v>
      </c>
    </row>
    <row r="491" customFormat="false" ht="15" hidden="false" customHeight="false" outlineLevel="0" collapsed="false">
      <c r="A491" s="36" t="n">
        <v>411</v>
      </c>
      <c r="B491" s="37" t="n">
        <f aca="false">1+IF($G$6=$E$6,$F$6,IF(P491&lt;($F$6-$E$6)/($G$6-$E$6),$E$6+SQRT(P491*($G$6-$E$6)*($F$6-$E$6)),$G$6-SQRT((1-P491)*($G$6-$E$6)*($G$6-$F$6))))</f>
        <v>1.04962202089692</v>
      </c>
      <c r="C491" s="37" t="n">
        <f aca="false">1+IF($G$7=$E$7,$F$7,IF(Q491&lt;($F$7-$E$7)/($G$7-$E$7),$E$7+SQRT(Q491*($G$7-$E$7)*($F$7-$E$7)),$G$7-SQRT((1-Q491)*($G$7-$E$7)*($G$7-$F$7))))</f>
        <v>0.973934365676945</v>
      </c>
      <c r="D491" s="37" t="n">
        <f aca="false">1+IF($G$8=$E$8,$F$8,IF(R491&lt;($F$8-$E$8)/($G$8-$E$8),$E$8+SQRT(R491*($G$8-$E$8)*($F$8-$E$8)),$G$8-SQRT((1-R491)*($G$8-$E$8)*($G$8-$F$8))))</f>
        <v>0.997216682712072</v>
      </c>
      <c r="E491" s="37" t="n">
        <f aca="false">1+IF($G$9=$E$9,$F$9,IF(S491&lt;($F$9-$E$9)/($G$9-$E$9),$E$9+SQRT(S491*($G$9-$E$9)*($F$9-$E$9)),$G$9-SQRT((1-S491)*($G$9-$E$9)*($G$9-$F$9))))</f>
        <v>1.06242674238979</v>
      </c>
      <c r="F491" s="37" t="n">
        <f aca="false">1+IF($G$10=$E$10,$F$10,IF(T491&lt;($F$10-$E$10)/($G$10-$E$10),$E$10+SQRT(T491*($G$10-$E$10)*($F$10-$E$10)),$G$10-SQRT((1-T491)*($G$10-$E$10)*($G$10-$F$10))))</f>
        <v>1.12857769859476</v>
      </c>
      <c r="G491" s="38" t="n">
        <f aca="false">IF($G$11=$E$11,$F$11,IF(U491&lt;($F$11-$E$11)/($G$11-$E$11),$E$11+SQRT(U491*($G$11-$E$11)*($F$11-$E$11)),$G$11-SQRT((1-U491)*($G$11-$E$11)*($G$11-$F$11))))</f>
        <v>0.102221984061032</v>
      </c>
      <c r="H491" s="39" t="n">
        <f aca="false">(('Business Case'!B11*$C491*'Business Case'!B12*$B491)-'Business Case'!B11*$C491*'Business Case'!B13*$D491-'Business Case'!B14*$E491)-MAX(0,(('Business Case'!B11*$C491*'Business Case'!B12*$B491)-'Business Case'!B11*$C491*'Business Case'!B13*$D491-'Business Case'!B14*$E491))*'Business Case'!$B$7-'Business Case'!$B$8*('Business Case'!B11*$C491*'Business Case'!B12*$B491)-'Business Case'!B15*$F491</f>
        <v>-2257155397.18951</v>
      </c>
      <c r="I491" s="39" t="n">
        <f aca="false">(('Business Case'!C11*$C491*'Business Case'!C12*$B491)-'Business Case'!C11*$C491*'Business Case'!C13*$D491-'Business Case'!C14*$E491)-MAX(0,(('Business Case'!C11*$C491*'Business Case'!C12*$B491)-'Business Case'!C11*$C491*'Business Case'!C13*$D491-'Business Case'!C14*$E491))*'Business Case'!$B$7-'Business Case'!$B$8*(('Business Case'!C11*$C491*'Business Case'!C12*$B491)-('Business Case'!B11*$C491*'Business Case'!B12*$B491))-'Business Case'!C15*$F491</f>
        <v>23189216.5520555</v>
      </c>
      <c r="J491" s="39" t="n">
        <f aca="false">(('Business Case'!D11*$C491*'Business Case'!D12*$B491)-'Business Case'!D11*$C491*'Business Case'!D13*$D491-'Business Case'!D14*$E491)-MAX(0,(('Business Case'!D11*$C491*'Business Case'!D12*$B491)-'Business Case'!D11*$C491*'Business Case'!D13*$D491-'Business Case'!D14*$E491))*'Business Case'!$B$7-'Business Case'!$B$8*(('Business Case'!D11*$C491*'Business Case'!D12*$B491)-('Business Case'!C11*$C491*'Business Case'!C12*$B491))-'Business Case'!D15*$F491</f>
        <v>363307397.428661</v>
      </c>
      <c r="K491" s="39" t="n">
        <f aca="false">(('Business Case'!E11*$C491*'Business Case'!E12*$B491)-'Business Case'!E11*$C491*'Business Case'!E13*$D491-'Business Case'!E14*$E491)-MAX(0,(('Business Case'!E11*$C491*'Business Case'!E12*$B491)-'Business Case'!E11*$C491*'Business Case'!E13*$D491-'Business Case'!E14*$E491))*'Business Case'!$B$7-'Business Case'!$B$8*(('Business Case'!E11*$C491*'Business Case'!E12*$B491)-('Business Case'!D11*$C491*'Business Case'!D12*$B491))-'Business Case'!E15*$F491</f>
        <v>759854463.235004</v>
      </c>
      <c r="L491" s="39" t="n">
        <f aca="false">(('Business Case'!F11*$C491*'Business Case'!F12*$B491)-'Business Case'!F11*$C491*'Business Case'!F13*$D491-'Business Case'!F14*$E491)-MAX(0,(('Business Case'!F11*$C491*'Business Case'!F12*$B491)-'Business Case'!F11*$C491*'Business Case'!F13*$D491-'Business Case'!F14*$E491))*'Business Case'!$B$7-'Business Case'!$B$8*(('Business Case'!F11*$C491*'Business Case'!F12*$B491)-('Business Case'!E11*$C491*'Business Case'!E12*$B491))-'Business Case'!F15*$F491</f>
        <v>908556597.992036</v>
      </c>
      <c r="M491" s="39" t="n">
        <f aca="false">(('Business Case'!G11*$C491*'Business Case'!G12*$B491)-'Business Case'!G11*$C491*'Business Case'!G13*$D491-'Business Case'!G14*$E491)-MAX(0,(('Business Case'!G11*$C491*'Business Case'!G12*$B491)-'Business Case'!G11*$C491*'Business Case'!G13*$D491-'Business Case'!G14*$E491))*'Business Case'!$B$7-'Business Case'!$B$8*(('Business Case'!G11*$C491*'Business Case'!G12*$B491)-('Business Case'!F11*$C491*'Business Case'!F12*$B491))-'Business Case'!G15*$F491+'Business Case'!$B$8*('Business Case'!G11*$C491*'Business Case'!G12*$B491)</f>
        <v>1102868340.88194</v>
      </c>
      <c r="N491" s="39" t="n">
        <f aca="false">IF(COUNT('Business Case'!B11:G11)=0,"",H491+NPV(G491,I491:M491))</f>
        <v>-76140475.458406</v>
      </c>
      <c r="P491" s="40" t="n">
        <f aca="true">RAND()</f>
        <v>0.999980950906351</v>
      </c>
      <c r="Q491" s="40" t="n">
        <f aca="true">RAND()</f>
        <v>0.555852123695037</v>
      </c>
      <c r="R491" s="40" t="n">
        <f aca="true">RAND()</f>
        <v>0.297255350177663</v>
      </c>
      <c r="S491" s="40" t="n">
        <f aca="true">RAND()</f>
        <v>0.795491321374297</v>
      </c>
      <c r="T491" s="40" t="n">
        <f aca="true">RAND()</f>
        <v>0.803421662952724</v>
      </c>
      <c r="U491" s="40" t="n">
        <f aca="true">RAND()</f>
        <v>0.4855878869963</v>
      </c>
    </row>
    <row r="492" customFormat="false" ht="15" hidden="false" customHeight="false" outlineLevel="0" collapsed="false">
      <c r="A492" s="36" t="n">
        <v>412</v>
      </c>
      <c r="B492" s="37" t="n">
        <f aca="false">1+IF($G$6=$E$6,$F$6,IF(P492&lt;($F$6-$E$6)/($G$6-$E$6),$E$6+SQRT(P492*($G$6-$E$6)*($F$6-$E$6)),$G$6-SQRT((1-P492)*($G$6-$E$6)*($G$6-$F$6))))</f>
        <v>1.01535984097615</v>
      </c>
      <c r="C492" s="37" t="n">
        <f aca="false">1+IF($G$7=$E$7,$F$7,IF(Q492&lt;($F$7-$E$7)/($G$7-$E$7),$E$7+SQRT(Q492*($G$7-$E$7)*($F$7-$E$7)),$G$7-SQRT((1-Q492)*($G$7-$E$7)*($G$7-$F$7))))</f>
        <v>0.829880304473502</v>
      </c>
      <c r="D492" s="37" t="n">
        <f aca="false">1+IF($G$8=$E$8,$F$8,IF(R492&lt;($F$8-$E$8)/($G$8-$E$8),$E$8+SQRT(R492*($G$8-$E$8)*($F$8-$E$8)),$G$8-SQRT((1-R492)*($G$8-$E$8)*($G$8-$F$8))))</f>
        <v>1.00419419346747</v>
      </c>
      <c r="E492" s="37" t="n">
        <f aca="false">1+IF($G$9=$E$9,$F$9,IF(S492&lt;($F$9-$E$9)/($G$9-$E$9),$E$9+SQRT(S492*($G$9-$E$9)*($F$9-$E$9)),$G$9-SQRT((1-S492)*($G$9-$E$9)*($G$9-$F$9))))</f>
        <v>0.980587813829325</v>
      </c>
      <c r="F492" s="37" t="n">
        <f aca="false">1+IF($G$10=$E$10,$F$10,IF(T492&lt;($F$10-$E$10)/($G$10-$E$10),$E$10+SQRT(T492*($G$10-$E$10)*($F$10-$E$10)),$G$10-SQRT((1-T492)*($G$10-$E$10)*($G$10-$F$10))))</f>
        <v>1.11435618460623</v>
      </c>
      <c r="G492" s="38" t="n">
        <f aca="false">IF($G$11=$E$11,$F$11,IF(U492&lt;($F$11-$E$11)/($G$11-$E$11),$E$11+SQRT(U492*($G$11-$E$11)*($F$11-$E$11)),$G$11-SQRT((1-U492)*($G$11-$E$11)*($G$11-$F$11))))</f>
        <v>0.116197477561765</v>
      </c>
      <c r="H492" s="39" t="n">
        <f aca="false">(('Business Case'!B11*$C492*'Business Case'!B12*$B492)-'Business Case'!B11*$C492*'Business Case'!B13*$D492-'Business Case'!B14*$E492)-MAX(0,(('Business Case'!B11*$C492*'Business Case'!B12*$B492)-'Business Case'!B11*$C492*'Business Case'!B13*$D492-'Business Case'!B14*$E492))*'Business Case'!$B$7-'Business Case'!$B$8*('Business Case'!B11*$C492*'Business Case'!B12*$B492)-'Business Case'!B15*$F492</f>
        <v>-2228712369.21246</v>
      </c>
      <c r="I492" s="39" t="n">
        <f aca="false">(('Business Case'!C11*$C492*'Business Case'!C12*$B492)-'Business Case'!C11*$C492*'Business Case'!C13*$D492-'Business Case'!C14*$E492)-MAX(0,(('Business Case'!C11*$C492*'Business Case'!C12*$B492)-'Business Case'!C11*$C492*'Business Case'!C13*$D492-'Business Case'!C14*$E492))*'Business Case'!$B$7-'Business Case'!$B$8*(('Business Case'!C11*$C492*'Business Case'!C12*$B492)-('Business Case'!B11*$C492*'Business Case'!B12*$B492))-'Business Case'!C15*$F492</f>
        <v>-30998858.7601446</v>
      </c>
      <c r="J492" s="39" t="n">
        <f aca="false">(('Business Case'!D11*$C492*'Business Case'!D12*$B492)-'Business Case'!D11*$C492*'Business Case'!D13*$D492-'Business Case'!D14*$E492)-MAX(0,(('Business Case'!D11*$C492*'Business Case'!D12*$B492)-'Business Case'!D11*$C492*'Business Case'!D13*$D492-'Business Case'!D14*$E492))*'Business Case'!$B$7-'Business Case'!$B$8*(('Business Case'!D11*$C492*'Business Case'!D12*$B492)-('Business Case'!C11*$C492*'Business Case'!C12*$B492))-'Business Case'!D15*$F492</f>
        <v>232559278.692359</v>
      </c>
      <c r="K492" s="39" t="n">
        <f aca="false">(('Business Case'!E11*$C492*'Business Case'!E12*$B492)-'Business Case'!E11*$C492*'Business Case'!E13*$D492-'Business Case'!E14*$E492)-MAX(0,(('Business Case'!E11*$C492*'Business Case'!E12*$B492)-'Business Case'!E11*$C492*'Business Case'!E13*$D492-'Business Case'!E14*$E492))*'Business Case'!$B$7-'Business Case'!$B$8*(('Business Case'!E11*$C492*'Business Case'!E12*$B492)-('Business Case'!D11*$C492*'Business Case'!D12*$B492))-'Business Case'!E15*$F492</f>
        <v>551835225.375173</v>
      </c>
      <c r="L492" s="39" t="n">
        <f aca="false">(('Business Case'!F11*$C492*'Business Case'!F12*$B492)-'Business Case'!F11*$C492*'Business Case'!F13*$D492-'Business Case'!F14*$E492)-MAX(0,(('Business Case'!F11*$C492*'Business Case'!F12*$B492)-'Business Case'!F11*$C492*'Business Case'!F13*$D492-'Business Case'!F14*$E492))*'Business Case'!$B$7-'Business Case'!$B$8*(('Business Case'!F11*$C492*'Business Case'!F12*$B492)-('Business Case'!E11*$C492*'Business Case'!E12*$B492))-'Business Case'!F15*$F492</f>
        <v>668809131.609671</v>
      </c>
      <c r="M492" s="39" t="n">
        <f aca="false">(('Business Case'!G11*$C492*'Business Case'!G12*$B492)-'Business Case'!G11*$C492*'Business Case'!G13*$D492-'Business Case'!G14*$E492)-MAX(0,(('Business Case'!G11*$C492*'Business Case'!G12*$B492)-'Business Case'!G11*$C492*'Business Case'!G13*$D492-'Business Case'!G14*$E492))*'Business Case'!$B$7-'Business Case'!$B$8*(('Business Case'!G11*$C492*'Business Case'!G12*$B492)-('Business Case'!F11*$C492*'Business Case'!F12*$B492))-'Business Case'!G15*$F492+'Business Case'!$B$8*('Business Case'!G11*$C492*'Business Case'!G12*$B492)</f>
        <v>828975697.236485</v>
      </c>
      <c r="N492" s="39" t="n">
        <f aca="false">IF(COUNT('Business Case'!B11:G11)=0,"",H492+NPV(G492,I492:M492))</f>
        <v>-763698766.833082</v>
      </c>
      <c r="P492" s="40" t="n">
        <f aca="true">RAND()</f>
        <v>0.840007917706953</v>
      </c>
      <c r="Q492" s="40" t="n">
        <f aca="true">RAND()</f>
        <v>0.124954766593553</v>
      </c>
      <c r="R492" s="40" t="n">
        <f aca="true">RAND()</f>
        <v>0.388083162310063</v>
      </c>
      <c r="S492" s="40" t="n">
        <f aca="true">RAND()</f>
        <v>0.259775829511599</v>
      </c>
      <c r="T492" s="40" t="n">
        <f aca="true">RAND()</f>
        <v>0.754676737938943</v>
      </c>
      <c r="U492" s="40" t="n">
        <f aca="true">RAND()</f>
        <v>0.872993582894683</v>
      </c>
    </row>
    <row r="493" customFormat="false" ht="15" hidden="false" customHeight="false" outlineLevel="0" collapsed="false">
      <c r="A493" s="36" t="n">
        <v>413</v>
      </c>
      <c r="B493" s="37" t="n">
        <f aca="false">1+IF($G$6=$E$6,$F$6,IF(P493&lt;($F$6-$E$6)/($G$6-$E$6),$E$6+SQRT(P493*($G$6-$E$6)*($F$6-$E$6)),$G$6-SQRT((1-P493)*($G$6-$E$6)*($G$6-$F$6))))</f>
        <v>1.01203720229471</v>
      </c>
      <c r="C493" s="37" t="n">
        <f aca="false">1+IF($G$7=$E$7,$F$7,IF(Q493&lt;($F$7-$E$7)/($G$7-$E$7),$E$7+SQRT(Q493*($G$7-$E$7)*($F$7-$E$7)),$G$7-SQRT((1-Q493)*($G$7-$E$7)*($G$7-$F$7))))</f>
        <v>0.965406073058039</v>
      </c>
      <c r="D493" s="37" t="n">
        <f aca="false">1+IF($G$8=$E$8,$F$8,IF(R493&lt;($F$8-$E$8)/($G$8-$E$8),$E$8+SQRT(R493*($G$8-$E$8)*($F$8-$E$8)),$G$8-SQRT((1-R493)*($G$8-$E$8)*($G$8-$F$8))))</f>
        <v>1.01300225987222</v>
      </c>
      <c r="E493" s="37" t="n">
        <f aca="false">1+IF($G$9=$E$9,$F$9,IF(S493&lt;($F$9-$E$9)/($G$9-$E$9),$E$9+SQRT(S493*($G$9-$E$9)*($F$9-$E$9)),$G$9-SQRT((1-S493)*($G$9-$E$9)*($G$9-$F$9))))</f>
        <v>1.1137353797083</v>
      </c>
      <c r="F493" s="37" t="n">
        <f aca="false">1+IF($G$10=$E$10,$F$10,IF(T493&lt;($F$10-$E$10)/($G$10-$E$10),$E$10+SQRT(T493*($G$10-$E$10)*($F$10-$E$10)),$G$10-SQRT((1-T493)*($G$10-$E$10)*($G$10-$F$10))))</f>
        <v>1.15218064359075</v>
      </c>
      <c r="G493" s="38" t="n">
        <f aca="false">IF($G$11=$E$11,$F$11,IF(U493&lt;($F$11-$E$11)/($G$11-$E$11),$E$11+SQRT(U493*($G$11-$E$11)*($F$11-$E$11)),$G$11-SQRT((1-U493)*($G$11-$E$11)*($G$11-$F$11))))</f>
        <v>0.118409214892732</v>
      </c>
      <c r="H493" s="39" t="n">
        <f aca="false">(('Business Case'!B11*$C493*'Business Case'!B12*$B493)-'Business Case'!B11*$C493*'Business Case'!B13*$D493-'Business Case'!B14*$E493)-MAX(0,(('Business Case'!B11*$C493*'Business Case'!B12*$B493)-'Business Case'!B11*$C493*'Business Case'!B13*$D493-'Business Case'!B14*$E493))*'Business Case'!$B$7-'Business Case'!$B$8*('Business Case'!B11*$C493*'Business Case'!B12*$B493)-'Business Case'!B15*$F493</f>
        <v>-2304361287.18149</v>
      </c>
      <c r="I493" s="39" t="n">
        <f aca="false">(('Business Case'!C11*$C493*'Business Case'!C12*$B493)-'Business Case'!C11*$C493*'Business Case'!C13*$D493-'Business Case'!C14*$E493)-MAX(0,(('Business Case'!C11*$C493*'Business Case'!C12*$B493)-'Business Case'!C11*$C493*'Business Case'!C13*$D493-'Business Case'!C14*$E493))*'Business Case'!$B$7-'Business Case'!$B$8*(('Business Case'!C11*$C493*'Business Case'!C12*$B493)-('Business Case'!B11*$C493*'Business Case'!B12*$B493))-'Business Case'!C15*$F493</f>
        <v>-24621495.111253</v>
      </c>
      <c r="J493" s="39" t="n">
        <f aca="false">(('Business Case'!D11*$C493*'Business Case'!D12*$B493)-'Business Case'!D11*$C493*'Business Case'!D13*$D493-'Business Case'!D14*$E493)-MAX(0,(('Business Case'!D11*$C493*'Business Case'!D12*$B493)-'Business Case'!D11*$C493*'Business Case'!D13*$D493-'Business Case'!D14*$E493))*'Business Case'!$B$7-'Business Case'!$B$8*(('Business Case'!D11*$C493*'Business Case'!D12*$B493)-('Business Case'!C11*$C493*'Business Case'!C12*$B493))-'Business Case'!D15*$F493</f>
        <v>274997317.618598</v>
      </c>
      <c r="K493" s="39" t="n">
        <f aca="false">(('Business Case'!E11*$C493*'Business Case'!E12*$B493)-'Business Case'!E11*$C493*'Business Case'!E13*$D493-'Business Case'!E14*$E493)-MAX(0,(('Business Case'!E11*$C493*'Business Case'!E12*$B493)-'Business Case'!E11*$C493*'Business Case'!E13*$D493-'Business Case'!E14*$E493))*'Business Case'!$B$7-'Business Case'!$B$8*(('Business Case'!E11*$C493*'Business Case'!E12*$B493)-('Business Case'!D11*$C493*'Business Case'!D12*$B493))-'Business Case'!E15*$F493</f>
        <v>632225162.527987</v>
      </c>
      <c r="L493" s="39" t="n">
        <f aca="false">(('Business Case'!F11*$C493*'Business Case'!F12*$B493)-'Business Case'!F11*$C493*'Business Case'!F13*$D493-'Business Case'!F14*$E493)-MAX(0,(('Business Case'!F11*$C493*'Business Case'!F12*$B493)-'Business Case'!F11*$C493*'Business Case'!F13*$D493-'Business Case'!F14*$E493))*'Business Case'!$B$7-'Business Case'!$B$8*(('Business Case'!F11*$C493*'Business Case'!F12*$B493)-('Business Case'!E11*$C493*'Business Case'!E12*$B493))-'Business Case'!F15*$F493</f>
        <v>765864148.429611</v>
      </c>
      <c r="M493" s="39" t="n">
        <f aca="false">(('Business Case'!G11*$C493*'Business Case'!G12*$B493)-'Business Case'!G11*$C493*'Business Case'!G13*$D493-'Business Case'!G14*$E493)-MAX(0,(('Business Case'!G11*$C493*'Business Case'!G12*$B493)-'Business Case'!G11*$C493*'Business Case'!G13*$D493-'Business Case'!G14*$E493))*'Business Case'!$B$7-'Business Case'!$B$8*(('Business Case'!G11*$C493*'Business Case'!G12*$B493)-('Business Case'!F11*$C493*'Business Case'!F12*$B493))-'Business Case'!G15*$F493+'Business Case'!$B$8*('Business Case'!G11*$C493*'Business Case'!G12*$B493)</f>
        <v>951577414.217148</v>
      </c>
      <c r="N493" s="39" t="n">
        <f aca="false">IF(COUNT('Business Case'!B11:G11)=0,"",H493+NPV(G493,I493:M493))</f>
        <v>-621300291.310474</v>
      </c>
      <c r="P493" s="40" t="n">
        <f aca="true">RAND()</f>
        <v>0.807843465384978</v>
      </c>
      <c r="Q493" s="40" t="n">
        <f aca="true">RAND()</f>
        <v>0.521780619378437</v>
      </c>
      <c r="R493" s="40" t="n">
        <f aca="true">RAND()</f>
        <v>0.495426214177254</v>
      </c>
      <c r="S493" s="40" t="n">
        <f aca="true">RAND()</f>
        <v>0.96493006173596</v>
      </c>
      <c r="T493" s="40" t="n">
        <f aca="true">RAND()</f>
        <v>0.872418313489058</v>
      </c>
      <c r="U493" s="40" t="n">
        <f aca="true">RAND()</f>
        <v>0.910435800398088</v>
      </c>
    </row>
    <row r="494" customFormat="false" ht="15" hidden="false" customHeight="false" outlineLevel="0" collapsed="false">
      <c r="A494" s="36" t="n">
        <v>414</v>
      </c>
      <c r="B494" s="37" t="n">
        <f aca="false">1+IF($G$6=$E$6,$F$6,IF(P494&lt;($F$6-$E$6)/($G$6-$E$6),$E$6+SQRT(P494*($G$6-$E$6)*($F$6-$E$6)),$G$6-SQRT((1-P494)*($G$6-$E$6)*($G$6-$F$6))))</f>
        <v>0.946893528598486</v>
      </c>
      <c r="C494" s="37" t="n">
        <f aca="false">1+IF($G$7=$E$7,$F$7,IF(Q494&lt;($F$7-$E$7)/($G$7-$E$7),$E$7+SQRT(Q494*($G$7-$E$7)*($F$7-$E$7)),$G$7-SQRT((1-Q494)*($G$7-$E$7)*($G$7-$F$7))))</f>
        <v>0.999547325722315</v>
      </c>
      <c r="D494" s="37" t="n">
        <f aca="false">1+IF($G$8=$E$8,$F$8,IF(R494&lt;($F$8-$E$8)/($G$8-$E$8),$E$8+SQRT(R494*($G$8-$E$8)*($F$8-$E$8)),$G$8-SQRT((1-R494)*($G$8-$E$8)*($G$8-$F$8))))</f>
        <v>0.99734582816607</v>
      </c>
      <c r="E494" s="37" t="n">
        <f aca="false">1+IF($G$9=$E$9,$F$9,IF(S494&lt;($F$9-$E$9)/($G$9-$E$9),$E$9+SQRT(S494*($G$9-$E$9)*($F$9-$E$9)),$G$9-SQRT((1-S494)*($G$9-$E$9)*($G$9-$F$9))))</f>
        <v>0.926875017790809</v>
      </c>
      <c r="F494" s="37" t="n">
        <f aca="false">1+IF($G$10=$E$10,$F$10,IF(T494&lt;($F$10-$E$10)/($G$10-$E$10),$E$10+SQRT(T494*($G$10-$E$10)*($F$10-$E$10)),$G$10-SQRT((1-T494)*($G$10-$E$10)*($G$10-$F$10))))</f>
        <v>1.0324752723957</v>
      </c>
      <c r="G494" s="38" t="n">
        <f aca="false">IF($G$11=$E$11,$F$11,IF(U494&lt;($F$11-$E$11)/($G$11-$E$11),$E$11+SQRT(U494*($G$11-$E$11)*($F$11-$E$11)),$G$11-SQRT((1-U494)*($G$11-$E$11)*($G$11-$F$11))))</f>
        <v>0.104471510654647</v>
      </c>
      <c r="H494" s="39" t="n">
        <f aca="false">(('Business Case'!B11*$C494*'Business Case'!B12*$B494)-'Business Case'!B11*$C494*'Business Case'!B13*$D494-'Business Case'!B14*$E494)-MAX(0,(('Business Case'!B11*$C494*'Business Case'!B12*$B494)-'Business Case'!B11*$C494*'Business Case'!B13*$D494-'Business Case'!B14*$E494))*'Business Case'!$B$7-'Business Case'!$B$8*('Business Case'!B11*$C494*'Business Case'!B12*$B494)-'Business Case'!B15*$F494</f>
        <v>-2064950544.79141</v>
      </c>
      <c r="I494" s="39" t="n">
        <f aca="false">(('Business Case'!C11*$C494*'Business Case'!C12*$B494)-'Business Case'!C11*$C494*'Business Case'!C13*$D494-'Business Case'!C14*$E494)-MAX(0,(('Business Case'!C11*$C494*'Business Case'!C12*$B494)-'Business Case'!C11*$C494*'Business Case'!C13*$D494-'Business Case'!C14*$E494))*'Business Case'!$B$7-'Business Case'!$B$8*(('Business Case'!C11*$C494*'Business Case'!C12*$B494)-('Business Case'!B11*$C494*'Business Case'!B12*$B494))-'Business Case'!C15*$F494</f>
        <v>-19221159.4186309</v>
      </c>
      <c r="J494" s="39" t="n">
        <f aca="false">(('Business Case'!D11*$C494*'Business Case'!D12*$B494)-'Business Case'!D11*$C494*'Business Case'!D13*$D494-'Business Case'!D14*$E494)-MAX(0,(('Business Case'!D11*$C494*'Business Case'!D12*$B494)-'Business Case'!D11*$C494*'Business Case'!D13*$D494-'Business Case'!D14*$E494))*'Business Case'!$B$7-'Business Case'!$B$8*(('Business Case'!D11*$C494*'Business Case'!D12*$B494)-('Business Case'!C11*$C494*'Business Case'!C12*$B494))-'Business Case'!D15*$F494</f>
        <v>245671576.050309</v>
      </c>
      <c r="K494" s="39" t="n">
        <f aca="false">(('Business Case'!E11*$C494*'Business Case'!E12*$B494)-'Business Case'!E11*$C494*'Business Case'!E13*$D494-'Business Case'!E14*$E494)-MAX(0,(('Business Case'!E11*$C494*'Business Case'!E12*$B494)-'Business Case'!E11*$C494*'Business Case'!E13*$D494-'Business Case'!E14*$E494))*'Business Case'!$B$7-'Business Case'!$B$8*(('Business Case'!E11*$C494*'Business Case'!E12*$B494)-('Business Case'!D11*$C494*'Business Case'!D12*$B494))-'Business Case'!E15*$F494</f>
        <v>562188075.139034</v>
      </c>
      <c r="L494" s="39" t="n">
        <f aca="false">(('Business Case'!F11*$C494*'Business Case'!F12*$B494)-'Business Case'!F11*$C494*'Business Case'!F13*$D494-'Business Case'!F14*$E494)-MAX(0,(('Business Case'!F11*$C494*'Business Case'!F12*$B494)-'Business Case'!F11*$C494*'Business Case'!F13*$D494-'Business Case'!F14*$E494))*'Business Case'!$B$7-'Business Case'!$B$8*(('Business Case'!F11*$C494*'Business Case'!F12*$B494)-('Business Case'!E11*$C494*'Business Case'!E12*$B494))-'Business Case'!F15*$F494</f>
        <v>683195480.374112</v>
      </c>
      <c r="M494" s="39" t="n">
        <f aca="false">(('Business Case'!G11*$C494*'Business Case'!G12*$B494)-'Business Case'!G11*$C494*'Business Case'!G13*$D494-'Business Case'!G14*$E494)-MAX(0,(('Business Case'!G11*$C494*'Business Case'!G12*$B494)-'Business Case'!G11*$C494*'Business Case'!G13*$D494-'Business Case'!G14*$E494))*'Business Case'!$B$7-'Business Case'!$B$8*(('Business Case'!G11*$C494*'Business Case'!G12*$B494)-('Business Case'!F11*$C494*'Business Case'!F12*$B494))-'Business Case'!G15*$F494+'Business Case'!$B$8*('Business Case'!G11*$C494*'Business Case'!G12*$B494)</f>
        <v>863099527.473985</v>
      </c>
      <c r="N494" s="39" t="n">
        <f aca="false">IF(COUNT('Business Case'!B11:G11)=0,"",H494+NPV(G494,I494:M494))</f>
        <v>-479412316.931207</v>
      </c>
      <c r="P494" s="40" t="n">
        <f aca="true">RAND()</f>
        <v>0.146600201627803</v>
      </c>
      <c r="Q494" s="40" t="n">
        <f aca="true">RAND()</f>
        <v>0.664656298869561</v>
      </c>
      <c r="R494" s="40" t="n">
        <f aca="true">RAND()</f>
        <v>0.298883659297464</v>
      </c>
      <c r="S494" s="40" t="n">
        <f aca="true">RAND()</f>
        <v>0.0288906632502524</v>
      </c>
      <c r="T494" s="40" t="n">
        <f aca="true">RAND()</f>
        <v>0.369106571742357</v>
      </c>
      <c r="U494" s="40" t="n">
        <f aca="true">RAND()</f>
        <v>0.565530821162785</v>
      </c>
    </row>
    <row r="495" customFormat="false" ht="15" hidden="false" customHeight="false" outlineLevel="0" collapsed="false">
      <c r="A495" s="36" t="n">
        <v>415</v>
      </c>
      <c r="B495" s="37" t="n">
        <f aca="false">1+IF($G$6=$E$6,$F$6,IF(P495&lt;($F$6-$E$6)/($G$6-$E$6),$E$6+SQRT(P495*($G$6-$E$6)*($F$6-$E$6)),$G$6-SQRT((1-P495)*($G$6-$E$6)*($G$6-$F$6))))</f>
        <v>0.981814030900773</v>
      </c>
      <c r="C495" s="37" t="n">
        <f aca="false">1+IF($G$7=$E$7,$F$7,IF(Q495&lt;($F$7-$E$7)/($G$7-$E$7),$E$7+SQRT(Q495*($G$7-$E$7)*($F$7-$E$7)),$G$7-SQRT((1-Q495)*($G$7-$E$7)*($G$7-$F$7))))</f>
        <v>0.98284674888224</v>
      </c>
      <c r="D495" s="37" t="n">
        <f aca="false">1+IF($G$8=$E$8,$F$8,IF(R495&lt;($F$8-$E$8)/($G$8-$E$8),$E$8+SQRT(R495*($G$8-$E$8)*($F$8-$E$8)),$G$8-SQRT((1-R495)*($G$8-$E$8)*($G$8-$F$8))))</f>
        <v>1.02464719686825</v>
      </c>
      <c r="E495" s="37" t="n">
        <f aca="false">1+IF($G$9=$E$9,$F$9,IF(S495&lt;($F$9-$E$9)/($G$9-$E$9),$E$9+SQRT(S495*($G$9-$E$9)*($F$9-$E$9)),$G$9-SQRT((1-S495)*($G$9-$E$9)*($G$9-$F$9))))</f>
        <v>1.06893019342234</v>
      </c>
      <c r="F495" s="37" t="n">
        <f aca="false">1+IF($G$10=$E$10,$F$10,IF(T495&lt;($F$10-$E$10)/($G$10-$E$10),$E$10+SQRT(T495*($G$10-$E$10)*($F$10-$E$10)),$G$10-SQRT((1-T495)*($G$10-$E$10)*($G$10-$F$10))))</f>
        <v>1.03058075562216</v>
      </c>
      <c r="G495" s="38" t="n">
        <f aca="false">IF($G$11=$E$11,$F$11,IF(U495&lt;($F$11-$E$11)/($G$11-$E$11),$E$11+SQRT(U495*($G$11-$E$11)*($F$11-$E$11)),$G$11-SQRT((1-U495)*($G$11-$E$11)*($G$11-$F$11))))</f>
        <v>0.114259299236102</v>
      </c>
      <c r="H495" s="39" t="n">
        <f aca="false">(('Business Case'!B11*$C495*'Business Case'!B12*$B495)-'Business Case'!B11*$C495*'Business Case'!B13*$D495-'Business Case'!B14*$E495)-MAX(0,(('Business Case'!B11*$C495*'Business Case'!B12*$B495)-'Business Case'!B11*$C495*'Business Case'!B13*$D495-'Business Case'!B14*$E495))*'Business Case'!$B$7-'Business Case'!$B$8*('Business Case'!B11*$C495*'Business Case'!B12*$B495)-'Business Case'!B15*$F495</f>
        <v>-2061161511.24431</v>
      </c>
      <c r="I495" s="39" t="n">
        <f aca="false">(('Business Case'!C11*$C495*'Business Case'!C12*$B495)-'Business Case'!C11*$C495*'Business Case'!C13*$D495-'Business Case'!C14*$E495)-MAX(0,(('Business Case'!C11*$C495*'Business Case'!C12*$B495)-'Business Case'!C11*$C495*'Business Case'!C13*$D495-'Business Case'!C14*$E495))*'Business Case'!$B$7-'Business Case'!$B$8*(('Business Case'!C11*$C495*'Business Case'!C12*$B495)-('Business Case'!B11*$C495*'Business Case'!B12*$B495))-'Business Case'!C15*$F495</f>
        <v>-30241864.2025</v>
      </c>
      <c r="J495" s="39" t="n">
        <f aca="false">(('Business Case'!D11*$C495*'Business Case'!D12*$B495)-'Business Case'!D11*$C495*'Business Case'!D13*$D495-'Business Case'!D14*$E495)-MAX(0,(('Business Case'!D11*$C495*'Business Case'!D12*$B495)-'Business Case'!D11*$C495*'Business Case'!D13*$D495-'Business Case'!D14*$E495))*'Business Case'!$B$7-'Business Case'!$B$8*(('Business Case'!D11*$C495*'Business Case'!D12*$B495)-('Business Case'!C11*$C495*'Business Case'!C12*$B495))-'Business Case'!D15*$F495</f>
        <v>244600406.895793</v>
      </c>
      <c r="K495" s="39" t="n">
        <f aca="false">(('Business Case'!E11*$C495*'Business Case'!E12*$B495)-'Business Case'!E11*$C495*'Business Case'!E13*$D495-'Business Case'!E14*$E495)-MAX(0,(('Business Case'!E11*$C495*'Business Case'!E12*$B495)-'Business Case'!E11*$C495*'Business Case'!E13*$D495-'Business Case'!E14*$E495))*'Business Case'!$B$7-'Business Case'!$B$8*(('Business Case'!E11*$C495*'Business Case'!E12*$B495)-('Business Case'!D11*$C495*'Business Case'!D12*$B495))-'Business Case'!E15*$F495</f>
        <v>570971715.775194</v>
      </c>
      <c r="L495" s="39" t="n">
        <f aca="false">(('Business Case'!F11*$C495*'Business Case'!F12*$B495)-'Business Case'!F11*$C495*'Business Case'!F13*$D495-'Business Case'!F14*$E495)-MAX(0,(('Business Case'!F11*$C495*'Business Case'!F12*$B495)-'Business Case'!F11*$C495*'Business Case'!F13*$D495-'Business Case'!F14*$E495))*'Business Case'!$B$7-'Business Case'!$B$8*(('Business Case'!F11*$C495*'Business Case'!F12*$B495)-('Business Case'!E11*$C495*'Business Case'!E12*$B495))-'Business Case'!F15*$F495</f>
        <v>695935263.630571</v>
      </c>
      <c r="M495" s="39" t="n">
        <f aca="false">(('Business Case'!G11*$C495*'Business Case'!G12*$B495)-'Business Case'!G11*$C495*'Business Case'!G13*$D495-'Business Case'!G14*$E495)-MAX(0,(('Business Case'!G11*$C495*'Business Case'!G12*$B495)-'Business Case'!G11*$C495*'Business Case'!G13*$D495-'Business Case'!G14*$E495))*'Business Case'!$B$7-'Business Case'!$B$8*(('Business Case'!G11*$C495*'Business Case'!G12*$B495)-('Business Case'!F11*$C495*'Business Case'!F12*$B495))-'Business Case'!G15*$F495+'Business Case'!$B$8*('Business Case'!G11*$C495*'Business Case'!G12*$B495)</f>
        <v>879357279.821614</v>
      </c>
      <c r="N495" s="39" t="n">
        <f aca="false">IF(COUNT('Business Case'!B11:G11)=0,"",H495+NPV(G495,I495:M495))</f>
        <v>-515151358.321516</v>
      </c>
      <c r="P495" s="40" t="n">
        <f aca="true">RAND()</f>
        <v>0.446235710148846</v>
      </c>
      <c r="Q495" s="40" t="n">
        <f aca="true">RAND()</f>
        <v>0.59260950632039</v>
      </c>
      <c r="R495" s="40" t="n">
        <f aca="true">RAND()</f>
        <v>0.621463670679206</v>
      </c>
      <c r="S495" s="40" t="n">
        <f aca="true">RAND()</f>
        <v>0.824738305638948</v>
      </c>
      <c r="T495" s="40" t="n">
        <f aca="true">RAND()</f>
        <v>0.35806926928874</v>
      </c>
      <c r="U495" s="40" t="n">
        <f aca="true">RAND()</f>
        <v>0.834820226307607</v>
      </c>
    </row>
    <row r="496" customFormat="false" ht="15" hidden="false" customHeight="false" outlineLevel="0" collapsed="false">
      <c r="A496" s="36" t="n">
        <v>416</v>
      </c>
      <c r="B496" s="37" t="n">
        <f aca="false">1+IF($G$6=$E$6,$F$6,IF(P496&lt;($F$6-$E$6)/($G$6-$E$6),$E$6+SQRT(P496*($G$6-$E$6)*($F$6-$E$6)),$G$6-SQRT((1-P496)*($G$6-$E$6)*($G$6-$F$6))))</f>
        <v>1.00108688543491</v>
      </c>
      <c r="C496" s="37" t="n">
        <f aca="false">1+IF($G$7=$E$7,$F$7,IF(Q496&lt;($F$7-$E$7)/($G$7-$E$7),$E$7+SQRT(Q496*($G$7-$E$7)*($F$7-$E$7)),$G$7-SQRT((1-Q496)*($G$7-$E$7)*($G$7-$F$7))))</f>
        <v>0.808040600762714</v>
      </c>
      <c r="D496" s="37" t="n">
        <f aca="false">1+IF($G$8=$E$8,$F$8,IF(R496&lt;($F$8-$E$8)/($G$8-$E$8),$E$8+SQRT(R496*($G$8-$E$8)*($F$8-$E$8)),$G$8-SQRT((1-R496)*($G$8-$E$8)*($G$8-$F$8))))</f>
        <v>1.00648354825168</v>
      </c>
      <c r="E496" s="37" t="n">
        <f aca="false">1+IF($G$9=$E$9,$F$9,IF(S496&lt;($F$9-$E$9)/($G$9-$E$9),$E$9+SQRT(S496*($G$9-$E$9)*($F$9-$E$9)),$G$9-SQRT((1-S496)*($G$9-$E$9)*($G$9-$F$9))))</f>
        <v>1.00740327082684</v>
      </c>
      <c r="F496" s="37" t="n">
        <f aca="false">1+IF($G$10=$E$10,$F$10,IF(T496&lt;($F$10-$E$10)/($G$10-$E$10),$E$10+SQRT(T496*($G$10-$E$10)*($F$10-$E$10)),$G$10-SQRT((1-T496)*($G$10-$E$10)*($G$10-$F$10))))</f>
        <v>1.09248319525526</v>
      </c>
      <c r="G496" s="38" t="n">
        <f aca="false">IF($G$11=$E$11,$F$11,IF(U496&lt;($F$11-$E$11)/($G$11-$E$11),$E$11+SQRT(U496*($G$11-$E$11)*($F$11-$E$11)),$G$11-SQRT((1-U496)*($G$11-$E$11)*($G$11-$F$11))))</f>
        <v>0.111241567517894</v>
      </c>
      <c r="H496" s="39" t="n">
        <f aca="false">(('Business Case'!B11*$C496*'Business Case'!B12*$B496)-'Business Case'!B11*$C496*'Business Case'!B13*$D496-'Business Case'!B14*$E496)-MAX(0,(('Business Case'!B11*$C496*'Business Case'!B12*$B496)-'Business Case'!B11*$C496*'Business Case'!B13*$D496-'Business Case'!B14*$E496))*'Business Case'!$B$7-'Business Case'!$B$8*('Business Case'!B11*$C496*'Business Case'!B12*$B496)-'Business Case'!B15*$F496</f>
        <v>-2184966390.51051</v>
      </c>
      <c r="I496" s="39" t="n">
        <f aca="false">(('Business Case'!C11*$C496*'Business Case'!C12*$B496)-'Business Case'!C11*$C496*'Business Case'!C13*$D496-'Business Case'!C14*$E496)-MAX(0,(('Business Case'!C11*$C496*'Business Case'!C12*$B496)-'Business Case'!C11*$C496*'Business Case'!C13*$D496-'Business Case'!C14*$E496))*'Business Case'!$B$7-'Business Case'!$B$8*(('Business Case'!C11*$C496*'Business Case'!C12*$B496)-('Business Case'!B11*$C496*'Business Case'!B12*$B496))-'Business Case'!C15*$F496</f>
        <v>-48206716.7806427</v>
      </c>
      <c r="J496" s="39" t="n">
        <f aca="false">(('Business Case'!D11*$C496*'Business Case'!D12*$B496)-'Business Case'!D11*$C496*'Business Case'!D13*$D496-'Business Case'!D14*$E496)-MAX(0,(('Business Case'!D11*$C496*'Business Case'!D12*$B496)-'Business Case'!D11*$C496*'Business Case'!D13*$D496-'Business Case'!D14*$E496))*'Business Case'!$B$7-'Business Case'!$B$8*(('Business Case'!D11*$C496*'Business Case'!D12*$B496)-('Business Case'!C11*$C496*'Business Case'!C12*$B496))-'Business Case'!D15*$F496</f>
        <v>198021984.172855</v>
      </c>
      <c r="K496" s="39" t="n">
        <f aca="false">(('Business Case'!E11*$C496*'Business Case'!E12*$B496)-'Business Case'!E11*$C496*'Business Case'!E13*$D496-'Business Case'!E14*$E496)-MAX(0,(('Business Case'!E11*$C496*'Business Case'!E12*$B496)-'Business Case'!E11*$C496*'Business Case'!E13*$D496-'Business Case'!E14*$E496))*'Business Case'!$B$7-'Business Case'!$B$8*(('Business Case'!E11*$C496*'Business Case'!E12*$B496)-('Business Case'!D11*$C496*'Business Case'!D12*$B496))-'Business Case'!E15*$F496</f>
        <v>498874844.889116</v>
      </c>
      <c r="L496" s="39" t="n">
        <f aca="false">(('Business Case'!F11*$C496*'Business Case'!F12*$B496)-'Business Case'!F11*$C496*'Business Case'!F13*$D496-'Business Case'!F14*$E496)-MAX(0,(('Business Case'!F11*$C496*'Business Case'!F12*$B496)-'Business Case'!F11*$C496*'Business Case'!F13*$D496-'Business Case'!F14*$E496))*'Business Case'!$B$7-'Business Case'!$B$8*(('Business Case'!F11*$C496*'Business Case'!F12*$B496)-('Business Case'!E11*$C496*'Business Case'!E12*$B496))-'Business Case'!F15*$F496</f>
        <v>608907313.938307</v>
      </c>
      <c r="M496" s="39" t="n">
        <f aca="false">(('Business Case'!G11*$C496*'Business Case'!G12*$B496)-'Business Case'!G11*$C496*'Business Case'!G13*$D496-'Business Case'!G14*$E496)-MAX(0,(('Business Case'!G11*$C496*'Business Case'!G12*$B496)-'Business Case'!G11*$C496*'Business Case'!G13*$D496-'Business Case'!G14*$E496))*'Business Case'!$B$7-'Business Case'!$B$8*(('Business Case'!G11*$C496*'Business Case'!G12*$B496)-('Business Case'!F11*$C496*'Business Case'!F12*$B496))-'Business Case'!G15*$F496+'Business Case'!$B$8*('Business Case'!G11*$C496*'Business Case'!G12*$B496)</f>
        <v>762666608.627447</v>
      </c>
      <c r="N496" s="39" t="n">
        <f aca="false">IF(COUNT('Business Case'!B11:G11)=0,"",H496+NPV(G496,I496:M496))</f>
        <v>-855036260.727412</v>
      </c>
      <c r="P496" s="40" t="n">
        <f aca="true">RAND()</f>
        <v>0.681000963138938</v>
      </c>
      <c r="Q496" s="40" t="n">
        <f aca="true">RAND()</f>
        <v>0.0864649734308751</v>
      </c>
      <c r="R496" s="40" t="n">
        <f aca="true">RAND()</f>
        <v>0.416978216826999</v>
      </c>
      <c r="S496" s="40" t="n">
        <f aca="true">RAND()</f>
        <v>0.457764608776444</v>
      </c>
      <c r="T496" s="40" t="n">
        <f aca="true">RAND()</f>
        <v>0.669179416306749</v>
      </c>
      <c r="U496" s="40" t="n">
        <f aca="true">RAND()</f>
        <v>0.765414140542849</v>
      </c>
    </row>
    <row r="497" customFormat="false" ht="15" hidden="false" customHeight="false" outlineLevel="0" collapsed="false">
      <c r="A497" s="36" t="n">
        <v>417</v>
      </c>
      <c r="B497" s="37" t="n">
        <f aca="false">1+IF($G$6=$E$6,$F$6,IF(P497&lt;($F$6-$E$6)/($G$6-$E$6),$E$6+SQRT(P497*($G$6-$E$6)*($F$6-$E$6)),$G$6-SQRT((1-P497)*($G$6-$E$6)*($G$6-$F$6))))</f>
        <v>0.971887264249338</v>
      </c>
      <c r="C497" s="37" t="n">
        <f aca="false">1+IF($G$7=$E$7,$F$7,IF(Q497&lt;($F$7-$E$7)/($G$7-$E$7),$E$7+SQRT(Q497*($G$7-$E$7)*($F$7-$E$7)),$G$7-SQRT((1-Q497)*($G$7-$E$7)*($G$7-$F$7))))</f>
        <v>0.968581023723936</v>
      </c>
      <c r="D497" s="37" t="n">
        <f aca="false">1+IF($G$8=$E$8,$F$8,IF(R497&lt;($F$8-$E$8)/($G$8-$E$8),$E$8+SQRT(R497*($G$8-$E$8)*($F$8-$E$8)),$G$8-SQRT((1-R497)*($G$8-$E$8)*($G$8-$F$8))))</f>
        <v>1.04380289666002</v>
      </c>
      <c r="E497" s="37" t="n">
        <f aca="false">1+IF($G$9=$E$9,$F$9,IF(S497&lt;($F$9-$E$9)/($G$9-$E$9),$E$9+SQRT(S497*($G$9-$E$9)*($F$9-$E$9)),$G$9-SQRT((1-S497)*($G$9-$E$9)*($G$9-$F$9))))</f>
        <v>0.979147926874393</v>
      </c>
      <c r="F497" s="37" t="n">
        <f aca="false">1+IF($G$10=$E$10,$F$10,IF(T497&lt;($F$10-$E$10)/($G$10-$E$10),$E$10+SQRT(T497*($G$10-$E$10)*($F$10-$E$10)),$G$10-SQRT((1-T497)*($G$10-$E$10)*($G$10-$F$10))))</f>
        <v>1.13818269275372</v>
      </c>
      <c r="G497" s="38" t="n">
        <f aca="false">IF($G$11=$E$11,$F$11,IF(U497&lt;($F$11-$E$11)/($G$11-$E$11),$E$11+SQRT(U497*($G$11-$E$11)*($F$11-$E$11)),$G$11-SQRT((1-U497)*($G$11-$E$11)*($G$11-$F$11))))</f>
        <v>0.1135462497219</v>
      </c>
      <c r="H497" s="39" t="n">
        <f aca="false">(('Business Case'!B11*$C497*'Business Case'!B12*$B497)-'Business Case'!B11*$C497*'Business Case'!B13*$D497-'Business Case'!B14*$E497)-MAX(0,(('Business Case'!B11*$C497*'Business Case'!B12*$B497)-'Business Case'!B11*$C497*'Business Case'!B13*$D497-'Business Case'!B14*$E497))*'Business Case'!$B$7-'Business Case'!$B$8*('Business Case'!B11*$C497*'Business Case'!B12*$B497)-'Business Case'!B15*$F497</f>
        <v>-2276365385.50744</v>
      </c>
      <c r="I497" s="39" t="n">
        <f aca="false">(('Business Case'!C11*$C497*'Business Case'!C12*$B497)-'Business Case'!C11*$C497*'Business Case'!C13*$D497-'Business Case'!C14*$E497)-MAX(0,(('Business Case'!C11*$C497*'Business Case'!C12*$B497)-'Business Case'!C11*$C497*'Business Case'!C13*$D497-'Business Case'!C14*$E497))*'Business Case'!$B$7-'Business Case'!$B$8*(('Business Case'!C11*$C497*'Business Case'!C12*$B497)-('Business Case'!B11*$C497*'Business Case'!B12*$B497))-'Business Case'!C15*$F497</f>
        <v>-48373113.989339</v>
      </c>
      <c r="J497" s="39" t="n">
        <f aca="false">(('Business Case'!D11*$C497*'Business Case'!D12*$B497)-'Business Case'!D11*$C497*'Business Case'!D13*$D497-'Business Case'!D14*$E497)-MAX(0,(('Business Case'!D11*$C497*'Business Case'!D12*$B497)-'Business Case'!D11*$C497*'Business Case'!D13*$D497-'Business Case'!D14*$E497))*'Business Case'!$B$7-'Business Case'!$B$8*(('Business Case'!D11*$C497*'Business Case'!D12*$B497)-('Business Case'!C11*$C497*'Business Case'!C12*$B497))-'Business Case'!D15*$F497</f>
        <v>205106541.438662</v>
      </c>
      <c r="K497" s="39" t="n">
        <f aca="false">(('Business Case'!E11*$C497*'Business Case'!E12*$B497)-'Business Case'!E11*$C497*'Business Case'!E13*$D497-'Business Case'!E14*$E497)-MAX(0,(('Business Case'!E11*$C497*'Business Case'!E12*$B497)-'Business Case'!E11*$C497*'Business Case'!E13*$D497-'Business Case'!E14*$E497))*'Business Case'!$B$7-'Business Case'!$B$8*(('Business Case'!E11*$C497*'Business Case'!E12*$B497)-('Business Case'!D11*$C497*'Business Case'!D12*$B497))-'Business Case'!E15*$F497</f>
        <v>515495331.504349</v>
      </c>
      <c r="L497" s="39" t="n">
        <f aca="false">(('Business Case'!F11*$C497*'Business Case'!F12*$B497)-'Business Case'!F11*$C497*'Business Case'!F13*$D497-'Business Case'!F14*$E497)-MAX(0,(('Business Case'!F11*$C497*'Business Case'!F12*$B497)-'Business Case'!F11*$C497*'Business Case'!F13*$D497-'Business Case'!F14*$E497))*'Business Case'!$B$7-'Business Case'!$B$8*(('Business Case'!F11*$C497*'Business Case'!F12*$B497)-('Business Case'!E11*$C497*'Business Case'!E12*$B497))-'Business Case'!F15*$F497</f>
        <v>632521659.940636</v>
      </c>
      <c r="M497" s="39" t="n">
        <f aca="false">(('Business Case'!G11*$C497*'Business Case'!G12*$B497)-'Business Case'!G11*$C497*'Business Case'!G13*$D497-'Business Case'!G14*$E497)-MAX(0,(('Business Case'!G11*$C497*'Business Case'!G12*$B497)-'Business Case'!G11*$C497*'Business Case'!G13*$D497-'Business Case'!G14*$E497))*'Business Case'!$B$7-'Business Case'!$B$8*(('Business Case'!G11*$C497*'Business Case'!G12*$B497)-('Business Case'!F11*$C497*'Business Case'!F12*$B497))-'Business Case'!G15*$F497+'Business Case'!$B$8*('Business Case'!G11*$C497*'Business Case'!G12*$B497)</f>
        <v>811453764.722211</v>
      </c>
      <c r="N497" s="39" t="n">
        <f aca="false">IF(COUNT('Business Case'!B11:G11)=0,"",H497+NPV(G497,I497:M497))</f>
        <v>-895741169.456955</v>
      </c>
      <c r="P497" s="40" t="n">
        <f aca="true">RAND()</f>
        <v>0.34451858408361</v>
      </c>
      <c r="Q497" s="40" t="n">
        <f aca="true">RAND()</f>
        <v>0.534339009663685</v>
      </c>
      <c r="R497" s="40" t="n">
        <f aca="true">RAND()</f>
        <v>0.789459038413068</v>
      </c>
      <c r="S497" s="40" t="n">
        <f aca="true">RAND()</f>
        <v>0.25057577314057</v>
      </c>
      <c r="T497" s="40" t="n">
        <f aca="true">RAND()</f>
        <v>0.833291864002541</v>
      </c>
      <c r="U497" s="40" t="n">
        <f aca="true">RAND()</f>
        <v>0.819516067857283</v>
      </c>
    </row>
    <row r="498" customFormat="false" ht="15" hidden="false" customHeight="false" outlineLevel="0" collapsed="false">
      <c r="A498" s="36" t="n">
        <v>418</v>
      </c>
      <c r="B498" s="37" t="n">
        <f aca="false">1+IF($G$6=$E$6,$F$6,IF(P498&lt;($F$6-$E$6)/($G$6-$E$6),$E$6+SQRT(P498*($G$6-$E$6)*($F$6-$E$6)),$G$6-SQRT((1-P498)*($G$6-$E$6)*($G$6-$F$6))))</f>
        <v>0.975348557789252</v>
      </c>
      <c r="C498" s="37" t="n">
        <f aca="false">1+IF($G$7=$E$7,$F$7,IF(Q498&lt;($F$7-$E$7)/($G$7-$E$7),$E$7+SQRT(Q498*($G$7-$E$7)*($F$7-$E$7)),$G$7-SQRT((1-Q498)*($G$7-$E$7)*($G$7-$F$7))))</f>
        <v>0.941610287991439</v>
      </c>
      <c r="D498" s="37" t="n">
        <f aca="false">1+IF($G$8=$E$8,$F$8,IF(R498&lt;($F$8-$E$8)/($G$8-$E$8),$E$8+SQRT(R498*($G$8-$E$8)*($F$8-$E$8)),$G$8-SQRT((1-R498)*($G$8-$E$8)*($G$8-$F$8))))</f>
        <v>1.0045128691879</v>
      </c>
      <c r="E498" s="37" t="n">
        <f aca="false">1+IF($G$9=$E$9,$F$9,IF(S498&lt;($F$9-$E$9)/($G$9-$E$9),$E$9+SQRT(S498*($G$9-$E$9)*($F$9-$E$9)),$G$9-SQRT((1-S498)*($G$9-$E$9)*($G$9-$F$9))))</f>
        <v>0.92113478891392</v>
      </c>
      <c r="F498" s="37" t="n">
        <f aca="false">1+IF($G$10=$E$10,$F$10,IF(T498&lt;($F$10-$E$10)/($G$10-$E$10),$E$10+SQRT(T498*($G$10-$E$10)*($F$10-$E$10)),$G$10-SQRT((1-T498)*($G$10-$E$10)*($G$10-$F$10))))</f>
        <v>1.09993964184717</v>
      </c>
      <c r="G498" s="38" t="n">
        <f aca="false">IF($G$11=$E$11,$F$11,IF(U498&lt;($F$11-$E$11)/($G$11-$E$11),$E$11+SQRT(U498*($G$11-$E$11)*($F$11-$E$11)),$G$11-SQRT((1-U498)*($G$11-$E$11)*($G$11-$F$11))))</f>
        <v>0.0927212986217414</v>
      </c>
      <c r="H498" s="39" t="n">
        <f aca="false">(('Business Case'!B11*$C498*'Business Case'!B12*$B498)-'Business Case'!B11*$C498*'Business Case'!B13*$D498-'Business Case'!B14*$E498)-MAX(0,(('Business Case'!B11*$C498*'Business Case'!B12*$B498)-'Business Case'!B11*$C498*'Business Case'!B13*$D498-'Business Case'!B14*$E498))*'Business Case'!$B$7-'Business Case'!$B$8*('Business Case'!B11*$C498*'Business Case'!B12*$B498)-'Business Case'!B15*$F498</f>
        <v>-2199879283.69434</v>
      </c>
      <c r="I498" s="39" t="n">
        <f aca="false">(('Business Case'!C11*$C498*'Business Case'!C12*$B498)-'Business Case'!C11*$C498*'Business Case'!C13*$D498-'Business Case'!C14*$E498)-MAX(0,(('Business Case'!C11*$C498*'Business Case'!C12*$B498)-'Business Case'!C11*$C498*'Business Case'!C13*$D498-'Business Case'!C14*$E498))*'Business Case'!$B$7-'Business Case'!$B$8*(('Business Case'!C11*$C498*'Business Case'!C12*$B498)-('Business Case'!B11*$C498*'Business Case'!B12*$B498))-'Business Case'!C15*$F498</f>
        <v>-20559288.5407554</v>
      </c>
      <c r="J498" s="39" t="n">
        <f aca="false">(('Business Case'!D11*$C498*'Business Case'!D12*$B498)-'Business Case'!D11*$C498*'Business Case'!D13*$D498-'Business Case'!D14*$E498)-MAX(0,(('Business Case'!D11*$C498*'Business Case'!D12*$B498)-'Business Case'!D11*$C498*'Business Case'!D13*$D498-'Business Case'!D14*$E498))*'Business Case'!$B$7-'Business Case'!$B$8*(('Business Case'!D11*$C498*'Business Case'!D12*$B498)-('Business Case'!C11*$C498*'Business Case'!C12*$B498))-'Business Case'!D15*$F498</f>
        <v>247470518.661326</v>
      </c>
      <c r="K498" s="39" t="n">
        <f aca="false">(('Business Case'!E11*$C498*'Business Case'!E12*$B498)-'Business Case'!E11*$C498*'Business Case'!E13*$D498-'Business Case'!E14*$E498)-MAX(0,(('Business Case'!E11*$C498*'Business Case'!E12*$B498)-'Business Case'!E11*$C498*'Business Case'!E13*$D498-'Business Case'!E14*$E498))*'Business Case'!$B$7-'Business Case'!$B$8*(('Business Case'!E11*$C498*'Business Case'!E12*$B498)-('Business Case'!D11*$C498*'Business Case'!D12*$B498))-'Business Case'!E15*$F498</f>
        <v>570497307.955765</v>
      </c>
      <c r="L498" s="39" t="n">
        <f aca="false">(('Business Case'!F11*$C498*'Business Case'!F12*$B498)-'Business Case'!F11*$C498*'Business Case'!F13*$D498-'Business Case'!F14*$E498)-MAX(0,(('Business Case'!F11*$C498*'Business Case'!F12*$B498)-'Business Case'!F11*$C498*'Business Case'!F13*$D498-'Business Case'!F14*$E498))*'Business Case'!$B$7-'Business Case'!$B$8*(('Business Case'!F11*$C498*'Business Case'!F12*$B498)-('Business Case'!E11*$C498*'Business Case'!E12*$B498))-'Business Case'!F15*$F498</f>
        <v>691580420.072832</v>
      </c>
      <c r="M498" s="39" t="n">
        <f aca="false">(('Business Case'!G11*$C498*'Business Case'!G12*$B498)-'Business Case'!G11*$C498*'Business Case'!G13*$D498-'Business Case'!G14*$E498)-MAX(0,(('Business Case'!G11*$C498*'Business Case'!G12*$B498)-'Business Case'!G11*$C498*'Business Case'!G13*$D498-'Business Case'!G14*$E498))*'Business Case'!$B$7-'Business Case'!$B$8*(('Business Case'!G11*$C498*'Business Case'!G12*$B498)-('Business Case'!F11*$C498*'Business Case'!F12*$B498))-'Business Case'!G15*$F498+'Business Case'!$B$8*('Business Case'!G11*$C498*'Business Case'!G12*$B498)</f>
        <v>866149556.846218</v>
      </c>
      <c r="N498" s="39" t="n">
        <f aca="false">IF(COUNT('Business Case'!B11:G11)=0,"",H498+NPV(G498,I498:M498))</f>
        <v>-533160029.906652</v>
      </c>
      <c r="P498" s="40" t="n">
        <f aca="true">RAND()</f>
        <v>0.378493677394685</v>
      </c>
      <c r="Q498" s="40" t="n">
        <f aca="true">RAND()</f>
        <v>0.432411342691154</v>
      </c>
      <c r="R498" s="40" t="n">
        <f aca="true">RAND()</f>
        <v>0.392147189951533</v>
      </c>
      <c r="S498" s="40" t="n">
        <f aca="true">RAND()</f>
        <v>0.017867172097438</v>
      </c>
      <c r="T498" s="40" t="n">
        <f aca="true">RAND()</f>
        <v>0.699758518813929</v>
      </c>
      <c r="U498" s="40" t="n">
        <f aca="true">RAND()</f>
        <v>0.16183143862352</v>
      </c>
    </row>
    <row r="499" customFormat="false" ht="15" hidden="false" customHeight="false" outlineLevel="0" collapsed="false">
      <c r="A499" s="36" t="n">
        <v>419</v>
      </c>
      <c r="B499" s="37" t="n">
        <f aca="false">1+IF($G$6=$E$6,$F$6,IF(P499&lt;($F$6-$E$6)/($G$6-$E$6),$E$6+SQRT(P499*($G$6-$E$6)*($F$6-$E$6)),$G$6-SQRT((1-P499)*($G$6-$E$6)*($G$6-$F$6))))</f>
        <v>0.950480882060302</v>
      </c>
      <c r="C499" s="37" t="n">
        <f aca="false">1+IF($G$7=$E$7,$F$7,IF(Q499&lt;($F$7-$E$7)/($G$7-$E$7),$E$7+SQRT(Q499*($G$7-$E$7)*($F$7-$E$7)),$G$7-SQRT((1-Q499)*($G$7-$E$7)*($G$7-$F$7))))</f>
        <v>0.870749520842095</v>
      </c>
      <c r="D499" s="37" t="n">
        <f aca="false">1+IF($G$8=$E$8,$F$8,IF(R499&lt;($F$8-$E$8)/($G$8-$E$8),$E$8+SQRT(R499*($G$8-$E$8)*($F$8-$E$8)),$G$8-SQRT((1-R499)*($G$8-$E$8)*($G$8-$F$8))))</f>
        <v>1.0275970381365</v>
      </c>
      <c r="E499" s="37" t="n">
        <f aca="false">1+IF($G$9=$E$9,$F$9,IF(S499&lt;($F$9-$E$9)/($G$9-$E$9),$E$9+SQRT(S499*($G$9-$E$9)*($F$9-$E$9)),$G$9-SQRT((1-S499)*($G$9-$E$9)*($G$9-$F$9))))</f>
        <v>0.955309827664844</v>
      </c>
      <c r="F499" s="37" t="n">
        <f aca="false">1+IF($G$10=$E$10,$F$10,IF(T499&lt;($F$10-$E$10)/($G$10-$E$10),$E$10+SQRT(T499*($G$10-$E$10)*($F$10-$E$10)),$G$10-SQRT((1-T499)*($G$10-$E$10)*($G$10-$F$10))))</f>
        <v>1.09981386982886</v>
      </c>
      <c r="G499" s="38" t="n">
        <f aca="false">IF($G$11=$E$11,$F$11,IF(U499&lt;($F$11-$E$11)/($G$11-$E$11),$E$11+SQRT(U499*($G$11-$E$11)*($F$11-$E$11)),$G$11-SQRT((1-U499)*($G$11-$E$11)*($G$11-$F$11))))</f>
        <v>0.0941884250773543</v>
      </c>
      <c r="H499" s="39" t="n">
        <f aca="false">(('Business Case'!B11*$C499*'Business Case'!B12*$B499)-'Business Case'!B11*$C499*'Business Case'!B13*$D499-'Business Case'!B14*$E499)-MAX(0,(('Business Case'!B11*$C499*'Business Case'!B12*$B499)-'Business Case'!B11*$C499*'Business Case'!B13*$D499-'Business Case'!B14*$E499))*'Business Case'!$B$7-'Business Case'!$B$8*('Business Case'!B11*$C499*'Business Case'!B12*$B499)-'Business Case'!B15*$F499</f>
        <v>-2199627739.65772</v>
      </c>
      <c r="I499" s="39" t="n">
        <f aca="false">(('Business Case'!C11*$C499*'Business Case'!C12*$B499)-'Business Case'!C11*$C499*'Business Case'!C13*$D499-'Business Case'!C14*$E499)-MAX(0,(('Business Case'!C11*$C499*'Business Case'!C12*$B499)-'Business Case'!C11*$C499*'Business Case'!C13*$D499-'Business Case'!C14*$E499))*'Business Case'!$B$7-'Business Case'!$B$8*(('Business Case'!C11*$C499*'Business Case'!C12*$B499)-('Business Case'!B11*$C499*'Business Case'!B12*$B499))-'Business Case'!C15*$F499</f>
        <v>-68897218.9959774</v>
      </c>
      <c r="J499" s="39" t="n">
        <f aca="false">(('Business Case'!D11*$C499*'Business Case'!D12*$B499)-'Business Case'!D11*$C499*'Business Case'!D13*$D499-'Business Case'!D14*$E499)-MAX(0,(('Business Case'!D11*$C499*'Business Case'!D12*$B499)-'Business Case'!D11*$C499*'Business Case'!D13*$D499-'Business Case'!D14*$E499))*'Business Case'!$B$7-'Business Case'!$B$8*(('Business Case'!D11*$C499*'Business Case'!D12*$B499)-('Business Case'!C11*$C499*'Business Case'!C12*$B499))-'Business Case'!D15*$F499</f>
        <v>150936385.737678</v>
      </c>
      <c r="K499" s="39" t="n">
        <f aca="false">(('Business Case'!E11*$C499*'Business Case'!E12*$B499)-'Business Case'!E11*$C499*'Business Case'!E13*$D499-'Business Case'!E14*$E499)-MAX(0,(('Business Case'!E11*$C499*'Business Case'!E12*$B499)-'Business Case'!E11*$C499*'Business Case'!E13*$D499-'Business Case'!E14*$E499))*'Business Case'!$B$7-'Business Case'!$B$8*(('Business Case'!E11*$C499*'Business Case'!E12*$B499)-('Business Case'!D11*$C499*'Business Case'!D12*$B499))-'Business Case'!E15*$F499</f>
        <v>425760683.962776</v>
      </c>
      <c r="L499" s="39" t="n">
        <f aca="false">(('Business Case'!F11*$C499*'Business Case'!F12*$B499)-'Business Case'!F11*$C499*'Business Case'!F13*$D499-'Business Case'!F14*$E499)-MAX(0,(('Business Case'!F11*$C499*'Business Case'!F12*$B499)-'Business Case'!F11*$C499*'Business Case'!F13*$D499-'Business Case'!F14*$E499))*'Business Case'!$B$7-'Business Case'!$B$8*(('Business Case'!F11*$C499*'Business Case'!F12*$B499)-('Business Case'!E11*$C499*'Business Case'!E12*$B499))-'Business Case'!F15*$F499</f>
        <v>527641471.709199</v>
      </c>
      <c r="M499" s="39" t="n">
        <f aca="false">(('Business Case'!G11*$C499*'Business Case'!G12*$B499)-'Business Case'!G11*$C499*'Business Case'!G13*$D499-'Business Case'!G14*$E499)-MAX(0,(('Business Case'!G11*$C499*'Business Case'!G12*$B499)-'Business Case'!G11*$C499*'Business Case'!G13*$D499-'Business Case'!G14*$E499))*'Business Case'!$B$7-'Business Case'!$B$8*(('Business Case'!G11*$C499*'Business Case'!G12*$B499)-('Business Case'!F11*$C499*'Business Case'!F12*$B499))-'Business Case'!G15*$F499+'Business Case'!$B$8*('Business Case'!G11*$C499*'Business Case'!G12*$B499)</f>
        <v>684957528.969489</v>
      </c>
      <c r="N499" s="39" t="n">
        <f aca="false">IF(COUNT('Business Case'!B11:G11)=0,"",H499+NPV(G499,I499:M499))</f>
        <v>-1006696546.3415</v>
      </c>
      <c r="P499" s="40" t="n">
        <f aca="true">RAND()</f>
        <v>0.169887963572407</v>
      </c>
      <c r="Q499" s="40" t="n">
        <f aca="true">RAND()</f>
        <v>0.215965917539297</v>
      </c>
      <c r="R499" s="40" t="n">
        <f aca="true">RAND()</f>
        <v>0.650520740892861</v>
      </c>
      <c r="S499" s="40" t="n">
        <f aca="true">RAND()</f>
        <v>0.12236708145259</v>
      </c>
      <c r="T499" s="40" t="n">
        <f aca="true">RAND()</f>
        <v>0.699255017389555</v>
      </c>
      <c r="U499" s="40" t="n">
        <f aca="true">RAND()</f>
        <v>0.201311406175697</v>
      </c>
    </row>
    <row r="500" customFormat="false" ht="15" hidden="false" customHeight="false" outlineLevel="0" collapsed="false">
      <c r="A500" s="36" t="n">
        <v>420</v>
      </c>
      <c r="B500" s="37" t="n">
        <f aca="false">1+IF($G$6=$E$6,$F$6,IF(P500&lt;($F$6-$E$6)/($G$6-$E$6),$E$6+SQRT(P500*($G$6-$E$6)*($F$6-$E$6)),$G$6-SQRT((1-P500)*($G$6-$E$6)*($G$6-$F$6))))</f>
        <v>0.960180783161491</v>
      </c>
      <c r="C500" s="37" t="n">
        <f aca="false">1+IF($G$7=$E$7,$F$7,IF(Q500&lt;($F$7-$E$7)/($G$7-$E$7),$E$7+SQRT(Q500*($G$7-$E$7)*($F$7-$E$7)),$G$7-SQRT((1-Q500)*($G$7-$E$7)*($G$7-$F$7))))</f>
        <v>0.970356040241306</v>
      </c>
      <c r="D500" s="37" t="n">
        <f aca="false">1+IF($G$8=$E$8,$F$8,IF(R500&lt;($F$8-$E$8)/($G$8-$E$8),$E$8+SQRT(R500*($G$8-$E$8)*($F$8-$E$8)),$G$8-SQRT((1-R500)*($G$8-$E$8)*($G$8-$F$8))))</f>
        <v>0.995070152230022</v>
      </c>
      <c r="E500" s="37" t="n">
        <f aca="false">1+IF($G$9=$E$9,$F$9,IF(S500&lt;($F$9-$E$9)/($G$9-$E$9),$E$9+SQRT(S500*($G$9-$E$9)*($F$9-$E$9)),$G$9-SQRT((1-S500)*($G$9-$E$9)*($G$9-$F$9))))</f>
        <v>1.06782917687233</v>
      </c>
      <c r="F500" s="37" t="n">
        <f aca="false">1+IF($G$10=$E$10,$F$10,IF(T500&lt;($F$10-$E$10)/($G$10-$E$10),$E$10+SQRT(T500*($G$10-$E$10)*($F$10-$E$10)),$G$10-SQRT((1-T500)*($G$10-$E$10)*($G$10-$F$10))))</f>
        <v>1.07052842280963</v>
      </c>
      <c r="G500" s="38" t="n">
        <f aca="false">IF($G$11=$E$11,$F$11,IF(U500&lt;($F$11-$E$11)/($G$11-$E$11),$E$11+SQRT(U500*($G$11-$E$11)*($F$11-$E$11)),$G$11-SQRT((1-U500)*($G$11-$E$11)*($G$11-$F$11))))</f>
        <v>0.0871935156057499</v>
      </c>
      <c r="H500" s="39" t="n">
        <f aca="false">(('Business Case'!B11*$C500*'Business Case'!B12*$B500)-'Business Case'!B11*$C500*'Business Case'!B13*$D500-'Business Case'!B14*$E500)-MAX(0,(('Business Case'!B11*$C500*'Business Case'!B12*$B500)-'Business Case'!B11*$C500*'Business Case'!B13*$D500-'Business Case'!B14*$E500))*'Business Case'!$B$7-'Business Case'!$B$8*('Business Case'!B11*$C500*'Business Case'!B12*$B500)-'Business Case'!B15*$F500</f>
        <v>-2141056845.61927</v>
      </c>
      <c r="I500" s="39" t="n">
        <f aca="false">(('Business Case'!C11*$C500*'Business Case'!C12*$B500)-'Business Case'!C11*$C500*'Business Case'!C13*$D500-'Business Case'!C14*$E500)-MAX(0,(('Business Case'!C11*$C500*'Business Case'!C12*$B500)-'Business Case'!C11*$C500*'Business Case'!C13*$D500-'Business Case'!C14*$E500))*'Business Case'!$B$7-'Business Case'!$B$8*(('Business Case'!C11*$C500*'Business Case'!C12*$B500)-('Business Case'!B11*$C500*'Business Case'!B12*$B500))-'Business Case'!C15*$F500</f>
        <v>-38350671.5986376</v>
      </c>
      <c r="J500" s="39" t="n">
        <f aca="false">(('Business Case'!D11*$C500*'Business Case'!D12*$B500)-'Business Case'!D11*$C500*'Business Case'!D13*$D500-'Business Case'!D14*$E500)-MAX(0,(('Business Case'!D11*$C500*'Business Case'!D12*$B500)-'Business Case'!D11*$C500*'Business Case'!D13*$D500-'Business Case'!D14*$E500))*'Business Case'!$B$7-'Business Case'!$B$8*(('Business Case'!D11*$C500*'Business Case'!D12*$B500)-('Business Case'!C11*$C500*'Business Case'!C12*$B500))-'Business Case'!D15*$F500</f>
        <v>230497028.857854</v>
      </c>
      <c r="K500" s="39" t="n">
        <f aca="false">(('Business Case'!E11*$C500*'Business Case'!E12*$B500)-'Business Case'!E11*$C500*'Business Case'!E13*$D500-'Business Case'!E14*$E500)-MAX(0,(('Business Case'!E11*$C500*'Business Case'!E12*$B500)-'Business Case'!E11*$C500*'Business Case'!E13*$D500-'Business Case'!E14*$E500))*'Business Case'!$B$7-'Business Case'!$B$8*(('Business Case'!E11*$C500*'Business Case'!E12*$B500)-('Business Case'!D11*$C500*'Business Case'!D12*$B500))-'Business Case'!E15*$F500</f>
        <v>552871150.454828</v>
      </c>
      <c r="L500" s="39" t="n">
        <f aca="false">(('Business Case'!F11*$C500*'Business Case'!F12*$B500)-'Business Case'!F11*$C500*'Business Case'!F13*$D500-'Business Case'!F14*$E500)-MAX(0,(('Business Case'!F11*$C500*'Business Case'!F12*$B500)-'Business Case'!F11*$C500*'Business Case'!F13*$D500-'Business Case'!F14*$E500))*'Business Case'!$B$7-'Business Case'!$B$8*(('Business Case'!F11*$C500*'Business Case'!F12*$B500)-('Business Case'!E11*$C500*'Business Case'!E12*$B500))-'Business Case'!F15*$F500</f>
        <v>674687197.822273</v>
      </c>
      <c r="M500" s="39" t="n">
        <f aca="false">(('Business Case'!G11*$C500*'Business Case'!G12*$B500)-'Business Case'!G11*$C500*'Business Case'!G13*$D500-'Business Case'!G14*$E500)-MAX(0,(('Business Case'!G11*$C500*'Business Case'!G12*$B500)-'Business Case'!G11*$C500*'Business Case'!G13*$D500-'Business Case'!G14*$E500))*'Business Case'!$B$7-'Business Case'!$B$8*(('Business Case'!G11*$C500*'Business Case'!G12*$B500)-('Business Case'!F11*$C500*'Business Case'!F12*$B500))-'Business Case'!G15*$F500+'Business Case'!$B$8*('Business Case'!G11*$C500*'Business Case'!G12*$B500)</f>
        <v>851788007.506319</v>
      </c>
      <c r="N500" s="39" t="n">
        <f aca="false">IF(COUNT('Business Case'!B11:G11)=0,"",H500+NPV(G500,I500:M500))</f>
        <v>-507385514.518249</v>
      </c>
      <c r="P500" s="40" t="n">
        <f aca="true">RAND()</f>
        <v>0.241448444128689</v>
      </c>
      <c r="Q500" s="40" t="n">
        <f aca="true">RAND()</f>
        <v>0.541425099962658</v>
      </c>
      <c r="R500" s="40" t="n">
        <f aca="true">RAND()</f>
        <v>0.270842482938308</v>
      </c>
      <c r="S500" s="40" t="n">
        <f aca="true">RAND()</f>
        <v>0.819945488707216</v>
      </c>
      <c r="T500" s="40" t="n">
        <f aca="true">RAND()</f>
        <v>0.570532706410694</v>
      </c>
      <c r="U500" s="40" t="n">
        <f aca="true">RAND()</f>
        <v>0.0517466667701675</v>
      </c>
    </row>
    <row r="501" customFormat="false" ht="15" hidden="false" customHeight="false" outlineLevel="0" collapsed="false">
      <c r="A501" s="36" t="n">
        <v>421</v>
      </c>
      <c r="B501" s="37" t="n">
        <f aca="false">1+IF($G$6=$E$6,$F$6,IF(P501&lt;($F$6-$E$6)/($G$6-$E$6),$E$6+SQRT(P501*($G$6-$E$6)*($F$6-$E$6)),$G$6-SQRT((1-P501)*($G$6-$E$6)*($G$6-$F$6))))</f>
        <v>0.945263099666984</v>
      </c>
      <c r="C501" s="37" t="n">
        <f aca="false">1+IF($G$7=$E$7,$F$7,IF(Q501&lt;($F$7-$E$7)/($G$7-$E$7),$E$7+SQRT(Q501*($G$7-$E$7)*($F$7-$E$7)),$G$7-SQRT((1-Q501)*($G$7-$E$7)*($G$7-$F$7))))</f>
        <v>0.989484151534048</v>
      </c>
      <c r="D501" s="37" t="n">
        <f aca="false">1+IF($G$8=$E$8,$F$8,IF(R501&lt;($F$8-$E$8)/($G$8-$E$8),$E$8+SQRT(R501*($G$8-$E$8)*($F$8-$E$8)),$G$8-SQRT((1-R501)*($G$8-$E$8)*($G$8-$F$8))))</f>
        <v>0.980234198898052</v>
      </c>
      <c r="E501" s="37" t="n">
        <f aca="false">1+IF($G$9=$E$9,$F$9,IF(S501&lt;($F$9-$E$9)/($G$9-$E$9),$E$9+SQRT(S501*($G$9-$E$9)*($F$9-$E$9)),$G$9-SQRT((1-S501)*($G$9-$E$9)*($G$9-$F$9))))</f>
        <v>1.06203914622958</v>
      </c>
      <c r="F501" s="37" t="n">
        <f aca="false">1+IF($G$10=$E$10,$F$10,IF(T501&lt;($F$10-$E$10)/($G$10-$E$10),$E$10+SQRT(T501*($G$10-$E$10)*($F$10-$E$10)),$G$10-SQRT((1-T501)*($G$10-$E$10)*($G$10-$F$10))))</f>
        <v>1.01057941804155</v>
      </c>
      <c r="G501" s="38" t="n">
        <f aca="false">IF($G$11=$E$11,$F$11,IF(U501&lt;($F$11-$E$11)/($G$11-$E$11),$E$11+SQRT(U501*($G$11-$E$11)*($F$11-$E$11)),$G$11-SQRT((1-U501)*($G$11-$E$11)*($G$11-$F$11))))</f>
        <v>0.112233111641587</v>
      </c>
      <c r="H501" s="39" t="n">
        <f aca="false">(('Business Case'!B11*$C501*'Business Case'!B12*$B501)-'Business Case'!B11*$C501*'Business Case'!B13*$D501-'Business Case'!B14*$E501)-MAX(0,(('Business Case'!B11*$C501*'Business Case'!B12*$B501)-'Business Case'!B11*$C501*'Business Case'!B13*$D501-'Business Case'!B14*$E501))*'Business Case'!$B$7-'Business Case'!$B$8*('Business Case'!B11*$C501*'Business Case'!B12*$B501)-'Business Case'!B15*$F501</f>
        <v>-2021158836.08309</v>
      </c>
      <c r="I501" s="39" t="n">
        <f aca="false">(('Business Case'!C11*$C501*'Business Case'!C12*$B501)-'Business Case'!C11*$C501*'Business Case'!C13*$D501-'Business Case'!C14*$E501)-MAX(0,(('Business Case'!C11*$C501*'Business Case'!C12*$B501)-'Business Case'!C11*$C501*'Business Case'!C13*$D501-'Business Case'!C14*$E501))*'Business Case'!$B$7-'Business Case'!$B$8*(('Business Case'!C11*$C501*'Business Case'!C12*$B501)-('Business Case'!B11*$C501*'Business Case'!B12*$B501))-'Business Case'!C15*$F501</f>
        <v>-30994905.4874906</v>
      </c>
      <c r="J501" s="39" t="n">
        <f aca="false">(('Business Case'!D11*$C501*'Business Case'!D12*$B501)-'Business Case'!D11*$C501*'Business Case'!D13*$D501-'Business Case'!D14*$E501)-MAX(0,(('Business Case'!D11*$C501*'Business Case'!D12*$B501)-'Business Case'!D11*$C501*'Business Case'!D13*$D501-'Business Case'!D14*$E501))*'Business Case'!$B$7-'Business Case'!$B$8*(('Business Case'!D11*$C501*'Business Case'!D12*$B501)-('Business Case'!C11*$C501*'Business Case'!C12*$B501))-'Business Case'!D15*$F501</f>
        <v>238577234.285859</v>
      </c>
      <c r="K501" s="39" t="n">
        <f aca="false">(('Business Case'!E11*$C501*'Business Case'!E12*$B501)-'Business Case'!E11*$C501*'Business Case'!E13*$D501-'Business Case'!E14*$E501)-MAX(0,(('Business Case'!E11*$C501*'Business Case'!E12*$B501)-'Business Case'!E11*$C501*'Business Case'!E13*$D501-'Business Case'!E14*$E501))*'Business Case'!$B$7-'Business Case'!$B$8*(('Business Case'!E11*$C501*'Business Case'!E12*$B501)-('Business Case'!D11*$C501*'Business Case'!D12*$B501))-'Business Case'!E15*$F501</f>
        <v>558678344.961285</v>
      </c>
      <c r="L501" s="39" t="n">
        <f aca="false">(('Business Case'!F11*$C501*'Business Case'!F12*$B501)-'Business Case'!F11*$C501*'Business Case'!F13*$D501-'Business Case'!F14*$E501)-MAX(0,(('Business Case'!F11*$C501*'Business Case'!F12*$B501)-'Business Case'!F11*$C501*'Business Case'!F13*$D501-'Business Case'!F14*$E501))*'Business Case'!$B$7-'Business Case'!$B$8*(('Business Case'!F11*$C501*'Business Case'!F12*$B501)-('Business Case'!E11*$C501*'Business Case'!E12*$B501))-'Business Case'!F15*$F501</f>
        <v>680860482.794294</v>
      </c>
      <c r="M501" s="39" t="n">
        <f aca="false">(('Business Case'!G11*$C501*'Business Case'!G12*$B501)-'Business Case'!G11*$C501*'Business Case'!G13*$D501-'Business Case'!G14*$E501)-MAX(0,(('Business Case'!G11*$C501*'Business Case'!G12*$B501)-'Business Case'!G11*$C501*'Business Case'!G13*$D501-'Business Case'!G14*$E501))*'Business Case'!$B$7-'Business Case'!$B$8*(('Business Case'!G11*$C501*'Business Case'!G12*$B501)-('Business Case'!F11*$C501*'Business Case'!F12*$B501))-'Business Case'!G15*$F501+'Business Case'!$B$8*('Business Case'!G11*$C501*'Business Case'!G12*$B501)</f>
        <v>858646651.291367</v>
      </c>
      <c r="N501" s="39" t="n">
        <f aca="false">IF(COUNT('Business Case'!B11:G11)=0,"",H501+NPV(G501,I501:M501))</f>
        <v>-500740258.553664</v>
      </c>
      <c r="P501" s="40" t="n">
        <f aca="true">RAND()</f>
        <v>0.136583212764222</v>
      </c>
      <c r="Q501" s="40" t="n">
        <f aca="true">RAND()</f>
        <v>0.620748696217685</v>
      </c>
      <c r="R501" s="40" t="n">
        <f aca="true">RAND()</f>
        <v>0.12188090440093</v>
      </c>
      <c r="S501" s="40" t="n">
        <f aca="true">RAND()</f>
        <v>0.793677018772787</v>
      </c>
      <c r="T501" s="40" t="n">
        <f aca="true">RAND()</f>
        <v>0.235703799129007</v>
      </c>
      <c r="U501" s="40" t="n">
        <f aca="true">RAND()</f>
        <v>0.789558452039787</v>
      </c>
    </row>
    <row r="502" customFormat="false" ht="15" hidden="false" customHeight="false" outlineLevel="0" collapsed="false">
      <c r="A502" s="36" t="n">
        <v>422</v>
      </c>
      <c r="B502" s="37" t="n">
        <f aca="false">1+IF($G$6=$E$6,$F$6,IF(P502&lt;($F$6-$E$6)/($G$6-$E$6),$E$6+SQRT(P502*($G$6-$E$6)*($F$6-$E$6)),$G$6-SQRT((1-P502)*($G$6-$E$6)*($G$6-$F$6))))</f>
        <v>0.97648022715743</v>
      </c>
      <c r="C502" s="37" t="n">
        <f aca="false">1+IF($G$7=$E$7,$F$7,IF(Q502&lt;($F$7-$E$7)/($G$7-$E$7),$E$7+SQRT(Q502*($G$7-$E$7)*($F$7-$E$7)),$G$7-SQRT((1-Q502)*($G$7-$E$7)*($G$7-$F$7))))</f>
        <v>0.994883877134362</v>
      </c>
      <c r="D502" s="37" t="n">
        <f aca="false">1+IF($G$8=$E$8,$F$8,IF(R502&lt;($F$8-$E$8)/($G$8-$E$8),$E$8+SQRT(R502*($G$8-$E$8)*($F$8-$E$8)),$G$8-SQRT((1-R502)*($G$8-$E$8)*($G$8-$F$8))))</f>
        <v>1.02849786527711</v>
      </c>
      <c r="E502" s="37" t="n">
        <f aca="false">1+IF($G$9=$E$9,$F$9,IF(S502&lt;($F$9-$E$9)/($G$9-$E$9),$E$9+SQRT(S502*($G$9-$E$9)*($F$9-$E$9)),$G$9-SQRT((1-S502)*($G$9-$E$9)*($G$9-$F$9))))</f>
        <v>1.09853039394686</v>
      </c>
      <c r="F502" s="37" t="n">
        <f aca="false">1+IF($G$10=$E$10,$F$10,IF(T502&lt;($F$10-$E$10)/($G$10-$E$10),$E$10+SQRT(T502*($G$10-$E$10)*($F$10-$E$10)),$G$10-SQRT((1-T502)*($G$10-$E$10)*($G$10-$F$10))))</f>
        <v>0.988024964744836</v>
      </c>
      <c r="G502" s="38" t="n">
        <f aca="false">IF($G$11=$E$11,$F$11,IF(U502&lt;($F$11-$E$11)/($G$11-$E$11),$E$11+SQRT(U502*($G$11-$E$11)*($F$11-$E$11)),$G$11-SQRT((1-U502)*($G$11-$E$11)*($G$11-$F$11))))</f>
        <v>0.0848736287604634</v>
      </c>
      <c r="H502" s="39" t="n">
        <f aca="false">(('Business Case'!B11*$C502*'Business Case'!B12*$B502)-'Business Case'!B11*$C502*'Business Case'!B13*$D502-'Business Case'!B14*$E502)-MAX(0,(('Business Case'!B11*$C502*'Business Case'!B12*$B502)-'Business Case'!B11*$C502*'Business Case'!B13*$D502-'Business Case'!B14*$E502))*'Business Case'!$B$7-'Business Case'!$B$8*('Business Case'!B11*$C502*'Business Case'!B12*$B502)-'Business Case'!B15*$F502</f>
        <v>-1976049929.48967</v>
      </c>
      <c r="I502" s="39" t="n">
        <f aca="false">(('Business Case'!C11*$C502*'Business Case'!C12*$B502)-'Business Case'!C11*$C502*'Business Case'!C13*$D502-'Business Case'!C14*$E502)-MAX(0,(('Business Case'!C11*$C502*'Business Case'!C12*$B502)-'Business Case'!C11*$C502*'Business Case'!C13*$D502-'Business Case'!C14*$E502))*'Business Case'!$B$7-'Business Case'!$B$8*(('Business Case'!C11*$C502*'Business Case'!C12*$B502)-('Business Case'!B11*$C502*'Business Case'!B12*$B502))-'Business Case'!C15*$F502</f>
        <v>-33474517.332742</v>
      </c>
      <c r="J502" s="39" t="n">
        <f aca="false">(('Business Case'!D11*$C502*'Business Case'!D12*$B502)-'Business Case'!D11*$C502*'Business Case'!D13*$D502-'Business Case'!D14*$E502)-MAX(0,(('Business Case'!D11*$C502*'Business Case'!D12*$B502)-'Business Case'!D11*$C502*'Business Case'!D13*$D502-'Business Case'!D14*$E502))*'Business Case'!$B$7-'Business Case'!$B$8*(('Business Case'!D11*$C502*'Business Case'!D12*$B502)-('Business Case'!C11*$C502*'Business Case'!C12*$B502))-'Business Case'!D15*$F502</f>
        <v>238426236.904399</v>
      </c>
      <c r="K502" s="39" t="n">
        <f aca="false">(('Business Case'!E11*$C502*'Business Case'!E12*$B502)-'Business Case'!E11*$C502*'Business Case'!E13*$D502-'Business Case'!E14*$E502)-MAX(0,(('Business Case'!E11*$C502*'Business Case'!E12*$B502)-'Business Case'!E11*$C502*'Business Case'!E13*$D502-'Business Case'!E14*$E502))*'Business Case'!$B$7-'Business Case'!$B$8*(('Business Case'!E11*$C502*'Business Case'!E12*$B502)-('Business Case'!D11*$C502*'Business Case'!D12*$B502))-'Business Case'!E15*$F502</f>
        <v>559728239.378783</v>
      </c>
      <c r="L502" s="39" t="n">
        <f aca="false">(('Business Case'!F11*$C502*'Business Case'!F12*$B502)-'Business Case'!F11*$C502*'Business Case'!F13*$D502-'Business Case'!F14*$E502)-MAX(0,(('Business Case'!F11*$C502*'Business Case'!F12*$B502)-'Business Case'!F11*$C502*'Business Case'!F13*$D502-'Business Case'!F14*$E502))*'Business Case'!$B$7-'Business Case'!$B$8*(('Business Case'!F11*$C502*'Business Case'!F12*$B502)-('Business Case'!E11*$C502*'Business Case'!E12*$B502))-'Business Case'!F15*$F502</f>
        <v>683936326.175267</v>
      </c>
      <c r="M502" s="39" t="n">
        <f aca="false">(('Business Case'!G11*$C502*'Business Case'!G12*$B502)-'Business Case'!G11*$C502*'Business Case'!G13*$D502-'Business Case'!G14*$E502)-MAX(0,(('Business Case'!G11*$C502*'Business Case'!G12*$B502)-'Business Case'!G11*$C502*'Business Case'!G13*$D502-'Business Case'!G14*$E502))*'Business Case'!$B$7-'Business Case'!$B$8*(('Business Case'!G11*$C502*'Business Case'!G12*$B502)-('Business Case'!F11*$C502*'Business Case'!F12*$B502))-'Business Case'!G15*$F502+'Business Case'!$B$8*('Business Case'!G11*$C502*'Business Case'!G12*$B502)</f>
        <v>868596087.454505</v>
      </c>
      <c r="N502" s="39" t="n">
        <f aca="false">IF(COUNT('Business Case'!B11:G11)=0,"",H502+NPV(G502,I502:M502))</f>
        <v>-294223850.439775</v>
      </c>
      <c r="P502" s="40" t="n">
        <f aca="true">RAND()</f>
        <v>0.389948343070141</v>
      </c>
      <c r="Q502" s="40" t="n">
        <f aca="true">RAND()</f>
        <v>0.644122229583655</v>
      </c>
      <c r="R502" s="40" t="n">
        <f aca="true">RAND()</f>
        <v>0.659162982004633</v>
      </c>
      <c r="S502" s="40" t="n">
        <f aca="true">RAND()</f>
        <v>0.929356790739596</v>
      </c>
      <c r="T502" s="40" t="n">
        <f aca="true">RAND()</f>
        <v>0.0963931962564034</v>
      </c>
      <c r="U502" s="40" t="n">
        <f aca="true">RAND()</f>
        <v>0.0237522572948159</v>
      </c>
    </row>
    <row r="503" customFormat="false" ht="15" hidden="false" customHeight="false" outlineLevel="0" collapsed="false">
      <c r="A503" s="36" t="n">
        <v>423</v>
      </c>
      <c r="B503" s="37" t="n">
        <f aca="false">1+IF($G$6=$E$6,$F$6,IF(P503&lt;($F$6-$E$6)/($G$6-$E$6),$E$6+SQRT(P503*($G$6-$E$6)*($F$6-$E$6)),$G$6-SQRT((1-P503)*($G$6-$E$6)*($G$6-$F$6))))</f>
        <v>0.998698180538827</v>
      </c>
      <c r="C503" s="37" t="n">
        <f aca="false">1+IF($G$7=$E$7,$F$7,IF(Q503&lt;($F$7-$E$7)/($G$7-$E$7),$E$7+SQRT(Q503*($G$7-$E$7)*($F$7-$E$7)),$G$7-SQRT((1-Q503)*($G$7-$E$7)*($G$7-$F$7))))</f>
        <v>0.869673430426542</v>
      </c>
      <c r="D503" s="37" t="n">
        <f aca="false">1+IF($G$8=$E$8,$F$8,IF(R503&lt;($F$8-$E$8)/($G$8-$E$8),$E$8+SQRT(R503*($G$8-$E$8)*($F$8-$E$8)),$G$8-SQRT((1-R503)*($G$8-$E$8)*($G$8-$F$8))))</f>
        <v>1.00067664092216</v>
      </c>
      <c r="E503" s="37" t="n">
        <f aca="false">1+IF($G$9=$E$9,$F$9,IF(S503&lt;($F$9-$E$9)/($G$9-$E$9),$E$9+SQRT(S503*($G$9-$E$9)*($F$9-$E$9)),$G$9-SQRT((1-S503)*($G$9-$E$9)*($G$9-$F$9))))</f>
        <v>1.07547476668142</v>
      </c>
      <c r="F503" s="37" t="n">
        <f aca="false">1+IF($G$10=$E$10,$F$10,IF(T503&lt;($F$10-$E$10)/($G$10-$E$10),$E$10+SQRT(T503*($G$10-$E$10)*($F$10-$E$10)),$G$10-SQRT((1-T503)*($G$10-$E$10)*($G$10-$F$10))))</f>
        <v>1.02130165783413</v>
      </c>
      <c r="G503" s="38" t="n">
        <f aca="false">IF($G$11=$E$11,$F$11,IF(U503&lt;($F$11-$E$11)/($G$11-$E$11),$E$11+SQRT(U503*($G$11-$E$11)*($F$11-$E$11)),$G$11-SQRT((1-U503)*($G$11-$E$11)*($G$11-$F$11))))</f>
        <v>0.0969119688058578</v>
      </c>
      <c r="H503" s="39" t="n">
        <f aca="false">(('Business Case'!B11*$C503*'Business Case'!B12*$B503)-'Business Case'!B11*$C503*'Business Case'!B13*$D503-'Business Case'!B14*$E503)-MAX(0,(('Business Case'!B11*$C503*'Business Case'!B12*$B503)-'Business Case'!B11*$C503*'Business Case'!B13*$D503-'Business Case'!B14*$E503))*'Business Case'!$B$7-'Business Case'!$B$8*('Business Case'!B11*$C503*'Business Case'!B12*$B503)-'Business Case'!B15*$F503</f>
        <v>-2042603315.66826</v>
      </c>
      <c r="I503" s="39" t="n">
        <f aca="false">(('Business Case'!C11*$C503*'Business Case'!C12*$B503)-'Business Case'!C11*$C503*'Business Case'!C13*$D503-'Business Case'!C14*$E503)-MAX(0,(('Business Case'!C11*$C503*'Business Case'!C12*$B503)-'Business Case'!C11*$C503*'Business Case'!C13*$D503-'Business Case'!C14*$E503))*'Business Case'!$B$7-'Business Case'!$B$8*(('Business Case'!C11*$C503*'Business Case'!C12*$B503)-('Business Case'!B11*$C503*'Business Case'!B12*$B503))-'Business Case'!C15*$F503</f>
        <v>-34194485.1460683</v>
      </c>
      <c r="J503" s="39" t="n">
        <f aca="false">(('Business Case'!D11*$C503*'Business Case'!D12*$B503)-'Business Case'!D11*$C503*'Business Case'!D13*$D503-'Business Case'!D14*$E503)-MAX(0,(('Business Case'!D11*$C503*'Business Case'!D12*$B503)-'Business Case'!D11*$C503*'Business Case'!D13*$D503-'Business Case'!D14*$E503))*'Business Case'!$B$7-'Business Case'!$B$8*(('Business Case'!D11*$C503*'Business Case'!D12*$B503)-('Business Case'!C11*$C503*'Business Case'!C12*$B503))-'Business Case'!D15*$F503</f>
        <v>231698886.886511</v>
      </c>
      <c r="K503" s="39" t="n">
        <f aca="false">(('Business Case'!E11*$C503*'Business Case'!E12*$B503)-'Business Case'!E11*$C503*'Business Case'!E13*$D503-'Business Case'!E14*$E503)-MAX(0,(('Business Case'!E11*$C503*'Business Case'!E12*$B503)-'Business Case'!E11*$C503*'Business Case'!E13*$D503-'Business Case'!E14*$E503))*'Business Case'!$B$7-'Business Case'!$B$8*(('Business Case'!E11*$C503*'Business Case'!E12*$B503)-('Business Case'!D11*$C503*'Business Case'!D12*$B503))-'Business Case'!E15*$F503</f>
        <v>548657341.810796</v>
      </c>
      <c r="L503" s="39" t="n">
        <f aca="false">(('Business Case'!F11*$C503*'Business Case'!F12*$B503)-'Business Case'!F11*$C503*'Business Case'!F13*$D503-'Business Case'!F14*$E503)-MAX(0,(('Business Case'!F11*$C503*'Business Case'!F12*$B503)-'Business Case'!F11*$C503*'Business Case'!F13*$D503-'Business Case'!F14*$E503))*'Business Case'!$B$7-'Business Case'!$B$8*(('Business Case'!F11*$C503*'Business Case'!F12*$B503)-('Business Case'!E11*$C503*'Business Case'!E12*$B503))-'Business Case'!F15*$F503</f>
        <v>667305252.203747</v>
      </c>
      <c r="M503" s="39" t="n">
        <f aca="false">(('Business Case'!G11*$C503*'Business Case'!G12*$B503)-'Business Case'!G11*$C503*'Business Case'!G13*$D503-'Business Case'!G14*$E503)-MAX(0,(('Business Case'!G11*$C503*'Business Case'!G12*$B503)-'Business Case'!G11*$C503*'Business Case'!G13*$D503-'Business Case'!G14*$E503))*'Business Case'!$B$7-'Business Case'!$B$8*(('Business Case'!G11*$C503*'Business Case'!G12*$B503)-('Business Case'!F11*$C503*'Business Case'!F12*$B503))-'Business Case'!G15*$F503+'Business Case'!$B$8*('Business Case'!G11*$C503*'Business Case'!G12*$B503)</f>
        <v>832397577.305248</v>
      </c>
      <c r="N503" s="39" t="n">
        <f aca="false">IF(COUNT('Business Case'!B11:G11)=0,"",H503+NPV(G503,I503:M503))</f>
        <v>-480402440.222427</v>
      </c>
      <c r="P503" s="40" t="n">
        <f aca="true">RAND()</f>
        <v>0.649422056111665</v>
      </c>
      <c r="Q503" s="40" t="n">
        <f aca="true">RAND()</f>
        <v>0.213252392538598</v>
      </c>
      <c r="R503" s="40" t="n">
        <f aca="true">RAND()</f>
        <v>0.342324689432926</v>
      </c>
      <c r="S503" s="40" t="n">
        <f aca="true">RAND()</f>
        <v>0.851893055968297</v>
      </c>
      <c r="T503" s="40" t="n">
        <f aca="true">RAND()</f>
        <v>0.302627577207771</v>
      </c>
      <c r="U503" s="40" t="n">
        <f aca="true">RAND()</f>
        <v>0.286014688890308</v>
      </c>
    </row>
    <row r="504" customFormat="false" ht="15" hidden="false" customHeight="false" outlineLevel="0" collapsed="false">
      <c r="A504" s="36" t="n">
        <v>424</v>
      </c>
      <c r="B504" s="37" t="n">
        <f aca="false">1+IF($G$6=$E$6,$F$6,IF(P504&lt;($F$6-$E$6)/($G$6-$E$6),$E$6+SQRT(P504*($G$6-$E$6)*($F$6-$E$6)),$G$6-SQRT((1-P504)*($G$6-$E$6)*($G$6-$F$6))))</f>
        <v>1.02006589183722</v>
      </c>
      <c r="C504" s="37" t="n">
        <f aca="false">1+IF($G$7=$E$7,$F$7,IF(Q504&lt;($F$7-$E$7)/($G$7-$E$7),$E$7+SQRT(Q504*($G$7-$E$7)*($F$7-$E$7)),$G$7-SQRT((1-Q504)*($G$7-$E$7)*($G$7-$F$7))))</f>
        <v>0.993155362882451</v>
      </c>
      <c r="D504" s="37" t="n">
        <f aca="false">1+IF($G$8=$E$8,$F$8,IF(R504&lt;($F$8-$E$8)/($G$8-$E$8),$E$8+SQRT(R504*($G$8-$E$8)*($F$8-$E$8)),$G$8-SQRT((1-R504)*($G$8-$E$8)*($G$8-$F$8))))</f>
        <v>1.07269759477671</v>
      </c>
      <c r="E504" s="37" t="n">
        <f aca="false">1+IF($G$9=$E$9,$F$9,IF(S504&lt;($F$9-$E$9)/($G$9-$E$9),$E$9+SQRT(S504*($G$9-$E$9)*($F$9-$E$9)),$G$9-SQRT((1-S504)*($G$9-$E$9)*($G$9-$F$9))))</f>
        <v>1.07253907273693</v>
      </c>
      <c r="F504" s="37" t="n">
        <f aca="false">1+IF($G$10=$E$10,$F$10,IF(T504&lt;($F$10-$E$10)/($G$10-$E$10),$E$10+SQRT(T504*($G$10-$E$10)*($F$10-$E$10)),$G$10-SQRT((1-T504)*($G$10-$E$10)*($G$10-$F$10))))</f>
        <v>1.162201437779</v>
      </c>
      <c r="G504" s="38" t="n">
        <f aca="false">IF($G$11=$E$11,$F$11,IF(U504&lt;($F$11-$E$11)/($G$11-$E$11),$E$11+SQRT(U504*($G$11-$E$11)*($F$11-$E$11)),$G$11-SQRT((1-U504)*($G$11-$E$11)*($G$11-$F$11))))</f>
        <v>0.102448504119026</v>
      </c>
      <c r="H504" s="39" t="n">
        <f aca="false">(('Business Case'!B11*$C504*'Business Case'!B12*$B504)-'Business Case'!B11*$C504*'Business Case'!B13*$D504-'Business Case'!B14*$E504)-MAX(0,(('Business Case'!B11*$C504*'Business Case'!B12*$B504)-'Business Case'!B11*$C504*'Business Case'!B13*$D504-'Business Case'!B14*$E504))*'Business Case'!$B$7-'Business Case'!$B$8*('Business Case'!B11*$C504*'Business Case'!B12*$B504)-'Business Case'!B15*$F504</f>
        <v>-2324402875.55799</v>
      </c>
      <c r="I504" s="39" t="n">
        <f aca="false">(('Business Case'!C11*$C504*'Business Case'!C12*$B504)-'Business Case'!C11*$C504*'Business Case'!C13*$D504-'Business Case'!C14*$E504)-MAX(0,(('Business Case'!C11*$C504*'Business Case'!C12*$B504)-'Business Case'!C11*$C504*'Business Case'!C13*$D504-'Business Case'!C14*$E504))*'Business Case'!$B$7-'Business Case'!$B$8*(('Business Case'!C11*$C504*'Business Case'!C12*$B504)-('Business Case'!B11*$C504*'Business Case'!B12*$B504))-'Business Case'!C15*$F504</f>
        <v>-36841525.2388427</v>
      </c>
      <c r="J504" s="39" t="n">
        <f aca="false">(('Business Case'!D11*$C504*'Business Case'!D12*$B504)-'Business Case'!D11*$C504*'Business Case'!D13*$D504-'Business Case'!D14*$E504)-MAX(0,(('Business Case'!D11*$C504*'Business Case'!D12*$B504)-'Business Case'!D11*$C504*'Business Case'!D13*$D504-'Business Case'!D14*$E504))*'Business Case'!$B$7-'Business Case'!$B$8*(('Business Case'!D11*$C504*'Business Case'!D12*$B504)-('Business Case'!C11*$C504*'Business Case'!C12*$B504))-'Business Case'!D15*$F504</f>
        <v>247570419.388173</v>
      </c>
      <c r="K504" s="39" t="n">
        <f aca="false">(('Business Case'!E11*$C504*'Business Case'!E12*$B504)-'Business Case'!E11*$C504*'Business Case'!E13*$D504-'Business Case'!E14*$E504)-MAX(0,(('Business Case'!E11*$C504*'Business Case'!E12*$B504)-'Business Case'!E11*$C504*'Business Case'!E13*$D504-'Business Case'!E14*$E504))*'Business Case'!$B$7-'Business Case'!$B$8*(('Business Case'!E11*$C504*'Business Case'!E12*$B504)-('Business Case'!D11*$C504*'Business Case'!D12*$B504))-'Business Case'!E15*$F504</f>
        <v>590092435.904139</v>
      </c>
      <c r="L504" s="39" t="n">
        <f aca="false">(('Business Case'!F11*$C504*'Business Case'!F12*$B504)-'Business Case'!F11*$C504*'Business Case'!F13*$D504-'Business Case'!F14*$E504)-MAX(0,(('Business Case'!F11*$C504*'Business Case'!F12*$B504)-'Business Case'!F11*$C504*'Business Case'!F13*$D504-'Business Case'!F14*$E504))*'Business Case'!$B$7-'Business Case'!$B$8*(('Business Case'!F11*$C504*'Business Case'!F12*$B504)-('Business Case'!E11*$C504*'Business Case'!E12*$B504))-'Business Case'!F15*$F504</f>
        <v>719908597.409656</v>
      </c>
      <c r="M504" s="39" t="n">
        <f aca="false">(('Business Case'!G11*$C504*'Business Case'!G12*$B504)-'Business Case'!G11*$C504*'Business Case'!G13*$D504-'Business Case'!G14*$E504)-MAX(0,(('Business Case'!G11*$C504*'Business Case'!G12*$B504)-'Business Case'!G11*$C504*'Business Case'!G13*$D504-'Business Case'!G14*$E504))*'Business Case'!$B$7-'Business Case'!$B$8*(('Business Case'!G11*$C504*'Business Case'!G12*$B504)-('Business Case'!F11*$C504*'Business Case'!F12*$B504))-'Business Case'!G15*$F504+'Business Case'!$B$8*('Business Case'!G11*$C504*'Business Case'!G12*$B504)</f>
        <v>912475587.207139</v>
      </c>
      <c r="N504" s="39" t="n">
        <f aca="false">IF(COUNT('Business Case'!B11:G11)=0,"",H504+NPV(G504,I504:M504))</f>
        <v>-666061968.667032</v>
      </c>
      <c r="P504" s="40" t="n">
        <f aca="true">RAND()</f>
        <v>0.880526555799865</v>
      </c>
      <c r="Q504" s="40" t="n">
        <f aca="true">RAND()</f>
        <v>0.636593087309196</v>
      </c>
      <c r="R504" s="40" t="n">
        <f aca="true">RAND()</f>
        <v>0.950305244601538</v>
      </c>
      <c r="S504" s="40" t="n">
        <f aca="true">RAND()</f>
        <v>0.839994793267859</v>
      </c>
      <c r="T504" s="40" t="n">
        <f aca="true">RAND()</f>
        <v>0.897218832958993</v>
      </c>
      <c r="U504" s="40" t="n">
        <f aca="true">RAND()</f>
        <v>0.493943383147118</v>
      </c>
    </row>
    <row r="505" customFormat="false" ht="15" hidden="false" customHeight="false" outlineLevel="0" collapsed="false">
      <c r="A505" s="36" t="n">
        <v>425</v>
      </c>
      <c r="B505" s="37" t="n">
        <f aca="false">1+IF($G$6=$E$6,$F$6,IF(P505&lt;($F$6-$E$6)/($G$6-$E$6),$E$6+SQRT(P505*($G$6-$E$6)*($F$6-$E$6)),$G$6-SQRT((1-P505)*($G$6-$E$6)*($G$6-$F$6))))</f>
        <v>1.00880268766893</v>
      </c>
      <c r="C505" s="37" t="n">
        <f aca="false">1+IF($G$7=$E$7,$F$7,IF(Q505&lt;($F$7-$E$7)/($G$7-$E$7),$E$7+SQRT(Q505*($G$7-$E$7)*($F$7-$E$7)),$G$7-SQRT((1-Q505)*($G$7-$E$7)*($G$7-$F$7))))</f>
        <v>1.00536834625941</v>
      </c>
      <c r="D505" s="37" t="n">
        <f aca="false">1+IF($G$8=$E$8,$F$8,IF(R505&lt;($F$8-$E$8)/($G$8-$E$8),$E$8+SQRT(R505*($G$8-$E$8)*($F$8-$E$8)),$G$8-SQRT((1-R505)*($G$8-$E$8)*($G$8-$F$8))))</f>
        <v>1.06298071840266</v>
      </c>
      <c r="E505" s="37" t="n">
        <f aca="false">1+IF($G$9=$E$9,$F$9,IF(S505&lt;($F$9-$E$9)/($G$9-$E$9),$E$9+SQRT(S505*($G$9-$E$9)*($F$9-$E$9)),$G$9-SQRT((1-S505)*($G$9-$E$9)*($G$9-$F$9))))</f>
        <v>0.999412378484777</v>
      </c>
      <c r="F505" s="37" t="n">
        <f aca="false">1+IF($G$10=$E$10,$F$10,IF(T505&lt;($F$10-$E$10)/($G$10-$E$10),$E$10+SQRT(T505*($G$10-$E$10)*($F$10-$E$10)),$G$10-SQRT((1-T505)*($G$10-$E$10)*($G$10-$F$10))))</f>
        <v>1.09667936547809</v>
      </c>
      <c r="G505" s="38" t="n">
        <f aca="false">IF($G$11=$E$11,$F$11,IF(U505&lt;($F$11-$E$11)/($G$11-$E$11),$E$11+SQRT(U505*($G$11-$E$11)*($F$11-$E$11)),$G$11-SQRT((1-U505)*($G$11-$E$11)*($G$11-$F$11))))</f>
        <v>0.123872792170631</v>
      </c>
      <c r="H505" s="39" t="n">
        <f aca="false">(('Business Case'!B11*$C505*'Business Case'!B12*$B505)-'Business Case'!B11*$C505*'Business Case'!B13*$D505-'Business Case'!B14*$E505)-MAX(0,(('Business Case'!B11*$C505*'Business Case'!B12*$B505)-'Business Case'!B11*$C505*'Business Case'!B13*$D505-'Business Case'!B14*$E505))*'Business Case'!$B$7-'Business Case'!$B$8*('Business Case'!B11*$C505*'Business Case'!B12*$B505)-'Business Case'!B15*$F505</f>
        <v>-2193358730.95618</v>
      </c>
      <c r="I505" s="39" t="n">
        <f aca="false">(('Business Case'!C11*$C505*'Business Case'!C12*$B505)-'Business Case'!C11*$C505*'Business Case'!C13*$D505-'Business Case'!C14*$E505)-MAX(0,(('Business Case'!C11*$C505*'Business Case'!C12*$B505)-'Business Case'!C11*$C505*'Business Case'!C13*$D505-'Business Case'!C14*$E505))*'Business Case'!$B$7-'Business Case'!$B$8*(('Business Case'!C11*$C505*'Business Case'!C12*$B505)-('Business Case'!B11*$C505*'Business Case'!B12*$B505))-'Business Case'!C15*$F505</f>
        <v>-20725984.3589239</v>
      </c>
      <c r="J505" s="39" t="n">
        <f aca="false">(('Business Case'!D11*$C505*'Business Case'!D12*$B505)-'Business Case'!D11*$C505*'Business Case'!D13*$D505-'Business Case'!D14*$E505)-MAX(0,(('Business Case'!D11*$C505*'Business Case'!D12*$B505)-'Business Case'!D11*$C505*'Business Case'!D13*$D505-'Business Case'!D14*$E505))*'Business Case'!$B$7-'Business Case'!$B$8*(('Business Case'!D11*$C505*'Business Case'!D12*$B505)-('Business Case'!C11*$C505*'Business Case'!C12*$B505))-'Business Case'!D15*$F505</f>
        <v>262909484.193923</v>
      </c>
      <c r="K505" s="39" t="n">
        <f aca="false">(('Business Case'!E11*$C505*'Business Case'!E12*$B505)-'Business Case'!E11*$C505*'Business Case'!E13*$D505-'Business Case'!E14*$E505)-MAX(0,(('Business Case'!E11*$C505*'Business Case'!E12*$B505)-'Business Case'!E11*$C505*'Business Case'!E13*$D505-'Business Case'!E14*$E505))*'Business Case'!$B$7-'Business Case'!$B$8*(('Business Case'!E11*$C505*'Business Case'!E12*$B505)-('Business Case'!D11*$C505*'Business Case'!D12*$B505))-'Business Case'!E15*$F505</f>
        <v>601378921.020675</v>
      </c>
      <c r="L505" s="39" t="n">
        <f aca="false">(('Business Case'!F11*$C505*'Business Case'!F12*$B505)-'Business Case'!F11*$C505*'Business Case'!F13*$D505-'Business Case'!F14*$E505)-MAX(0,(('Business Case'!F11*$C505*'Business Case'!F12*$B505)-'Business Case'!F11*$C505*'Business Case'!F13*$D505-'Business Case'!F14*$E505))*'Business Case'!$B$7-'Business Case'!$B$8*(('Business Case'!F11*$C505*'Business Case'!F12*$B505)-('Business Case'!E11*$C505*'Business Case'!E12*$B505))-'Business Case'!F15*$F505</f>
        <v>730975461.300575</v>
      </c>
      <c r="M505" s="39" t="n">
        <f aca="false">(('Business Case'!G11*$C505*'Business Case'!G12*$B505)-'Business Case'!G11*$C505*'Business Case'!G13*$D505-'Business Case'!G14*$E505)-MAX(0,(('Business Case'!G11*$C505*'Business Case'!G12*$B505)-'Business Case'!G11*$C505*'Business Case'!G13*$D505-'Business Case'!G14*$E505))*'Business Case'!$B$7-'Business Case'!$B$8*(('Business Case'!G11*$C505*'Business Case'!G12*$B505)-('Business Case'!F11*$C505*'Business Case'!F12*$B505))-'Business Case'!G15*$F505+'Business Case'!$B$8*('Business Case'!G11*$C505*'Business Case'!G12*$B505)</f>
        <v>923758073.826473</v>
      </c>
      <c r="N505" s="39" t="n">
        <f aca="false">IF(COUNT('Business Case'!B11:G11)=0,"",H505+NPV(G505,I505:M505))</f>
        <v>-606638771.17113</v>
      </c>
      <c r="P505" s="40" t="n">
        <f aca="true">RAND()</f>
        <v>0.77370419422616</v>
      </c>
      <c r="Q505" s="40" t="n">
        <f aca="true">RAND()</f>
        <v>0.690099033129798</v>
      </c>
      <c r="R505" s="40" t="n">
        <f aca="true">RAND()</f>
        <v>0.908638186001124</v>
      </c>
      <c r="S505" s="40" t="n">
        <f aca="true">RAND()</f>
        <v>0.395312839840019</v>
      </c>
      <c r="T505" s="40" t="n">
        <f aca="true">RAND()</f>
        <v>0.686570440397315</v>
      </c>
      <c r="U505" s="40" t="n">
        <f aca="true">RAND()</f>
        <v>0.974971549477145</v>
      </c>
    </row>
    <row r="506" customFormat="false" ht="15" hidden="false" customHeight="false" outlineLevel="0" collapsed="false">
      <c r="A506" s="36" t="n">
        <v>426</v>
      </c>
      <c r="B506" s="37" t="n">
        <f aca="false">1+IF($G$6=$E$6,$F$6,IF(P506&lt;($F$6-$E$6)/($G$6-$E$6),$E$6+SQRT(P506*($G$6-$E$6)*($F$6-$E$6)),$G$6-SQRT((1-P506)*($G$6-$E$6)*($G$6-$F$6))))</f>
        <v>1.04407706253386</v>
      </c>
      <c r="C506" s="37" t="n">
        <f aca="false">1+IF($G$7=$E$7,$F$7,IF(Q506&lt;($F$7-$E$7)/($G$7-$E$7),$E$7+SQRT(Q506*($G$7-$E$7)*($F$7-$E$7)),$G$7-SQRT((1-Q506)*($G$7-$E$7)*($G$7-$F$7))))</f>
        <v>0.885649649264597</v>
      </c>
      <c r="D506" s="37" t="n">
        <f aca="false">1+IF($G$8=$E$8,$F$8,IF(R506&lt;($F$8-$E$8)/($G$8-$E$8),$E$8+SQRT(R506*($G$8-$E$8)*($F$8-$E$8)),$G$8-SQRT((1-R506)*($G$8-$E$8)*($G$8-$F$8))))</f>
        <v>0.987524130858103</v>
      </c>
      <c r="E506" s="37" t="n">
        <f aca="false">1+IF($G$9=$E$9,$F$9,IF(S506&lt;($F$9-$E$9)/($G$9-$E$9),$E$9+SQRT(S506*($G$9-$E$9)*($F$9-$E$9)),$G$9-SQRT((1-S506)*($G$9-$E$9)*($G$9-$F$9))))</f>
        <v>0.942199518424034</v>
      </c>
      <c r="F506" s="37" t="n">
        <f aca="false">1+IF($G$10=$E$10,$F$10,IF(T506&lt;($F$10-$E$10)/($G$10-$E$10),$E$10+SQRT(T506*($G$10-$E$10)*($F$10-$E$10)),$G$10-SQRT((1-T506)*($G$10-$E$10)*($G$10-$F$10))))</f>
        <v>1.09771208790091</v>
      </c>
      <c r="G506" s="38" t="n">
        <f aca="false">IF($G$11=$E$11,$F$11,IF(U506&lt;($F$11-$E$11)/($G$11-$E$11),$E$11+SQRT(U506*($G$11-$E$11)*($F$11-$E$11)),$G$11-SQRT((1-U506)*($G$11-$E$11)*($G$11-$F$11))))</f>
        <v>0.103360659171573</v>
      </c>
      <c r="H506" s="39" t="n">
        <f aca="false">(('Business Case'!B11*$C506*'Business Case'!B12*$B506)-'Business Case'!B11*$C506*'Business Case'!B13*$D506-'Business Case'!B14*$E506)-MAX(0,(('Business Case'!B11*$C506*'Business Case'!B12*$B506)-'Business Case'!B11*$C506*'Business Case'!B13*$D506-'Business Case'!B14*$E506))*'Business Case'!$B$7-'Business Case'!$B$8*('Business Case'!B11*$C506*'Business Case'!B12*$B506)-'Business Case'!B15*$F506</f>
        <v>-2195424175.80182</v>
      </c>
      <c r="I506" s="39" t="n">
        <f aca="false">(('Business Case'!C11*$C506*'Business Case'!C12*$B506)-'Business Case'!C11*$C506*'Business Case'!C13*$D506-'Business Case'!C14*$E506)-MAX(0,(('Business Case'!C11*$C506*'Business Case'!C12*$B506)-'Business Case'!C11*$C506*'Business Case'!C13*$D506-'Business Case'!C14*$E506))*'Business Case'!$B$7-'Business Case'!$B$8*(('Business Case'!C11*$C506*'Business Case'!C12*$B506)-('Business Case'!B11*$C506*'Business Case'!B12*$B506))-'Business Case'!C15*$F506</f>
        <v>17971643.5281363</v>
      </c>
      <c r="J506" s="39" t="n">
        <f aca="false">(('Business Case'!D11*$C506*'Business Case'!D12*$B506)-'Business Case'!D11*$C506*'Business Case'!D13*$D506-'Business Case'!D14*$E506)-MAX(0,(('Business Case'!D11*$C506*'Business Case'!D12*$B506)-'Business Case'!D11*$C506*'Business Case'!D13*$D506-'Business Case'!D14*$E506))*'Business Case'!$B$7-'Business Case'!$B$8*(('Business Case'!D11*$C506*'Business Case'!D12*$B506)-('Business Case'!C11*$C506*'Business Case'!C12*$B506))-'Business Case'!D15*$F506</f>
        <v>327631014.709176</v>
      </c>
      <c r="K506" s="39" t="n">
        <f aca="false">(('Business Case'!E11*$C506*'Business Case'!E12*$B506)-'Business Case'!E11*$C506*'Business Case'!E13*$D506-'Business Case'!E14*$E506)-MAX(0,(('Business Case'!E11*$C506*'Business Case'!E12*$B506)-'Business Case'!E11*$C506*'Business Case'!E13*$D506-'Business Case'!E14*$E506))*'Business Case'!$B$7-'Business Case'!$B$8*(('Business Case'!E11*$C506*'Business Case'!E12*$B506)-('Business Case'!D11*$C506*'Business Case'!D12*$B506))-'Business Case'!E15*$F506</f>
        <v>692175990.285261</v>
      </c>
      <c r="L506" s="39" t="n">
        <f aca="false">(('Business Case'!F11*$C506*'Business Case'!F12*$B506)-'Business Case'!F11*$C506*'Business Case'!F13*$D506-'Business Case'!F14*$E506)-MAX(0,(('Business Case'!F11*$C506*'Business Case'!F12*$B506)-'Business Case'!F11*$C506*'Business Case'!F13*$D506-'Business Case'!F14*$E506))*'Business Case'!$B$7-'Business Case'!$B$8*(('Business Case'!F11*$C506*'Business Case'!F12*$B506)-('Business Case'!E11*$C506*'Business Case'!E12*$B506))-'Business Case'!F15*$F506</f>
        <v>827352945.574217</v>
      </c>
      <c r="M506" s="39" t="n">
        <f aca="false">(('Business Case'!G11*$C506*'Business Case'!G12*$B506)-'Business Case'!G11*$C506*'Business Case'!G13*$D506-'Business Case'!G14*$E506)-MAX(0,(('Business Case'!G11*$C506*'Business Case'!G12*$B506)-'Business Case'!G11*$C506*'Business Case'!G13*$D506-'Business Case'!G14*$E506))*'Business Case'!$B$7-'Business Case'!$B$8*(('Business Case'!G11*$C506*'Business Case'!G12*$B506)-('Business Case'!F11*$C506*'Business Case'!F12*$B506))-'Business Case'!G15*$F506+'Business Case'!$B$8*('Business Case'!G11*$C506*'Business Case'!G12*$B506)</f>
        <v>1003117352.49824</v>
      </c>
      <c r="N506" s="39" t="n">
        <f aca="false">IF(COUNT('Business Case'!B11:G11)=0,"",H506+NPV(G506,I506:M506))</f>
        <v>-223040140.156159</v>
      </c>
      <c r="P506" s="40" t="n">
        <f aca="true">RAND()</f>
        <v>0.995322508236285</v>
      </c>
      <c r="Q506" s="40" t="n">
        <f aca="true">RAND()</f>
        <v>0.255302164978281</v>
      </c>
      <c r="R506" s="40" t="n">
        <f aca="true">RAND()</f>
        <v>0.187741386220801</v>
      </c>
      <c r="S506" s="40" t="n">
        <f aca="true">RAND()</f>
        <v>0.0712319742088155</v>
      </c>
      <c r="T506" s="40" t="n">
        <f aca="true">RAND()</f>
        <v>0.69077855771334</v>
      </c>
      <c r="U506" s="40" t="n">
        <f aca="true">RAND()</f>
        <v>0.526897013484587</v>
      </c>
    </row>
    <row r="507" customFormat="false" ht="15" hidden="false" customHeight="false" outlineLevel="0" collapsed="false">
      <c r="A507" s="36" t="n">
        <v>427</v>
      </c>
      <c r="B507" s="37" t="n">
        <f aca="false">1+IF($G$6=$E$6,$F$6,IF(P507&lt;($F$6-$E$6)/($G$6-$E$6),$E$6+SQRT(P507*($G$6-$E$6)*($F$6-$E$6)),$G$6-SQRT((1-P507)*($G$6-$E$6)*($G$6-$F$6))))</f>
        <v>1.00011155518426</v>
      </c>
      <c r="C507" s="37" t="n">
        <f aca="false">1+IF($G$7=$E$7,$F$7,IF(Q507&lt;($F$7-$E$7)/($G$7-$E$7),$E$7+SQRT(Q507*($G$7-$E$7)*($F$7-$E$7)),$G$7-SQRT((1-Q507)*($G$7-$E$7)*($G$7-$F$7))))</f>
        <v>1.0415711835903</v>
      </c>
      <c r="D507" s="37" t="n">
        <f aca="false">1+IF($G$8=$E$8,$F$8,IF(R507&lt;($F$8-$E$8)/($G$8-$E$8),$E$8+SQRT(R507*($G$8-$E$8)*($F$8-$E$8)),$G$8-SQRT((1-R507)*($G$8-$E$8)*($G$8-$F$8))))</f>
        <v>1.00034903668016</v>
      </c>
      <c r="E507" s="37" t="n">
        <f aca="false">1+IF($G$9=$E$9,$F$9,IF(S507&lt;($F$9-$E$9)/($G$9-$E$9),$E$9+SQRT(S507*($G$9-$E$9)*($F$9-$E$9)),$G$9-SQRT((1-S507)*($G$9-$E$9)*($G$9-$F$9))))</f>
        <v>0.923326784329777</v>
      </c>
      <c r="F507" s="37" t="n">
        <f aca="false">1+IF($G$10=$E$10,$F$10,IF(T507&lt;($F$10-$E$10)/($G$10-$E$10),$E$10+SQRT(T507*($G$10-$E$10)*($F$10-$E$10)),$G$10-SQRT((1-T507)*($G$10-$E$10)*($G$10-$F$10))))</f>
        <v>1.12078471675286</v>
      </c>
      <c r="G507" s="38" t="n">
        <f aca="false">IF($G$11=$E$11,$F$11,IF(U507&lt;($F$11-$E$11)/($G$11-$E$11),$E$11+SQRT(U507*($G$11-$E$11)*($F$11-$E$11)),$G$11-SQRT((1-U507)*($G$11-$E$11)*($G$11-$F$11))))</f>
        <v>0.113784116637882</v>
      </c>
      <c r="H507" s="39" t="n">
        <f aca="false">(('Business Case'!B11*$C507*'Business Case'!B12*$B507)-'Business Case'!B11*$C507*'Business Case'!B13*$D507-'Business Case'!B14*$E507)-MAX(0,(('Business Case'!B11*$C507*'Business Case'!B12*$B507)-'Business Case'!B11*$C507*'Business Case'!B13*$D507-'Business Case'!B14*$E507))*'Business Case'!$B$7-'Business Case'!$B$8*('Business Case'!B11*$C507*'Business Case'!B12*$B507)-'Business Case'!B15*$F507</f>
        <v>-2241569433.50572</v>
      </c>
      <c r="I507" s="39" t="n">
        <f aca="false">(('Business Case'!C11*$C507*'Business Case'!C12*$B507)-'Business Case'!C11*$C507*'Business Case'!C13*$D507-'Business Case'!C14*$E507)-MAX(0,(('Business Case'!C11*$C507*'Business Case'!C12*$B507)-'Business Case'!C11*$C507*'Business Case'!C13*$D507-'Business Case'!C14*$E507))*'Business Case'!$B$7-'Business Case'!$B$8*(('Business Case'!C11*$C507*'Business Case'!C12*$B507)-('Business Case'!B11*$C507*'Business Case'!B12*$B507))-'Business Case'!C15*$F507</f>
        <v>22453121.5999269</v>
      </c>
      <c r="J507" s="39" t="n">
        <f aca="false">(('Business Case'!D11*$C507*'Business Case'!D12*$B507)-'Business Case'!D11*$C507*'Business Case'!D13*$D507-'Business Case'!D14*$E507)-MAX(0,(('Business Case'!D11*$C507*'Business Case'!D12*$B507)-'Business Case'!D11*$C507*'Business Case'!D13*$D507-'Business Case'!D14*$E507))*'Business Case'!$B$7-'Business Case'!$B$8*(('Business Case'!D11*$C507*'Business Case'!D12*$B507)-('Business Case'!C11*$C507*'Business Case'!C12*$B507))-'Business Case'!D15*$F507</f>
        <v>342282857.191925</v>
      </c>
      <c r="K507" s="39" t="n">
        <f aca="false">(('Business Case'!E11*$C507*'Business Case'!E12*$B507)-'Business Case'!E11*$C507*'Business Case'!E13*$D507-'Business Case'!E14*$E507)-MAX(0,(('Business Case'!E11*$C507*'Business Case'!E12*$B507)-'Business Case'!E11*$C507*'Business Case'!E13*$D507-'Business Case'!E14*$E507))*'Business Case'!$B$7-'Business Case'!$B$8*(('Business Case'!E11*$C507*'Business Case'!E12*$B507)-('Business Case'!D11*$C507*'Business Case'!D12*$B507))-'Business Case'!E15*$F507</f>
        <v>718151828.621565</v>
      </c>
      <c r="L507" s="39" t="n">
        <f aca="false">(('Business Case'!F11*$C507*'Business Case'!F12*$B507)-'Business Case'!F11*$C507*'Business Case'!F13*$D507-'Business Case'!F14*$E507)-MAX(0,(('Business Case'!F11*$C507*'Business Case'!F12*$B507)-'Business Case'!F11*$C507*'Business Case'!F13*$D507-'Business Case'!F14*$E507))*'Business Case'!$B$7-'Business Case'!$B$8*(('Business Case'!F11*$C507*'Business Case'!F12*$B507)-('Business Case'!E11*$C507*'Business Case'!E12*$B507))-'Business Case'!F15*$F507</f>
        <v>860762456.208959</v>
      </c>
      <c r="M507" s="39" t="n">
        <f aca="false">(('Business Case'!G11*$C507*'Business Case'!G12*$B507)-'Business Case'!G11*$C507*'Business Case'!G13*$D507-'Business Case'!G14*$E507)-MAX(0,(('Business Case'!G11*$C507*'Business Case'!G12*$B507)-'Business Case'!G11*$C507*'Business Case'!G13*$D507-'Business Case'!G14*$E507))*'Business Case'!$B$7-'Business Case'!$B$8*(('Business Case'!G11*$C507*'Business Case'!G12*$B507)-('Business Case'!F11*$C507*'Business Case'!F12*$B507))-'Business Case'!G15*$F507+'Business Case'!$B$8*('Business Case'!G11*$C507*'Business Case'!G12*$B507)</f>
        <v>1058766392.68762</v>
      </c>
      <c r="N507" s="39" t="n">
        <f aca="false">IF(COUNT('Business Case'!B11:G11)=0,"",H507+NPV(G507,I507:M507))</f>
        <v>-248648637.419766</v>
      </c>
      <c r="P507" s="40" t="n">
        <f aca="true">RAND()</f>
        <v>0.668152409848906</v>
      </c>
      <c r="Q507" s="40" t="n">
        <f aca="true">RAND()</f>
        <v>0.825825063288767</v>
      </c>
      <c r="R507" s="40" t="n">
        <f aca="true">RAND()</f>
        <v>0.337979033961815</v>
      </c>
      <c r="S507" s="40" t="n">
        <f aca="true">RAND()</f>
        <v>0.0217655546867169</v>
      </c>
      <c r="T507" s="40" t="n">
        <f aca="true">RAND()</f>
        <v>0.777378807671488</v>
      </c>
      <c r="U507" s="40" t="n">
        <f aca="true">RAND()</f>
        <v>0.82469675119078</v>
      </c>
    </row>
    <row r="508" customFormat="false" ht="15" hidden="false" customHeight="false" outlineLevel="0" collapsed="false">
      <c r="A508" s="36" t="n">
        <v>428</v>
      </c>
      <c r="B508" s="37" t="n">
        <f aca="false">1+IF($G$6=$E$6,$F$6,IF(P508&lt;($F$6-$E$6)/($G$6-$E$6),$E$6+SQRT(P508*($G$6-$E$6)*($F$6-$E$6)),$G$6-SQRT((1-P508)*($G$6-$E$6)*($G$6-$F$6))))</f>
        <v>0.9975919643609</v>
      </c>
      <c r="C508" s="37" t="n">
        <f aca="false">1+IF($G$7=$E$7,$F$7,IF(Q508&lt;($F$7-$E$7)/($G$7-$E$7),$E$7+SQRT(Q508*($G$7-$E$7)*($F$7-$E$7)),$G$7-SQRT((1-Q508)*($G$7-$E$7)*($G$7-$F$7))))</f>
        <v>0.898668849192269</v>
      </c>
      <c r="D508" s="37" t="n">
        <f aca="false">1+IF($G$8=$E$8,$F$8,IF(R508&lt;($F$8-$E$8)/($G$8-$E$8),$E$8+SQRT(R508*($G$8-$E$8)*($F$8-$E$8)),$G$8-SQRT((1-R508)*($G$8-$E$8)*($G$8-$F$8))))</f>
        <v>0.999638290836273</v>
      </c>
      <c r="E508" s="37" t="n">
        <f aca="false">1+IF($G$9=$E$9,$F$9,IF(S508&lt;($F$9-$E$9)/($G$9-$E$9),$E$9+SQRT(S508*($G$9-$E$9)*($F$9-$E$9)),$G$9-SQRT((1-S508)*($G$9-$E$9)*($G$9-$F$9))))</f>
        <v>1.06058351225454</v>
      </c>
      <c r="F508" s="37" t="n">
        <f aca="false">1+IF($G$10=$E$10,$F$10,IF(T508&lt;($F$10-$E$10)/($G$10-$E$10),$E$10+SQRT(T508*($G$10-$E$10)*($F$10-$E$10)),$G$10-SQRT((1-T508)*($G$10-$E$10)*($G$10-$F$10))))</f>
        <v>1.18592415774306</v>
      </c>
      <c r="G508" s="38" t="n">
        <f aca="false">IF($G$11=$E$11,$F$11,IF(U508&lt;($F$11-$E$11)/($G$11-$E$11),$E$11+SQRT(U508*($G$11-$E$11)*($F$11-$E$11)),$G$11-SQRT((1-U508)*($G$11-$E$11)*($G$11-$F$11))))</f>
        <v>0.0981225892488355</v>
      </c>
      <c r="H508" s="39" t="n">
        <f aca="false">(('Business Case'!B11*$C508*'Business Case'!B12*$B508)-'Business Case'!B11*$C508*'Business Case'!B13*$D508-'Business Case'!B14*$E508)-MAX(0,(('Business Case'!B11*$C508*'Business Case'!B12*$B508)-'Business Case'!B11*$C508*'Business Case'!B13*$D508-'Business Case'!B14*$E508))*'Business Case'!$B$7-'Business Case'!$B$8*('Business Case'!B11*$C508*'Business Case'!B12*$B508)-'Business Case'!B15*$F508</f>
        <v>-2371848315.48611</v>
      </c>
      <c r="I508" s="39" t="n">
        <f aca="false">(('Business Case'!C11*$C508*'Business Case'!C12*$B508)-'Business Case'!C11*$C508*'Business Case'!C13*$D508-'Business Case'!C14*$E508)-MAX(0,(('Business Case'!C11*$C508*'Business Case'!C12*$B508)-'Business Case'!C11*$C508*'Business Case'!C13*$D508-'Business Case'!C14*$E508))*'Business Case'!$B$7-'Business Case'!$B$8*(('Business Case'!C11*$C508*'Business Case'!C12*$B508)-('Business Case'!B11*$C508*'Business Case'!B12*$B508))-'Business Case'!C15*$F508</f>
        <v>-41460357.4055263</v>
      </c>
      <c r="J508" s="39" t="n">
        <f aca="false">(('Business Case'!D11*$C508*'Business Case'!D12*$B508)-'Business Case'!D11*$C508*'Business Case'!D13*$D508-'Business Case'!D14*$E508)-MAX(0,(('Business Case'!D11*$C508*'Business Case'!D12*$B508)-'Business Case'!D11*$C508*'Business Case'!D13*$D508-'Business Case'!D14*$E508))*'Business Case'!$B$7-'Business Case'!$B$8*(('Business Case'!D11*$C508*'Business Case'!D12*$B508)-('Business Case'!C11*$C508*'Business Case'!C12*$B508))-'Business Case'!D15*$F508</f>
        <v>232961486.408171</v>
      </c>
      <c r="K508" s="39" t="n">
        <f aca="false">(('Business Case'!E11*$C508*'Business Case'!E12*$B508)-'Business Case'!E11*$C508*'Business Case'!E13*$D508-'Business Case'!E14*$E508)-MAX(0,(('Business Case'!E11*$C508*'Business Case'!E12*$B508)-'Business Case'!E11*$C508*'Business Case'!E13*$D508-'Business Case'!E14*$E508))*'Business Case'!$B$7-'Business Case'!$B$8*(('Business Case'!E11*$C508*'Business Case'!E12*$B508)-('Business Case'!D11*$C508*'Business Case'!D12*$B508))-'Business Case'!E15*$F508</f>
        <v>566679538.109022</v>
      </c>
      <c r="L508" s="39" t="n">
        <f aca="false">(('Business Case'!F11*$C508*'Business Case'!F12*$B508)-'Business Case'!F11*$C508*'Business Case'!F13*$D508-'Business Case'!F14*$E508)-MAX(0,(('Business Case'!F11*$C508*'Business Case'!F12*$B508)-'Business Case'!F11*$C508*'Business Case'!F13*$D508-'Business Case'!F14*$E508))*'Business Case'!$B$7-'Business Case'!$B$8*(('Business Case'!F11*$C508*'Business Case'!F12*$B508)-('Business Case'!E11*$C508*'Business Case'!E12*$B508))-'Business Case'!F15*$F508</f>
        <v>689136692.715136</v>
      </c>
      <c r="M508" s="39" t="n">
        <f aca="false">(('Business Case'!G11*$C508*'Business Case'!G12*$B508)-'Business Case'!G11*$C508*'Business Case'!G13*$D508-'Business Case'!G14*$E508)-MAX(0,(('Business Case'!G11*$C508*'Business Case'!G12*$B508)-'Business Case'!G11*$C508*'Business Case'!G13*$D508-'Business Case'!G14*$E508))*'Business Case'!$B$7-'Business Case'!$B$8*(('Business Case'!G11*$C508*'Business Case'!G12*$B508)-('Business Case'!F11*$C508*'Business Case'!F12*$B508))-'Business Case'!G15*$F508+'Business Case'!$B$8*('Business Case'!G11*$C508*'Business Case'!G12*$B508)</f>
        <v>859544329.390318</v>
      </c>
      <c r="N508" s="39" t="n">
        <f aca="false">IF(COUNT('Business Case'!B11:G11)=0,"",H508+NPV(G508,I508:M508))</f>
        <v>-776268721.686925</v>
      </c>
      <c r="P508" s="40" t="n">
        <f aca="true">RAND()</f>
        <v>0.634946100521279</v>
      </c>
      <c r="Q508" s="40" t="n">
        <f aca="true">RAND()</f>
        <v>0.292365271402819</v>
      </c>
      <c r="R508" s="40" t="n">
        <f aca="true">RAND()</f>
        <v>0.328527988952855</v>
      </c>
      <c r="S508" s="40" t="n">
        <f aca="true">RAND()</f>
        <v>0.786791779180428</v>
      </c>
      <c r="T508" s="40" t="n">
        <f aca="true">RAND()</f>
        <v>0.945257152520845</v>
      </c>
      <c r="U508" s="40" t="n">
        <f aca="true">RAND()</f>
        <v>0.328428241082009</v>
      </c>
    </row>
    <row r="509" customFormat="false" ht="15" hidden="false" customHeight="false" outlineLevel="0" collapsed="false">
      <c r="A509" s="36" t="n">
        <v>429</v>
      </c>
      <c r="B509" s="37" t="n">
        <f aca="false">1+IF($G$6=$E$6,$F$6,IF(P509&lt;($F$6-$E$6)/($G$6-$E$6),$E$6+SQRT(P509*($G$6-$E$6)*($F$6-$E$6)),$G$6-SQRT((1-P509)*($G$6-$E$6)*($G$6-$F$6))))</f>
        <v>1.02190765391201</v>
      </c>
      <c r="C509" s="37" t="n">
        <f aca="false">1+IF($G$7=$E$7,$F$7,IF(Q509&lt;($F$7-$E$7)/($G$7-$E$7),$E$7+SQRT(Q509*($G$7-$E$7)*($F$7-$E$7)),$G$7-SQRT((1-Q509)*($G$7-$E$7)*($G$7-$F$7))))</f>
        <v>0.974618084284407</v>
      </c>
      <c r="D509" s="37" t="n">
        <f aca="false">1+IF($G$8=$E$8,$F$8,IF(R509&lt;($F$8-$E$8)/($G$8-$E$8),$E$8+SQRT(R509*($G$8-$E$8)*($F$8-$E$8)),$G$8-SQRT((1-R509)*($G$8-$E$8)*($G$8-$F$8))))</f>
        <v>1.03075029529775</v>
      </c>
      <c r="E509" s="37" t="n">
        <f aca="false">1+IF($G$9=$E$9,$F$9,IF(S509&lt;($F$9-$E$9)/($G$9-$E$9),$E$9+SQRT(S509*($G$9-$E$9)*($F$9-$E$9)),$G$9-SQRT((1-S509)*($G$9-$E$9)*($G$9-$F$9))))</f>
        <v>1.02755580450616</v>
      </c>
      <c r="F509" s="37" t="n">
        <f aca="false">1+IF($G$10=$E$10,$F$10,IF(T509&lt;($F$10-$E$10)/($G$10-$E$10),$E$10+SQRT(T509*($G$10-$E$10)*($F$10-$E$10)),$G$10-SQRT((1-T509)*($G$10-$E$10)*($G$10-$F$10))))</f>
        <v>1.14005832631742</v>
      </c>
      <c r="G509" s="38" t="n">
        <f aca="false">IF($G$11=$E$11,$F$11,IF(U509&lt;($F$11-$E$11)/($G$11-$E$11),$E$11+SQRT(U509*($G$11-$E$11)*($F$11-$E$11)),$G$11-SQRT((1-U509)*($G$11-$E$11)*($G$11-$F$11))))</f>
        <v>0.0821955631080976</v>
      </c>
      <c r="H509" s="39" t="n">
        <f aca="false">(('Business Case'!B11*$C509*'Business Case'!B12*$B509)-'Business Case'!B11*$C509*'Business Case'!B13*$D509-'Business Case'!B14*$E509)-MAX(0,(('Business Case'!B11*$C509*'Business Case'!B12*$B509)-'Business Case'!B11*$C509*'Business Case'!B13*$D509-'Business Case'!B14*$E509))*'Business Case'!$B$7-'Business Case'!$B$8*('Business Case'!B11*$C509*'Business Case'!B12*$B509)-'Business Case'!B15*$F509</f>
        <v>-2280116652.63483</v>
      </c>
      <c r="I509" s="39" t="n">
        <f aca="false">(('Business Case'!C11*$C509*'Business Case'!C12*$B509)-'Business Case'!C11*$C509*'Business Case'!C13*$D509-'Business Case'!C14*$E509)-MAX(0,(('Business Case'!C11*$C509*'Business Case'!C12*$B509)-'Business Case'!C11*$C509*'Business Case'!C13*$D509-'Business Case'!C14*$E509))*'Business Case'!$B$7-'Business Case'!$B$8*(('Business Case'!C11*$C509*'Business Case'!C12*$B509)-('Business Case'!B11*$C509*'Business Case'!B12*$B509))-'Business Case'!C15*$F509</f>
        <v>-10253085.1260119</v>
      </c>
      <c r="J509" s="39" t="n">
        <f aca="false">(('Business Case'!D11*$C509*'Business Case'!D12*$B509)-'Business Case'!D11*$C509*'Business Case'!D13*$D509-'Business Case'!D14*$E509)-MAX(0,(('Business Case'!D11*$C509*'Business Case'!D12*$B509)-'Business Case'!D11*$C509*'Business Case'!D13*$D509-'Business Case'!D14*$E509))*'Business Case'!$B$7-'Business Case'!$B$8*(('Business Case'!D11*$C509*'Business Case'!D12*$B509)-('Business Case'!C11*$C509*'Business Case'!C12*$B509))-'Business Case'!D15*$F509</f>
        <v>291249165.990205</v>
      </c>
      <c r="K509" s="39" t="n">
        <f aca="false">(('Business Case'!E11*$C509*'Business Case'!E12*$B509)-'Business Case'!E11*$C509*'Business Case'!E13*$D509-'Business Case'!E14*$E509)-MAX(0,(('Business Case'!E11*$C509*'Business Case'!E12*$B509)-'Business Case'!E11*$C509*'Business Case'!E13*$D509-'Business Case'!E14*$E509))*'Business Case'!$B$7-'Business Case'!$B$8*(('Business Case'!E11*$C509*'Business Case'!E12*$B509)-('Business Case'!D11*$C509*'Business Case'!D12*$B509))-'Business Case'!E15*$F509</f>
        <v>649754333.422294</v>
      </c>
      <c r="L509" s="39" t="n">
        <f aca="false">(('Business Case'!F11*$C509*'Business Case'!F12*$B509)-'Business Case'!F11*$C509*'Business Case'!F13*$D509-'Business Case'!F14*$E509)-MAX(0,(('Business Case'!F11*$C509*'Business Case'!F12*$B509)-'Business Case'!F11*$C509*'Business Case'!F13*$D509-'Business Case'!F14*$E509))*'Business Case'!$B$7-'Business Case'!$B$8*(('Business Case'!F11*$C509*'Business Case'!F12*$B509)-('Business Case'!E11*$C509*'Business Case'!E12*$B509))-'Business Case'!F15*$F509</f>
        <v>784675795.934174</v>
      </c>
      <c r="M509" s="39" t="n">
        <f aca="false">(('Business Case'!G11*$C509*'Business Case'!G12*$B509)-'Business Case'!G11*$C509*'Business Case'!G13*$D509-'Business Case'!G14*$E509)-MAX(0,(('Business Case'!G11*$C509*'Business Case'!G12*$B509)-'Business Case'!G11*$C509*'Business Case'!G13*$D509-'Business Case'!G14*$E509))*'Business Case'!$B$7-'Business Case'!$B$8*(('Business Case'!G11*$C509*'Business Case'!G12*$B509)-('Business Case'!F11*$C509*'Business Case'!F12*$B509))-'Business Case'!G15*$F509+'Business Case'!$B$8*('Business Case'!G11*$C509*'Business Case'!G12*$B509)</f>
        <v>973989712.703117</v>
      </c>
      <c r="N509" s="39" t="n">
        <f aca="false">IF(COUNT('Business Case'!B11:G11)=0,"",H509+NPV(G509,I509:M509))</f>
        <v>-299963163.271198</v>
      </c>
      <c r="P509" s="40" t="n">
        <f aca="true">RAND()</f>
        <v>0.894776012169661</v>
      </c>
      <c r="Q509" s="40" t="n">
        <f aca="true">RAND()</f>
        <v>0.558630312711389</v>
      </c>
      <c r="R509" s="40" t="n">
        <f aca="true">RAND()</f>
        <v>0.68029855991008</v>
      </c>
      <c r="S509" s="40" t="n">
        <f aca="true">RAND()</f>
        <v>0.600197839729761</v>
      </c>
      <c r="T509" s="40" t="n">
        <f aca="true">RAND()</f>
        <v>0.838837711838294</v>
      </c>
      <c r="U509" s="40" t="n">
        <f aca="true">RAND()</f>
        <v>0.00482049736163901</v>
      </c>
    </row>
    <row r="510" customFormat="false" ht="15" hidden="false" customHeight="false" outlineLevel="0" collapsed="false">
      <c r="A510" s="36" t="n">
        <v>430</v>
      </c>
      <c r="B510" s="37" t="n">
        <f aca="false">1+IF($G$6=$E$6,$F$6,IF(P510&lt;($F$6-$E$6)/($G$6-$E$6),$E$6+SQRT(P510*($G$6-$E$6)*($F$6-$E$6)),$G$6-SQRT((1-P510)*($G$6-$E$6)*($G$6-$F$6))))</f>
        <v>0.982016614892</v>
      </c>
      <c r="C510" s="37" t="n">
        <f aca="false">1+IF($G$7=$E$7,$F$7,IF(Q510&lt;($F$7-$E$7)/($G$7-$E$7),$E$7+SQRT(Q510*($G$7-$E$7)*($F$7-$E$7)),$G$7-SQRT((1-Q510)*($G$7-$E$7)*($G$7-$F$7))))</f>
        <v>1.06212162973023</v>
      </c>
      <c r="D510" s="37" t="n">
        <f aca="false">1+IF($G$8=$E$8,$F$8,IF(R510&lt;($F$8-$E$8)/($G$8-$E$8),$E$8+SQRT(R510*($G$8-$E$8)*($F$8-$E$8)),$G$8-SQRT((1-R510)*($G$8-$E$8)*($G$8-$F$8))))</f>
        <v>1.01569733781823</v>
      </c>
      <c r="E510" s="37" t="n">
        <f aca="false">1+IF($G$9=$E$9,$F$9,IF(S510&lt;($F$9-$E$9)/($G$9-$E$9),$E$9+SQRT(S510*($G$9-$E$9)*($F$9-$E$9)),$G$9-SQRT((1-S510)*($G$9-$E$9)*($G$9-$F$9))))</f>
        <v>1.08652583404276</v>
      </c>
      <c r="F510" s="37" t="n">
        <f aca="false">1+IF($G$10=$E$10,$F$10,IF(T510&lt;($F$10-$E$10)/($G$10-$E$10),$E$10+SQRT(T510*($G$10-$E$10)*($F$10-$E$10)),$G$10-SQRT((1-T510)*($G$10-$E$10)*($G$10-$F$10))))</f>
        <v>1.04184125986497</v>
      </c>
      <c r="G510" s="38" t="n">
        <f aca="false">IF($G$11=$E$11,$F$11,IF(U510&lt;($F$11-$E$11)/($G$11-$E$11),$E$11+SQRT(U510*($G$11-$E$11)*($F$11-$E$11)),$G$11-SQRT((1-U510)*($G$11-$E$11)*($G$11-$F$11))))</f>
        <v>0.09810234107051</v>
      </c>
      <c r="H510" s="39" t="n">
        <f aca="false">(('Business Case'!B11*$C510*'Business Case'!B12*$B510)-'Business Case'!B11*$C510*'Business Case'!B13*$D510-'Business Case'!B14*$E510)-MAX(0,(('Business Case'!B11*$C510*'Business Case'!B12*$B510)-'Business Case'!B11*$C510*'Business Case'!B13*$D510-'Business Case'!B14*$E510))*'Business Case'!$B$7-'Business Case'!$B$8*('Business Case'!B11*$C510*'Business Case'!B12*$B510)-'Business Case'!B15*$F510</f>
        <v>-2083682519.72993</v>
      </c>
      <c r="I510" s="39" t="n">
        <f aca="false">(('Business Case'!C11*$C510*'Business Case'!C12*$B510)-'Business Case'!C11*$C510*'Business Case'!C13*$D510-'Business Case'!C14*$E510)-MAX(0,(('Business Case'!C11*$C510*'Business Case'!C12*$B510)-'Business Case'!C11*$C510*'Business Case'!C13*$D510-'Business Case'!C14*$E510))*'Business Case'!$B$7-'Business Case'!$B$8*(('Business Case'!C11*$C510*'Business Case'!C12*$B510)-('Business Case'!B11*$C510*'Business Case'!B12*$B510))-'Business Case'!C15*$F510</f>
        <v>-10705226.3255295</v>
      </c>
      <c r="J510" s="39" t="n">
        <f aca="false">(('Business Case'!D11*$C510*'Business Case'!D12*$B510)-'Business Case'!D11*$C510*'Business Case'!D13*$D510-'Business Case'!D14*$E510)-MAX(0,(('Business Case'!D11*$C510*'Business Case'!D12*$B510)-'Business Case'!D11*$C510*'Business Case'!D13*$D510-'Business Case'!D14*$E510))*'Business Case'!$B$7-'Business Case'!$B$8*(('Business Case'!D11*$C510*'Business Case'!D12*$B510)-('Business Case'!C11*$C510*'Business Case'!C12*$B510))-'Business Case'!D15*$F510</f>
        <v>291347860.108754</v>
      </c>
      <c r="K510" s="39" t="n">
        <f aca="false">(('Business Case'!E11*$C510*'Business Case'!E12*$B510)-'Business Case'!E11*$C510*'Business Case'!E13*$D510-'Business Case'!E14*$E510)-MAX(0,(('Business Case'!E11*$C510*'Business Case'!E12*$B510)-'Business Case'!E11*$C510*'Business Case'!E13*$D510-'Business Case'!E14*$E510))*'Business Case'!$B$7-'Business Case'!$B$8*(('Business Case'!E11*$C510*'Business Case'!E12*$B510)-('Business Case'!D11*$C510*'Business Case'!D12*$B510))-'Business Case'!E15*$F510</f>
        <v>645493009.536286</v>
      </c>
      <c r="L510" s="39" t="n">
        <f aca="false">(('Business Case'!F11*$C510*'Business Case'!F12*$B510)-'Business Case'!F11*$C510*'Business Case'!F13*$D510-'Business Case'!F14*$E510)-MAX(0,(('Business Case'!F11*$C510*'Business Case'!F12*$B510)-'Business Case'!F11*$C510*'Business Case'!F13*$D510-'Business Case'!F14*$E510))*'Business Case'!$B$7-'Business Case'!$B$8*(('Business Case'!F11*$C510*'Business Case'!F12*$B510)-('Business Case'!E11*$C510*'Business Case'!E12*$B510))-'Business Case'!F15*$F510</f>
        <v>782224180.462672</v>
      </c>
      <c r="M510" s="39" t="n">
        <f aca="false">(('Business Case'!G11*$C510*'Business Case'!G12*$B510)-'Business Case'!G11*$C510*'Business Case'!G13*$D510-'Business Case'!G14*$E510)-MAX(0,(('Business Case'!G11*$C510*'Business Case'!G12*$B510)-'Business Case'!G11*$C510*'Business Case'!G13*$D510-'Business Case'!G14*$E510))*'Business Case'!$B$7-'Business Case'!$B$8*(('Business Case'!G11*$C510*'Business Case'!G12*$B510)-('Business Case'!F11*$C510*'Business Case'!F12*$B510))-'Business Case'!G15*$F510+'Business Case'!$B$8*('Business Case'!G11*$C510*'Business Case'!G12*$B510)</f>
        <v>980481628.761606</v>
      </c>
      <c r="N510" s="39" t="n">
        <f aca="false">IF(COUNT('Business Case'!B11:G11)=0,"",H510+NPV(G510,I510:M510))</f>
        <v>-212275060.819549</v>
      </c>
      <c r="P510" s="40" t="n">
        <f aca="true">RAND()</f>
        <v>0.448448341222838</v>
      </c>
      <c r="Q510" s="40" t="n">
        <f aca="true">RAND()</f>
        <v>0.885590993166364</v>
      </c>
      <c r="R510" s="40" t="n">
        <f aca="true">RAND()</f>
        <v>0.526204076604391</v>
      </c>
      <c r="S510" s="40" t="n">
        <f aca="true">RAND()</f>
        <v>0.892560806827544</v>
      </c>
      <c r="T510" s="40" t="n">
        <f aca="true">RAND()</f>
        <v>0.422265852071934</v>
      </c>
      <c r="U510" s="40" t="n">
        <f aca="true">RAND()</f>
        <v>0.327694752233074</v>
      </c>
    </row>
    <row r="511" customFormat="false" ht="15" hidden="false" customHeight="false" outlineLevel="0" collapsed="false">
      <c r="A511" s="36" t="n">
        <v>431</v>
      </c>
      <c r="B511" s="37" t="n">
        <f aca="false">1+IF($G$6=$E$6,$F$6,IF(P511&lt;($F$6-$E$6)/($G$6-$E$6),$E$6+SQRT(P511*($G$6-$E$6)*($F$6-$E$6)),$G$6-SQRT((1-P511)*($G$6-$E$6)*($G$6-$F$6))))</f>
        <v>1.03549246751966</v>
      </c>
      <c r="C511" s="37" t="n">
        <f aca="false">1+IF($G$7=$E$7,$F$7,IF(Q511&lt;($F$7-$E$7)/($G$7-$E$7),$E$7+SQRT(Q511*($G$7-$E$7)*($F$7-$E$7)),$G$7-SQRT((1-Q511)*($G$7-$E$7)*($G$7-$F$7))))</f>
        <v>0.884946321467764</v>
      </c>
      <c r="D511" s="37" t="n">
        <f aca="false">1+IF($G$8=$E$8,$F$8,IF(R511&lt;($F$8-$E$8)/($G$8-$E$8),$E$8+SQRT(R511*($G$8-$E$8)*($F$8-$E$8)),$G$8-SQRT((1-R511)*($G$8-$E$8)*($G$8-$F$8))))</f>
        <v>1.02364343189053</v>
      </c>
      <c r="E511" s="37" t="n">
        <f aca="false">1+IF($G$9=$E$9,$F$9,IF(S511&lt;($F$9-$E$9)/($G$9-$E$9),$E$9+SQRT(S511*($G$9-$E$9)*($F$9-$E$9)),$G$9-SQRT((1-S511)*($G$9-$E$9)*($G$9-$F$9))))</f>
        <v>0.937004721578269</v>
      </c>
      <c r="F511" s="37" t="n">
        <f aca="false">1+IF($G$10=$E$10,$F$10,IF(T511&lt;($F$10-$E$10)/($G$10-$E$10),$E$10+SQRT(T511*($G$10-$E$10)*($F$10-$E$10)),$G$10-SQRT((1-T511)*($G$10-$E$10)*($G$10-$F$10))))</f>
        <v>1.07507019715572</v>
      </c>
      <c r="G511" s="38" t="n">
        <f aca="false">IF($G$11=$E$11,$F$11,IF(U511&lt;($F$11-$E$11)/($G$11-$E$11),$E$11+SQRT(U511*($G$11-$E$11)*($F$11-$E$11)),$G$11-SQRT((1-U511)*($G$11-$E$11)*($G$11-$F$11))))</f>
        <v>0.0999740640185362</v>
      </c>
      <c r="H511" s="39" t="n">
        <f aca="false">(('Business Case'!B11*$C511*'Business Case'!B12*$B511)-'Business Case'!B11*$C511*'Business Case'!B13*$D511-'Business Case'!B14*$E511)-MAX(0,(('Business Case'!B11*$C511*'Business Case'!B12*$B511)-'Business Case'!B11*$C511*'Business Case'!B13*$D511-'Business Case'!B14*$E511))*'Business Case'!$B$7-'Business Case'!$B$8*('Business Case'!B11*$C511*'Business Case'!B12*$B511)-'Business Case'!B15*$F511</f>
        <v>-2150140394.31145</v>
      </c>
      <c r="I511" s="39" t="n">
        <f aca="false">(('Business Case'!C11*$C511*'Business Case'!C12*$B511)-'Business Case'!C11*$C511*'Business Case'!C13*$D511-'Business Case'!C14*$E511)-MAX(0,(('Business Case'!C11*$C511*'Business Case'!C12*$B511)-'Business Case'!C11*$C511*'Business Case'!C13*$D511-'Business Case'!C14*$E511))*'Business Case'!$B$7-'Business Case'!$B$8*(('Business Case'!C11*$C511*'Business Case'!C12*$B511)-('Business Case'!B11*$C511*'Business Case'!B12*$B511))-'Business Case'!C15*$F511</f>
        <v>-1424729.01447605</v>
      </c>
      <c r="J511" s="39" t="n">
        <f aca="false">(('Business Case'!D11*$C511*'Business Case'!D12*$B511)-'Business Case'!D11*$C511*'Business Case'!D13*$D511-'Business Case'!D14*$E511)-MAX(0,(('Business Case'!D11*$C511*'Business Case'!D12*$B511)-'Business Case'!D11*$C511*'Business Case'!D13*$D511-'Business Case'!D14*$E511))*'Business Case'!$B$7-'Business Case'!$B$8*(('Business Case'!D11*$C511*'Business Case'!D12*$B511)-('Business Case'!C11*$C511*'Business Case'!C12*$B511))-'Business Case'!D15*$F511</f>
        <v>285403489.257077</v>
      </c>
      <c r="K511" s="39" t="n">
        <f aca="false">(('Business Case'!E11*$C511*'Business Case'!E12*$B511)-'Business Case'!E11*$C511*'Business Case'!E13*$D511-'Business Case'!E14*$E511)-MAX(0,(('Business Case'!E11*$C511*'Business Case'!E12*$B511)-'Business Case'!E11*$C511*'Business Case'!E13*$D511-'Business Case'!E14*$E511))*'Business Case'!$B$7-'Business Case'!$B$8*(('Business Case'!E11*$C511*'Business Case'!E12*$B511)-('Business Case'!D11*$C511*'Business Case'!D12*$B511))-'Business Case'!E15*$F511</f>
        <v>625985217.386417</v>
      </c>
      <c r="L511" s="39" t="n">
        <f aca="false">(('Business Case'!F11*$C511*'Business Case'!F12*$B511)-'Business Case'!F11*$C511*'Business Case'!F13*$D511-'Business Case'!F14*$E511)-MAX(0,(('Business Case'!F11*$C511*'Business Case'!F12*$B511)-'Business Case'!F11*$C511*'Business Case'!F13*$D511-'Business Case'!F14*$E511))*'Business Case'!$B$7-'Business Case'!$B$8*(('Business Case'!F11*$C511*'Business Case'!F12*$B511)-('Business Case'!E11*$C511*'Business Case'!E12*$B511))-'Business Case'!F15*$F511</f>
        <v>753263860.918286</v>
      </c>
      <c r="M511" s="39" t="n">
        <f aca="false">(('Business Case'!G11*$C511*'Business Case'!G12*$B511)-'Business Case'!G11*$C511*'Business Case'!G13*$D511-'Business Case'!G14*$E511)-MAX(0,(('Business Case'!G11*$C511*'Business Case'!G12*$B511)-'Business Case'!G11*$C511*'Business Case'!G13*$D511-'Business Case'!G14*$E511))*'Business Case'!$B$7-'Business Case'!$B$8*(('Business Case'!G11*$C511*'Business Case'!G12*$B511)-('Business Case'!F11*$C511*'Business Case'!F12*$B511))-'Business Case'!G15*$F511+'Business Case'!$B$8*('Business Case'!G11*$C511*'Business Case'!G12*$B511)</f>
        <v>927444666.845718</v>
      </c>
      <c r="N511" s="39" t="n">
        <f aca="false">IF(COUNT('Business Case'!B11:G11)=0,"",H511+NPV(G511,I511:M511))</f>
        <v>-354732687.383034</v>
      </c>
      <c r="P511" s="40" t="n">
        <f aca="true">RAND()</f>
        <v>0.971937533510915</v>
      </c>
      <c r="Q511" s="40" t="n">
        <f aca="true">RAND()</f>
        <v>0.253371420921906</v>
      </c>
      <c r="R511" s="40" t="n">
        <f aca="true">RAND()</f>
        <v>0.611311633769628</v>
      </c>
      <c r="S511" s="40" t="n">
        <f aca="true">RAND()</f>
        <v>0.054773976763409</v>
      </c>
      <c r="T511" s="40" t="n">
        <f aca="true">RAND()</f>
        <v>0.591994187691504</v>
      </c>
      <c r="U511" s="40" t="n">
        <f aca="true">RAND()</f>
        <v>0.398963233416581</v>
      </c>
    </row>
    <row r="512" customFormat="false" ht="15" hidden="false" customHeight="false" outlineLevel="0" collapsed="false">
      <c r="A512" s="36" t="n">
        <v>432</v>
      </c>
      <c r="B512" s="37" t="n">
        <f aca="false">1+IF($G$6=$E$6,$F$6,IF(P512&lt;($F$6-$E$6)/($G$6-$E$6),$E$6+SQRT(P512*($G$6-$E$6)*($F$6-$E$6)),$G$6-SQRT((1-P512)*($G$6-$E$6)*($G$6-$F$6))))</f>
        <v>0.958844380692712</v>
      </c>
      <c r="C512" s="37" t="n">
        <f aca="false">1+IF($G$7=$E$7,$F$7,IF(Q512&lt;($F$7-$E$7)/($G$7-$E$7),$E$7+SQRT(Q512*($G$7-$E$7)*($F$7-$E$7)),$G$7-SQRT((1-Q512)*($G$7-$E$7)*($G$7-$F$7))))</f>
        <v>0.806451234997989</v>
      </c>
      <c r="D512" s="37" t="n">
        <f aca="false">1+IF($G$8=$E$8,$F$8,IF(R512&lt;($F$8-$E$8)/($G$8-$E$8),$E$8+SQRT(R512*($G$8-$E$8)*($F$8-$E$8)),$G$8-SQRT((1-R512)*($G$8-$E$8)*($G$8-$F$8))))</f>
        <v>1.03611887535717</v>
      </c>
      <c r="E512" s="37" t="n">
        <f aca="false">1+IF($G$9=$E$9,$F$9,IF(S512&lt;($F$9-$E$9)/($G$9-$E$9),$E$9+SQRT(S512*($G$9-$E$9)*($F$9-$E$9)),$G$9-SQRT((1-S512)*($G$9-$E$9)*($G$9-$F$9))))</f>
        <v>1.05734845462614</v>
      </c>
      <c r="F512" s="37" t="n">
        <f aca="false">1+IF($G$10=$E$10,$F$10,IF(T512&lt;($F$10-$E$10)/($G$10-$E$10),$E$10+SQRT(T512*($G$10-$E$10)*($F$10-$E$10)),$G$10-SQRT((1-T512)*($G$10-$E$10)*($G$10-$F$10))))</f>
        <v>1.08861700151491</v>
      </c>
      <c r="G512" s="38" t="n">
        <f aca="false">IF($G$11=$E$11,$F$11,IF(U512&lt;($F$11-$E$11)/($G$11-$E$11),$E$11+SQRT(U512*($G$11-$E$11)*($F$11-$E$11)),$G$11-SQRT((1-U512)*($G$11-$E$11)*($G$11-$F$11))))</f>
        <v>0.129054731353242</v>
      </c>
      <c r="H512" s="39" t="n">
        <f aca="false">(('Business Case'!B11*$C512*'Business Case'!B12*$B512)-'Business Case'!B11*$C512*'Business Case'!B13*$D512-'Business Case'!B14*$E512)-MAX(0,(('Business Case'!B11*$C512*'Business Case'!B12*$B512)-'Business Case'!B11*$C512*'Business Case'!B13*$D512-'Business Case'!B14*$E512))*'Business Case'!$B$7-'Business Case'!$B$8*('Business Case'!B11*$C512*'Business Case'!B12*$B512)-'Business Case'!B15*$F512</f>
        <v>-2177234003.02981</v>
      </c>
      <c r="I512" s="39" t="n">
        <f aca="false">(('Business Case'!C11*$C512*'Business Case'!C12*$B512)-'Business Case'!C11*$C512*'Business Case'!C13*$D512-'Business Case'!C14*$E512)-MAX(0,(('Business Case'!C11*$C512*'Business Case'!C12*$B512)-'Business Case'!C11*$C512*'Business Case'!C13*$D512-'Business Case'!C14*$E512))*'Business Case'!$B$7-'Business Case'!$B$8*(('Business Case'!C11*$C512*'Business Case'!C12*$B512)-('Business Case'!B11*$C512*'Business Case'!B12*$B512))-'Business Case'!C15*$F512</f>
        <v>-93695665.692921</v>
      </c>
      <c r="J512" s="39" t="n">
        <f aca="false">(('Business Case'!D11*$C512*'Business Case'!D12*$B512)-'Business Case'!D11*$C512*'Business Case'!D13*$D512-'Business Case'!D14*$E512)-MAX(0,(('Business Case'!D11*$C512*'Business Case'!D12*$B512)-'Business Case'!D11*$C512*'Business Case'!D13*$D512-'Business Case'!D14*$E512))*'Business Case'!$B$7-'Business Case'!$B$8*(('Business Case'!D11*$C512*'Business Case'!D12*$B512)-('Business Case'!C11*$C512*'Business Case'!C12*$B512))-'Business Case'!D15*$F512</f>
        <v>111911181.434876</v>
      </c>
      <c r="K512" s="39" t="n">
        <f aca="false">(('Business Case'!E11*$C512*'Business Case'!E12*$B512)-'Business Case'!E11*$C512*'Business Case'!E13*$D512-'Business Case'!E14*$E512)-MAX(0,(('Business Case'!E11*$C512*'Business Case'!E12*$B512)-'Business Case'!E11*$C512*'Business Case'!E13*$D512-'Business Case'!E14*$E512))*'Business Case'!$B$7-'Business Case'!$B$8*(('Business Case'!E11*$C512*'Business Case'!E12*$B512)-('Business Case'!D11*$C512*'Business Case'!D12*$B512))-'Business Case'!E15*$F512</f>
        <v>371948878.638418</v>
      </c>
      <c r="L512" s="39" t="n">
        <f aca="false">(('Business Case'!F11*$C512*'Business Case'!F12*$B512)-'Business Case'!F11*$C512*'Business Case'!F13*$D512-'Business Case'!F14*$E512)-MAX(0,(('Business Case'!F11*$C512*'Business Case'!F12*$B512)-'Business Case'!F11*$C512*'Business Case'!F13*$D512-'Business Case'!F14*$E512))*'Business Case'!$B$7-'Business Case'!$B$8*(('Business Case'!F11*$C512*'Business Case'!F12*$B512)-('Business Case'!E11*$C512*'Business Case'!E12*$B512))-'Business Case'!F15*$F512</f>
        <v>467208402.62861</v>
      </c>
      <c r="M512" s="39" t="n">
        <f aca="false">(('Business Case'!G11*$C512*'Business Case'!G12*$B512)-'Business Case'!G11*$C512*'Business Case'!G13*$D512-'Business Case'!G14*$E512)-MAX(0,(('Business Case'!G11*$C512*'Business Case'!G12*$B512)-'Business Case'!G11*$C512*'Business Case'!G13*$D512-'Business Case'!G14*$E512))*'Business Case'!$B$7-'Business Case'!$B$8*(('Business Case'!G11*$C512*'Business Case'!G12*$B512)-('Business Case'!F11*$C512*'Business Case'!F12*$B512))-'Business Case'!G15*$F512+'Business Case'!$B$8*('Business Case'!G11*$C512*'Business Case'!G12*$B512)</f>
        <v>614189898.173707</v>
      </c>
      <c r="N512" s="39" t="n">
        <f aca="false">IF(COUNT('Business Case'!B11:G11)=0,"",H512+NPV(G512,I512:M512))</f>
        <v>-1291739065.02719</v>
      </c>
      <c r="P512" s="40" t="n">
        <f aca="true">RAND()</f>
        <v>0.230844075940584</v>
      </c>
      <c r="Q512" s="40" t="n">
        <f aca="true">RAND()</f>
        <v>0.0839397439451629</v>
      </c>
      <c r="R512" s="40" t="n">
        <f aca="true">RAND()</f>
        <v>0.727946794291172</v>
      </c>
      <c r="S512" s="40" t="n">
        <f aca="true">RAND()</f>
        <v>0.771085097062274</v>
      </c>
      <c r="T512" s="40" t="n">
        <f aca="true">RAND()</f>
        <v>0.652740370666134</v>
      </c>
      <c r="U512" s="40" t="n">
        <f aca="true">RAND()</f>
        <v>0.999404311456971</v>
      </c>
    </row>
    <row r="513" customFormat="false" ht="15" hidden="false" customHeight="false" outlineLevel="0" collapsed="false">
      <c r="A513" s="36" t="n">
        <v>433</v>
      </c>
      <c r="B513" s="37" t="n">
        <f aca="false">1+IF($G$6=$E$6,$F$6,IF(P513&lt;($F$6-$E$6)/($G$6-$E$6),$E$6+SQRT(P513*($G$6-$E$6)*($F$6-$E$6)),$G$6-SQRT((1-P513)*($G$6-$E$6)*($G$6-$F$6))))</f>
        <v>0.931395644346005</v>
      </c>
      <c r="C513" s="37" t="n">
        <f aca="false">1+IF($G$7=$E$7,$F$7,IF(Q513&lt;($F$7-$E$7)/($G$7-$E$7),$E$7+SQRT(Q513*($G$7-$E$7)*($F$7-$E$7)),$G$7-SQRT((1-Q513)*($G$7-$E$7)*($G$7-$F$7))))</f>
        <v>0.933453889174662</v>
      </c>
      <c r="D513" s="37" t="n">
        <f aca="false">1+IF($G$8=$E$8,$F$8,IF(R513&lt;($F$8-$E$8)/($G$8-$E$8),$E$8+SQRT(R513*($G$8-$E$8)*($F$8-$E$8)),$G$8-SQRT((1-R513)*($G$8-$E$8)*($G$8-$F$8))))</f>
        <v>1.02720348345019</v>
      </c>
      <c r="E513" s="37" t="n">
        <f aca="false">1+IF($G$9=$E$9,$F$9,IF(S513&lt;($F$9-$E$9)/($G$9-$E$9),$E$9+SQRT(S513*($G$9-$E$9)*($F$9-$E$9)),$G$9-SQRT((1-S513)*($G$9-$E$9)*($G$9-$F$9))))</f>
        <v>1.03949994644389</v>
      </c>
      <c r="F513" s="37" t="n">
        <f aca="false">1+IF($G$10=$E$10,$F$10,IF(T513&lt;($F$10-$E$10)/($G$10-$E$10),$E$10+SQRT(T513*($G$10-$E$10)*($F$10-$E$10)),$G$10-SQRT((1-T513)*($G$10-$E$10)*($G$10-$F$10))))</f>
        <v>1.18847113477841</v>
      </c>
      <c r="G513" s="38" t="n">
        <f aca="false">IF($G$11=$E$11,$F$11,IF(U513&lt;($F$11-$E$11)/($G$11-$E$11),$E$11+SQRT(U513*($G$11-$E$11)*($F$11-$E$11)),$G$11-SQRT((1-U513)*($G$11-$E$11)*($G$11-$F$11))))</f>
        <v>0.102372750091532</v>
      </c>
      <c r="H513" s="39" t="n">
        <f aca="false">(('Business Case'!B11*$C513*'Business Case'!B12*$B513)-'Business Case'!B11*$C513*'Business Case'!B13*$D513-'Business Case'!B14*$E513)-MAX(0,(('Business Case'!B11*$C513*'Business Case'!B12*$B513)-'Business Case'!B11*$C513*'Business Case'!B13*$D513-'Business Case'!B14*$E513))*'Business Case'!$B$7-'Business Case'!$B$8*('Business Case'!B11*$C513*'Business Case'!B12*$B513)-'Business Case'!B15*$F513</f>
        <v>-2376942269.55681</v>
      </c>
      <c r="I513" s="39" t="n">
        <f aca="false">(('Business Case'!C11*$C513*'Business Case'!C12*$B513)-'Business Case'!C11*$C513*'Business Case'!C13*$D513-'Business Case'!C14*$E513)-MAX(0,(('Business Case'!C11*$C513*'Business Case'!C12*$B513)-'Business Case'!C11*$C513*'Business Case'!C13*$D513-'Business Case'!C14*$E513))*'Business Case'!$B$7-'Business Case'!$B$8*(('Business Case'!C11*$C513*'Business Case'!C12*$B513)-('Business Case'!B11*$C513*'Business Case'!B12*$B513))-'Business Case'!C15*$F513</f>
        <v>-90474084.1778052</v>
      </c>
      <c r="J513" s="39" t="n">
        <f aca="false">(('Business Case'!D11*$C513*'Business Case'!D12*$B513)-'Business Case'!D11*$C513*'Business Case'!D13*$D513-'Business Case'!D14*$E513)-MAX(0,(('Business Case'!D11*$C513*'Business Case'!D12*$B513)-'Business Case'!D11*$C513*'Business Case'!D13*$D513-'Business Case'!D14*$E513))*'Business Case'!$B$7-'Business Case'!$B$8*(('Business Case'!D11*$C513*'Business Case'!D12*$B513)-('Business Case'!C11*$C513*'Business Case'!C12*$B513))-'Business Case'!D15*$F513</f>
        <v>130786305.226605</v>
      </c>
      <c r="K513" s="39" t="n">
        <f aca="false">(('Business Case'!E11*$C513*'Business Case'!E12*$B513)-'Business Case'!E11*$C513*'Business Case'!E13*$D513-'Business Case'!E14*$E513)-MAX(0,(('Business Case'!E11*$C513*'Business Case'!E12*$B513)-'Business Case'!E11*$C513*'Business Case'!E13*$D513-'Business Case'!E14*$E513))*'Business Case'!$B$7-'Business Case'!$B$8*(('Business Case'!E11*$C513*'Business Case'!E12*$B513)-('Business Case'!D11*$C513*'Business Case'!D12*$B513))-'Business Case'!E15*$F513</f>
        <v>411470251.369935</v>
      </c>
      <c r="L513" s="39" t="n">
        <f aca="false">(('Business Case'!F11*$C513*'Business Case'!F12*$B513)-'Business Case'!F11*$C513*'Business Case'!F13*$D513-'Business Case'!F14*$E513)-MAX(0,(('Business Case'!F11*$C513*'Business Case'!F12*$B513)-'Business Case'!F11*$C513*'Business Case'!F13*$D513-'Business Case'!F14*$E513))*'Business Case'!$B$7-'Business Case'!$B$8*(('Business Case'!F11*$C513*'Business Case'!F12*$B513)-('Business Case'!E11*$C513*'Business Case'!E12*$B513))-'Business Case'!F15*$F513</f>
        <v>515270692.984774</v>
      </c>
      <c r="M513" s="39" t="n">
        <f aca="false">(('Business Case'!G11*$C513*'Business Case'!G12*$B513)-'Business Case'!G11*$C513*'Business Case'!G13*$D513-'Business Case'!G14*$E513)-MAX(0,(('Business Case'!G11*$C513*'Business Case'!G12*$B513)-'Business Case'!G11*$C513*'Business Case'!G13*$D513-'Business Case'!G14*$E513))*'Business Case'!$B$7-'Business Case'!$B$8*(('Business Case'!G11*$C513*'Business Case'!G12*$B513)-('Business Case'!F11*$C513*'Business Case'!F12*$B513))-'Business Case'!G15*$F513+'Business Case'!$B$8*('Business Case'!G11*$C513*'Business Case'!G12*$B513)</f>
        <v>680529074.624973</v>
      </c>
      <c r="N513" s="39" t="n">
        <f aca="false">IF(COUNT('Business Case'!B11:G11)=0,"",H513+NPV(G513,I513:M513))</f>
        <v>-1277296015.11691</v>
      </c>
      <c r="P513" s="40" t="n">
        <f aca="true">RAND()</f>
        <v>0.0657124322600551</v>
      </c>
      <c r="Q513" s="40" t="n">
        <f aca="true">RAND()</f>
        <v>0.403709024968705</v>
      </c>
      <c r="R513" s="40" t="n">
        <f aca="true">RAND()</f>
        <v>0.646711145214198</v>
      </c>
      <c r="S513" s="40" t="n">
        <f aca="true">RAND()</f>
        <v>0.674393017709222</v>
      </c>
      <c r="T513" s="40" t="n">
        <f aca="true">RAND()</f>
        <v>0.949522649927238</v>
      </c>
      <c r="U513" s="40" t="n">
        <f aca="true">RAND()</f>
        <v>0.491156708330034</v>
      </c>
    </row>
    <row r="514" customFormat="false" ht="15" hidden="false" customHeight="false" outlineLevel="0" collapsed="false">
      <c r="A514" s="36" t="n">
        <v>434</v>
      </c>
      <c r="B514" s="37" t="n">
        <f aca="false">1+IF($G$6=$E$6,$F$6,IF(P514&lt;($F$6-$E$6)/($G$6-$E$6),$E$6+SQRT(P514*($G$6-$E$6)*($F$6-$E$6)),$G$6-SQRT((1-P514)*($G$6-$E$6)*($G$6-$F$6))))</f>
        <v>1.00204168408896</v>
      </c>
      <c r="C514" s="37" t="n">
        <f aca="false">1+IF($G$7=$E$7,$F$7,IF(Q514&lt;($F$7-$E$7)/($G$7-$E$7),$E$7+SQRT(Q514*($G$7-$E$7)*($F$7-$E$7)),$G$7-SQRT((1-Q514)*($G$7-$E$7)*($G$7-$F$7))))</f>
        <v>0.94206869716024</v>
      </c>
      <c r="D514" s="37" t="n">
        <f aca="false">1+IF($G$8=$E$8,$F$8,IF(R514&lt;($F$8-$E$8)/($G$8-$E$8),$E$8+SQRT(R514*($G$8-$E$8)*($F$8-$E$8)),$G$8-SQRT((1-R514)*($G$8-$E$8)*($G$8-$F$8))))</f>
        <v>0.973354327243452</v>
      </c>
      <c r="E514" s="37" t="n">
        <f aca="false">1+IF($G$9=$E$9,$F$9,IF(S514&lt;($F$9-$E$9)/($G$9-$E$9),$E$9+SQRT(S514*($G$9-$E$9)*($F$9-$E$9)),$G$9-SQRT((1-S514)*($G$9-$E$9)*($G$9-$F$9))))</f>
        <v>1.10333718161804</v>
      </c>
      <c r="F514" s="37" t="n">
        <f aca="false">1+IF($G$10=$E$10,$F$10,IF(T514&lt;($F$10-$E$10)/($G$10-$E$10),$E$10+SQRT(T514*($G$10-$E$10)*($F$10-$E$10)),$G$10-SQRT((1-T514)*($G$10-$E$10)*($G$10-$F$10))))</f>
        <v>1.03299470755708</v>
      </c>
      <c r="G514" s="38" t="n">
        <f aca="false">IF($G$11=$E$11,$F$11,IF(U514&lt;($F$11-$E$11)/($G$11-$E$11),$E$11+SQRT(U514*($G$11-$E$11)*($F$11-$E$11)),$G$11-SQRT((1-U514)*($G$11-$E$11)*($G$11-$F$11))))</f>
        <v>0.110694022172825</v>
      </c>
      <c r="H514" s="39" t="n">
        <f aca="false">(('Business Case'!B11*$C514*'Business Case'!B12*$B514)-'Business Case'!B11*$C514*'Business Case'!B13*$D514-'Business Case'!B14*$E514)-MAX(0,(('Business Case'!B11*$C514*'Business Case'!B12*$B514)-'Business Case'!B11*$C514*'Business Case'!B13*$D514-'Business Case'!B14*$E514))*'Business Case'!$B$7-'Business Case'!$B$8*('Business Case'!B11*$C514*'Business Case'!B12*$B514)-'Business Case'!B15*$F514</f>
        <v>-2065989415.11415</v>
      </c>
      <c r="I514" s="39" t="n">
        <f aca="false">(('Business Case'!C11*$C514*'Business Case'!C12*$B514)-'Business Case'!C11*$C514*'Business Case'!C13*$D514-'Business Case'!C14*$E514)-MAX(0,(('Business Case'!C11*$C514*'Business Case'!C12*$B514)-'Business Case'!C11*$C514*'Business Case'!C13*$D514-'Business Case'!C14*$E514))*'Business Case'!$B$7-'Business Case'!$B$8*(('Business Case'!C11*$C514*'Business Case'!C12*$B514)-('Business Case'!B11*$C514*'Business Case'!B12*$B514))-'Business Case'!C15*$F514</f>
        <v>-5346632.03076425</v>
      </c>
      <c r="J514" s="39" t="n">
        <f aca="false">(('Business Case'!D11*$C514*'Business Case'!D12*$B514)-'Business Case'!D11*$C514*'Business Case'!D13*$D514-'Business Case'!D14*$E514)-MAX(0,(('Business Case'!D11*$C514*'Business Case'!D12*$B514)-'Business Case'!D11*$C514*'Business Case'!D13*$D514-'Business Case'!D14*$E514))*'Business Case'!$B$7-'Business Case'!$B$8*(('Business Case'!D11*$C514*'Business Case'!D12*$B514)-('Business Case'!C11*$C514*'Business Case'!C12*$B514))-'Business Case'!D15*$F514</f>
        <v>298437304.582808</v>
      </c>
      <c r="K514" s="39" t="n">
        <f aca="false">(('Business Case'!E11*$C514*'Business Case'!E12*$B514)-'Business Case'!E11*$C514*'Business Case'!E13*$D514-'Business Case'!E14*$E514)-MAX(0,(('Business Case'!E11*$C514*'Business Case'!E12*$B514)-'Business Case'!E11*$C514*'Business Case'!E13*$D514-'Business Case'!E14*$E514))*'Business Case'!$B$7-'Business Case'!$B$8*(('Business Case'!E11*$C514*'Business Case'!E12*$B514)-('Business Case'!D11*$C514*'Business Case'!D12*$B514))-'Business Case'!E15*$F514</f>
        <v>653870976.574235</v>
      </c>
      <c r="L514" s="39" t="n">
        <f aca="false">(('Business Case'!F11*$C514*'Business Case'!F12*$B514)-'Business Case'!F11*$C514*'Business Case'!F13*$D514-'Business Case'!F14*$E514)-MAX(0,(('Business Case'!F11*$C514*'Business Case'!F12*$B514)-'Business Case'!F11*$C514*'Business Case'!F13*$D514-'Business Case'!F14*$E514))*'Business Case'!$B$7-'Business Case'!$B$8*(('Business Case'!F11*$C514*'Business Case'!F12*$B514)-('Business Case'!E11*$C514*'Business Case'!E12*$B514))-'Business Case'!F15*$F514</f>
        <v>787756655.887121</v>
      </c>
      <c r="M514" s="39" t="n">
        <f aca="false">(('Business Case'!G11*$C514*'Business Case'!G12*$B514)-'Business Case'!G11*$C514*'Business Case'!G13*$D514-'Business Case'!G14*$E514)-MAX(0,(('Business Case'!G11*$C514*'Business Case'!G12*$B514)-'Business Case'!G11*$C514*'Business Case'!G13*$D514-'Business Case'!G14*$E514))*'Business Case'!$B$7-'Business Case'!$B$8*(('Business Case'!G11*$C514*'Business Case'!G12*$B514)-('Business Case'!F11*$C514*'Business Case'!F12*$B514))-'Business Case'!G15*$F514+'Business Case'!$B$8*('Business Case'!G11*$C514*'Business Case'!G12*$B514)</f>
        <v>967190674.983116</v>
      </c>
      <c r="N514" s="39" t="n">
        <f aca="false">IF(COUNT('Business Case'!B11:G11)=0,"",H514+NPV(G514,I514:M514))</f>
        <v>-261864757.410014</v>
      </c>
      <c r="P514" s="40" t="n">
        <f aca="true">RAND()</f>
        <v>0.693333324663582</v>
      </c>
      <c r="Q514" s="40" t="n">
        <f aca="true">RAND()</f>
        <v>0.434053734406341</v>
      </c>
      <c r="R514" s="40" t="n">
        <f aca="true">RAND()</f>
        <v>0.0727232801325679</v>
      </c>
      <c r="S514" s="40" t="n">
        <f aca="true">RAND()</f>
        <v>0.941935503484057</v>
      </c>
      <c r="T514" s="40" t="n">
        <f aca="true">RAND()</f>
        <v>0.372116040690142</v>
      </c>
      <c r="U514" s="40" t="n">
        <f aca="true">RAND()</f>
        <v>0.751519480091096</v>
      </c>
    </row>
    <row r="515" customFormat="false" ht="15" hidden="false" customHeight="false" outlineLevel="0" collapsed="false">
      <c r="A515" s="36" t="n">
        <v>435</v>
      </c>
      <c r="B515" s="37" t="n">
        <f aca="false">1+IF($G$6=$E$6,$F$6,IF(P515&lt;($F$6-$E$6)/($G$6-$E$6),$E$6+SQRT(P515*($G$6-$E$6)*($F$6-$E$6)),$G$6-SQRT((1-P515)*($G$6-$E$6)*($G$6-$F$6))))</f>
        <v>1.00089115528046</v>
      </c>
      <c r="C515" s="37" t="n">
        <f aca="false">1+IF($G$7=$E$7,$F$7,IF(Q515&lt;($F$7-$E$7)/($G$7-$E$7),$E$7+SQRT(Q515*($G$7-$E$7)*($F$7-$E$7)),$G$7-SQRT((1-Q515)*($G$7-$E$7)*($G$7-$F$7))))</f>
        <v>1.02816659371144</v>
      </c>
      <c r="D515" s="37" t="n">
        <f aca="false">1+IF($G$8=$E$8,$F$8,IF(R515&lt;($F$8-$E$8)/($G$8-$E$8),$E$8+SQRT(R515*($G$8-$E$8)*($F$8-$E$8)),$G$8-SQRT((1-R515)*($G$8-$E$8)*($G$8-$F$8))))</f>
        <v>1.00496866241704</v>
      </c>
      <c r="E515" s="37" t="n">
        <f aca="false">1+IF($G$9=$E$9,$F$9,IF(S515&lt;($F$9-$E$9)/($G$9-$E$9),$E$9+SQRT(S515*($G$9-$E$9)*($F$9-$E$9)),$G$9-SQRT((1-S515)*($G$9-$E$9)*($G$9-$F$9))))</f>
        <v>0.99000101258729</v>
      </c>
      <c r="F515" s="37" t="n">
        <f aca="false">1+IF($G$10=$E$10,$F$10,IF(T515&lt;($F$10-$E$10)/($G$10-$E$10),$E$10+SQRT(T515*($G$10-$E$10)*($F$10-$E$10)),$G$10-SQRT((1-T515)*($G$10-$E$10)*($G$10-$F$10))))</f>
        <v>0.970214687883765</v>
      </c>
      <c r="G515" s="38" t="n">
        <f aca="false">IF($G$11=$E$11,$F$11,IF(U515&lt;($F$11-$E$11)/($G$11-$E$11),$E$11+SQRT(U515*($G$11-$E$11)*($F$11-$E$11)),$G$11-SQRT((1-U515)*($G$11-$E$11)*($G$11-$F$11))))</f>
        <v>0.100537752415578</v>
      </c>
      <c r="H515" s="39" t="n">
        <f aca="false">(('Business Case'!B11*$C515*'Business Case'!B12*$B515)-'Business Case'!B11*$C515*'Business Case'!B13*$D515-'Business Case'!B14*$E515)-MAX(0,(('Business Case'!B11*$C515*'Business Case'!B12*$B515)-'Business Case'!B11*$C515*'Business Case'!B13*$D515-'Business Case'!B14*$E515))*'Business Case'!$B$7-'Business Case'!$B$8*('Business Case'!B11*$C515*'Business Case'!B12*$B515)-'Business Case'!B15*$F515</f>
        <v>-1940429375.76753</v>
      </c>
      <c r="I515" s="39" t="n">
        <f aca="false">(('Business Case'!C11*$C515*'Business Case'!C12*$B515)-'Business Case'!C11*$C515*'Business Case'!C13*$D515-'Business Case'!C14*$E515)-MAX(0,(('Business Case'!C11*$C515*'Business Case'!C12*$B515)-'Business Case'!C11*$C515*'Business Case'!C13*$D515-'Business Case'!C14*$E515))*'Business Case'!$B$7-'Business Case'!$B$8*(('Business Case'!C11*$C515*'Business Case'!C12*$B515)-('Business Case'!B11*$C515*'Business Case'!B12*$B515))-'Business Case'!C15*$F515</f>
        <v>22791436.5673285</v>
      </c>
      <c r="J515" s="39" t="n">
        <f aca="false">(('Business Case'!D11*$C515*'Business Case'!D12*$B515)-'Business Case'!D11*$C515*'Business Case'!D13*$D515-'Business Case'!D14*$E515)-MAX(0,(('Business Case'!D11*$C515*'Business Case'!D12*$B515)-'Business Case'!D11*$C515*'Business Case'!D13*$D515-'Business Case'!D14*$E515))*'Business Case'!$B$7-'Business Case'!$B$8*(('Business Case'!D11*$C515*'Business Case'!D12*$B515)-('Business Case'!C11*$C515*'Business Case'!C12*$B515))-'Business Case'!D15*$F515</f>
        <v>336730140.84661</v>
      </c>
      <c r="K515" s="39" t="n">
        <f aca="false">(('Business Case'!E11*$C515*'Business Case'!E12*$B515)-'Business Case'!E11*$C515*'Business Case'!E13*$D515-'Business Case'!E14*$E515)-MAX(0,(('Business Case'!E11*$C515*'Business Case'!E12*$B515)-'Business Case'!E11*$C515*'Business Case'!E13*$D515-'Business Case'!E14*$E515))*'Business Case'!$B$7-'Business Case'!$B$8*(('Business Case'!E11*$C515*'Business Case'!E12*$B515)-('Business Case'!D11*$C515*'Business Case'!D12*$B515))-'Business Case'!E15*$F515</f>
        <v>699179579.52008</v>
      </c>
      <c r="L515" s="39" t="n">
        <f aca="false">(('Business Case'!F11*$C515*'Business Case'!F12*$B515)-'Business Case'!F11*$C515*'Business Case'!F13*$D515-'Business Case'!F14*$E515)-MAX(0,(('Business Case'!F11*$C515*'Business Case'!F12*$B515)-'Business Case'!F11*$C515*'Business Case'!F13*$D515-'Business Case'!F14*$E515))*'Business Case'!$B$7-'Business Case'!$B$8*(('Business Case'!F11*$C515*'Business Case'!F12*$B515)-('Business Case'!E11*$C515*'Business Case'!E12*$B515))-'Business Case'!F15*$F515</f>
        <v>839390917.56895</v>
      </c>
      <c r="M515" s="39" t="n">
        <f aca="false">(('Business Case'!G11*$C515*'Business Case'!G12*$B515)-'Business Case'!G11*$C515*'Business Case'!G13*$D515-'Business Case'!G14*$E515)-MAX(0,(('Business Case'!G11*$C515*'Business Case'!G12*$B515)-'Business Case'!G11*$C515*'Business Case'!G13*$D515-'Business Case'!G14*$E515))*'Business Case'!$B$7-'Business Case'!$B$8*(('Business Case'!G11*$C515*'Business Case'!G12*$B515)-('Business Case'!F11*$C515*'Business Case'!F12*$B515))-'Business Case'!G15*$F515+'Business Case'!$B$8*('Business Case'!G11*$C515*'Business Case'!G12*$B515)</f>
        <v>1034998985.65905</v>
      </c>
      <c r="N515" s="39" t="n">
        <f aca="false">IF(COUNT('Business Case'!B11:G11)=0,"",H515+NPV(G515,I515:M515))</f>
        <v>96111725.540158</v>
      </c>
      <c r="P515" s="40" t="n">
        <f aca="true">RAND()</f>
        <v>0.678442849374967</v>
      </c>
      <c r="Q515" s="40" t="n">
        <f aca="true">RAND()</f>
        <v>0.780098090550025</v>
      </c>
      <c r="R515" s="40" t="n">
        <f aca="true">RAND()</f>
        <v>0.397936325146275</v>
      </c>
      <c r="S515" s="40" t="n">
        <f aca="true">RAND()</f>
        <v>0.324007290669498</v>
      </c>
      <c r="T515" s="40" t="n">
        <f aca="true">RAND()</f>
        <v>0.0272422404158694</v>
      </c>
      <c r="U515" s="40" t="n">
        <f aca="true">RAND()</f>
        <v>0.421317311516147</v>
      </c>
    </row>
    <row r="516" customFormat="false" ht="15" hidden="false" customHeight="false" outlineLevel="0" collapsed="false">
      <c r="A516" s="36" t="n">
        <v>436</v>
      </c>
      <c r="B516" s="37" t="n">
        <f aca="false">1+IF($G$6=$E$6,$F$6,IF(P516&lt;($F$6-$E$6)/($G$6-$E$6),$E$6+SQRT(P516*($G$6-$E$6)*($F$6-$E$6)),$G$6-SQRT((1-P516)*($G$6-$E$6)*($G$6-$F$6))))</f>
        <v>1.00383910565184</v>
      </c>
      <c r="C516" s="37" t="n">
        <f aca="false">1+IF($G$7=$E$7,$F$7,IF(Q516&lt;($F$7-$E$7)/($G$7-$E$7),$E$7+SQRT(Q516*($G$7-$E$7)*($F$7-$E$7)),$G$7-SQRT((1-Q516)*($G$7-$E$7)*($G$7-$F$7))))</f>
        <v>0.904765339824514</v>
      </c>
      <c r="D516" s="37" t="n">
        <f aca="false">1+IF($G$8=$E$8,$F$8,IF(R516&lt;($F$8-$E$8)/($G$8-$E$8),$E$8+SQRT(R516*($G$8-$E$8)*($F$8-$E$8)),$G$8-SQRT((1-R516)*($G$8-$E$8)*($G$8-$F$8))))</f>
        <v>0.965573237488775</v>
      </c>
      <c r="E516" s="37" t="n">
        <f aca="false">1+IF($G$9=$E$9,$F$9,IF(S516&lt;($F$9-$E$9)/($G$9-$E$9),$E$9+SQRT(S516*($G$9-$E$9)*($F$9-$E$9)),$G$9-SQRT((1-S516)*($G$9-$E$9)*($G$9-$F$9))))</f>
        <v>1.04206153699635</v>
      </c>
      <c r="F516" s="37" t="n">
        <f aca="false">1+IF($G$10=$E$10,$F$10,IF(T516&lt;($F$10-$E$10)/($G$10-$E$10),$E$10+SQRT(T516*($G$10-$E$10)*($F$10-$E$10)),$G$10-SQRT((1-T516)*($G$10-$E$10)*($G$10-$F$10))))</f>
        <v>1.11536294405243</v>
      </c>
      <c r="G516" s="38" t="n">
        <f aca="false">IF($G$11=$E$11,$F$11,IF(U516&lt;($F$11-$E$11)/($G$11-$E$11),$E$11+SQRT(U516*($G$11-$E$11)*($F$11-$E$11)),$G$11-SQRT((1-U516)*($G$11-$E$11)*($G$11-$F$11))))</f>
        <v>0.0909279973501107</v>
      </c>
      <c r="H516" s="39" t="n">
        <f aca="false">(('Business Case'!B11*$C516*'Business Case'!B12*$B516)-'Business Case'!B11*$C516*'Business Case'!B13*$D516-'Business Case'!B14*$E516)-MAX(0,(('Business Case'!B11*$C516*'Business Case'!B12*$B516)-'Business Case'!B11*$C516*'Business Case'!B13*$D516-'Business Case'!B14*$E516))*'Business Case'!$B$7-'Business Case'!$B$8*('Business Case'!B11*$C516*'Business Case'!B12*$B516)-'Business Case'!B15*$F516</f>
        <v>-2230725888.10487</v>
      </c>
      <c r="I516" s="39" t="n">
        <f aca="false">(('Business Case'!C11*$C516*'Business Case'!C12*$B516)-'Business Case'!C11*$C516*'Business Case'!C13*$D516-'Business Case'!C14*$E516)-MAX(0,(('Business Case'!C11*$C516*'Business Case'!C12*$B516)-'Business Case'!C11*$C516*'Business Case'!C13*$D516-'Business Case'!C14*$E516))*'Business Case'!$B$7-'Business Case'!$B$8*(('Business Case'!C11*$C516*'Business Case'!C12*$B516)-('Business Case'!B11*$C516*'Business Case'!B12*$B516))-'Business Case'!C15*$F516</f>
        <v>-10109667.4648061</v>
      </c>
      <c r="J516" s="39" t="n">
        <f aca="false">(('Business Case'!D11*$C516*'Business Case'!D12*$B516)-'Business Case'!D11*$C516*'Business Case'!D13*$D516-'Business Case'!D14*$E516)-MAX(0,(('Business Case'!D11*$C516*'Business Case'!D12*$B516)-'Business Case'!D11*$C516*'Business Case'!D13*$D516-'Business Case'!D14*$E516))*'Business Case'!$B$7-'Business Case'!$B$8*(('Business Case'!D11*$C516*'Business Case'!D12*$B516)-('Business Case'!C11*$C516*'Business Case'!C12*$B516))-'Business Case'!D15*$F516</f>
        <v>286581210.960603</v>
      </c>
      <c r="K516" s="39" t="n">
        <f aca="false">(('Business Case'!E11*$C516*'Business Case'!E12*$B516)-'Business Case'!E11*$C516*'Business Case'!E13*$D516-'Business Case'!E14*$E516)-MAX(0,(('Business Case'!E11*$C516*'Business Case'!E12*$B516)-'Business Case'!E11*$C516*'Business Case'!E13*$D516-'Business Case'!E14*$E516))*'Business Case'!$B$7-'Business Case'!$B$8*(('Business Case'!E11*$C516*'Business Case'!E12*$B516)-('Business Case'!D11*$C516*'Business Case'!D12*$B516))-'Business Case'!E15*$F516</f>
        <v>639040236.588634</v>
      </c>
      <c r="L516" s="39" t="n">
        <f aca="false">(('Business Case'!F11*$C516*'Business Case'!F12*$B516)-'Business Case'!F11*$C516*'Business Case'!F13*$D516-'Business Case'!F14*$E516)-MAX(0,(('Business Case'!F11*$C516*'Business Case'!F12*$B516)-'Business Case'!F11*$C516*'Business Case'!F13*$D516-'Business Case'!F14*$E516))*'Business Case'!$B$7-'Business Case'!$B$8*(('Business Case'!F11*$C516*'Business Case'!F12*$B516)-('Business Case'!E11*$C516*'Business Case'!E12*$B516))-'Business Case'!F15*$F516</f>
        <v>769325930.013164</v>
      </c>
      <c r="M516" s="39" t="n">
        <f aca="false">(('Business Case'!G11*$C516*'Business Case'!G12*$B516)-'Business Case'!G11*$C516*'Business Case'!G13*$D516-'Business Case'!G14*$E516)-MAX(0,(('Business Case'!G11*$C516*'Business Case'!G12*$B516)-'Business Case'!G11*$C516*'Business Case'!G13*$D516-'Business Case'!G14*$E516))*'Business Case'!$B$7-'Business Case'!$B$8*(('Business Case'!G11*$C516*'Business Case'!G12*$B516)-('Business Case'!F11*$C516*'Business Case'!F12*$B516))-'Business Case'!G15*$F516+'Business Case'!$B$8*('Business Case'!G11*$C516*'Business Case'!G12*$B516)</f>
        <v>941963966.734831</v>
      </c>
      <c r="N516" s="39" t="n">
        <f aca="false">IF(COUNT('Business Case'!B11:G11)=0,"",H516+NPV(G516,I516:M516))</f>
        <v>-354225052.843145</v>
      </c>
      <c r="P516" s="40" t="n">
        <f aca="true">RAND()</f>
        <v>0.715889577730443</v>
      </c>
      <c r="Q516" s="40" t="n">
        <f aca="true">RAND()</f>
        <v>0.310584032544063</v>
      </c>
      <c r="R516" s="40" t="n">
        <f aca="true">RAND()</f>
        <v>0.0323367634509032</v>
      </c>
      <c r="S516" s="40" t="n">
        <f aca="true">RAND()</f>
        <v>0.689314352117578</v>
      </c>
      <c r="T516" s="40" t="n">
        <f aca="true">RAND()</f>
        <v>0.758304842210292</v>
      </c>
      <c r="U516" s="40" t="n">
        <f aca="true">RAND()</f>
        <v>0.119421126084027</v>
      </c>
    </row>
    <row r="517" customFormat="false" ht="15" hidden="false" customHeight="false" outlineLevel="0" collapsed="false">
      <c r="A517" s="36" t="n">
        <v>437</v>
      </c>
      <c r="B517" s="37" t="n">
        <f aca="false">1+IF($G$6=$E$6,$F$6,IF(P517&lt;($F$6-$E$6)/($G$6-$E$6),$E$6+SQRT(P517*($G$6-$E$6)*($F$6-$E$6)),$G$6-SQRT((1-P517)*($G$6-$E$6)*($G$6-$F$6))))</f>
        <v>1.03479220812421</v>
      </c>
      <c r="C517" s="37" t="n">
        <f aca="false">1+IF($G$7=$E$7,$F$7,IF(Q517&lt;($F$7-$E$7)/($G$7-$E$7),$E$7+SQRT(Q517*($G$7-$E$7)*($F$7-$E$7)),$G$7-SQRT((1-Q517)*($G$7-$E$7)*($G$7-$F$7))))</f>
        <v>1.05899977012586</v>
      </c>
      <c r="D517" s="37" t="n">
        <f aca="false">1+IF($G$8=$E$8,$F$8,IF(R517&lt;($F$8-$E$8)/($G$8-$E$8),$E$8+SQRT(R517*($G$8-$E$8)*($F$8-$E$8)),$G$8-SQRT((1-R517)*($G$8-$E$8)*($G$8-$F$8))))</f>
        <v>0.964979947413138</v>
      </c>
      <c r="E517" s="37" t="n">
        <f aca="false">1+IF($G$9=$E$9,$F$9,IF(S517&lt;($F$9-$E$9)/($G$9-$E$9),$E$9+SQRT(S517*($G$9-$E$9)*($F$9-$E$9)),$G$9-SQRT((1-S517)*($G$9-$E$9)*($G$9-$F$9))))</f>
        <v>1.02615665453583</v>
      </c>
      <c r="F517" s="37" t="n">
        <f aca="false">1+IF($G$10=$E$10,$F$10,IF(T517&lt;($F$10-$E$10)/($G$10-$E$10),$E$10+SQRT(T517*($G$10-$E$10)*($F$10-$E$10)),$G$10-SQRT((1-T517)*($G$10-$E$10)*($G$10-$F$10))))</f>
        <v>1.04297764365573</v>
      </c>
      <c r="G517" s="38" t="n">
        <f aca="false">IF($G$11=$E$11,$F$11,IF(U517&lt;($F$11-$E$11)/($G$11-$E$11),$E$11+SQRT(U517*($G$11-$E$11)*($F$11-$E$11)),$G$11-SQRT((1-U517)*($G$11-$E$11)*($G$11-$F$11))))</f>
        <v>0.100017174881076</v>
      </c>
      <c r="H517" s="39" t="n">
        <f aca="false">(('Business Case'!B11*$C517*'Business Case'!B12*$B517)-'Business Case'!B11*$C517*'Business Case'!B13*$D517-'Business Case'!B14*$E517)-MAX(0,(('Business Case'!B11*$C517*'Business Case'!B12*$B517)-'Business Case'!B11*$C517*'Business Case'!B13*$D517-'Business Case'!B14*$E517))*'Business Case'!$B$7-'Business Case'!$B$8*('Business Case'!B11*$C517*'Business Case'!B12*$B517)-'Business Case'!B15*$F517</f>
        <v>-2085955287.31147</v>
      </c>
      <c r="I517" s="39" t="n">
        <f aca="false">(('Business Case'!C11*$C517*'Business Case'!C12*$B517)-'Business Case'!C11*$C517*'Business Case'!C13*$D517-'Business Case'!C14*$E517)-MAX(0,(('Business Case'!C11*$C517*'Business Case'!C12*$B517)-'Business Case'!C11*$C517*'Business Case'!C13*$D517-'Business Case'!C14*$E517))*'Business Case'!$B$7-'Business Case'!$B$8*(('Business Case'!C11*$C517*'Business Case'!C12*$B517)-('Business Case'!B11*$C517*'Business Case'!B12*$B517))-'Business Case'!C15*$F517</f>
        <v>67411907.6402582</v>
      </c>
      <c r="J517" s="39" t="n">
        <f aca="false">(('Business Case'!D11*$C517*'Business Case'!D12*$B517)-'Business Case'!D11*$C517*'Business Case'!D13*$D517-'Business Case'!D14*$E517)-MAX(0,(('Business Case'!D11*$C517*'Business Case'!D12*$B517)-'Business Case'!D11*$C517*'Business Case'!D13*$D517-'Business Case'!D14*$E517))*'Business Case'!$B$7-'Business Case'!$B$8*(('Business Case'!D11*$C517*'Business Case'!D12*$B517)-('Business Case'!C11*$C517*'Business Case'!C12*$B517))-'Business Case'!D15*$F517</f>
        <v>441849645.715041</v>
      </c>
      <c r="K517" s="39" t="n">
        <f aca="false">(('Business Case'!E11*$C517*'Business Case'!E12*$B517)-'Business Case'!E11*$C517*'Business Case'!E13*$D517-'Business Case'!E14*$E517)-MAX(0,(('Business Case'!E11*$C517*'Business Case'!E12*$B517)-'Business Case'!E11*$C517*'Business Case'!E13*$D517-'Business Case'!E14*$E517))*'Business Case'!$B$7-'Business Case'!$B$8*(('Business Case'!E11*$C517*'Business Case'!E12*$B517)-('Business Case'!D11*$C517*'Business Case'!D12*$B517))-'Business Case'!E15*$F517</f>
        <v>868436265.972611</v>
      </c>
      <c r="L517" s="39" t="n">
        <f aca="false">(('Business Case'!F11*$C517*'Business Case'!F12*$B517)-'Business Case'!F11*$C517*'Business Case'!F13*$D517-'Business Case'!F14*$E517)-MAX(0,(('Business Case'!F11*$C517*'Business Case'!F12*$B517)-'Business Case'!F11*$C517*'Business Case'!F13*$D517-'Business Case'!F14*$E517))*'Business Case'!$B$7-'Business Case'!$B$8*(('Business Case'!F11*$C517*'Business Case'!F12*$B517)-('Business Case'!E11*$C517*'Business Case'!E12*$B517))-'Business Case'!F15*$F517</f>
        <v>1031121238.52684</v>
      </c>
      <c r="M517" s="39" t="n">
        <f aca="false">(('Business Case'!G11*$C517*'Business Case'!G12*$B517)-'Business Case'!G11*$C517*'Business Case'!G13*$D517-'Business Case'!G14*$E517)-MAX(0,(('Business Case'!G11*$C517*'Business Case'!G12*$B517)-'Business Case'!G11*$C517*'Business Case'!G13*$D517-'Business Case'!G14*$E517))*'Business Case'!$B$7-'Business Case'!$B$8*(('Business Case'!G11*$C517*'Business Case'!G12*$B517)-('Business Case'!F11*$C517*'Business Case'!F12*$B517))-'Business Case'!G15*$F517+'Business Case'!$B$8*('Business Case'!G11*$C517*'Business Case'!G12*$B517)</f>
        <v>1239419401.10468</v>
      </c>
      <c r="N517" s="39" t="n">
        <f aca="false">IF(COUNT('Business Case'!B11:G11)=0,"",H517+NPV(G517,I517:M517))</f>
        <v>466666916.06981</v>
      </c>
      <c r="P517" s="40" t="n">
        <f aca="true">RAND()</f>
        <v>0.969163075501685</v>
      </c>
      <c r="Q517" s="40" t="n">
        <f aca="true">RAND()</f>
        <v>0.877317898708932</v>
      </c>
      <c r="R517" s="40" t="n">
        <f aca="true">RAND()</f>
        <v>0.0299198432667166</v>
      </c>
      <c r="S517" s="40" t="n">
        <f aca="true">RAND()</f>
        <v>0.591008687579789</v>
      </c>
      <c r="T517" s="40" t="n">
        <f aca="true">RAND()</f>
        <v>0.428556586315569</v>
      </c>
      <c r="U517" s="40" t="n">
        <f aca="true">RAND()</f>
        <v>0.400686798592009</v>
      </c>
    </row>
    <row r="518" customFormat="false" ht="15" hidden="false" customHeight="false" outlineLevel="0" collapsed="false">
      <c r="A518" s="36" t="n">
        <v>438</v>
      </c>
      <c r="B518" s="37" t="n">
        <f aca="false">1+IF($G$6=$E$6,$F$6,IF(P518&lt;($F$6-$E$6)/($G$6-$E$6),$E$6+SQRT(P518*($G$6-$E$6)*($F$6-$E$6)),$G$6-SQRT((1-P518)*($G$6-$E$6)*($G$6-$F$6))))</f>
        <v>0.997244230847802</v>
      </c>
      <c r="C518" s="37" t="n">
        <f aca="false">1+IF($G$7=$E$7,$F$7,IF(Q518&lt;($F$7-$E$7)/($G$7-$E$7),$E$7+SQRT(Q518*($G$7-$E$7)*($F$7-$E$7)),$G$7-SQRT((1-Q518)*($G$7-$E$7)*($G$7-$F$7))))</f>
        <v>0.834380619398337</v>
      </c>
      <c r="D518" s="37" t="n">
        <f aca="false">1+IF($G$8=$E$8,$F$8,IF(R518&lt;($F$8-$E$8)/($G$8-$E$8),$E$8+SQRT(R518*($G$8-$E$8)*($F$8-$E$8)),$G$8-SQRT((1-R518)*($G$8-$E$8)*($G$8-$F$8))))</f>
        <v>1.05657117752119</v>
      </c>
      <c r="E518" s="37" t="n">
        <f aca="false">1+IF($G$9=$E$9,$F$9,IF(S518&lt;($F$9-$E$9)/($G$9-$E$9),$E$9+SQRT(S518*($G$9-$E$9)*($F$9-$E$9)),$G$9-SQRT((1-S518)*($G$9-$E$9)*($G$9-$F$9))))</f>
        <v>1.00252912475468</v>
      </c>
      <c r="F518" s="37" t="n">
        <f aca="false">1+IF($G$10=$E$10,$F$10,IF(T518&lt;($F$10-$E$10)/($G$10-$E$10),$E$10+SQRT(T518*($G$10-$E$10)*($F$10-$E$10)),$G$10-SQRT((1-T518)*($G$10-$E$10)*($G$10-$F$10))))</f>
        <v>1.0872100518428</v>
      </c>
      <c r="G518" s="38" t="n">
        <f aca="false">IF($G$11=$E$11,$F$11,IF(U518&lt;($F$11-$E$11)/($G$11-$E$11),$E$11+SQRT(U518*($G$11-$E$11)*($F$11-$E$11)),$G$11-SQRT((1-U518)*($G$11-$E$11)*($G$11-$F$11))))</f>
        <v>0.101720071494274</v>
      </c>
      <c r="H518" s="39" t="n">
        <f aca="false">(('Business Case'!B11*$C518*'Business Case'!B12*$B518)-'Business Case'!B11*$C518*'Business Case'!B13*$D518-'Business Case'!B14*$E518)-MAX(0,(('Business Case'!B11*$C518*'Business Case'!B12*$B518)-'Business Case'!B11*$C518*'Business Case'!B13*$D518-'Business Case'!B14*$E518))*'Business Case'!$B$7-'Business Case'!$B$8*('Business Case'!B11*$C518*'Business Case'!B12*$B518)-'Business Case'!B15*$F518</f>
        <v>-2174420103.6856</v>
      </c>
      <c r="I518" s="39" t="n">
        <f aca="false">(('Business Case'!C11*$C518*'Business Case'!C12*$B518)-'Business Case'!C11*$C518*'Business Case'!C13*$D518-'Business Case'!C14*$E518)-MAX(0,(('Business Case'!C11*$C518*'Business Case'!C12*$B518)-'Business Case'!C11*$C518*'Business Case'!C13*$D518-'Business Case'!C14*$E518))*'Business Case'!$B$7-'Business Case'!$B$8*(('Business Case'!C11*$C518*'Business Case'!C12*$B518)-('Business Case'!B11*$C518*'Business Case'!B12*$B518))-'Business Case'!C15*$F518</f>
        <v>-64180998.5298589</v>
      </c>
      <c r="J518" s="39" t="n">
        <f aca="false">(('Business Case'!D11*$C518*'Business Case'!D12*$B518)-'Business Case'!D11*$C518*'Business Case'!D13*$D518-'Business Case'!D14*$E518)-MAX(0,(('Business Case'!D11*$C518*'Business Case'!D12*$B518)-'Business Case'!D11*$C518*'Business Case'!D13*$D518-'Business Case'!D14*$E518))*'Business Case'!$B$7-'Business Case'!$B$8*(('Business Case'!D11*$C518*'Business Case'!D12*$B518)-('Business Case'!C11*$C518*'Business Case'!C12*$B518))-'Business Case'!D15*$F518</f>
        <v>166053742.132596</v>
      </c>
      <c r="K518" s="39" t="n">
        <f aca="false">(('Business Case'!E11*$C518*'Business Case'!E12*$B518)-'Business Case'!E11*$C518*'Business Case'!E13*$D518-'Business Case'!E14*$E518)-MAX(0,(('Business Case'!E11*$C518*'Business Case'!E12*$B518)-'Business Case'!E11*$C518*'Business Case'!E13*$D518-'Business Case'!E14*$E518))*'Business Case'!$B$7-'Business Case'!$B$8*(('Business Case'!E11*$C518*'Business Case'!E12*$B518)-('Business Case'!D11*$C518*'Business Case'!D12*$B518))-'Business Case'!E15*$F518</f>
        <v>450648985.38719</v>
      </c>
      <c r="L518" s="39" t="n">
        <f aca="false">(('Business Case'!F11*$C518*'Business Case'!F12*$B518)-'Business Case'!F11*$C518*'Business Case'!F13*$D518-'Business Case'!F14*$E518)-MAX(0,(('Business Case'!F11*$C518*'Business Case'!F12*$B518)-'Business Case'!F11*$C518*'Business Case'!F13*$D518-'Business Case'!F14*$E518))*'Business Case'!$B$7-'Business Case'!$B$8*(('Business Case'!F11*$C518*'Business Case'!F12*$B518)-('Business Case'!E11*$C518*'Business Case'!E12*$B518))-'Business Case'!F15*$F518</f>
        <v>556150627.253288</v>
      </c>
      <c r="M518" s="39" t="n">
        <f aca="false">(('Business Case'!G11*$C518*'Business Case'!G12*$B518)-'Business Case'!G11*$C518*'Business Case'!G13*$D518-'Business Case'!G14*$E518)-MAX(0,(('Business Case'!G11*$C518*'Business Case'!G12*$B518)-'Business Case'!G11*$C518*'Business Case'!G13*$D518-'Business Case'!G14*$E518))*'Business Case'!$B$7-'Business Case'!$B$8*(('Business Case'!G11*$C518*'Business Case'!G12*$B518)-('Business Case'!F11*$C518*'Business Case'!F12*$B518))-'Business Case'!G15*$F518+'Business Case'!$B$8*('Business Case'!G11*$C518*'Business Case'!G12*$B518)</f>
        <v>714312632.968989</v>
      </c>
      <c r="N518" s="39" t="n">
        <f aca="false">IF(COUNT('Business Case'!B11:G11)=0,"",H518+NPV(G518,I518:M518))</f>
        <v>-941301084.154625</v>
      </c>
      <c r="P518" s="40" t="n">
        <f aca="true">RAND()</f>
        <v>0.630429362212041</v>
      </c>
      <c r="Q518" s="40" t="n">
        <f aca="true">RAND()</f>
        <v>0.133764080517635</v>
      </c>
      <c r="R518" s="40" t="n">
        <f aca="true">RAND()</f>
        <v>0.874262491873587</v>
      </c>
      <c r="S518" s="40" t="n">
        <f aca="true">RAND()</f>
        <v>0.420062425450082</v>
      </c>
      <c r="T518" s="40" t="n">
        <f aca="true">RAND()</f>
        <v>0.646659103719682</v>
      </c>
      <c r="U518" s="40" t="n">
        <f aca="true">RAND()</f>
        <v>0.466830429140666</v>
      </c>
    </row>
    <row r="519" customFormat="false" ht="15" hidden="false" customHeight="false" outlineLevel="0" collapsed="false">
      <c r="A519" s="36" t="n">
        <v>439</v>
      </c>
      <c r="B519" s="37" t="n">
        <f aca="false">1+IF($G$6=$E$6,$F$6,IF(P519&lt;($F$6-$E$6)/($G$6-$E$6),$E$6+SQRT(P519*($G$6-$E$6)*($F$6-$E$6)),$G$6-SQRT((1-P519)*($G$6-$E$6)*($G$6-$F$6))))</f>
        <v>1.0432612428319</v>
      </c>
      <c r="C519" s="37" t="n">
        <f aca="false">1+IF($G$7=$E$7,$F$7,IF(Q519&lt;($F$7-$E$7)/($G$7-$E$7),$E$7+SQRT(Q519*($G$7-$E$7)*($F$7-$E$7)),$G$7-SQRT((1-Q519)*($G$7-$E$7)*($G$7-$F$7))))</f>
        <v>1.10357261133644</v>
      </c>
      <c r="D519" s="37" t="n">
        <f aca="false">1+IF($G$8=$E$8,$F$8,IF(R519&lt;($F$8-$E$8)/($G$8-$E$8),$E$8+SQRT(R519*($G$8-$E$8)*($F$8-$E$8)),$G$8-SQRT((1-R519)*($G$8-$E$8)*($G$8-$F$8))))</f>
        <v>0.980916034659218</v>
      </c>
      <c r="E519" s="37" t="n">
        <f aca="false">1+IF($G$9=$E$9,$F$9,IF(S519&lt;($F$9-$E$9)/($G$9-$E$9),$E$9+SQRT(S519*($G$9-$E$9)*($F$9-$E$9)),$G$9-SQRT((1-S519)*($G$9-$E$9)*($G$9-$F$9))))</f>
        <v>0.947230819586789</v>
      </c>
      <c r="F519" s="37" t="n">
        <f aca="false">1+IF($G$10=$E$10,$F$10,IF(T519&lt;($F$10-$E$10)/($G$10-$E$10),$E$10+SQRT(T519*($G$10-$E$10)*($F$10-$E$10)),$G$10-SQRT((1-T519)*($G$10-$E$10)*($G$10-$F$10))))</f>
        <v>0.95741196988287</v>
      </c>
      <c r="G519" s="38" t="n">
        <f aca="false">IF($G$11=$E$11,$F$11,IF(U519&lt;($F$11-$E$11)/($G$11-$E$11),$E$11+SQRT(U519*($G$11-$E$11)*($F$11-$E$11)),$G$11-SQRT((1-U519)*($G$11-$E$11)*($G$11-$F$11))))</f>
        <v>0.0923925730535729</v>
      </c>
      <c r="H519" s="39" t="n">
        <f aca="false">(('Business Case'!B11*$C519*'Business Case'!B12*$B519)-'Business Case'!B11*$C519*'Business Case'!B13*$D519-'Business Case'!B14*$E519)-MAX(0,(('Business Case'!B11*$C519*'Business Case'!B12*$B519)-'Business Case'!B11*$C519*'Business Case'!B13*$D519-'Business Case'!B14*$E519))*'Business Case'!$B$7-'Business Case'!$B$8*('Business Case'!B11*$C519*'Business Case'!B12*$B519)-'Business Case'!B15*$F519</f>
        <v>-1914823939.76574</v>
      </c>
      <c r="I519" s="39" t="n">
        <f aca="false">(('Business Case'!C11*$C519*'Business Case'!C12*$B519)-'Business Case'!C11*$C519*'Business Case'!C13*$D519-'Business Case'!C14*$E519)-MAX(0,(('Business Case'!C11*$C519*'Business Case'!C12*$B519)-'Business Case'!C11*$C519*'Business Case'!C13*$D519-'Business Case'!C14*$E519))*'Business Case'!$B$7-'Business Case'!$B$8*(('Business Case'!C11*$C519*'Business Case'!C12*$B519)-('Business Case'!B11*$C519*'Business Case'!B12*$B519))-'Business Case'!C15*$F519</f>
        <v>98728354.2527471</v>
      </c>
      <c r="J519" s="39" t="n">
        <f aca="false">(('Business Case'!D11*$C519*'Business Case'!D12*$B519)-'Business Case'!D11*$C519*'Business Case'!D13*$D519-'Business Case'!D14*$E519)-MAX(0,(('Business Case'!D11*$C519*'Business Case'!D12*$B519)-'Business Case'!D11*$C519*'Business Case'!D13*$D519-'Business Case'!D14*$E519))*'Business Case'!$B$7-'Business Case'!$B$8*(('Business Case'!D11*$C519*'Business Case'!D12*$B519)-('Business Case'!C11*$C519*'Business Case'!C12*$B519))-'Business Case'!D15*$F519</f>
        <v>487578273.484595</v>
      </c>
      <c r="K519" s="39" t="n">
        <f aca="false">(('Business Case'!E11*$C519*'Business Case'!E12*$B519)-'Business Case'!E11*$C519*'Business Case'!E13*$D519-'Business Case'!E14*$E519)-MAX(0,(('Business Case'!E11*$C519*'Business Case'!E12*$B519)-'Business Case'!E11*$C519*'Business Case'!E13*$D519-'Business Case'!E14*$E519))*'Business Case'!$B$7-'Business Case'!$B$8*(('Business Case'!E11*$C519*'Business Case'!E12*$B519)-('Business Case'!D11*$C519*'Business Case'!D12*$B519))-'Business Case'!E15*$F519</f>
        <v>924298791.210585</v>
      </c>
      <c r="L519" s="39" t="n">
        <f aca="false">(('Business Case'!F11*$C519*'Business Case'!F12*$B519)-'Business Case'!F11*$C519*'Business Case'!F13*$D519-'Business Case'!F14*$E519)-MAX(0,(('Business Case'!F11*$C519*'Business Case'!F12*$B519)-'Business Case'!F11*$C519*'Business Case'!F13*$D519-'Business Case'!F14*$E519))*'Business Case'!$B$7-'Business Case'!$B$8*(('Business Case'!F11*$C519*'Business Case'!F12*$B519)-('Business Case'!E11*$C519*'Business Case'!E12*$B519))-'Business Case'!F15*$F519</f>
        <v>1093704861.25158</v>
      </c>
      <c r="M519" s="39" t="n">
        <f aca="false">(('Business Case'!G11*$C519*'Business Case'!G12*$B519)-'Business Case'!G11*$C519*'Business Case'!G13*$D519-'Business Case'!G14*$E519)-MAX(0,(('Business Case'!G11*$C519*'Business Case'!G12*$B519)-'Business Case'!G11*$C519*'Business Case'!G13*$D519-'Business Case'!G14*$E519))*'Business Case'!$B$7-'Business Case'!$B$8*(('Business Case'!G11*$C519*'Business Case'!G12*$B519)-('Business Case'!F11*$C519*'Business Case'!F12*$B519))-'Business Case'!G15*$F519+'Business Case'!$B$8*('Business Case'!G11*$C519*'Business Case'!G12*$B519)</f>
        <v>1312546727.88535</v>
      </c>
      <c r="N519" s="39" t="n">
        <f aca="false">IF(COUNT('Business Case'!B11:G11)=0,"",H519+NPV(G519,I519:M519))</f>
        <v>904998759.783244</v>
      </c>
      <c r="P519" s="40" t="n">
        <f aca="true">RAND()</f>
        <v>0.993945220243915</v>
      </c>
      <c r="Q519" s="40" t="n">
        <f aca="true">RAND()</f>
        <v>0.968066630842711</v>
      </c>
      <c r="R519" s="40" t="n">
        <f aca="true">RAND()</f>
        <v>0.12744015987333</v>
      </c>
      <c r="S519" s="40" t="n">
        <f aca="true">RAND()</f>
        <v>0.0892300127535923</v>
      </c>
      <c r="T519" s="40" t="n">
        <f aca="true">RAND()</f>
        <v>0.00366248650297097</v>
      </c>
      <c r="U519" s="40" t="n">
        <f aca="true">RAND()</f>
        <v>0.153575866888142</v>
      </c>
    </row>
    <row r="520" customFormat="false" ht="15" hidden="false" customHeight="false" outlineLevel="0" collapsed="false">
      <c r="A520" s="36" t="n">
        <v>440</v>
      </c>
      <c r="B520" s="37" t="n">
        <f aca="false">1+IF($G$6=$E$6,$F$6,IF(P520&lt;($F$6-$E$6)/($G$6-$E$6),$E$6+SQRT(P520*($G$6-$E$6)*($F$6-$E$6)),$G$6-SQRT((1-P520)*($G$6-$E$6)*($G$6-$F$6))))</f>
        <v>0.945993900084975</v>
      </c>
      <c r="C520" s="37" t="n">
        <f aca="false">1+IF($G$7=$E$7,$F$7,IF(Q520&lt;($F$7-$E$7)/($G$7-$E$7),$E$7+SQRT(Q520*($G$7-$E$7)*($F$7-$E$7)),$G$7-SQRT((1-Q520)*($G$7-$E$7)*($G$7-$F$7))))</f>
        <v>1.07164793028538</v>
      </c>
      <c r="D520" s="37" t="n">
        <f aca="false">1+IF($G$8=$E$8,$F$8,IF(R520&lt;($F$8-$E$8)/($G$8-$E$8),$E$8+SQRT(R520*($G$8-$E$8)*($F$8-$E$8)),$G$8-SQRT((1-R520)*($G$8-$E$8)*($G$8-$F$8))))</f>
        <v>1.06480012969979</v>
      </c>
      <c r="E520" s="37" t="n">
        <f aca="false">1+IF($G$9=$E$9,$F$9,IF(S520&lt;($F$9-$E$9)/($G$9-$E$9),$E$9+SQRT(S520*($G$9-$E$9)*($F$9-$E$9)),$G$9-SQRT((1-S520)*($G$9-$E$9)*($G$9-$F$9))))</f>
        <v>0.961078994885907</v>
      </c>
      <c r="F520" s="37" t="n">
        <f aca="false">1+IF($G$10=$E$10,$F$10,IF(T520&lt;($F$10-$E$10)/($G$10-$E$10),$E$10+SQRT(T520*($G$10-$E$10)*($F$10-$E$10)),$G$10-SQRT((1-T520)*($G$10-$E$10)*($G$10-$F$10))))</f>
        <v>1.06221772090626</v>
      </c>
      <c r="G520" s="38" t="n">
        <f aca="false">IF($G$11=$E$11,$F$11,IF(U520&lt;($F$11-$E$11)/($G$11-$E$11),$E$11+SQRT(U520*($G$11-$E$11)*($F$11-$E$11)),$G$11-SQRT((1-U520)*($G$11-$E$11)*($G$11-$F$11))))</f>
        <v>0.102948233592743</v>
      </c>
      <c r="H520" s="39" t="n">
        <f aca="false">(('Business Case'!B11*$C520*'Business Case'!B12*$B520)-'Business Case'!B11*$C520*'Business Case'!B13*$D520-'Business Case'!B14*$E520)-MAX(0,(('Business Case'!B11*$C520*'Business Case'!B12*$B520)-'Business Case'!B11*$C520*'Business Case'!B13*$D520-'Business Case'!B14*$E520))*'Business Case'!$B$7-'Business Case'!$B$8*('Business Case'!B11*$C520*'Business Case'!B12*$B520)-'Business Case'!B15*$F520</f>
        <v>-2124435441.81252</v>
      </c>
      <c r="I520" s="39" t="n">
        <f aca="false">(('Business Case'!C11*$C520*'Business Case'!C12*$B520)-'Business Case'!C11*$C520*'Business Case'!C13*$D520-'Business Case'!C14*$E520)-MAX(0,(('Business Case'!C11*$C520*'Business Case'!C12*$B520)-'Business Case'!C11*$C520*'Business Case'!C13*$D520-'Business Case'!C14*$E520))*'Business Case'!$B$7-'Business Case'!$B$8*(('Business Case'!C11*$C520*'Business Case'!C12*$B520)-('Business Case'!B11*$C520*'Business Case'!B12*$B520))-'Business Case'!C15*$F520</f>
        <v>-49235805.8361237</v>
      </c>
      <c r="J520" s="39" t="n">
        <f aca="false">(('Business Case'!D11*$C520*'Business Case'!D12*$B520)-'Business Case'!D11*$C520*'Business Case'!D13*$D520-'Business Case'!D14*$E520)-MAX(0,(('Business Case'!D11*$C520*'Business Case'!D12*$B520)-'Business Case'!D11*$C520*'Business Case'!D13*$D520-'Business Case'!D14*$E520))*'Business Case'!$B$7-'Business Case'!$B$8*(('Business Case'!D11*$C520*'Business Case'!D12*$B520)-('Business Case'!C11*$C520*'Business Case'!C12*$B520))-'Business Case'!D15*$F520</f>
        <v>196969554.97095</v>
      </c>
      <c r="K520" s="39" t="n">
        <f aca="false">(('Business Case'!E11*$C520*'Business Case'!E12*$B520)-'Business Case'!E11*$C520*'Business Case'!E13*$D520-'Business Case'!E14*$E520)-MAX(0,(('Business Case'!E11*$C520*'Business Case'!E12*$B520)-'Business Case'!E11*$C520*'Business Case'!E13*$D520-'Business Case'!E14*$E520))*'Business Case'!$B$7-'Business Case'!$B$8*(('Business Case'!E11*$C520*'Business Case'!E12*$B520)-('Business Case'!D11*$C520*'Business Case'!D12*$B520))-'Business Case'!E15*$F520</f>
        <v>496285801.823337</v>
      </c>
      <c r="L520" s="39" t="n">
        <f aca="false">(('Business Case'!F11*$C520*'Business Case'!F12*$B520)-'Business Case'!F11*$C520*'Business Case'!F13*$D520-'Business Case'!F14*$E520)-MAX(0,(('Business Case'!F11*$C520*'Business Case'!F12*$B520)-'Business Case'!F11*$C520*'Business Case'!F13*$D520-'Business Case'!F14*$E520))*'Business Case'!$B$7-'Business Case'!$B$8*(('Business Case'!F11*$C520*'Business Case'!F12*$B520)-('Business Case'!E11*$C520*'Business Case'!E12*$B520))-'Business Case'!F15*$F520</f>
        <v>613390229.745559</v>
      </c>
      <c r="M520" s="39" t="n">
        <f aca="false">(('Business Case'!G11*$C520*'Business Case'!G12*$B520)-'Business Case'!G11*$C520*'Business Case'!G13*$D520-'Business Case'!G14*$E520)-MAX(0,(('Business Case'!G11*$C520*'Business Case'!G12*$B520)-'Business Case'!G11*$C520*'Business Case'!G13*$D520-'Business Case'!G14*$E520))*'Business Case'!$B$7-'Business Case'!$B$8*(('Business Case'!G11*$C520*'Business Case'!G12*$B520)-('Business Case'!F11*$C520*'Business Case'!F12*$B520))-'Business Case'!G15*$F520+'Business Case'!$B$8*('Business Case'!G11*$C520*'Business Case'!G12*$B520)</f>
        <v>806088088.50481</v>
      </c>
      <c r="N520" s="39" t="n">
        <f aca="false">IF(COUNT('Business Case'!B11:G11)=0,"",H520+NPV(G520,I520:M520))</f>
        <v>-728919591.815243</v>
      </c>
      <c r="P520" s="40" t="n">
        <f aca="true">RAND()</f>
        <v>0.141029256335109</v>
      </c>
      <c r="Q520" s="40" t="n">
        <f aca="true">RAND()</f>
        <v>0.909051158095328</v>
      </c>
      <c r="R520" s="40" t="n">
        <f aca="true">RAND()</f>
        <v>0.917397942056546</v>
      </c>
      <c r="S520" s="40" t="n">
        <f aca="true">RAND()</f>
        <v>0.149225744650905</v>
      </c>
      <c r="T520" s="40" t="n">
        <f aca="true">RAND()</f>
        <v>0.529837542111468</v>
      </c>
      <c r="U520" s="40" t="n">
        <f aca="true">RAND()</f>
        <v>0.512134622831457</v>
      </c>
    </row>
    <row r="521" customFormat="false" ht="15" hidden="false" customHeight="false" outlineLevel="0" collapsed="false">
      <c r="A521" s="36" t="n">
        <v>441</v>
      </c>
      <c r="B521" s="37" t="n">
        <f aca="false">1+IF($G$6=$E$6,$F$6,IF(P521&lt;($F$6-$E$6)/($G$6-$E$6),$E$6+SQRT(P521*($G$6-$E$6)*($F$6-$E$6)),$G$6-SQRT((1-P521)*($G$6-$E$6)*($G$6-$F$6))))</f>
        <v>0.992305001639845</v>
      </c>
      <c r="C521" s="37" t="n">
        <f aca="false">1+IF($G$7=$E$7,$F$7,IF(Q521&lt;($F$7-$E$7)/($G$7-$E$7),$E$7+SQRT(Q521*($G$7-$E$7)*($F$7-$E$7)),$G$7-SQRT((1-Q521)*($G$7-$E$7)*($G$7-$F$7))))</f>
        <v>0.963464288056541</v>
      </c>
      <c r="D521" s="37" t="n">
        <f aca="false">1+IF($G$8=$E$8,$F$8,IF(R521&lt;($F$8-$E$8)/($G$8-$E$8),$E$8+SQRT(R521*($G$8-$E$8)*($F$8-$E$8)),$G$8-SQRT((1-R521)*($G$8-$E$8)*($G$8-$F$8))))</f>
        <v>1.09229391903642</v>
      </c>
      <c r="E521" s="37" t="n">
        <f aca="false">1+IF($G$9=$E$9,$F$9,IF(S521&lt;($F$9-$E$9)/($G$9-$E$9),$E$9+SQRT(S521*($G$9-$E$9)*($F$9-$E$9)),$G$9-SQRT((1-S521)*($G$9-$E$9)*($G$9-$F$9))))</f>
        <v>1.03396072179269</v>
      </c>
      <c r="F521" s="37" t="n">
        <f aca="false">1+IF($G$10=$E$10,$F$10,IF(T521&lt;($F$10-$E$10)/($G$10-$E$10),$E$10+SQRT(T521*($G$10-$E$10)*($F$10-$E$10)),$G$10-SQRT((1-T521)*($G$10-$E$10)*($G$10-$F$10))))</f>
        <v>1.00108729937141</v>
      </c>
      <c r="G521" s="38" t="n">
        <f aca="false">IF($G$11=$E$11,$F$11,IF(U521&lt;($F$11-$E$11)/($G$11-$E$11),$E$11+SQRT(U521*($G$11-$E$11)*($F$11-$E$11)),$G$11-SQRT((1-U521)*($G$11-$E$11)*($G$11-$F$11))))</f>
        <v>0.0887331574736398</v>
      </c>
      <c r="H521" s="39" t="n">
        <f aca="false">(('Business Case'!B11*$C521*'Business Case'!B12*$B521)-'Business Case'!B11*$C521*'Business Case'!B13*$D521-'Business Case'!B14*$E521)-MAX(0,(('Business Case'!B11*$C521*'Business Case'!B12*$B521)-'Business Case'!B11*$C521*'Business Case'!B13*$D521-'Business Case'!B14*$E521))*'Business Case'!$B$7-'Business Case'!$B$8*('Business Case'!B11*$C521*'Business Case'!B12*$B521)-'Business Case'!B15*$F521</f>
        <v>-2002174598.74282</v>
      </c>
      <c r="I521" s="39" t="n">
        <f aca="false">(('Business Case'!C11*$C521*'Business Case'!C12*$B521)-'Business Case'!C11*$C521*'Business Case'!C13*$D521-'Business Case'!C14*$E521)-MAX(0,(('Business Case'!C11*$C521*'Business Case'!C12*$B521)-'Business Case'!C11*$C521*'Business Case'!C13*$D521-'Business Case'!C14*$E521))*'Business Case'!$B$7-'Business Case'!$B$8*(('Business Case'!C11*$C521*'Business Case'!C12*$B521)-('Business Case'!B11*$C521*'Business Case'!B12*$B521))-'Business Case'!C15*$F521</f>
        <v>-52362994.4064129</v>
      </c>
      <c r="J521" s="39" t="n">
        <f aca="false">(('Business Case'!D11*$C521*'Business Case'!D12*$B521)-'Business Case'!D11*$C521*'Business Case'!D13*$D521-'Business Case'!D14*$E521)-MAX(0,(('Business Case'!D11*$C521*'Business Case'!D12*$B521)-'Business Case'!D11*$C521*'Business Case'!D13*$D521-'Business Case'!D14*$E521))*'Business Case'!$B$7-'Business Case'!$B$8*(('Business Case'!D11*$C521*'Business Case'!D12*$B521)-('Business Case'!C11*$C521*'Business Case'!C12*$B521))-'Business Case'!D15*$F521</f>
        <v>191973610.154999</v>
      </c>
      <c r="K521" s="39" t="n">
        <f aca="false">(('Business Case'!E11*$C521*'Business Case'!E12*$B521)-'Business Case'!E11*$C521*'Business Case'!E13*$D521-'Business Case'!E14*$E521)-MAX(0,(('Business Case'!E11*$C521*'Business Case'!E12*$B521)-'Business Case'!E11*$C521*'Business Case'!E13*$D521-'Business Case'!E14*$E521))*'Business Case'!$B$7-'Business Case'!$B$8*(('Business Case'!E11*$C521*'Business Case'!E12*$B521)-('Business Case'!D11*$C521*'Business Case'!D12*$B521))-'Business Case'!E15*$F521</f>
        <v>486364579.684981</v>
      </c>
      <c r="L521" s="39" t="n">
        <f aca="false">(('Business Case'!F11*$C521*'Business Case'!F12*$B521)-'Business Case'!F11*$C521*'Business Case'!F13*$D521-'Business Case'!F14*$E521)-MAX(0,(('Business Case'!F11*$C521*'Business Case'!F12*$B521)-'Business Case'!F11*$C521*'Business Case'!F13*$D521-'Business Case'!F14*$E521))*'Business Case'!$B$7-'Business Case'!$B$8*(('Business Case'!F11*$C521*'Business Case'!F12*$B521)-('Business Case'!E11*$C521*'Business Case'!E12*$B521))-'Business Case'!F15*$F521</f>
        <v>600851217.466628</v>
      </c>
      <c r="M521" s="39" t="n">
        <f aca="false">(('Business Case'!G11*$C521*'Business Case'!G12*$B521)-'Business Case'!G11*$C521*'Business Case'!G13*$D521-'Business Case'!G14*$E521)-MAX(0,(('Business Case'!G11*$C521*'Business Case'!G12*$B521)-'Business Case'!G11*$C521*'Business Case'!G13*$D521-'Business Case'!G14*$E521))*'Business Case'!$B$7-'Business Case'!$B$8*(('Business Case'!G11*$C521*'Business Case'!G12*$B521)-('Business Case'!F11*$C521*'Business Case'!F12*$B521))-'Business Case'!G15*$F521+'Business Case'!$B$8*('Business Case'!G11*$C521*'Business Case'!G12*$B521)</f>
        <v>782577283.56976</v>
      </c>
      <c r="N521" s="39" t="n">
        <f aca="false">IF(COUNT('Business Case'!B11:G11)=0,"",H521+NPV(G521,I521:M521))</f>
        <v>-572207762.758556</v>
      </c>
      <c r="P521" s="40" t="n">
        <f aca="true">RAND()</f>
        <v>0.568014221848782</v>
      </c>
      <c r="Q521" s="40" t="n">
        <f aca="true">RAND()</f>
        <v>0.514173563564</v>
      </c>
      <c r="R521" s="40" t="n">
        <f aca="true">RAND()</f>
        <v>0.996041087745517</v>
      </c>
      <c r="S521" s="40" t="n">
        <f aca="true">RAND()</f>
        <v>0.640930291016713</v>
      </c>
      <c r="T521" s="40" t="n">
        <f aca="true">RAND()</f>
        <v>0.173899566210428</v>
      </c>
      <c r="U521" s="40" t="n">
        <f aca="true">RAND()</f>
        <v>0.0762680394593902</v>
      </c>
    </row>
    <row r="522" customFormat="false" ht="15" hidden="false" customHeight="false" outlineLevel="0" collapsed="false">
      <c r="A522" s="36" t="n">
        <v>442</v>
      </c>
      <c r="B522" s="37" t="n">
        <f aca="false">1+IF($G$6=$E$6,$F$6,IF(P522&lt;($F$6-$E$6)/($G$6-$E$6),$E$6+SQRT(P522*($G$6-$E$6)*($F$6-$E$6)),$G$6-SQRT((1-P522)*($G$6-$E$6)*($G$6-$F$6))))</f>
        <v>0.992694419852199</v>
      </c>
      <c r="C522" s="37" t="n">
        <f aca="false">1+IF($G$7=$E$7,$F$7,IF(Q522&lt;($F$7-$E$7)/($G$7-$E$7),$E$7+SQRT(Q522*($G$7-$E$7)*($F$7-$E$7)),$G$7-SQRT((1-Q522)*($G$7-$E$7)*($G$7-$F$7))))</f>
        <v>0.980212196040353</v>
      </c>
      <c r="D522" s="37" t="n">
        <f aca="false">1+IF($G$8=$E$8,$F$8,IF(R522&lt;($F$8-$E$8)/($G$8-$E$8),$E$8+SQRT(R522*($G$8-$E$8)*($F$8-$E$8)),$G$8-SQRT((1-R522)*($G$8-$E$8)*($G$8-$F$8))))</f>
        <v>1.04741369366226</v>
      </c>
      <c r="E522" s="37" t="n">
        <f aca="false">1+IF($G$9=$E$9,$F$9,IF(S522&lt;($F$9-$E$9)/($G$9-$E$9),$E$9+SQRT(S522*($G$9-$E$9)*($F$9-$E$9)),$G$9-SQRT((1-S522)*($G$9-$E$9)*($G$9-$F$9))))</f>
        <v>1.03892649858255</v>
      </c>
      <c r="F522" s="37" t="n">
        <f aca="false">1+IF($G$10=$E$10,$F$10,IF(T522&lt;($F$10-$E$10)/($G$10-$E$10),$E$10+SQRT(T522*($G$10-$E$10)*($F$10-$E$10)),$G$10-SQRT((1-T522)*($G$10-$E$10)*($G$10-$F$10))))</f>
        <v>0.968002481930621</v>
      </c>
      <c r="G522" s="38" t="n">
        <f aca="false">IF($G$11=$E$11,$F$11,IF(U522&lt;($F$11-$E$11)/($G$11-$E$11),$E$11+SQRT(U522*($G$11-$E$11)*($F$11-$E$11)),$G$11-SQRT((1-U522)*($G$11-$E$11)*($G$11-$F$11))))</f>
        <v>0.123334259442336</v>
      </c>
      <c r="H522" s="39" t="n">
        <f aca="false">(('Business Case'!B11*$C522*'Business Case'!B12*$B522)-'Business Case'!B11*$C522*'Business Case'!B13*$D522-'Business Case'!B14*$E522)-MAX(0,(('Business Case'!B11*$C522*'Business Case'!B12*$B522)-'Business Case'!B11*$C522*'Business Case'!B13*$D522-'Business Case'!B14*$E522))*'Business Case'!$B$7-'Business Case'!$B$8*('Business Case'!B11*$C522*'Business Case'!B12*$B522)-'Business Case'!B15*$F522</f>
        <v>-1936004963.86124</v>
      </c>
      <c r="I522" s="39" t="n">
        <f aca="false">(('Business Case'!C11*$C522*'Business Case'!C12*$B522)-'Business Case'!C11*$C522*'Business Case'!C13*$D522-'Business Case'!C14*$E522)-MAX(0,(('Business Case'!C11*$C522*'Business Case'!C12*$B522)-'Business Case'!C11*$C522*'Business Case'!C13*$D522-'Business Case'!C14*$E522))*'Business Case'!$B$7-'Business Case'!$B$8*(('Business Case'!C11*$C522*'Business Case'!C12*$B522)-('Business Case'!B11*$C522*'Business Case'!B12*$B522))-'Business Case'!C15*$F522</f>
        <v>-23561550.965855</v>
      </c>
      <c r="J522" s="39" t="n">
        <f aca="false">(('Business Case'!D11*$C522*'Business Case'!D12*$B522)-'Business Case'!D11*$C522*'Business Case'!D13*$D522-'Business Case'!D14*$E522)-MAX(0,(('Business Case'!D11*$C522*'Business Case'!D12*$B522)-'Business Case'!D11*$C522*'Business Case'!D13*$D522-'Business Case'!D14*$E522))*'Business Case'!$B$7-'Business Case'!$B$8*(('Business Case'!D11*$C522*'Business Case'!D12*$B522)-('Business Case'!C11*$C522*'Business Case'!C12*$B522))-'Business Case'!D15*$F522</f>
        <v>247855467.390003</v>
      </c>
      <c r="K522" s="39" t="n">
        <f aca="false">(('Business Case'!E11*$C522*'Business Case'!E12*$B522)-'Business Case'!E11*$C522*'Business Case'!E13*$D522-'Business Case'!E14*$E522)-MAX(0,(('Business Case'!E11*$C522*'Business Case'!E12*$B522)-'Business Case'!E11*$C522*'Business Case'!E13*$D522-'Business Case'!E14*$E522))*'Business Case'!$B$7-'Business Case'!$B$8*(('Business Case'!E11*$C522*'Business Case'!E12*$B522)-('Business Case'!D11*$C522*'Business Case'!D12*$B522))-'Business Case'!E15*$F522</f>
        <v>567672609.842393</v>
      </c>
      <c r="L522" s="39" t="n">
        <f aca="false">(('Business Case'!F11*$C522*'Business Case'!F12*$B522)-'Business Case'!F11*$C522*'Business Case'!F13*$D522-'Business Case'!F14*$E522)-MAX(0,(('Business Case'!F11*$C522*'Business Case'!F12*$B522)-'Business Case'!F11*$C522*'Business Case'!F13*$D522-'Business Case'!F14*$E522))*'Business Case'!$B$7-'Business Case'!$B$8*(('Business Case'!F11*$C522*'Business Case'!F12*$B522)-('Business Case'!E11*$C522*'Business Case'!E12*$B522))-'Business Case'!F15*$F522</f>
        <v>691773597.981154</v>
      </c>
      <c r="M522" s="39" t="n">
        <f aca="false">(('Business Case'!G11*$C522*'Business Case'!G12*$B522)-'Business Case'!G11*$C522*'Business Case'!G13*$D522-'Business Case'!G14*$E522)-MAX(0,(('Business Case'!G11*$C522*'Business Case'!G12*$B522)-'Business Case'!G11*$C522*'Business Case'!G13*$D522-'Business Case'!G14*$E522))*'Business Case'!$B$7-'Business Case'!$B$8*(('Business Case'!G11*$C522*'Business Case'!G12*$B522)-('Business Case'!F11*$C522*'Business Case'!F12*$B522))-'Business Case'!G15*$F522+'Business Case'!$B$8*('Business Case'!G11*$C522*'Business Case'!G12*$B522)</f>
        <v>876731165.758598</v>
      </c>
      <c r="N522" s="39" t="n">
        <f aca="false">IF(COUNT('Business Case'!B11:G11)=0,"",H522+NPV(G522,I522:M522))</f>
        <v>-435511509.37071</v>
      </c>
      <c r="P522" s="40" t="n">
        <f aca="true">RAND()</f>
        <v>0.572817031449045</v>
      </c>
      <c r="Q522" s="40" t="n">
        <f aca="true">RAND()</f>
        <v>0.581621294887091</v>
      </c>
      <c r="R522" s="40" t="n">
        <f aca="true">RAND()</f>
        <v>0.815645359050234</v>
      </c>
      <c r="S522" s="40" t="n">
        <f aca="true">RAND()</f>
        <v>0.67100472754316</v>
      </c>
      <c r="T522" s="40" t="n">
        <f aca="true">RAND()</f>
        <v>0.0216059570441561</v>
      </c>
      <c r="U522" s="40" t="n">
        <f aca="true">RAND()</f>
        <v>0.970378601878604</v>
      </c>
    </row>
    <row r="523" customFormat="false" ht="15" hidden="false" customHeight="false" outlineLevel="0" collapsed="false">
      <c r="A523" s="36" t="n">
        <v>443</v>
      </c>
      <c r="B523" s="37" t="n">
        <f aca="false">1+IF($G$6=$E$6,$F$6,IF(P523&lt;($F$6-$E$6)/($G$6-$E$6),$E$6+SQRT(P523*($G$6-$E$6)*($F$6-$E$6)),$G$6-SQRT((1-P523)*($G$6-$E$6)*($G$6-$F$6))))</f>
        <v>1.00252879482445</v>
      </c>
      <c r="C523" s="37" t="n">
        <f aca="false">1+IF($G$7=$E$7,$F$7,IF(Q523&lt;($F$7-$E$7)/($G$7-$E$7),$E$7+SQRT(Q523*($G$7-$E$7)*($F$7-$E$7)),$G$7-SQRT((1-Q523)*($G$7-$E$7)*($G$7-$F$7))))</f>
        <v>0.987932230911297</v>
      </c>
      <c r="D523" s="37" t="n">
        <f aca="false">1+IF($G$8=$E$8,$F$8,IF(R523&lt;($F$8-$E$8)/($G$8-$E$8),$E$8+SQRT(R523*($G$8-$E$8)*($F$8-$E$8)),$G$8-SQRT((1-R523)*($G$8-$E$8)*($G$8-$F$8))))</f>
        <v>1.01095498775279</v>
      </c>
      <c r="E523" s="37" t="n">
        <f aca="false">1+IF($G$9=$E$9,$F$9,IF(S523&lt;($F$9-$E$9)/($G$9-$E$9),$E$9+SQRT(S523*($G$9-$E$9)*($F$9-$E$9)),$G$9-SQRT((1-S523)*($G$9-$E$9)*($G$9-$F$9))))</f>
        <v>0.931107859585407</v>
      </c>
      <c r="F523" s="37" t="n">
        <f aca="false">1+IF($G$10=$E$10,$F$10,IF(T523&lt;($F$10-$E$10)/($G$10-$E$10),$E$10+SQRT(T523*($G$10-$E$10)*($F$10-$E$10)),$G$10-SQRT((1-T523)*($G$10-$E$10)*($G$10-$F$10))))</f>
        <v>0.971399210639521</v>
      </c>
      <c r="G523" s="38" t="n">
        <f aca="false">IF($G$11=$E$11,$F$11,IF(U523&lt;($F$11-$E$11)/($G$11-$E$11),$E$11+SQRT(U523*($G$11-$E$11)*($F$11-$E$11)),$G$11-SQRT((1-U523)*($G$11-$E$11)*($G$11-$F$11))))</f>
        <v>0.0910551379803313</v>
      </c>
      <c r="H523" s="39" t="n">
        <f aca="false">(('Business Case'!B11*$C523*'Business Case'!B12*$B523)-'Business Case'!B11*$C523*'Business Case'!B13*$D523-'Business Case'!B14*$E523)-MAX(0,(('Business Case'!B11*$C523*'Business Case'!B12*$B523)-'Business Case'!B11*$C523*'Business Case'!B13*$D523-'Business Case'!B14*$E523))*'Business Case'!$B$7-'Business Case'!$B$8*('Business Case'!B11*$C523*'Business Case'!B12*$B523)-'Business Case'!B15*$F523</f>
        <v>-1942798421.27904</v>
      </c>
      <c r="I523" s="39" t="n">
        <f aca="false">(('Business Case'!C11*$C523*'Business Case'!C12*$B523)-'Business Case'!C11*$C523*'Business Case'!C13*$D523-'Business Case'!C14*$E523)-MAX(0,(('Business Case'!C11*$C523*'Business Case'!C12*$B523)-'Business Case'!C11*$C523*'Business Case'!C13*$D523-'Business Case'!C14*$E523))*'Business Case'!$B$7-'Business Case'!$B$8*(('Business Case'!C11*$C523*'Business Case'!C12*$B523)-('Business Case'!B11*$C523*'Business Case'!B12*$B523))-'Business Case'!C15*$F523</f>
        <v>19063853.4525902</v>
      </c>
      <c r="J523" s="39" t="n">
        <f aca="false">(('Business Case'!D11*$C523*'Business Case'!D12*$B523)-'Business Case'!D11*$C523*'Business Case'!D13*$D523-'Business Case'!D14*$E523)-MAX(0,(('Business Case'!D11*$C523*'Business Case'!D12*$B523)-'Business Case'!D11*$C523*'Business Case'!D13*$D523-'Business Case'!D14*$E523))*'Business Case'!$B$7-'Business Case'!$B$8*(('Business Case'!D11*$C523*'Business Case'!D12*$B523)-('Business Case'!C11*$C523*'Business Case'!C12*$B523))-'Business Case'!D15*$F523</f>
        <v>319015083.1796</v>
      </c>
      <c r="K523" s="39" t="n">
        <f aca="false">(('Business Case'!E11*$C523*'Business Case'!E12*$B523)-'Business Case'!E11*$C523*'Business Case'!E13*$D523-'Business Case'!E14*$E523)-MAX(0,(('Business Case'!E11*$C523*'Business Case'!E12*$B523)-'Business Case'!E11*$C523*'Business Case'!E13*$D523-'Business Case'!E14*$E523))*'Business Case'!$B$7-'Business Case'!$B$8*(('Business Case'!E11*$C523*'Business Case'!E12*$B523)-('Business Case'!D11*$C523*'Business Case'!D12*$B523))-'Business Case'!E15*$F523</f>
        <v>667536273.438586</v>
      </c>
      <c r="L523" s="39" t="n">
        <f aca="false">(('Business Case'!F11*$C523*'Business Case'!F12*$B523)-'Business Case'!F11*$C523*'Business Case'!F13*$D523-'Business Case'!F14*$E523)-MAX(0,(('Business Case'!F11*$C523*'Business Case'!F12*$B523)-'Business Case'!F11*$C523*'Business Case'!F13*$D523-'Business Case'!F14*$E523))*'Business Case'!$B$7-'Business Case'!$B$8*(('Business Case'!F11*$C523*'Business Case'!F12*$B523)-('Business Case'!E11*$C523*'Business Case'!E12*$B523))-'Business Case'!F15*$F523</f>
        <v>801749295.065871</v>
      </c>
      <c r="M523" s="39" t="n">
        <f aca="false">(('Business Case'!G11*$C523*'Business Case'!G12*$B523)-'Business Case'!G11*$C523*'Business Case'!G13*$D523-'Business Case'!G14*$E523)-MAX(0,(('Business Case'!G11*$C523*'Business Case'!G12*$B523)-'Business Case'!G11*$C523*'Business Case'!G13*$D523-'Business Case'!G14*$E523))*'Business Case'!$B$7-'Business Case'!$B$8*(('Business Case'!G11*$C523*'Business Case'!G12*$B523)-('Business Case'!F11*$C523*'Business Case'!F12*$B523))-'Business Case'!G15*$F523+'Business Case'!$B$8*('Business Case'!G11*$C523*'Business Case'!G12*$B523)</f>
        <v>990010326.183086</v>
      </c>
      <c r="N523" s="39" t="n">
        <f aca="false">IF(COUNT('Business Case'!B11:G11)=0,"",H523+NPV(G523,I523:M523))</f>
        <v>62749399.7127857</v>
      </c>
      <c r="P523" s="40" t="n">
        <f aca="true">RAND()</f>
        <v>0.699531290557466</v>
      </c>
      <c r="Q523" s="40" t="n">
        <f aca="true">RAND()</f>
        <v>0.614110885907827</v>
      </c>
      <c r="R523" s="40" t="n">
        <f aca="true">RAND()</f>
        <v>0.471399052926279</v>
      </c>
      <c r="S523" s="40" t="n">
        <f aca="true">RAND()</f>
        <v>0.0387079571194164</v>
      </c>
      <c r="T523" s="40" t="n">
        <f aca="true">RAND()</f>
        <v>0.0305284143996404</v>
      </c>
      <c r="U523" s="40" t="n">
        <f aca="true">RAND()</f>
        <v>0.122216075764165</v>
      </c>
    </row>
    <row r="524" customFormat="false" ht="15" hidden="false" customHeight="false" outlineLevel="0" collapsed="false">
      <c r="A524" s="36" t="n">
        <v>444</v>
      </c>
      <c r="B524" s="37" t="n">
        <f aca="false">1+IF($G$6=$E$6,$F$6,IF(P524&lt;($F$6-$E$6)/($G$6-$E$6),$E$6+SQRT(P524*($G$6-$E$6)*($F$6-$E$6)),$G$6-SQRT((1-P524)*($G$6-$E$6)*($G$6-$F$6))))</f>
        <v>1.02086309912614</v>
      </c>
      <c r="C524" s="37" t="n">
        <f aca="false">1+IF($G$7=$E$7,$F$7,IF(Q524&lt;($F$7-$E$7)/($G$7-$E$7),$E$7+SQRT(Q524*($G$7-$E$7)*($F$7-$E$7)),$G$7-SQRT((1-Q524)*($G$7-$E$7)*($G$7-$F$7))))</f>
        <v>1.12341843235823</v>
      </c>
      <c r="D524" s="37" t="n">
        <f aca="false">1+IF($G$8=$E$8,$F$8,IF(R524&lt;($F$8-$E$8)/($G$8-$E$8),$E$8+SQRT(R524*($G$8-$E$8)*($F$8-$E$8)),$G$8-SQRT((1-R524)*($G$8-$E$8)*($G$8-$F$8))))</f>
        <v>1.05534195336546</v>
      </c>
      <c r="E524" s="37" t="n">
        <f aca="false">1+IF($G$9=$E$9,$F$9,IF(S524&lt;($F$9-$E$9)/($G$9-$E$9),$E$9+SQRT(S524*($G$9-$E$9)*($F$9-$E$9)),$G$9-SQRT((1-S524)*($G$9-$E$9)*($G$9-$F$9))))</f>
        <v>1.00014338793763</v>
      </c>
      <c r="F524" s="37" t="n">
        <f aca="false">1+IF($G$10=$E$10,$F$10,IF(T524&lt;($F$10-$E$10)/($G$10-$E$10),$E$10+SQRT(T524*($G$10-$E$10)*($F$10-$E$10)),$G$10-SQRT((1-T524)*($G$10-$E$10)*($G$10-$F$10))))</f>
        <v>1.20456761544133</v>
      </c>
      <c r="G524" s="38" t="n">
        <f aca="false">IF($G$11=$E$11,$F$11,IF(U524&lt;($F$11-$E$11)/($G$11-$E$11),$E$11+SQRT(U524*($G$11-$E$11)*($F$11-$E$11)),$G$11-SQRT((1-U524)*($G$11-$E$11)*($G$11-$F$11))))</f>
        <v>0.113741681404106</v>
      </c>
      <c r="H524" s="39" t="n">
        <f aca="false">(('Business Case'!B11*$C524*'Business Case'!B12*$B524)-'Business Case'!B11*$C524*'Business Case'!B13*$D524-'Business Case'!B14*$E524)-MAX(0,(('Business Case'!B11*$C524*'Business Case'!B12*$B524)-'Business Case'!B11*$C524*'Business Case'!B13*$D524-'Business Case'!B14*$E524))*'Business Case'!$B$7-'Business Case'!$B$8*('Business Case'!B11*$C524*'Business Case'!B12*$B524)-'Business Case'!B15*$F524</f>
        <v>-2409135230.88267</v>
      </c>
      <c r="I524" s="39" t="n">
        <f aca="false">(('Business Case'!C11*$C524*'Business Case'!C12*$B524)-'Business Case'!C11*$C524*'Business Case'!C13*$D524-'Business Case'!C14*$E524)-MAX(0,(('Business Case'!C11*$C524*'Business Case'!C12*$B524)-'Business Case'!C11*$C524*'Business Case'!C13*$D524-'Business Case'!C14*$E524))*'Business Case'!$B$7-'Business Case'!$B$8*(('Business Case'!C11*$C524*'Business Case'!C12*$B524)-('Business Case'!B11*$C524*'Business Case'!B12*$B524))-'Business Case'!C15*$F524</f>
        <v>10300254.0058332</v>
      </c>
      <c r="J524" s="39" t="n">
        <f aca="false">(('Business Case'!D11*$C524*'Business Case'!D12*$B524)-'Business Case'!D11*$C524*'Business Case'!D13*$D524-'Business Case'!D14*$E524)-MAX(0,(('Business Case'!D11*$C524*'Business Case'!D12*$B524)-'Business Case'!D11*$C524*'Business Case'!D13*$D524-'Business Case'!D14*$E524))*'Business Case'!$B$7-'Business Case'!$B$8*(('Business Case'!D11*$C524*'Business Case'!D12*$B524)-('Business Case'!C11*$C524*'Business Case'!C12*$B524))-'Business Case'!D15*$F524</f>
        <v>342730696.261513</v>
      </c>
      <c r="K524" s="39" t="n">
        <f aca="false">(('Business Case'!E11*$C524*'Business Case'!E12*$B524)-'Business Case'!E11*$C524*'Business Case'!E13*$D524-'Business Case'!E14*$E524)-MAX(0,(('Business Case'!E11*$C524*'Business Case'!E12*$B524)-'Business Case'!E11*$C524*'Business Case'!E13*$D524-'Business Case'!E14*$E524))*'Business Case'!$B$7-'Business Case'!$B$8*(('Business Case'!E11*$C524*'Business Case'!E12*$B524)-('Business Case'!D11*$C524*'Business Case'!D12*$B524))-'Business Case'!E15*$F524</f>
        <v>735389519.28926</v>
      </c>
      <c r="L524" s="39" t="n">
        <f aca="false">(('Business Case'!F11*$C524*'Business Case'!F12*$B524)-'Business Case'!F11*$C524*'Business Case'!F13*$D524-'Business Case'!F14*$E524)-MAX(0,(('Business Case'!F11*$C524*'Business Case'!F12*$B524)-'Business Case'!F11*$C524*'Business Case'!F13*$D524-'Business Case'!F14*$E524))*'Business Case'!$B$7-'Business Case'!$B$8*(('Business Case'!F11*$C524*'Business Case'!F12*$B524)-('Business Case'!E11*$C524*'Business Case'!E12*$B524))-'Business Case'!F15*$F524</f>
        <v>885835024.668474</v>
      </c>
      <c r="M524" s="39" t="n">
        <f aca="false">(('Business Case'!G11*$C524*'Business Case'!G12*$B524)-'Business Case'!G11*$C524*'Business Case'!G13*$D524-'Business Case'!G14*$E524)-MAX(0,(('Business Case'!G11*$C524*'Business Case'!G12*$B524)-'Business Case'!G11*$C524*'Business Case'!G13*$D524-'Business Case'!G14*$E524))*'Business Case'!$B$7-'Business Case'!$B$8*(('Business Case'!G11*$C524*'Business Case'!G12*$B524)-('Business Case'!F11*$C524*'Business Case'!F12*$B524))-'Business Case'!G15*$F524+'Business Case'!$B$8*('Business Case'!G11*$C524*'Business Case'!G12*$B524)</f>
        <v>1103829493.45208</v>
      </c>
      <c r="N524" s="39" t="n">
        <f aca="false">IF(COUNT('Business Case'!B11:G11)=0,"",H524+NPV(G524,I524:M524))</f>
        <v>-371411755.076566</v>
      </c>
      <c r="P524" s="40" t="n">
        <f aca="true">RAND()</f>
        <v>0.886805467662251</v>
      </c>
      <c r="Q524" s="40" t="n">
        <f aca="true">RAND()</f>
        <v>0.989532152025276</v>
      </c>
      <c r="R524" s="40" t="n">
        <f aca="true">RAND()</f>
        <v>0.867043924719156</v>
      </c>
      <c r="S524" s="40" t="n">
        <f aca="true">RAND()</f>
        <v>0.401146555231693</v>
      </c>
      <c r="T524" s="40" t="n">
        <f aca="true">RAND()</f>
        <v>0.972478645777511</v>
      </c>
      <c r="U524" s="40" t="n">
        <f aca="true">RAND()</f>
        <v>0.823778050956266</v>
      </c>
    </row>
    <row r="525" customFormat="false" ht="15" hidden="false" customHeight="false" outlineLevel="0" collapsed="false">
      <c r="A525" s="36" t="n">
        <v>445</v>
      </c>
      <c r="B525" s="37" t="n">
        <f aca="false">1+IF($G$6=$E$6,$F$6,IF(P525&lt;($F$6-$E$6)/($G$6-$E$6),$E$6+SQRT(P525*($G$6-$E$6)*($F$6-$E$6)),$G$6-SQRT((1-P525)*($G$6-$E$6)*($G$6-$F$6))))</f>
        <v>0.997091466385669</v>
      </c>
      <c r="C525" s="37" t="n">
        <f aca="false">1+IF($G$7=$E$7,$F$7,IF(Q525&lt;($F$7-$E$7)/($G$7-$E$7),$E$7+SQRT(Q525*($G$7-$E$7)*($F$7-$E$7)),$G$7-SQRT((1-Q525)*($G$7-$E$7)*($G$7-$F$7))))</f>
        <v>0.943007128587729</v>
      </c>
      <c r="D525" s="37" t="n">
        <f aca="false">1+IF($G$8=$E$8,$F$8,IF(R525&lt;($F$8-$E$8)/($G$8-$E$8),$E$8+SQRT(R525*($G$8-$E$8)*($F$8-$E$8)),$G$8-SQRT((1-R525)*($G$8-$E$8)*($G$8-$F$8))))</f>
        <v>1.06203229683429</v>
      </c>
      <c r="E525" s="37" t="n">
        <f aca="false">1+IF($G$9=$E$9,$F$9,IF(S525&lt;($F$9-$E$9)/($G$9-$E$9),$E$9+SQRT(S525*($G$9-$E$9)*($F$9-$E$9)),$G$9-SQRT((1-S525)*($G$9-$E$9)*($G$9-$F$9))))</f>
        <v>0.991970228785919</v>
      </c>
      <c r="F525" s="37" t="n">
        <f aca="false">1+IF($G$10=$E$10,$F$10,IF(T525&lt;($F$10-$E$10)/($G$10-$E$10),$E$10+SQRT(T525*($G$10-$E$10)*($F$10-$E$10)),$G$10-SQRT((1-T525)*($G$10-$E$10)*($G$10-$F$10))))</f>
        <v>1.19776569297576</v>
      </c>
      <c r="G525" s="38" t="n">
        <f aca="false">IF($G$11=$E$11,$F$11,IF(U525&lt;($F$11-$E$11)/($G$11-$E$11),$E$11+SQRT(U525*($G$11-$E$11)*($F$11-$E$11)),$G$11-SQRT((1-U525)*($G$11-$E$11)*($G$11-$F$11))))</f>
        <v>0.118072022402145</v>
      </c>
      <c r="H525" s="39" t="n">
        <f aca="false">(('Business Case'!B11*$C525*'Business Case'!B12*$B525)-'Business Case'!B11*$C525*'Business Case'!B13*$D525-'Business Case'!B14*$E525)-MAX(0,(('Business Case'!B11*$C525*'Business Case'!B12*$B525)-'Business Case'!B11*$C525*'Business Case'!B13*$D525-'Business Case'!B14*$E525))*'Business Case'!$B$7-'Business Case'!$B$8*('Business Case'!B11*$C525*'Business Case'!B12*$B525)-'Business Case'!B15*$F525</f>
        <v>-2395531385.95153</v>
      </c>
      <c r="I525" s="39" t="n">
        <f aca="false">(('Business Case'!C11*$C525*'Business Case'!C12*$B525)-'Business Case'!C11*$C525*'Business Case'!C13*$D525-'Business Case'!C14*$E525)-MAX(0,(('Business Case'!C11*$C525*'Business Case'!C12*$B525)-'Business Case'!C11*$C525*'Business Case'!C13*$D525-'Business Case'!C14*$E525))*'Business Case'!$B$7-'Business Case'!$B$8*(('Business Case'!C11*$C525*'Business Case'!C12*$B525)-('Business Case'!B11*$C525*'Business Case'!B12*$B525))-'Business Case'!C15*$F525</f>
        <v>-52123771.2272503</v>
      </c>
      <c r="J525" s="39" t="n">
        <f aca="false">(('Business Case'!D11*$C525*'Business Case'!D12*$B525)-'Business Case'!D11*$C525*'Business Case'!D13*$D525-'Business Case'!D14*$E525)-MAX(0,(('Business Case'!D11*$C525*'Business Case'!D12*$B525)-'Business Case'!D11*$C525*'Business Case'!D13*$D525-'Business Case'!D14*$E525))*'Business Case'!$B$7-'Business Case'!$B$8*(('Business Case'!D11*$C525*'Business Case'!D12*$B525)-('Business Case'!C11*$C525*'Business Case'!C12*$B525))-'Business Case'!D15*$F525</f>
        <v>205330497.832824</v>
      </c>
      <c r="K525" s="39" t="n">
        <f aca="false">(('Business Case'!E11*$C525*'Business Case'!E12*$B525)-'Business Case'!E11*$C525*'Business Case'!E13*$D525-'Business Case'!E14*$E525)-MAX(0,(('Business Case'!E11*$C525*'Business Case'!E12*$B525)-'Business Case'!E11*$C525*'Business Case'!E13*$D525-'Business Case'!E14*$E525))*'Business Case'!$B$7-'Business Case'!$B$8*(('Business Case'!E11*$C525*'Business Case'!E12*$B525)-('Business Case'!D11*$C525*'Business Case'!D12*$B525))-'Business Case'!E15*$F525</f>
        <v>522673051.541686</v>
      </c>
      <c r="L525" s="39" t="n">
        <f aca="false">(('Business Case'!F11*$C525*'Business Case'!F12*$B525)-'Business Case'!F11*$C525*'Business Case'!F13*$D525-'Business Case'!F14*$E525)-MAX(0,(('Business Case'!F11*$C525*'Business Case'!F12*$B525)-'Business Case'!F11*$C525*'Business Case'!F13*$D525-'Business Case'!F14*$E525))*'Business Case'!$B$7-'Business Case'!$B$8*(('Business Case'!F11*$C525*'Business Case'!F12*$B525)-('Business Case'!E11*$C525*'Business Case'!E12*$B525))-'Business Case'!F15*$F525</f>
        <v>640986677.532638</v>
      </c>
      <c r="M525" s="39" t="n">
        <f aca="false">(('Business Case'!G11*$C525*'Business Case'!G12*$B525)-'Business Case'!G11*$C525*'Business Case'!G13*$D525-'Business Case'!G14*$E525)-MAX(0,(('Business Case'!G11*$C525*'Business Case'!G12*$B525)-'Business Case'!G11*$C525*'Business Case'!G13*$D525-'Business Case'!G14*$E525))*'Business Case'!$B$7-'Business Case'!$B$8*(('Business Case'!G11*$C525*'Business Case'!G12*$B525)-('Business Case'!F11*$C525*'Business Case'!F12*$B525))-'Business Case'!G15*$F525+'Business Case'!$B$8*('Business Case'!G11*$C525*'Business Case'!G12*$B525)</f>
        <v>819712127.206069</v>
      </c>
      <c r="N525" s="39" t="n">
        <f aca="false">IF(COUNT('Business Case'!B11:G11)=0,"",H525+NPV(G525,I525:M525))</f>
        <v>-1024614814.8773</v>
      </c>
      <c r="P525" s="40" t="n">
        <f aca="true">RAND()</f>
        <v>0.628450189661299</v>
      </c>
      <c r="Q525" s="40" t="n">
        <f aca="true">RAND()</f>
        <v>0.437425663292244</v>
      </c>
      <c r="R525" s="40" t="n">
        <f aca="true">RAND()</f>
        <v>0.903896901088044</v>
      </c>
      <c r="S525" s="40" t="n">
        <f aca="true">RAND()</f>
        <v>0.33834091931737</v>
      </c>
      <c r="T525" s="40" t="n">
        <f aca="true">RAND()</f>
        <v>0.963621028929304</v>
      </c>
      <c r="U525" s="40" t="n">
        <f aca="true">RAND()</f>
        <v>0.905148900283381</v>
      </c>
    </row>
    <row r="526" customFormat="false" ht="15" hidden="false" customHeight="false" outlineLevel="0" collapsed="false">
      <c r="A526" s="36" t="n">
        <v>446</v>
      </c>
      <c r="B526" s="37" t="n">
        <f aca="false">1+IF($G$6=$E$6,$F$6,IF(P526&lt;($F$6-$E$6)/($G$6-$E$6),$E$6+SQRT(P526*($G$6-$E$6)*($F$6-$E$6)),$G$6-SQRT((1-P526)*($G$6-$E$6)*($G$6-$F$6))))</f>
        <v>1.01335607589746</v>
      </c>
      <c r="C526" s="37" t="n">
        <f aca="false">1+IF($G$7=$E$7,$F$7,IF(Q526&lt;($F$7-$E$7)/($G$7-$E$7),$E$7+SQRT(Q526*($G$7-$E$7)*($F$7-$E$7)),$G$7-SQRT((1-Q526)*($G$7-$E$7)*($G$7-$F$7))))</f>
        <v>1.09553168212091</v>
      </c>
      <c r="D526" s="37" t="n">
        <f aca="false">1+IF($G$8=$E$8,$F$8,IF(R526&lt;($F$8-$E$8)/($G$8-$E$8),$E$8+SQRT(R526*($G$8-$E$8)*($F$8-$E$8)),$G$8-SQRT((1-R526)*($G$8-$E$8)*($G$8-$F$8))))</f>
        <v>1.04117631566295</v>
      </c>
      <c r="E526" s="37" t="n">
        <f aca="false">1+IF($G$9=$E$9,$F$9,IF(S526&lt;($F$9-$E$9)/($G$9-$E$9),$E$9+SQRT(S526*($G$9-$E$9)*($F$9-$E$9)),$G$9-SQRT((1-S526)*($G$9-$E$9)*($G$9-$F$9))))</f>
        <v>0.935335235523399</v>
      </c>
      <c r="F526" s="37" t="n">
        <f aca="false">1+IF($G$10=$E$10,$F$10,IF(T526&lt;($F$10-$E$10)/($G$10-$E$10),$E$10+SQRT(T526*($G$10-$E$10)*($F$10-$E$10)),$G$10-SQRT((1-T526)*($G$10-$E$10)*($G$10-$F$10))))</f>
        <v>1.07052372065946</v>
      </c>
      <c r="G526" s="38" t="n">
        <f aca="false">IF($G$11=$E$11,$F$11,IF(U526&lt;($F$11-$E$11)/($G$11-$E$11),$E$11+SQRT(U526*($G$11-$E$11)*($F$11-$E$11)),$G$11-SQRT((1-U526)*($G$11-$E$11)*($G$11-$F$11))))</f>
        <v>0.0939398159184226</v>
      </c>
      <c r="H526" s="39" t="n">
        <f aca="false">(('Business Case'!B11*$C526*'Business Case'!B12*$B526)-'Business Case'!B11*$C526*'Business Case'!B13*$D526-'Business Case'!B14*$E526)-MAX(0,(('Business Case'!B11*$C526*'Business Case'!B12*$B526)-'Business Case'!B11*$C526*'Business Case'!B13*$D526-'Business Case'!B14*$E526))*'Business Case'!$B$7-'Business Case'!$B$8*('Business Case'!B11*$C526*'Business Case'!B12*$B526)-'Business Case'!B15*$F526</f>
        <v>-2141047441.31893</v>
      </c>
      <c r="I526" s="39" t="n">
        <f aca="false">(('Business Case'!C11*$C526*'Business Case'!C12*$B526)-'Business Case'!C11*$C526*'Business Case'!C13*$D526-'Business Case'!C14*$E526)-MAX(0,(('Business Case'!C11*$C526*'Business Case'!C12*$B526)-'Business Case'!C11*$C526*'Business Case'!C13*$D526-'Business Case'!C14*$E526))*'Business Case'!$B$7-'Business Case'!$B$8*(('Business Case'!C11*$C526*'Business Case'!C12*$B526)-('Business Case'!B11*$C526*'Business Case'!B12*$B526))-'Business Case'!C15*$F526</f>
        <v>27778794.3025825</v>
      </c>
      <c r="J526" s="39" t="n">
        <f aca="false">(('Business Case'!D11*$C526*'Business Case'!D12*$B526)-'Business Case'!D11*$C526*'Business Case'!D13*$D526-'Business Case'!D14*$E526)-MAX(0,(('Business Case'!D11*$C526*'Business Case'!D12*$B526)-'Business Case'!D11*$C526*'Business Case'!D13*$D526-'Business Case'!D14*$E526))*'Business Case'!$B$7-'Business Case'!$B$8*(('Business Case'!D11*$C526*'Business Case'!D12*$B526)-('Business Case'!C11*$C526*'Business Case'!C12*$B526))-'Business Case'!D15*$F526</f>
        <v>353165516.666312</v>
      </c>
      <c r="K526" s="39" t="n">
        <f aca="false">(('Business Case'!E11*$C526*'Business Case'!E12*$B526)-'Business Case'!E11*$C526*'Business Case'!E13*$D526-'Business Case'!E14*$E526)-MAX(0,(('Business Case'!E11*$C526*'Business Case'!E12*$B526)-'Business Case'!E11*$C526*'Business Case'!E13*$D526-'Business Case'!E14*$E526))*'Business Case'!$B$7-'Business Case'!$B$8*(('Business Case'!E11*$C526*'Business Case'!E12*$B526)-('Business Case'!D11*$C526*'Business Case'!D12*$B526))-'Business Case'!E15*$F526</f>
        <v>732078425.063015</v>
      </c>
      <c r="L526" s="39" t="n">
        <f aca="false">(('Business Case'!F11*$C526*'Business Case'!F12*$B526)-'Business Case'!F11*$C526*'Business Case'!F13*$D526-'Business Case'!F14*$E526)-MAX(0,(('Business Case'!F11*$C526*'Business Case'!F12*$B526)-'Business Case'!F11*$C526*'Business Case'!F13*$D526-'Business Case'!F14*$E526))*'Business Case'!$B$7-'Business Case'!$B$8*(('Business Case'!F11*$C526*'Business Case'!F12*$B526)-('Business Case'!E11*$C526*'Business Case'!E12*$B526))-'Business Case'!F15*$F526</f>
        <v>878907922.85344</v>
      </c>
      <c r="M526" s="39" t="n">
        <f aca="false">(('Business Case'!G11*$C526*'Business Case'!G12*$B526)-'Business Case'!G11*$C526*'Business Case'!G13*$D526-'Business Case'!G14*$E526)-MAX(0,(('Business Case'!G11*$C526*'Business Case'!G12*$B526)-'Business Case'!G11*$C526*'Business Case'!G13*$D526-'Business Case'!G14*$E526))*'Business Case'!$B$7-'Business Case'!$B$8*(('Business Case'!G11*$C526*'Business Case'!G12*$B526)-('Business Case'!F11*$C526*'Business Case'!F12*$B526))-'Business Case'!G15*$F526+'Business Case'!$B$8*('Business Case'!G11*$C526*'Business Case'!G12*$B526)</f>
        <v>1089927836.36728</v>
      </c>
      <c r="N526" s="39" t="n">
        <f aca="false">IF(COUNT('Business Case'!B11:G11)=0,"",H526+NPV(G526,I526:M526))</f>
        <v>48106982.1043475</v>
      </c>
      <c r="P526" s="40" t="n">
        <f aca="true">RAND()</f>
        <v>0.820963043515609</v>
      </c>
      <c r="Q526" s="40" t="n">
        <f aca="true">RAND()</f>
        <v>0.956047442184033</v>
      </c>
      <c r="R526" s="40" t="n">
        <f aca="true">RAND()</f>
        <v>0.769318277400969</v>
      </c>
      <c r="S526" s="40" t="n">
        <f aca="true">RAND()</f>
        <v>0.0499431547797616</v>
      </c>
      <c r="T526" s="40" t="n">
        <f aca="true">RAND()</f>
        <v>0.570510202054373</v>
      </c>
      <c r="U526" s="40" t="n">
        <f aca="true">RAND()</f>
        <v>0.194318467839507</v>
      </c>
    </row>
    <row r="527" customFormat="false" ht="15" hidden="false" customHeight="false" outlineLevel="0" collapsed="false">
      <c r="A527" s="36" t="n">
        <v>447</v>
      </c>
      <c r="B527" s="37" t="n">
        <f aca="false">1+IF($G$6=$E$6,$F$6,IF(P527&lt;($F$6-$E$6)/($G$6-$E$6),$E$6+SQRT(P527*($G$6-$E$6)*($F$6-$E$6)),$G$6-SQRT((1-P527)*($G$6-$E$6)*($G$6-$F$6))))</f>
        <v>1.01872118974565</v>
      </c>
      <c r="C527" s="37" t="n">
        <f aca="false">1+IF($G$7=$E$7,$F$7,IF(Q527&lt;($F$7-$E$7)/($G$7-$E$7),$E$7+SQRT(Q527*($G$7-$E$7)*($F$7-$E$7)),$G$7-SQRT((1-Q527)*($G$7-$E$7)*($G$7-$F$7))))</f>
        <v>0.759040753987224</v>
      </c>
      <c r="D527" s="37" t="n">
        <f aca="false">1+IF($G$8=$E$8,$F$8,IF(R527&lt;($F$8-$E$8)/($G$8-$E$8),$E$8+SQRT(R527*($G$8-$E$8)*($F$8-$E$8)),$G$8-SQRT((1-R527)*($G$8-$E$8)*($G$8-$F$8))))</f>
        <v>1.0098454306217</v>
      </c>
      <c r="E527" s="37" t="n">
        <f aca="false">1+IF($G$9=$E$9,$F$9,IF(S527&lt;($F$9-$E$9)/($G$9-$E$9),$E$9+SQRT(S527*($G$9-$E$9)*($F$9-$E$9)),$G$9-SQRT((1-S527)*($G$9-$E$9)*($G$9-$F$9))))</f>
        <v>0.908715540828393</v>
      </c>
      <c r="F527" s="37" t="n">
        <f aca="false">1+IF($G$10=$E$10,$F$10,IF(T527&lt;($F$10-$E$10)/($G$10-$E$10),$E$10+SQRT(T527*($G$10-$E$10)*($F$10-$E$10)),$G$10-SQRT((1-T527)*($G$10-$E$10)*($G$10-$F$10))))</f>
        <v>1.00787883462796</v>
      </c>
      <c r="G527" s="38" t="n">
        <f aca="false">IF($G$11=$E$11,$F$11,IF(U527&lt;($F$11-$E$11)/($G$11-$E$11),$E$11+SQRT(U527*($G$11-$E$11)*($F$11-$E$11)),$G$11-SQRT((1-U527)*($G$11-$E$11)*($G$11-$F$11))))</f>
        <v>0.0967905412887837</v>
      </c>
      <c r="H527" s="39" t="n">
        <f aca="false">(('Business Case'!B11*$C527*'Business Case'!B12*$B527)-'Business Case'!B11*$C527*'Business Case'!B13*$D527-'Business Case'!B14*$E527)-MAX(0,(('Business Case'!B11*$C527*'Business Case'!B12*$B527)-'Business Case'!B11*$C527*'Business Case'!B13*$D527-'Business Case'!B14*$E527))*'Business Case'!$B$7-'Business Case'!$B$8*('Business Case'!B11*$C527*'Business Case'!B12*$B527)-'Business Case'!B15*$F527</f>
        <v>-2015757669.25593</v>
      </c>
      <c r="I527" s="39" t="n">
        <f aca="false">(('Business Case'!C11*$C527*'Business Case'!C12*$B527)-'Business Case'!C11*$C527*'Business Case'!C13*$D527-'Business Case'!C14*$E527)-MAX(0,(('Business Case'!C11*$C527*'Business Case'!C12*$B527)-'Business Case'!C11*$C527*'Business Case'!C13*$D527-'Business Case'!C14*$E527))*'Business Case'!$B$7-'Business Case'!$B$8*(('Business Case'!C11*$C527*'Business Case'!C12*$B527)-('Business Case'!B11*$C527*'Business Case'!B12*$B527))-'Business Case'!C15*$F527</f>
        <v>-29138162.3575765</v>
      </c>
      <c r="J527" s="39" t="n">
        <f aca="false">(('Business Case'!D11*$C527*'Business Case'!D12*$B527)-'Business Case'!D11*$C527*'Business Case'!D13*$D527-'Business Case'!D14*$E527)-MAX(0,(('Business Case'!D11*$C527*'Business Case'!D12*$B527)-'Business Case'!D11*$C527*'Business Case'!D13*$D527-'Business Case'!D14*$E527))*'Business Case'!$B$7-'Business Case'!$B$8*(('Business Case'!D11*$C527*'Business Case'!D12*$B527)-('Business Case'!C11*$C527*'Business Case'!C12*$B527))-'Business Case'!D15*$F527</f>
        <v>211816235.307745</v>
      </c>
      <c r="K527" s="39" t="n">
        <f aca="false">(('Business Case'!E11*$C527*'Business Case'!E12*$B527)-'Business Case'!E11*$C527*'Business Case'!E13*$D527-'Business Case'!E14*$E527)-MAX(0,(('Business Case'!E11*$C527*'Business Case'!E12*$B527)-'Business Case'!E11*$C527*'Business Case'!E13*$D527-'Business Case'!E14*$E527))*'Business Case'!$B$7-'Business Case'!$B$8*(('Business Case'!E11*$C527*'Business Case'!E12*$B527)-('Business Case'!D11*$C527*'Business Case'!D12*$B527))-'Business Case'!E15*$F527</f>
        <v>503164574.704466</v>
      </c>
      <c r="L527" s="39" t="n">
        <f aca="false">(('Business Case'!F11*$C527*'Business Case'!F12*$B527)-'Business Case'!F11*$C527*'Business Case'!F13*$D527-'Business Case'!F14*$E527)-MAX(0,(('Business Case'!F11*$C527*'Business Case'!F12*$B527)-'Business Case'!F11*$C527*'Business Case'!F13*$D527-'Business Case'!F14*$E527))*'Business Case'!$B$7-'Business Case'!$B$8*(('Business Case'!F11*$C527*'Business Case'!F12*$B527)-('Business Case'!E11*$C527*'Business Case'!E12*$B527))-'Business Case'!F15*$F527</f>
        <v>610206258.362443</v>
      </c>
      <c r="M527" s="39" t="n">
        <f aca="false">(('Business Case'!G11*$C527*'Business Case'!G12*$B527)-'Business Case'!G11*$C527*'Business Case'!G13*$D527-'Business Case'!G14*$E527)-MAX(0,(('Business Case'!G11*$C527*'Business Case'!G12*$B527)-'Business Case'!G11*$C527*'Business Case'!G13*$D527-'Business Case'!G14*$E527))*'Business Case'!$B$7-'Business Case'!$B$8*(('Business Case'!G11*$C527*'Business Case'!G12*$B527)-('Business Case'!F11*$C527*'Business Case'!F12*$B527))-'Business Case'!G15*$F527+'Business Case'!$B$8*('Business Case'!G11*$C527*'Business Case'!G12*$B527)</f>
        <v>757185789.428227</v>
      </c>
      <c r="N527" s="39" t="n">
        <f aca="false">IF(COUNT('Business Case'!B11:G11)=0,"",H527+NPV(G527,I527:M527))</f>
        <v>-586129370.047543</v>
      </c>
      <c r="P527" s="40" t="n">
        <f aca="true">RAND()</f>
        <v>0.869551470542955</v>
      </c>
      <c r="Q527" s="40" t="n">
        <f aca="true">RAND()</f>
        <v>0.0258208194917031</v>
      </c>
      <c r="R527" s="40" t="n">
        <f aca="true">RAND()</f>
        <v>0.458143574680829</v>
      </c>
      <c r="S527" s="40" t="n">
        <f aca="true">RAND()</f>
        <v>0.00303842607725546</v>
      </c>
      <c r="T527" s="40" t="n">
        <f aca="true">RAND()</f>
        <v>0.218364550385154</v>
      </c>
      <c r="U527" s="40" t="n">
        <f aca="true">RAND()</f>
        <v>0.28192227677035</v>
      </c>
    </row>
    <row r="528" customFormat="false" ht="15" hidden="false" customHeight="false" outlineLevel="0" collapsed="false">
      <c r="A528" s="36" t="n">
        <v>448</v>
      </c>
      <c r="B528" s="37" t="n">
        <f aca="false">1+IF($G$6=$E$6,$F$6,IF(P528&lt;($F$6-$E$6)/($G$6-$E$6),$E$6+SQRT(P528*($G$6-$E$6)*($F$6-$E$6)),$G$6-SQRT((1-P528)*($G$6-$E$6)*($G$6-$F$6))))</f>
        <v>0.997998625069662</v>
      </c>
      <c r="C528" s="37" t="n">
        <f aca="false">1+IF($G$7=$E$7,$F$7,IF(Q528&lt;($F$7-$E$7)/($G$7-$E$7),$E$7+SQRT(Q528*($G$7-$E$7)*($F$7-$E$7)),$G$7-SQRT((1-Q528)*($G$7-$E$7)*($G$7-$F$7))))</f>
        <v>0.954300177909015</v>
      </c>
      <c r="D528" s="37" t="n">
        <f aca="false">1+IF($G$8=$E$8,$F$8,IF(R528&lt;($F$8-$E$8)/($G$8-$E$8),$E$8+SQRT(R528*($G$8-$E$8)*($F$8-$E$8)),$G$8-SQRT((1-R528)*($G$8-$E$8)*($G$8-$F$8))))</f>
        <v>1.04211507501527</v>
      </c>
      <c r="E528" s="37" t="n">
        <f aca="false">1+IF($G$9=$E$9,$F$9,IF(S528&lt;($F$9-$E$9)/($G$9-$E$9),$E$9+SQRT(S528*($G$9-$E$9)*($F$9-$E$9)),$G$9-SQRT((1-S528)*($G$9-$E$9)*($G$9-$F$9))))</f>
        <v>0.927986751268897</v>
      </c>
      <c r="F528" s="37" t="n">
        <f aca="false">1+IF($G$10=$E$10,$F$10,IF(T528&lt;($F$10-$E$10)/($G$10-$E$10),$E$10+SQRT(T528*($G$10-$E$10)*($F$10-$E$10)),$G$10-SQRT((1-T528)*($G$10-$E$10)*($G$10-$F$10))))</f>
        <v>1.04775126685637</v>
      </c>
      <c r="G528" s="38" t="n">
        <f aca="false">IF($G$11=$E$11,$F$11,IF(U528&lt;($F$11-$E$11)/($G$11-$E$11),$E$11+SQRT(U528*($G$11-$E$11)*($F$11-$E$11)),$G$11-SQRT((1-U528)*($G$11-$E$11)*($G$11-$F$11))))</f>
        <v>0.10190410184223</v>
      </c>
      <c r="H528" s="39" t="n">
        <f aca="false">(('Business Case'!B11*$C528*'Business Case'!B12*$B528)-'Business Case'!B11*$C528*'Business Case'!B13*$D528-'Business Case'!B14*$E528)-MAX(0,(('Business Case'!B11*$C528*'Business Case'!B12*$B528)-'Business Case'!B11*$C528*'Business Case'!B13*$D528-'Business Case'!B14*$E528))*'Business Case'!$B$7-'Business Case'!$B$8*('Business Case'!B11*$C528*'Business Case'!B12*$B528)-'Business Case'!B15*$F528</f>
        <v>-2095502533.71274</v>
      </c>
      <c r="I528" s="39" t="n">
        <f aca="false">(('Business Case'!C11*$C528*'Business Case'!C12*$B528)-'Business Case'!C11*$C528*'Business Case'!C13*$D528-'Business Case'!C14*$E528)-MAX(0,(('Business Case'!C11*$C528*'Business Case'!C12*$B528)-'Business Case'!C11*$C528*'Business Case'!C13*$D528-'Business Case'!C14*$E528))*'Business Case'!$B$7-'Business Case'!$B$8*(('Business Case'!C11*$C528*'Business Case'!C12*$B528)-('Business Case'!B11*$C528*'Business Case'!B12*$B528))-'Business Case'!C15*$F528</f>
        <v>-15130183.2831393</v>
      </c>
      <c r="J528" s="39" t="n">
        <f aca="false">(('Business Case'!D11*$C528*'Business Case'!D12*$B528)-'Business Case'!D11*$C528*'Business Case'!D13*$D528-'Business Case'!D14*$E528)-MAX(0,(('Business Case'!D11*$C528*'Business Case'!D12*$B528)-'Business Case'!D11*$C528*'Business Case'!D13*$D528-'Business Case'!D14*$E528))*'Business Case'!$B$7-'Business Case'!$B$8*(('Business Case'!D11*$C528*'Business Case'!D12*$B528)-('Business Case'!C11*$C528*'Business Case'!C12*$B528))-'Business Case'!D15*$F528</f>
        <v>255846387.511083</v>
      </c>
      <c r="K528" s="39" t="n">
        <f aca="false">(('Business Case'!E11*$C528*'Business Case'!E12*$B528)-'Business Case'!E11*$C528*'Business Case'!E13*$D528-'Business Case'!E14*$E528)-MAX(0,(('Business Case'!E11*$C528*'Business Case'!E12*$B528)-'Business Case'!E11*$C528*'Business Case'!E13*$D528-'Business Case'!E14*$E528))*'Business Case'!$B$7-'Business Case'!$B$8*(('Business Case'!E11*$C528*'Business Case'!E12*$B528)-('Business Case'!D11*$C528*'Business Case'!D12*$B528))-'Business Case'!E15*$F528</f>
        <v>579210521.648124</v>
      </c>
      <c r="L528" s="39" t="n">
        <f aca="false">(('Business Case'!F11*$C528*'Business Case'!F12*$B528)-'Business Case'!F11*$C528*'Business Case'!F13*$D528-'Business Case'!F14*$E528)-MAX(0,(('Business Case'!F11*$C528*'Business Case'!F12*$B528)-'Business Case'!F11*$C528*'Business Case'!F13*$D528-'Business Case'!F14*$E528))*'Business Case'!$B$7-'Business Case'!$B$8*(('Business Case'!F11*$C528*'Business Case'!F12*$B528)-('Business Case'!E11*$C528*'Business Case'!E12*$B528))-'Business Case'!F15*$F528</f>
        <v>702450652.82039</v>
      </c>
      <c r="M528" s="39" t="n">
        <f aca="false">(('Business Case'!G11*$C528*'Business Case'!G12*$B528)-'Business Case'!G11*$C528*'Business Case'!G13*$D528-'Business Case'!G14*$E528)-MAX(0,(('Business Case'!G11*$C528*'Business Case'!G12*$B528)-'Business Case'!G11*$C528*'Business Case'!G13*$D528-'Business Case'!G14*$E528))*'Business Case'!$B$7-'Business Case'!$B$8*(('Business Case'!G11*$C528*'Business Case'!G12*$B528)-('Business Case'!F11*$C528*'Business Case'!F12*$B528))-'Business Case'!G15*$F528+'Business Case'!$B$8*('Business Case'!G11*$C528*'Business Case'!G12*$B528)</f>
        <v>883480994.478443</v>
      </c>
      <c r="N528" s="39" t="n">
        <f aca="false">IF(COUNT('Business Case'!B11:G11)=0,"",H528+NPV(G528,I528:M528))</f>
        <v>-445278502.049289</v>
      </c>
      <c r="P528" s="40" t="n">
        <f aca="true">RAND()</f>
        <v>0.640248701036277</v>
      </c>
      <c r="Q528" s="40" t="n">
        <f aca="true">RAND()</f>
        <v>0.479026522107829</v>
      </c>
      <c r="R528" s="40" t="n">
        <f aca="true">RAND()</f>
        <v>0.776622363967507</v>
      </c>
      <c r="S528" s="40" t="n">
        <f aca="true">RAND()</f>
        <v>0.0313303298634838</v>
      </c>
      <c r="T528" s="40" t="n">
        <f aca="true">RAND()</f>
        <v>0.454605999223969</v>
      </c>
      <c r="U528" s="40" t="n">
        <f aca="true">RAND()</f>
        <v>0.473747004472137</v>
      </c>
    </row>
    <row r="529" customFormat="false" ht="15" hidden="false" customHeight="false" outlineLevel="0" collapsed="false">
      <c r="A529" s="36" t="n">
        <v>449</v>
      </c>
      <c r="B529" s="37" t="n">
        <f aca="false">1+IF($G$6=$E$6,$F$6,IF(P529&lt;($F$6-$E$6)/($G$6-$E$6),$E$6+SQRT(P529*($G$6-$E$6)*($F$6-$E$6)),$G$6-SQRT((1-P529)*($G$6-$E$6)*($G$6-$F$6))))</f>
        <v>1.01511319068676</v>
      </c>
      <c r="C529" s="37" t="n">
        <f aca="false">1+IF($G$7=$E$7,$F$7,IF(Q529&lt;($F$7-$E$7)/($G$7-$E$7),$E$7+SQRT(Q529*($G$7-$E$7)*($F$7-$E$7)),$G$7-SQRT((1-Q529)*($G$7-$E$7)*($G$7-$F$7))))</f>
        <v>0.830802481556514</v>
      </c>
      <c r="D529" s="37" t="n">
        <f aca="false">1+IF($G$8=$E$8,$F$8,IF(R529&lt;($F$8-$E$8)/($G$8-$E$8),$E$8+SQRT(R529*($G$8-$E$8)*($F$8-$E$8)),$G$8-SQRT((1-R529)*($G$8-$E$8)*($G$8-$F$8))))</f>
        <v>1.01566222888853</v>
      </c>
      <c r="E529" s="37" t="n">
        <f aca="false">1+IF($G$9=$E$9,$F$9,IF(S529&lt;($F$9-$E$9)/($G$9-$E$9),$E$9+SQRT(S529*($G$9-$E$9)*($F$9-$E$9)),$G$9-SQRT((1-S529)*($G$9-$E$9)*($G$9-$F$9))))</f>
        <v>0.98345204458028</v>
      </c>
      <c r="F529" s="37" t="n">
        <f aca="false">1+IF($G$10=$E$10,$F$10,IF(T529&lt;($F$10-$E$10)/($G$10-$E$10),$E$10+SQRT(T529*($G$10-$E$10)*($F$10-$E$10)),$G$10-SQRT((1-T529)*($G$10-$E$10)*($G$10-$F$10))))</f>
        <v>1.04545596098099</v>
      </c>
      <c r="G529" s="38" t="n">
        <f aca="false">IF($G$11=$E$11,$F$11,IF(U529&lt;($F$11-$E$11)/($G$11-$E$11),$E$11+SQRT(U529*($G$11-$E$11)*($F$11-$E$11)),$G$11-SQRT((1-U529)*($G$11-$E$11)*($G$11-$F$11))))</f>
        <v>0.102781260050682</v>
      </c>
      <c r="H529" s="39" t="n">
        <f aca="false">(('Business Case'!B11*$C529*'Business Case'!B12*$B529)-'Business Case'!B11*$C529*'Business Case'!B13*$D529-'Business Case'!B14*$E529)-MAX(0,(('Business Case'!B11*$C529*'Business Case'!B12*$B529)-'Business Case'!B11*$C529*'Business Case'!B13*$D529-'Business Case'!B14*$E529))*'Business Case'!$B$7-'Business Case'!$B$8*('Business Case'!B11*$C529*'Business Case'!B12*$B529)-'Business Case'!B15*$F529</f>
        <v>-2090911921.96198</v>
      </c>
      <c r="I529" s="39" t="n">
        <f aca="false">(('Business Case'!C11*$C529*'Business Case'!C12*$B529)-'Business Case'!C11*$C529*'Business Case'!C13*$D529-'Business Case'!C14*$E529)-MAX(0,(('Business Case'!C11*$C529*'Business Case'!C12*$B529)-'Business Case'!C11*$C529*'Business Case'!C13*$D529-'Business Case'!C14*$E529))*'Business Case'!$B$7-'Business Case'!$B$8*(('Business Case'!C11*$C529*'Business Case'!C12*$B529)-('Business Case'!B11*$C529*'Business Case'!B12*$B529))-'Business Case'!C15*$F529</f>
        <v>-29306425.0735822</v>
      </c>
      <c r="J529" s="39" t="n">
        <f aca="false">(('Business Case'!D11*$C529*'Business Case'!D12*$B529)-'Business Case'!D11*$C529*'Business Case'!D13*$D529-'Business Case'!D14*$E529)-MAX(0,(('Business Case'!D11*$C529*'Business Case'!D12*$B529)-'Business Case'!D11*$C529*'Business Case'!D13*$D529-'Business Case'!D14*$E529))*'Business Case'!$B$7-'Business Case'!$B$8*(('Business Case'!D11*$C529*'Business Case'!D12*$B529)-('Business Case'!C11*$C529*'Business Case'!C12*$B529))-'Business Case'!D15*$F529</f>
        <v>229499334.330921</v>
      </c>
      <c r="K529" s="39" t="n">
        <f aca="false">(('Business Case'!E11*$C529*'Business Case'!E12*$B529)-'Business Case'!E11*$C529*'Business Case'!E13*$D529-'Business Case'!E14*$E529)-MAX(0,(('Business Case'!E11*$C529*'Business Case'!E12*$B529)-'Business Case'!E11*$C529*'Business Case'!E13*$D529-'Business Case'!E14*$E529))*'Business Case'!$B$7-'Business Case'!$B$8*(('Business Case'!E11*$C529*'Business Case'!E12*$B529)-('Business Case'!D11*$C529*'Business Case'!D12*$B529))-'Business Case'!E15*$F529</f>
        <v>540577891.784474</v>
      </c>
      <c r="L529" s="39" t="n">
        <f aca="false">(('Business Case'!F11*$C529*'Business Case'!F12*$B529)-'Business Case'!F11*$C529*'Business Case'!F13*$D529-'Business Case'!F14*$E529)-MAX(0,(('Business Case'!F11*$C529*'Business Case'!F12*$B529)-'Business Case'!F11*$C529*'Business Case'!F13*$D529-'Business Case'!F14*$E529))*'Business Case'!$B$7-'Business Case'!$B$8*(('Business Case'!F11*$C529*'Business Case'!F12*$B529)-('Business Case'!E11*$C529*'Business Case'!E12*$B529))-'Business Case'!F15*$F529</f>
        <v>655992950.013089</v>
      </c>
      <c r="M529" s="39" t="n">
        <f aca="false">(('Business Case'!G11*$C529*'Business Case'!G12*$B529)-'Business Case'!G11*$C529*'Business Case'!G13*$D529-'Business Case'!G14*$E529)-MAX(0,(('Business Case'!G11*$C529*'Business Case'!G12*$B529)-'Business Case'!G11*$C529*'Business Case'!G13*$D529-'Business Case'!G14*$E529))*'Business Case'!$B$7-'Business Case'!$B$8*(('Business Case'!G11*$C529*'Business Case'!G12*$B529)-('Business Case'!F11*$C529*'Business Case'!F12*$B529))-'Business Case'!G15*$F529+'Business Case'!$B$8*('Business Case'!G11*$C529*'Business Case'!G12*$B529)</f>
        <v>816298544.695549</v>
      </c>
      <c r="N529" s="39" t="n">
        <f aca="false">IF(COUNT('Business Case'!B11:G11)=0,"",H529+NPV(G529,I529:M529))</f>
        <v>-581647768.069997</v>
      </c>
      <c r="P529" s="40" t="n">
        <f aca="true">RAND()</f>
        <v>0.837721404792234</v>
      </c>
      <c r="Q529" s="40" t="n">
        <f aca="true">RAND()</f>
        <v>0.12673547541735</v>
      </c>
      <c r="R529" s="40" t="n">
        <f aca="true">RAND()</f>
        <v>0.52580935759664</v>
      </c>
      <c r="S529" s="40" t="n">
        <f aca="true">RAND()</f>
        <v>0.27856974978516</v>
      </c>
      <c r="T529" s="40" t="n">
        <f aca="true">RAND()</f>
        <v>0.442156481357187</v>
      </c>
      <c r="U529" s="40" t="n">
        <f aca="true">RAND()</f>
        <v>0.506093463714273</v>
      </c>
    </row>
    <row r="530" customFormat="false" ht="15" hidden="false" customHeight="false" outlineLevel="0" collapsed="false">
      <c r="A530" s="36" t="n">
        <v>450</v>
      </c>
      <c r="B530" s="37" t="n">
        <f aca="false">1+IF($G$6=$E$6,$F$6,IF(P530&lt;($F$6-$E$6)/($G$6-$E$6),$E$6+SQRT(P530*($G$6-$E$6)*($F$6-$E$6)),$G$6-SQRT((1-P530)*($G$6-$E$6)*($G$6-$F$6))))</f>
        <v>0.980558879980274</v>
      </c>
      <c r="C530" s="37" t="n">
        <f aca="false">1+IF($G$7=$E$7,$F$7,IF(Q530&lt;($F$7-$E$7)/($G$7-$E$7),$E$7+SQRT(Q530*($G$7-$E$7)*($F$7-$E$7)),$G$7-SQRT((1-Q530)*($G$7-$E$7)*($G$7-$F$7))))</f>
        <v>0.90441758661278</v>
      </c>
      <c r="D530" s="37" t="n">
        <f aca="false">1+IF($G$8=$E$8,$F$8,IF(R530&lt;($F$8-$E$8)/($G$8-$E$8),$E$8+SQRT(R530*($G$8-$E$8)*($F$8-$E$8)),$G$8-SQRT((1-R530)*($G$8-$E$8)*($G$8-$F$8))))</f>
        <v>1.02555423920392</v>
      </c>
      <c r="E530" s="37" t="n">
        <f aca="false">1+IF($G$9=$E$9,$F$9,IF(S530&lt;($F$9-$E$9)/($G$9-$E$9),$E$9+SQRT(S530*($G$9-$E$9)*($F$9-$E$9)),$G$9-SQRT((1-S530)*($G$9-$E$9)*($G$9-$F$9))))</f>
        <v>1.09880266050003</v>
      </c>
      <c r="F530" s="37" t="n">
        <f aca="false">1+IF($G$10=$E$10,$F$10,IF(T530&lt;($F$10-$E$10)/($G$10-$E$10),$E$10+SQRT(T530*($G$10-$E$10)*($F$10-$E$10)),$G$10-SQRT((1-T530)*($G$10-$E$10)*($G$10-$F$10))))</f>
        <v>1.03544364868376</v>
      </c>
      <c r="G530" s="38" t="n">
        <f aca="false">IF($G$11=$E$11,$F$11,IF(U530&lt;($F$11-$E$11)/($G$11-$E$11),$E$11+SQRT(U530*($G$11-$E$11)*($F$11-$E$11)),$G$11-SQRT((1-U530)*($G$11-$E$11)*($G$11-$F$11))))</f>
        <v>0.102515175545142</v>
      </c>
      <c r="H530" s="39" t="n">
        <f aca="false">(('Business Case'!B11*$C530*'Business Case'!B12*$B530)-'Business Case'!B11*$C530*'Business Case'!B13*$D530-'Business Case'!B14*$E530)-MAX(0,(('Business Case'!B11*$C530*'Business Case'!B12*$B530)-'Business Case'!B11*$C530*'Business Case'!B13*$D530-'Business Case'!B14*$E530))*'Business Case'!$B$7-'Business Case'!$B$8*('Business Case'!B11*$C530*'Business Case'!B12*$B530)-'Business Case'!B15*$F530</f>
        <v>-2070887297.36752</v>
      </c>
      <c r="I530" s="39" t="n">
        <f aca="false">(('Business Case'!C11*$C530*'Business Case'!C12*$B530)-'Business Case'!C11*$C530*'Business Case'!C13*$D530-'Business Case'!C14*$E530)-MAX(0,(('Business Case'!C11*$C530*'Business Case'!C12*$B530)-'Business Case'!C11*$C530*'Business Case'!C13*$D530-'Business Case'!C14*$E530))*'Business Case'!$B$7-'Business Case'!$B$8*(('Business Case'!C11*$C530*'Business Case'!C12*$B530)-('Business Case'!B11*$C530*'Business Case'!B12*$B530))-'Business Case'!C15*$F530</f>
        <v>-54206940.0084622</v>
      </c>
      <c r="J530" s="39" t="n">
        <f aca="false">(('Business Case'!D11*$C530*'Business Case'!D12*$B530)-'Business Case'!D11*$C530*'Business Case'!D13*$D530-'Business Case'!D14*$E530)-MAX(0,(('Business Case'!D11*$C530*'Business Case'!D12*$B530)-'Business Case'!D11*$C530*'Business Case'!D13*$D530-'Business Case'!D14*$E530))*'Business Case'!$B$7-'Business Case'!$B$8*(('Business Case'!D11*$C530*'Business Case'!D12*$B530)-('Business Case'!C11*$C530*'Business Case'!C12*$B530))-'Business Case'!D15*$F530</f>
        <v>197353733.802935</v>
      </c>
      <c r="K530" s="39" t="n">
        <f aca="false">(('Business Case'!E11*$C530*'Business Case'!E12*$B530)-'Business Case'!E11*$C530*'Business Case'!E13*$D530-'Business Case'!E14*$E530)-MAX(0,(('Business Case'!E11*$C530*'Business Case'!E12*$B530)-'Business Case'!E11*$C530*'Business Case'!E13*$D530-'Business Case'!E14*$E530))*'Business Case'!$B$7-'Business Case'!$B$8*(('Business Case'!E11*$C530*'Business Case'!E12*$B530)-('Business Case'!D11*$C530*'Business Case'!D12*$B530))-'Business Case'!E15*$F530</f>
        <v>500686590.048521</v>
      </c>
      <c r="L530" s="39" t="n">
        <f aca="false">(('Business Case'!F11*$C530*'Business Case'!F12*$B530)-'Business Case'!F11*$C530*'Business Case'!F13*$D530-'Business Case'!F14*$E530)-MAX(0,(('Business Case'!F11*$C530*'Business Case'!F12*$B530)-'Business Case'!F11*$C530*'Business Case'!F13*$D530-'Business Case'!F14*$E530))*'Business Case'!$B$7-'Business Case'!$B$8*(('Business Case'!F11*$C530*'Business Case'!F12*$B530)-('Business Case'!E11*$C530*'Business Case'!E12*$B530))-'Business Case'!F15*$F530</f>
        <v>615189155.07124</v>
      </c>
      <c r="M530" s="39" t="n">
        <f aca="false">(('Business Case'!G11*$C530*'Business Case'!G12*$B530)-'Business Case'!G11*$C530*'Business Case'!G13*$D530-'Business Case'!G14*$E530)-MAX(0,(('Business Case'!G11*$C530*'Business Case'!G12*$B530)-'Business Case'!G11*$C530*'Business Case'!G13*$D530-'Business Case'!G14*$E530))*'Business Case'!$B$7-'Business Case'!$B$8*(('Business Case'!G11*$C530*'Business Case'!G12*$B530)-('Business Case'!F11*$C530*'Business Case'!F12*$B530))-'Business Case'!G15*$F530+'Business Case'!$B$8*('Business Case'!G11*$C530*'Business Case'!G12*$B530)</f>
        <v>783758694.041964</v>
      </c>
      <c r="N530" s="39" t="n">
        <f aca="false">IF(COUNT('Business Case'!B11:G11)=0,"",H530+NPV(G530,I530:M530))</f>
        <v>-686602316.377077</v>
      </c>
      <c r="P530" s="40" t="n">
        <f aca="true">RAND()</f>
        <v>0.432648876245082</v>
      </c>
      <c r="Q530" s="40" t="n">
        <f aca="true">RAND()</f>
        <v>0.309529997900691</v>
      </c>
      <c r="R530" s="40" t="n">
        <f aca="true">RAND()</f>
        <v>0.630521913299514</v>
      </c>
      <c r="S530" s="40" t="n">
        <f aca="true">RAND()</f>
        <v>0.930102198083331</v>
      </c>
      <c r="T530" s="40" t="n">
        <f aca="true">RAND()</f>
        <v>0.386207628131491</v>
      </c>
      <c r="U530" s="40" t="n">
        <f aca="true">RAND()</f>
        <v>0.496389616457104</v>
      </c>
    </row>
    <row r="531" customFormat="false" ht="15" hidden="false" customHeight="false" outlineLevel="0" collapsed="false">
      <c r="A531" s="36" t="n">
        <v>451</v>
      </c>
      <c r="B531" s="37" t="n">
        <f aca="false">1+IF($G$6=$E$6,$F$6,IF(P531&lt;($F$6-$E$6)/($G$6-$E$6),$E$6+SQRT(P531*($G$6-$E$6)*($F$6-$E$6)),$G$6-SQRT((1-P531)*($G$6-$E$6)*($G$6-$F$6))))</f>
        <v>1.02901468336532</v>
      </c>
      <c r="C531" s="37" t="n">
        <f aca="false">1+IF($G$7=$E$7,$F$7,IF(Q531&lt;($F$7-$E$7)/($G$7-$E$7),$E$7+SQRT(Q531*($G$7-$E$7)*($F$7-$E$7)),$G$7-SQRT((1-Q531)*($G$7-$E$7)*($G$7-$F$7))))</f>
        <v>1.00062326530465</v>
      </c>
      <c r="D531" s="37" t="n">
        <f aca="false">1+IF($G$8=$E$8,$F$8,IF(R531&lt;($F$8-$E$8)/($G$8-$E$8),$E$8+SQRT(R531*($G$8-$E$8)*($F$8-$E$8)),$G$8-SQRT((1-R531)*($G$8-$E$8)*($G$8-$F$8))))</f>
        <v>1.00315500125783</v>
      </c>
      <c r="E531" s="37" t="n">
        <f aca="false">1+IF($G$9=$E$9,$F$9,IF(S531&lt;($F$9-$E$9)/($G$9-$E$9),$E$9+SQRT(S531*($G$9-$E$9)*($F$9-$E$9)),$G$9-SQRT((1-S531)*($G$9-$E$9)*($G$9-$F$9))))</f>
        <v>1.02208900206521</v>
      </c>
      <c r="F531" s="37" t="n">
        <f aca="false">1+IF($G$10=$E$10,$F$10,IF(T531&lt;($F$10-$E$10)/($G$10-$E$10),$E$10+SQRT(T531*($G$10-$E$10)*($F$10-$E$10)),$G$10-SQRT((1-T531)*($G$10-$E$10)*($G$10-$F$10))))</f>
        <v>0.961327725587999</v>
      </c>
      <c r="G531" s="38" t="n">
        <f aca="false">IF($G$11=$E$11,$F$11,IF(U531&lt;($F$11-$E$11)/($G$11-$E$11),$E$11+SQRT(U531*($G$11-$E$11)*($F$11-$E$11)),$G$11-SQRT((1-U531)*($G$11-$E$11)*($G$11-$F$11))))</f>
        <v>0.0893656658426211</v>
      </c>
      <c r="H531" s="39" t="n">
        <f aca="false">(('Business Case'!B11*$C531*'Business Case'!B12*$B531)-'Business Case'!B11*$C531*'Business Case'!B13*$D531-'Business Case'!B14*$E531)-MAX(0,(('Business Case'!B11*$C531*'Business Case'!B12*$B531)-'Business Case'!B11*$C531*'Business Case'!B13*$D531-'Business Case'!B14*$E531))*'Business Case'!$B$7-'Business Case'!$B$8*('Business Case'!B11*$C531*'Business Case'!B12*$B531)-'Business Case'!B15*$F531</f>
        <v>-1922655451.176</v>
      </c>
      <c r="I531" s="39" t="n">
        <f aca="false">(('Business Case'!C11*$C531*'Business Case'!C12*$B531)-'Business Case'!C11*$C531*'Business Case'!C13*$D531-'Business Case'!C14*$E531)-MAX(0,(('Business Case'!C11*$C531*'Business Case'!C12*$B531)-'Business Case'!C11*$C531*'Business Case'!C13*$D531-'Business Case'!C14*$E531))*'Business Case'!$B$7-'Business Case'!$B$8*(('Business Case'!C11*$C531*'Business Case'!C12*$B531)-('Business Case'!B11*$C531*'Business Case'!B12*$B531))-'Business Case'!C15*$F531</f>
        <v>34656051.6268129</v>
      </c>
      <c r="J531" s="39" t="n">
        <f aca="false">(('Business Case'!D11*$C531*'Business Case'!D12*$B531)-'Business Case'!D11*$C531*'Business Case'!D13*$D531-'Business Case'!D14*$E531)-MAX(0,(('Business Case'!D11*$C531*'Business Case'!D12*$B531)-'Business Case'!D11*$C531*'Business Case'!D13*$D531-'Business Case'!D14*$E531))*'Business Case'!$B$7-'Business Case'!$B$8*(('Business Case'!D11*$C531*'Business Case'!D12*$B531)-('Business Case'!C11*$C531*'Business Case'!C12*$B531))-'Business Case'!D15*$F531</f>
        <v>364163300.631699</v>
      </c>
      <c r="K531" s="39" t="n">
        <f aca="false">(('Business Case'!E11*$C531*'Business Case'!E12*$B531)-'Business Case'!E11*$C531*'Business Case'!E13*$D531-'Business Case'!E14*$E531)-MAX(0,(('Business Case'!E11*$C531*'Business Case'!E12*$B531)-'Business Case'!E11*$C531*'Business Case'!E13*$D531-'Business Case'!E14*$E531))*'Business Case'!$B$7-'Business Case'!$B$8*(('Business Case'!E11*$C531*'Business Case'!E12*$B531)-('Business Case'!D11*$C531*'Business Case'!D12*$B531))-'Business Case'!E15*$F531</f>
        <v>741736935.915985</v>
      </c>
      <c r="L531" s="39" t="n">
        <f aca="false">(('Business Case'!F11*$C531*'Business Case'!F12*$B531)-'Business Case'!F11*$C531*'Business Case'!F13*$D531-'Business Case'!F14*$E531)-MAX(0,(('Business Case'!F11*$C531*'Business Case'!F12*$B531)-'Business Case'!F11*$C531*'Business Case'!F13*$D531-'Business Case'!F14*$E531))*'Business Case'!$B$7-'Business Case'!$B$8*(('Business Case'!F11*$C531*'Business Case'!F12*$B531)-('Business Case'!E11*$C531*'Business Case'!E12*$B531))-'Business Case'!F15*$F531</f>
        <v>887157598.068013</v>
      </c>
      <c r="M531" s="39" t="n">
        <f aca="false">(('Business Case'!G11*$C531*'Business Case'!G12*$B531)-'Business Case'!G11*$C531*'Business Case'!G13*$D531-'Business Case'!G14*$E531)-MAX(0,(('Business Case'!G11*$C531*'Business Case'!G12*$B531)-'Business Case'!G11*$C531*'Business Case'!G13*$D531-'Business Case'!G14*$E531))*'Business Case'!$B$7-'Business Case'!$B$8*(('Business Case'!G11*$C531*'Business Case'!G12*$B531)-('Business Case'!F11*$C531*'Business Case'!F12*$B531))-'Business Case'!G15*$F531+'Business Case'!$B$8*('Business Case'!G11*$C531*'Business Case'!G12*$B531)</f>
        <v>1082874616.72855</v>
      </c>
      <c r="N531" s="39" t="n">
        <f aca="false">IF(COUNT('Business Case'!B11:G11)=0,"",H531+NPV(G531,I531:M531))</f>
        <v>325577387.889863</v>
      </c>
      <c r="P531" s="40" t="n">
        <f aca="true">RAND()</f>
        <v>0.941282198098947</v>
      </c>
      <c r="Q531" s="40" t="n">
        <f aca="true">RAND()</f>
        <v>0.669430979729724</v>
      </c>
      <c r="R531" s="40" t="n">
        <f aca="true">RAND()</f>
        <v>0.374736414575295</v>
      </c>
      <c r="S531" s="40" t="n">
        <f aca="true">RAND()</f>
        <v>0.56370070952869</v>
      </c>
      <c r="T531" s="40" t="n">
        <f aca="true">RAND()</f>
        <v>0.00855449113313429</v>
      </c>
      <c r="U531" s="40" t="n">
        <f aca="true">RAND()</f>
        <v>0.0877156966756402</v>
      </c>
    </row>
    <row r="532" customFormat="false" ht="15" hidden="false" customHeight="false" outlineLevel="0" collapsed="false">
      <c r="A532" s="36" t="n">
        <v>452</v>
      </c>
      <c r="B532" s="37" t="n">
        <f aca="false">1+IF($G$6=$E$6,$F$6,IF(P532&lt;($F$6-$E$6)/($G$6-$E$6),$E$6+SQRT(P532*($G$6-$E$6)*($F$6-$E$6)),$G$6-SQRT((1-P532)*($G$6-$E$6)*($G$6-$F$6))))</f>
        <v>0.938874407539211</v>
      </c>
      <c r="C532" s="37" t="n">
        <f aca="false">1+IF($G$7=$E$7,$F$7,IF(Q532&lt;($F$7-$E$7)/($G$7-$E$7),$E$7+SQRT(Q532*($G$7-$E$7)*($F$7-$E$7)),$G$7-SQRT((1-Q532)*($G$7-$E$7)*($G$7-$F$7))))</f>
        <v>0.926309588646438</v>
      </c>
      <c r="D532" s="37" t="n">
        <f aca="false">1+IF($G$8=$E$8,$F$8,IF(R532&lt;($F$8-$E$8)/($G$8-$E$8),$E$8+SQRT(R532*($G$8-$E$8)*($F$8-$E$8)),$G$8-SQRT((1-R532)*($G$8-$E$8)*($G$8-$F$8))))</f>
        <v>0.990195935586415</v>
      </c>
      <c r="E532" s="37" t="n">
        <f aca="false">1+IF($G$9=$E$9,$F$9,IF(S532&lt;($F$9-$E$9)/($G$9-$E$9),$E$9+SQRT(S532*($G$9-$E$9)*($F$9-$E$9)),$G$9-SQRT((1-S532)*($G$9-$E$9)*($G$9-$F$9))))</f>
        <v>0.990626035961991</v>
      </c>
      <c r="F532" s="37" t="n">
        <f aca="false">1+IF($G$10=$E$10,$F$10,IF(T532&lt;($F$10-$E$10)/($G$10-$E$10),$E$10+SQRT(T532*($G$10-$E$10)*($F$10-$E$10)),$G$10-SQRT((1-T532)*($G$10-$E$10)*($G$10-$F$10))))</f>
        <v>0.97899859169347</v>
      </c>
      <c r="G532" s="38" t="n">
        <f aca="false">IF($G$11=$E$11,$F$11,IF(U532&lt;($F$11-$E$11)/($G$11-$E$11),$E$11+SQRT(U532*($G$11-$E$11)*($F$11-$E$11)),$G$11-SQRT((1-U532)*($G$11-$E$11)*($G$11-$F$11))))</f>
        <v>0.11031215816968</v>
      </c>
      <c r="H532" s="39" t="n">
        <f aca="false">(('Business Case'!B11*$C532*'Business Case'!B12*$B532)-'Business Case'!B11*$C532*'Business Case'!B13*$D532-'Business Case'!B14*$E532)-MAX(0,(('Business Case'!B11*$C532*'Business Case'!B12*$B532)-'Business Case'!B11*$C532*'Business Case'!B13*$D532-'Business Case'!B14*$E532))*'Business Case'!$B$7-'Business Case'!$B$8*('Business Case'!B11*$C532*'Business Case'!B12*$B532)-'Business Case'!B15*$F532</f>
        <v>-1957997183.38694</v>
      </c>
      <c r="I532" s="39" t="n">
        <f aca="false">(('Business Case'!C11*$C532*'Business Case'!C12*$B532)-'Business Case'!C11*$C532*'Business Case'!C13*$D532-'Business Case'!C14*$E532)-MAX(0,(('Business Case'!C11*$C532*'Business Case'!C12*$B532)-'Business Case'!C11*$C532*'Business Case'!C13*$D532-'Business Case'!C14*$E532))*'Business Case'!$B$7-'Business Case'!$B$8*(('Business Case'!C11*$C532*'Business Case'!C12*$B532)-('Business Case'!B11*$C532*'Business Case'!B12*$B532))-'Business Case'!C15*$F532</f>
        <v>-41061489.4016878</v>
      </c>
      <c r="J532" s="39" t="n">
        <f aca="false">(('Business Case'!D11*$C532*'Business Case'!D12*$B532)-'Business Case'!D11*$C532*'Business Case'!D13*$D532-'Business Case'!D14*$E532)-MAX(0,(('Business Case'!D11*$C532*'Business Case'!D12*$B532)-'Business Case'!D11*$C532*'Business Case'!D13*$D532-'Business Case'!D14*$E532))*'Business Case'!$B$7-'Business Case'!$B$8*(('Business Case'!D11*$C532*'Business Case'!D12*$B532)-('Business Case'!C11*$C532*'Business Case'!C12*$B532))-'Business Case'!D15*$F532</f>
        <v>201728547.585561</v>
      </c>
      <c r="K532" s="39" t="n">
        <f aca="false">(('Business Case'!E11*$C532*'Business Case'!E12*$B532)-'Business Case'!E11*$C532*'Business Case'!E13*$D532-'Business Case'!E14*$E532)-MAX(0,(('Business Case'!E11*$C532*'Business Case'!E12*$B532)-'Business Case'!E11*$C532*'Business Case'!E13*$D532-'Business Case'!E14*$E532))*'Business Case'!$B$7-'Business Case'!$B$8*(('Business Case'!E11*$C532*'Business Case'!E12*$B532)-('Business Case'!D11*$C532*'Business Case'!D12*$B532))-'Business Case'!E15*$F532</f>
        <v>493468514.157483</v>
      </c>
      <c r="L532" s="39" t="n">
        <f aca="false">(('Business Case'!F11*$C532*'Business Case'!F12*$B532)-'Business Case'!F11*$C532*'Business Case'!F13*$D532-'Business Case'!F14*$E532)-MAX(0,(('Business Case'!F11*$C532*'Business Case'!F12*$B532)-'Business Case'!F11*$C532*'Business Case'!F13*$D532-'Business Case'!F14*$E532))*'Business Case'!$B$7-'Business Case'!$B$8*(('Business Case'!F11*$C532*'Business Case'!F12*$B532)-('Business Case'!E11*$C532*'Business Case'!E12*$B532))-'Business Case'!F15*$F532</f>
        <v>604454956.423762</v>
      </c>
      <c r="M532" s="39" t="n">
        <f aca="false">(('Business Case'!G11*$C532*'Business Case'!G12*$B532)-'Business Case'!G11*$C532*'Business Case'!G13*$D532-'Business Case'!G14*$E532)-MAX(0,(('Business Case'!G11*$C532*'Business Case'!G12*$B532)-'Business Case'!G11*$C532*'Business Case'!G13*$D532-'Business Case'!G14*$E532))*'Business Case'!$B$7-'Business Case'!$B$8*(('Business Case'!G11*$C532*'Business Case'!G12*$B532)-('Business Case'!F11*$C532*'Business Case'!F12*$B532))-'Business Case'!G15*$F532+'Business Case'!$B$8*('Business Case'!G11*$C532*'Business Case'!G12*$B532)</f>
        <v>769765321.078341</v>
      </c>
      <c r="N532" s="39" t="n">
        <f aca="false">IF(COUNT('Business Case'!B11:G11)=0,"",H532+NPV(G532,I532:M532))</f>
        <v>-616926000.535728</v>
      </c>
      <c r="P532" s="40" t="n">
        <f aca="true">RAND()</f>
        <v>0.100747970768312</v>
      </c>
      <c r="Q532" s="40" t="n">
        <f aca="true">RAND()</f>
        <v>0.379377999357927</v>
      </c>
      <c r="R532" s="40" t="n">
        <f aca="true">RAND()</f>
        <v>0.215428431688959</v>
      </c>
      <c r="S532" s="40" t="n">
        <f aca="true">RAND()</f>
        <v>0.328523135767363</v>
      </c>
      <c r="T532" s="40" t="n">
        <f aca="true">RAND()</f>
        <v>0.0560612213469728</v>
      </c>
      <c r="U532" s="40" t="n">
        <f aca="true">RAND()</f>
        <v>0.741592589376195</v>
      </c>
    </row>
    <row r="533" customFormat="false" ht="15" hidden="false" customHeight="false" outlineLevel="0" collapsed="false">
      <c r="A533" s="36" t="n">
        <v>453</v>
      </c>
      <c r="B533" s="37" t="n">
        <f aca="false">1+IF($G$6=$E$6,$F$6,IF(P533&lt;($F$6-$E$6)/($G$6-$E$6),$E$6+SQRT(P533*($G$6-$E$6)*($F$6-$E$6)),$G$6-SQRT((1-P533)*($G$6-$E$6)*($G$6-$F$6))))</f>
        <v>1.0115915424422</v>
      </c>
      <c r="C533" s="37" t="n">
        <f aca="false">1+IF($G$7=$E$7,$F$7,IF(Q533&lt;($F$7-$E$7)/($G$7-$E$7),$E$7+SQRT(Q533*($G$7-$E$7)*($F$7-$E$7)),$G$7-SQRT((1-Q533)*($G$7-$E$7)*($G$7-$F$7))))</f>
        <v>0.937518433763597</v>
      </c>
      <c r="D533" s="37" t="n">
        <f aca="false">1+IF($G$8=$E$8,$F$8,IF(R533&lt;($F$8-$E$8)/($G$8-$E$8),$E$8+SQRT(R533*($G$8-$E$8)*($F$8-$E$8)),$G$8-SQRT((1-R533)*($G$8-$E$8)*($G$8-$F$8))))</f>
        <v>1.01426405654408</v>
      </c>
      <c r="E533" s="37" t="n">
        <f aca="false">1+IF($G$9=$E$9,$F$9,IF(S533&lt;($F$9-$E$9)/($G$9-$E$9),$E$9+SQRT(S533*($G$9-$E$9)*($F$9-$E$9)),$G$9-SQRT((1-S533)*($G$9-$E$9)*($G$9-$F$9))))</f>
        <v>1.03820565652798</v>
      </c>
      <c r="F533" s="37" t="n">
        <f aca="false">1+IF($G$10=$E$10,$F$10,IF(T533&lt;($F$10-$E$10)/($G$10-$E$10),$E$10+SQRT(T533*($G$10-$E$10)*($F$10-$E$10)),$G$10-SQRT((1-T533)*($G$10-$E$10)*($G$10-$F$10))))</f>
        <v>1.04465630398642</v>
      </c>
      <c r="G533" s="38" t="n">
        <f aca="false">IF($G$11=$E$11,$F$11,IF(U533&lt;($F$11-$E$11)/($G$11-$E$11),$E$11+SQRT(U533*($G$11-$E$11)*($F$11-$E$11)),$G$11-SQRT((1-U533)*($G$11-$E$11)*($G$11-$F$11))))</f>
        <v>0.113697189713978</v>
      </c>
      <c r="H533" s="39" t="n">
        <f aca="false">(('Business Case'!B11*$C533*'Business Case'!B12*$B533)-'Business Case'!B11*$C533*'Business Case'!B13*$D533-'Business Case'!B14*$E533)-MAX(0,(('Business Case'!B11*$C533*'Business Case'!B12*$B533)-'Business Case'!B11*$C533*'Business Case'!B13*$D533-'Business Case'!B14*$E533))*'Business Case'!$B$7-'Business Case'!$B$8*('Business Case'!B11*$C533*'Business Case'!B12*$B533)-'Business Case'!B15*$F533</f>
        <v>-2089312607.97284</v>
      </c>
      <c r="I533" s="39" t="n">
        <f aca="false">(('Business Case'!C11*$C533*'Business Case'!C12*$B533)-'Business Case'!C11*$C533*'Business Case'!C13*$D533-'Business Case'!C14*$E533)-MAX(0,(('Business Case'!C11*$C533*'Business Case'!C12*$B533)-'Business Case'!C11*$C533*'Business Case'!C13*$D533-'Business Case'!C14*$E533))*'Business Case'!$B$7-'Business Case'!$B$8*(('Business Case'!C11*$C533*'Business Case'!C12*$B533)-('Business Case'!B11*$C533*'Business Case'!B12*$B533))-'Business Case'!C15*$F533</f>
        <v>-11246851.7504552</v>
      </c>
      <c r="J533" s="39" t="n">
        <f aca="false">(('Business Case'!D11*$C533*'Business Case'!D12*$B533)-'Business Case'!D11*$C533*'Business Case'!D13*$D533-'Business Case'!D14*$E533)-MAX(0,(('Business Case'!D11*$C533*'Business Case'!D12*$B533)-'Business Case'!D11*$C533*'Business Case'!D13*$D533-'Business Case'!D14*$E533))*'Business Case'!$B$7-'Business Case'!$B$8*(('Business Case'!D11*$C533*'Business Case'!D12*$B533)-('Business Case'!C11*$C533*'Business Case'!C12*$B533))-'Business Case'!D15*$F533</f>
        <v>278769086.901957</v>
      </c>
      <c r="K533" s="39" t="n">
        <f aca="false">(('Business Case'!E11*$C533*'Business Case'!E12*$B533)-'Business Case'!E11*$C533*'Business Case'!E13*$D533-'Business Case'!E14*$E533)-MAX(0,(('Business Case'!E11*$C533*'Business Case'!E12*$B533)-'Business Case'!E11*$C533*'Business Case'!E13*$D533-'Business Case'!E14*$E533))*'Business Case'!$B$7-'Business Case'!$B$8*(('Business Case'!E11*$C533*'Business Case'!E12*$B533)-('Business Case'!D11*$C533*'Business Case'!D12*$B533))-'Business Case'!E15*$F533</f>
        <v>621017840.753691</v>
      </c>
      <c r="L533" s="39" t="n">
        <f aca="false">(('Business Case'!F11*$C533*'Business Case'!F12*$B533)-'Business Case'!F11*$C533*'Business Case'!F13*$D533-'Business Case'!F14*$E533)-MAX(0,(('Business Case'!F11*$C533*'Business Case'!F12*$B533)-'Business Case'!F11*$C533*'Business Case'!F13*$D533-'Business Case'!F14*$E533))*'Business Case'!$B$7-'Business Case'!$B$8*(('Business Case'!F11*$C533*'Business Case'!F12*$B533)-('Business Case'!E11*$C533*'Business Case'!E12*$B533))-'Business Case'!F15*$F533</f>
        <v>750466030.735127</v>
      </c>
      <c r="M533" s="39" t="n">
        <f aca="false">(('Business Case'!G11*$C533*'Business Case'!G12*$B533)-'Business Case'!G11*$C533*'Business Case'!G13*$D533-'Business Case'!G14*$E533)-MAX(0,(('Business Case'!G11*$C533*'Business Case'!G12*$B533)-'Business Case'!G11*$C533*'Business Case'!G13*$D533-'Business Case'!G14*$E533))*'Business Case'!$B$7-'Business Case'!$B$8*(('Business Case'!G11*$C533*'Business Case'!G12*$B533)-('Business Case'!F11*$C533*'Business Case'!F12*$B533))-'Business Case'!G15*$F533+'Business Case'!$B$8*('Business Case'!G11*$C533*'Business Case'!G12*$B533)</f>
        <v>930735188.103599</v>
      </c>
      <c r="N533" s="39" t="n">
        <f aca="false">IF(COUNT('Business Case'!B11:G11)=0,"",H533+NPV(G533,I533:M533))</f>
        <v>-394018407.806777</v>
      </c>
      <c r="P533" s="40" t="n">
        <f aca="true">RAND()</f>
        <v>0.803305385070803</v>
      </c>
      <c r="Q533" s="40" t="n">
        <f aca="true">RAND()</f>
        <v>0.417888936129722</v>
      </c>
      <c r="R533" s="40" t="n">
        <f aca="true">RAND()</f>
        <v>0.509956533314923</v>
      </c>
      <c r="S533" s="40" t="n">
        <f aca="true">RAND()</f>
        <v>0.666720660470951</v>
      </c>
      <c r="T533" s="40" t="n">
        <f aca="true">RAND()</f>
        <v>0.437786220099755</v>
      </c>
      <c r="U533" s="40" t="n">
        <f aca="true">RAND()</f>
        <v>0.822812251185324</v>
      </c>
    </row>
    <row r="534" customFormat="false" ht="15" hidden="false" customHeight="false" outlineLevel="0" collapsed="false">
      <c r="A534" s="36" t="n">
        <v>454</v>
      </c>
      <c r="B534" s="37" t="n">
        <f aca="false">1+IF($G$6=$E$6,$F$6,IF(P534&lt;($F$6-$E$6)/($G$6-$E$6),$E$6+SQRT(P534*($G$6-$E$6)*($F$6-$E$6)),$G$6-SQRT((1-P534)*($G$6-$E$6)*($G$6-$F$6))))</f>
        <v>1.04642532531504</v>
      </c>
      <c r="C534" s="37" t="n">
        <f aca="false">1+IF($G$7=$E$7,$F$7,IF(Q534&lt;($F$7-$E$7)/($G$7-$E$7),$E$7+SQRT(Q534*($G$7-$E$7)*($F$7-$E$7)),$G$7-SQRT((1-Q534)*($G$7-$E$7)*($G$7-$F$7))))</f>
        <v>0.84704552901039</v>
      </c>
      <c r="D534" s="37" t="n">
        <f aca="false">1+IF($G$8=$E$8,$F$8,IF(R534&lt;($F$8-$E$8)/($G$8-$E$8),$E$8+SQRT(R534*($G$8-$E$8)*($F$8-$E$8)),$G$8-SQRT((1-R534)*($G$8-$E$8)*($G$8-$F$8))))</f>
        <v>0.991295874351802</v>
      </c>
      <c r="E534" s="37" t="n">
        <f aca="false">1+IF($G$9=$E$9,$F$9,IF(S534&lt;($F$9-$E$9)/($G$9-$E$9),$E$9+SQRT(S534*($G$9-$E$9)*($F$9-$E$9)),$G$9-SQRT((1-S534)*($G$9-$E$9)*($G$9-$F$9))))</f>
        <v>1.07882772178857</v>
      </c>
      <c r="F534" s="37" t="n">
        <f aca="false">1+IF($G$10=$E$10,$F$10,IF(T534&lt;($F$10-$E$10)/($G$10-$E$10),$E$10+SQRT(T534*($G$10-$E$10)*($F$10-$E$10)),$G$10-SQRT((1-T534)*($G$10-$E$10)*($G$10-$F$10))))</f>
        <v>0.969153877023183</v>
      </c>
      <c r="G534" s="38" t="n">
        <f aca="false">IF($G$11=$E$11,$F$11,IF(U534&lt;($F$11-$E$11)/($G$11-$E$11),$E$11+SQRT(U534*($G$11-$E$11)*($F$11-$E$11)),$G$11-SQRT((1-U534)*($G$11-$E$11)*($G$11-$F$11))))</f>
        <v>0.0979749108142969</v>
      </c>
      <c r="H534" s="39" t="n">
        <f aca="false">(('Business Case'!B11*$C534*'Business Case'!B12*$B534)-'Business Case'!B11*$C534*'Business Case'!B13*$D534-'Business Case'!B14*$E534)-MAX(0,(('Business Case'!B11*$C534*'Business Case'!B12*$B534)-'Business Case'!B11*$C534*'Business Case'!B13*$D534-'Business Case'!B14*$E534))*'Business Case'!$B$7-'Business Case'!$B$8*('Business Case'!B11*$C534*'Business Case'!B12*$B534)-'Business Case'!B15*$F534</f>
        <v>-1938307754.04637</v>
      </c>
      <c r="I534" s="39" t="n">
        <f aca="false">(('Business Case'!C11*$C534*'Business Case'!C12*$B534)-'Business Case'!C11*$C534*'Business Case'!C13*$D534-'Business Case'!C14*$E534)-MAX(0,(('Business Case'!C11*$C534*'Business Case'!C12*$B534)-'Business Case'!C11*$C534*'Business Case'!C13*$D534-'Business Case'!C14*$E534))*'Business Case'!$B$7-'Business Case'!$B$8*(('Business Case'!C11*$C534*'Business Case'!C12*$B534)-('Business Case'!B11*$C534*'Business Case'!B12*$B534))-'Business Case'!C15*$F534</f>
        <v>-118611.990197331</v>
      </c>
      <c r="J534" s="39" t="n">
        <f aca="false">(('Business Case'!D11*$C534*'Business Case'!D12*$B534)-'Business Case'!D11*$C534*'Business Case'!D13*$D534-'Business Case'!D14*$E534)-MAX(0,(('Business Case'!D11*$C534*'Business Case'!D12*$B534)-'Business Case'!D11*$C534*'Business Case'!D13*$D534-'Business Case'!D14*$E534))*'Business Case'!$B$7-'Business Case'!$B$8*(('Business Case'!D11*$C534*'Business Case'!D12*$B534)-('Business Case'!C11*$C534*'Business Case'!C12*$B534))-'Business Case'!D15*$F534</f>
        <v>296036881.026407</v>
      </c>
      <c r="K534" s="39" t="n">
        <f aca="false">(('Business Case'!E11*$C534*'Business Case'!E12*$B534)-'Business Case'!E11*$C534*'Business Case'!E13*$D534-'Business Case'!E14*$E534)-MAX(0,(('Business Case'!E11*$C534*'Business Case'!E12*$B534)-'Business Case'!E11*$C534*'Business Case'!E13*$D534-'Business Case'!E14*$E534))*'Business Case'!$B$7-'Business Case'!$B$8*(('Business Case'!E11*$C534*'Business Case'!E12*$B534)-('Business Case'!D11*$C534*'Business Case'!D12*$B534))-'Business Case'!E15*$F534</f>
        <v>640650067.894172</v>
      </c>
      <c r="L534" s="39" t="n">
        <f aca="false">(('Business Case'!F11*$C534*'Business Case'!F12*$B534)-'Business Case'!F11*$C534*'Business Case'!F13*$D534-'Business Case'!F14*$E534)-MAX(0,(('Business Case'!F11*$C534*'Business Case'!F12*$B534)-'Business Case'!F11*$C534*'Business Case'!F13*$D534-'Business Case'!F14*$E534))*'Business Case'!$B$7-'Business Case'!$B$8*(('Business Case'!F11*$C534*'Business Case'!F12*$B534)-('Business Case'!E11*$C534*'Business Case'!E12*$B534))-'Business Case'!F15*$F534</f>
        <v>770001509.077139</v>
      </c>
      <c r="M534" s="39" t="n">
        <f aca="false">(('Business Case'!G11*$C534*'Business Case'!G12*$B534)-'Business Case'!G11*$C534*'Business Case'!G13*$D534-'Business Case'!G14*$E534)-MAX(0,(('Business Case'!G11*$C534*'Business Case'!G12*$B534)-'Business Case'!G11*$C534*'Business Case'!G13*$D534-'Business Case'!G14*$E534))*'Business Case'!$B$7-'Business Case'!$B$8*(('Business Case'!G11*$C534*'Business Case'!G12*$B534)-('Business Case'!F11*$C534*'Business Case'!F12*$B534))-'Business Case'!G15*$F534+'Business Case'!$B$8*('Business Case'!G11*$C534*'Business Case'!G12*$B534)</f>
        <v>938482698.386355</v>
      </c>
      <c r="N534" s="39" t="n">
        <f aca="false">IF(COUNT('Business Case'!B11:G11)=0,"",H534+NPV(G534,I534:M534))</f>
        <v>-90926050.8926554</v>
      </c>
      <c r="P534" s="40" t="n">
        <f aca="true">RAND()</f>
        <v>0.998296226786223</v>
      </c>
      <c r="Q534" s="40" t="n">
        <f aca="true">RAND()</f>
        <v>0.160165834088485</v>
      </c>
      <c r="R534" s="40" t="n">
        <f aca="true">RAND()</f>
        <v>0.227379898463978</v>
      </c>
      <c r="S534" s="40" t="n">
        <f aca="true">RAND()</f>
        <v>0.864920181711846</v>
      </c>
      <c r="T534" s="40" t="n">
        <f aca="true">RAND()</f>
        <v>0.0244580670012798</v>
      </c>
      <c r="U534" s="40" t="n">
        <f aca="true">RAND()</f>
        <v>0.323097418781929</v>
      </c>
    </row>
    <row r="535" customFormat="false" ht="15" hidden="false" customHeight="false" outlineLevel="0" collapsed="false">
      <c r="A535" s="36" t="n">
        <v>455</v>
      </c>
      <c r="B535" s="37" t="n">
        <f aca="false">1+IF($G$6=$E$6,$F$6,IF(P535&lt;($F$6-$E$6)/($G$6-$E$6),$E$6+SQRT(P535*($G$6-$E$6)*($F$6-$E$6)),$G$6-SQRT((1-P535)*($G$6-$E$6)*($G$6-$F$6))))</f>
        <v>0.995420964518303</v>
      </c>
      <c r="C535" s="37" t="n">
        <f aca="false">1+IF($G$7=$E$7,$F$7,IF(Q535&lt;($F$7-$E$7)/($G$7-$E$7),$E$7+SQRT(Q535*($G$7-$E$7)*($F$7-$E$7)),$G$7-SQRT((1-Q535)*($G$7-$E$7)*($G$7-$F$7))))</f>
        <v>0.968625262449049</v>
      </c>
      <c r="D535" s="37" t="n">
        <f aca="false">1+IF($G$8=$E$8,$F$8,IF(R535&lt;($F$8-$E$8)/($G$8-$E$8),$E$8+SQRT(R535*($G$8-$E$8)*($F$8-$E$8)),$G$8-SQRT((1-R535)*($G$8-$E$8)*($G$8-$F$8))))</f>
        <v>1.01360256563122</v>
      </c>
      <c r="E535" s="37" t="n">
        <f aca="false">1+IF($G$9=$E$9,$F$9,IF(S535&lt;($F$9-$E$9)/($G$9-$E$9),$E$9+SQRT(S535*($G$9-$E$9)*($F$9-$E$9)),$G$9-SQRT((1-S535)*($G$9-$E$9)*($G$9-$F$9))))</f>
        <v>0.968086984762171</v>
      </c>
      <c r="F535" s="37" t="n">
        <f aca="false">1+IF($G$10=$E$10,$F$10,IF(T535&lt;($F$10-$E$10)/($G$10-$E$10),$E$10+SQRT(T535*($G$10-$E$10)*($F$10-$E$10)),$G$10-SQRT((1-T535)*($G$10-$E$10)*($G$10-$F$10))))</f>
        <v>0.992194781464933</v>
      </c>
      <c r="G535" s="38" t="n">
        <f aca="false">IF($G$11=$E$11,$F$11,IF(U535&lt;($F$11-$E$11)/($G$11-$E$11),$E$11+SQRT(U535*($G$11-$E$11)*($F$11-$E$11)),$G$11-SQRT((1-U535)*($G$11-$E$11)*($G$11-$F$11))))</f>
        <v>0.113387491971236</v>
      </c>
      <c r="H535" s="39" t="n">
        <f aca="false">(('Business Case'!B11*$C535*'Business Case'!B12*$B535)-'Business Case'!B11*$C535*'Business Case'!B13*$D535-'Business Case'!B14*$E535)-MAX(0,(('Business Case'!B11*$C535*'Business Case'!B12*$B535)-'Business Case'!B11*$C535*'Business Case'!B13*$D535-'Business Case'!B14*$E535))*'Business Case'!$B$7-'Business Case'!$B$8*('Business Case'!B11*$C535*'Business Case'!B12*$B535)-'Business Case'!B15*$F535</f>
        <v>-1984389562.92987</v>
      </c>
      <c r="I535" s="39" t="n">
        <f aca="false">(('Business Case'!C11*$C535*'Business Case'!C12*$B535)-'Business Case'!C11*$C535*'Business Case'!C13*$D535-'Business Case'!C14*$E535)-MAX(0,(('Business Case'!C11*$C535*'Business Case'!C12*$B535)-'Business Case'!C11*$C535*'Business Case'!C13*$D535-'Business Case'!C14*$E535))*'Business Case'!$B$7-'Business Case'!$B$8*(('Business Case'!C11*$C535*'Business Case'!C12*$B535)-('Business Case'!B11*$C535*'Business Case'!B12*$B535))-'Business Case'!C15*$F535</f>
        <v>272298.502903953</v>
      </c>
      <c r="J535" s="39" t="n">
        <f aca="false">(('Business Case'!D11*$C535*'Business Case'!D12*$B535)-'Business Case'!D11*$C535*'Business Case'!D13*$D535-'Business Case'!D14*$E535)-MAX(0,(('Business Case'!D11*$C535*'Business Case'!D12*$B535)-'Business Case'!D11*$C535*'Business Case'!D13*$D535-'Business Case'!D14*$E535))*'Business Case'!$B$7-'Business Case'!$B$8*(('Business Case'!D11*$C535*'Business Case'!D12*$B535)-('Business Case'!C11*$C535*'Business Case'!C12*$B535))-'Business Case'!D15*$F535</f>
        <v>287409648.4388</v>
      </c>
      <c r="K535" s="39" t="n">
        <f aca="false">(('Business Case'!E11*$C535*'Business Case'!E12*$B535)-'Business Case'!E11*$C535*'Business Case'!E13*$D535-'Business Case'!E14*$E535)-MAX(0,(('Business Case'!E11*$C535*'Business Case'!E12*$B535)-'Business Case'!E11*$C535*'Business Case'!E13*$D535-'Business Case'!E14*$E535))*'Business Case'!$B$7-'Business Case'!$B$8*(('Business Case'!E11*$C535*'Business Case'!E12*$B535)-('Business Case'!D11*$C535*'Business Case'!D12*$B535))-'Business Case'!E15*$F535</f>
        <v>624156737.447943</v>
      </c>
      <c r="L535" s="39" t="n">
        <f aca="false">(('Business Case'!F11*$C535*'Business Case'!F12*$B535)-'Business Case'!F11*$C535*'Business Case'!F13*$D535-'Business Case'!F14*$E535)-MAX(0,(('Business Case'!F11*$C535*'Business Case'!F12*$B535)-'Business Case'!F11*$C535*'Business Case'!F13*$D535-'Business Case'!F14*$E535))*'Business Case'!$B$7-'Business Case'!$B$8*(('Business Case'!F11*$C535*'Business Case'!F12*$B535)-('Business Case'!E11*$C535*'Business Case'!E12*$B535))-'Business Case'!F15*$F535</f>
        <v>753191590.128788</v>
      </c>
      <c r="M535" s="39" t="n">
        <f aca="false">(('Business Case'!G11*$C535*'Business Case'!G12*$B535)-'Business Case'!G11*$C535*'Business Case'!G13*$D535-'Business Case'!G14*$E535)-MAX(0,(('Business Case'!G11*$C535*'Business Case'!G12*$B535)-'Business Case'!G11*$C535*'Business Case'!G13*$D535-'Business Case'!G14*$E535))*'Business Case'!$B$7-'Business Case'!$B$8*(('Business Case'!G11*$C535*'Business Case'!G12*$B535)-('Business Case'!F11*$C535*'Business Case'!F12*$B535))-'Business Case'!G15*$F535+'Business Case'!$B$8*('Business Case'!G11*$C535*'Business Case'!G12*$B535)</f>
        <v>936464804.990955</v>
      </c>
      <c r="N535" s="39" t="n">
        <f aca="false">IF(COUNT('Business Case'!B11:G11)=0,"",H535+NPV(G535,I535:M535))</f>
        <v>-262585861.158916</v>
      </c>
      <c r="P535" s="40" t="n">
        <f aca="true">RAND()</f>
        <v>0.607010697973548</v>
      </c>
      <c r="Q535" s="40" t="n">
        <f aca="true">RAND()</f>
        <v>0.534515049080151</v>
      </c>
      <c r="R535" s="40" t="n">
        <f aca="true">RAND()</f>
        <v>0.502365555632787</v>
      </c>
      <c r="S535" s="40" t="n">
        <f aca="true">RAND()</f>
        <v>0.185433499760163</v>
      </c>
      <c r="T535" s="40" t="n">
        <f aca="true">RAND()</f>
        <v>0.118693305524899</v>
      </c>
      <c r="U535" s="40" t="n">
        <f aca="true">RAND()</f>
        <v>0.816016384662825</v>
      </c>
    </row>
    <row r="536" customFormat="false" ht="15" hidden="false" customHeight="false" outlineLevel="0" collapsed="false">
      <c r="A536" s="36" t="n">
        <v>456</v>
      </c>
      <c r="B536" s="37" t="n">
        <f aca="false">1+IF($G$6=$E$6,$F$6,IF(P536&lt;($F$6-$E$6)/($G$6-$E$6),$E$6+SQRT(P536*($G$6-$E$6)*($F$6-$E$6)),$G$6-SQRT((1-P536)*($G$6-$E$6)*($G$6-$F$6))))</f>
        <v>0.968600669086223</v>
      </c>
      <c r="C536" s="37" t="n">
        <f aca="false">1+IF($G$7=$E$7,$F$7,IF(Q536&lt;($F$7-$E$7)/($G$7-$E$7),$E$7+SQRT(Q536*($G$7-$E$7)*($F$7-$E$7)),$G$7-SQRT((1-Q536)*($G$7-$E$7)*($G$7-$F$7))))</f>
        <v>0.993812824661937</v>
      </c>
      <c r="D536" s="37" t="n">
        <f aca="false">1+IF($G$8=$E$8,$F$8,IF(R536&lt;($F$8-$E$8)/($G$8-$E$8),$E$8+SQRT(R536*($G$8-$E$8)*($F$8-$E$8)),$G$8-SQRT((1-R536)*($G$8-$E$8)*($G$8-$F$8))))</f>
        <v>1.01766231801145</v>
      </c>
      <c r="E536" s="37" t="n">
        <f aca="false">1+IF($G$9=$E$9,$F$9,IF(S536&lt;($F$9-$E$9)/($G$9-$E$9),$E$9+SQRT(S536*($G$9-$E$9)*($F$9-$E$9)),$G$9-SQRT((1-S536)*($G$9-$E$9)*($G$9-$F$9))))</f>
        <v>1.04553561120568</v>
      </c>
      <c r="F536" s="37" t="n">
        <f aca="false">1+IF($G$10=$E$10,$F$10,IF(T536&lt;($F$10-$E$10)/($G$10-$E$10),$E$10+SQRT(T536*($G$10-$E$10)*($F$10-$E$10)),$G$10-SQRT((1-T536)*($G$10-$E$10)*($G$10-$F$10))))</f>
        <v>1.04794905485628</v>
      </c>
      <c r="G536" s="38" t="n">
        <f aca="false">IF($G$11=$E$11,$F$11,IF(U536&lt;($F$11-$E$11)/($G$11-$E$11),$E$11+SQRT(U536*($G$11-$E$11)*($F$11-$E$11)),$G$11-SQRT((1-U536)*($G$11-$E$11)*($G$11-$F$11))))</f>
        <v>0.0858934937922523</v>
      </c>
      <c r="H536" s="39" t="n">
        <f aca="false">(('Business Case'!B11*$C536*'Business Case'!B12*$B536)-'Business Case'!B11*$C536*'Business Case'!B13*$D536-'Business Case'!B14*$E536)-MAX(0,(('Business Case'!B11*$C536*'Business Case'!B12*$B536)-'Business Case'!B11*$C536*'Business Case'!B13*$D536-'Business Case'!B14*$E536))*'Business Case'!$B$7-'Business Case'!$B$8*('Business Case'!B11*$C536*'Business Case'!B12*$B536)-'Business Case'!B15*$F536</f>
        <v>-2095898109.71256</v>
      </c>
      <c r="I536" s="39" t="n">
        <f aca="false">(('Business Case'!C11*$C536*'Business Case'!C12*$B536)-'Business Case'!C11*$C536*'Business Case'!C13*$D536-'Business Case'!C14*$E536)-MAX(0,(('Business Case'!C11*$C536*'Business Case'!C12*$B536)-'Business Case'!C11*$C536*'Business Case'!C13*$D536-'Business Case'!C14*$E536))*'Business Case'!$B$7-'Business Case'!$B$8*(('Business Case'!C11*$C536*'Business Case'!C12*$B536)-('Business Case'!B11*$C536*'Business Case'!B12*$B536))-'Business Case'!C15*$F536</f>
        <v>-32664999.6663373</v>
      </c>
      <c r="J536" s="39" t="n">
        <f aca="false">(('Business Case'!D11*$C536*'Business Case'!D12*$B536)-'Business Case'!D11*$C536*'Business Case'!D13*$D536-'Business Case'!D14*$E536)-MAX(0,(('Business Case'!D11*$C536*'Business Case'!D12*$B536)-'Business Case'!D11*$C536*'Business Case'!D13*$D536-'Business Case'!D14*$E536))*'Business Case'!$B$7-'Business Case'!$B$8*(('Business Case'!D11*$C536*'Business Case'!D12*$B536)-('Business Case'!C11*$C536*'Business Case'!C12*$B536))-'Business Case'!D15*$F536</f>
        <v>238041656.703223</v>
      </c>
      <c r="K536" s="39" t="n">
        <f aca="false">(('Business Case'!E11*$C536*'Business Case'!E12*$B536)-'Business Case'!E11*$C536*'Business Case'!E13*$D536-'Business Case'!E14*$E536)-MAX(0,(('Business Case'!E11*$C536*'Business Case'!E12*$B536)-'Business Case'!E11*$C536*'Business Case'!E13*$D536-'Business Case'!E14*$E536))*'Business Case'!$B$7-'Business Case'!$B$8*(('Business Case'!E11*$C536*'Business Case'!E12*$B536)-('Business Case'!D11*$C536*'Business Case'!D12*$B536))-'Business Case'!E15*$F536</f>
        <v>561145765.815598</v>
      </c>
      <c r="L536" s="39" t="n">
        <f aca="false">(('Business Case'!F11*$C536*'Business Case'!F12*$B536)-'Business Case'!F11*$C536*'Business Case'!F13*$D536-'Business Case'!F14*$E536)-MAX(0,(('Business Case'!F11*$C536*'Business Case'!F12*$B536)-'Business Case'!F11*$C536*'Business Case'!F13*$D536-'Business Case'!F14*$E536))*'Business Case'!$B$7-'Business Case'!$B$8*(('Business Case'!F11*$C536*'Business Case'!F12*$B536)-('Business Case'!E11*$C536*'Business Case'!E12*$B536))-'Business Case'!F15*$F536</f>
        <v>684649042.363333</v>
      </c>
      <c r="M536" s="39" t="n">
        <f aca="false">(('Business Case'!G11*$C536*'Business Case'!G12*$B536)-'Business Case'!G11*$C536*'Business Case'!G13*$D536-'Business Case'!G14*$E536)-MAX(0,(('Business Case'!G11*$C536*'Business Case'!G12*$B536)-'Business Case'!G11*$C536*'Business Case'!G13*$D536-'Business Case'!G14*$E536))*'Business Case'!$B$7-'Business Case'!$B$8*(('Business Case'!G11*$C536*'Business Case'!G12*$B536)-('Business Case'!F11*$C536*'Business Case'!F12*$B536))-'Business Case'!G15*$F536+'Business Case'!$B$8*('Business Case'!G11*$C536*'Business Case'!G12*$B536)</f>
        <v>867621526.69835</v>
      </c>
      <c r="N536" s="39" t="n">
        <f aca="false">IF(COUNT('Business Case'!B11:G11)=0,"",H536+NPV(G536,I536:M536))</f>
        <v>-418825265.36988</v>
      </c>
      <c r="P536" s="40" t="n">
        <f aca="true">RAND()</f>
        <v>0.313736786605161</v>
      </c>
      <c r="Q536" s="40" t="n">
        <f aca="true">RAND()</f>
        <v>0.639451673598712</v>
      </c>
      <c r="R536" s="40" t="n">
        <f aca="true">RAND()</f>
        <v>0.548033741650143</v>
      </c>
      <c r="S536" s="40" t="n">
        <f aca="true">RAND()</f>
        <v>0.708991772635417</v>
      </c>
      <c r="T536" s="40" t="n">
        <f aca="true">RAND()</f>
        <v>0.455672207553733</v>
      </c>
      <c r="U536" s="40" t="n">
        <f aca="true">RAND()</f>
        <v>0.034733269079316</v>
      </c>
    </row>
    <row r="537" customFormat="false" ht="15" hidden="false" customHeight="false" outlineLevel="0" collapsed="false">
      <c r="A537" s="36" t="n">
        <v>457</v>
      </c>
      <c r="B537" s="37" t="n">
        <f aca="false">1+IF($G$6=$E$6,$F$6,IF(P537&lt;($F$6-$E$6)/($G$6-$E$6),$E$6+SQRT(P537*($G$6-$E$6)*($F$6-$E$6)),$G$6-SQRT((1-P537)*($G$6-$E$6)*($G$6-$F$6))))</f>
        <v>1.00942247862718</v>
      </c>
      <c r="C537" s="37" t="n">
        <f aca="false">1+IF($G$7=$E$7,$F$7,IF(Q537&lt;($F$7-$E$7)/($G$7-$E$7),$E$7+SQRT(Q537*($G$7-$E$7)*($F$7-$E$7)),$G$7-SQRT((1-Q537)*($G$7-$E$7)*($G$7-$F$7))))</f>
        <v>1.07848016098997</v>
      </c>
      <c r="D537" s="37" t="n">
        <f aca="false">1+IF($G$8=$E$8,$F$8,IF(R537&lt;($F$8-$E$8)/($G$8-$E$8),$E$8+SQRT(R537*($G$8-$E$8)*($F$8-$E$8)),$G$8-SQRT((1-R537)*($G$8-$E$8)*($G$8-$F$8))))</f>
        <v>0.996173690297322</v>
      </c>
      <c r="E537" s="37" t="n">
        <f aca="false">1+IF($G$9=$E$9,$F$9,IF(S537&lt;($F$9-$E$9)/($G$9-$E$9),$E$9+SQRT(S537*($G$9-$E$9)*($F$9-$E$9)),$G$9-SQRT((1-S537)*($G$9-$E$9)*($G$9-$F$9))))</f>
        <v>0.954694645802332</v>
      </c>
      <c r="F537" s="37" t="n">
        <f aca="false">1+IF($G$10=$E$10,$F$10,IF(T537&lt;($F$10-$E$10)/($G$10-$E$10),$E$10+SQRT(T537*($G$10-$E$10)*($F$10-$E$10)),$G$10-SQRT((1-T537)*($G$10-$E$10)*($G$10-$F$10))))</f>
        <v>1.05304966159045</v>
      </c>
      <c r="G537" s="38" t="n">
        <f aca="false">IF($G$11=$E$11,$F$11,IF(U537&lt;($F$11-$E$11)/($G$11-$E$11),$E$11+SQRT(U537*($G$11-$E$11)*($F$11-$E$11)),$G$11-SQRT((1-U537)*($G$11-$E$11)*($G$11-$F$11))))</f>
        <v>0.0839102380167401</v>
      </c>
      <c r="H537" s="39" t="n">
        <f aca="false">(('Business Case'!B11*$C537*'Business Case'!B12*$B537)-'Business Case'!B11*$C537*'Business Case'!B13*$D537-'Business Case'!B14*$E537)-MAX(0,(('Business Case'!B11*$C537*'Business Case'!B12*$B537)-'Business Case'!B11*$C537*'Business Case'!B13*$D537-'Business Case'!B14*$E537))*'Business Case'!$B$7-'Business Case'!$B$8*('Business Case'!B11*$C537*'Business Case'!B12*$B537)-'Business Case'!B15*$F537</f>
        <v>-2106099323.18089</v>
      </c>
      <c r="I537" s="39" t="n">
        <f aca="false">(('Business Case'!C11*$C537*'Business Case'!C12*$B537)-'Business Case'!C11*$C537*'Business Case'!C13*$D537-'Business Case'!C14*$E537)-MAX(0,(('Business Case'!C11*$C537*'Business Case'!C12*$B537)-'Business Case'!C11*$C537*'Business Case'!C13*$D537-'Business Case'!C14*$E537))*'Business Case'!$B$7-'Business Case'!$B$8*(('Business Case'!C11*$C537*'Business Case'!C12*$B537)-('Business Case'!B11*$C537*'Business Case'!B12*$B537))-'Business Case'!C15*$F537</f>
        <v>44195448.7143917</v>
      </c>
      <c r="J537" s="39" t="n">
        <f aca="false">(('Business Case'!D11*$C537*'Business Case'!D12*$B537)-'Business Case'!D11*$C537*'Business Case'!D13*$D537-'Business Case'!D14*$E537)-MAX(0,(('Business Case'!D11*$C537*'Business Case'!D12*$B537)-'Business Case'!D11*$C537*'Business Case'!D13*$D537-'Business Case'!D14*$E537))*'Business Case'!$B$7-'Business Case'!$B$8*(('Business Case'!D11*$C537*'Business Case'!D12*$B537)-('Business Case'!C11*$C537*'Business Case'!C12*$B537))-'Business Case'!D15*$F537</f>
        <v>385888649.579509</v>
      </c>
      <c r="K537" s="39" t="n">
        <f aca="false">(('Business Case'!E11*$C537*'Business Case'!E12*$B537)-'Business Case'!E11*$C537*'Business Case'!E13*$D537-'Business Case'!E14*$E537)-MAX(0,(('Business Case'!E11*$C537*'Business Case'!E12*$B537)-'Business Case'!E11*$C537*'Business Case'!E13*$D537-'Business Case'!E14*$E537))*'Business Case'!$B$7-'Business Case'!$B$8*(('Business Case'!E11*$C537*'Business Case'!E12*$B537)-('Business Case'!D11*$C537*'Business Case'!D12*$B537))-'Business Case'!E15*$F537</f>
        <v>780234333.524148</v>
      </c>
      <c r="L537" s="39" t="n">
        <f aca="false">(('Business Case'!F11*$C537*'Business Case'!F12*$B537)-'Business Case'!F11*$C537*'Business Case'!F13*$D537-'Business Case'!F14*$E537)-MAX(0,(('Business Case'!F11*$C537*'Business Case'!F12*$B537)-'Business Case'!F11*$C537*'Business Case'!F13*$D537-'Business Case'!F14*$E537))*'Business Case'!$B$7-'Business Case'!$B$8*(('Business Case'!F11*$C537*'Business Case'!F12*$B537)-('Business Case'!E11*$C537*'Business Case'!E12*$B537))-'Business Case'!F15*$F537</f>
        <v>931755538.718246</v>
      </c>
      <c r="M537" s="39" t="n">
        <f aca="false">(('Business Case'!G11*$C537*'Business Case'!G12*$B537)-'Business Case'!G11*$C537*'Business Case'!G13*$D537-'Business Case'!G14*$E537)-MAX(0,(('Business Case'!G11*$C537*'Business Case'!G12*$B537)-'Business Case'!G11*$C537*'Business Case'!G13*$D537-'Business Case'!G14*$E537))*'Business Case'!$B$7-'Business Case'!$B$8*(('Business Case'!G11*$C537*'Business Case'!G12*$B537)-('Business Case'!F11*$C537*'Business Case'!F12*$B537))-'Business Case'!G15*$F537+'Business Case'!$B$8*('Business Case'!G11*$C537*'Business Case'!G12*$B537)</f>
        <v>1138684632.36641</v>
      </c>
      <c r="N537" s="39" t="n">
        <f aca="false">IF(COUNT('Business Case'!B11:G11)=0,"",H537+NPV(G537,I537:M537))</f>
        <v>311955708.187693</v>
      </c>
      <c r="P537" s="40" t="n">
        <f aca="true">RAND()</f>
        <v>0.780461967898466</v>
      </c>
      <c r="Q537" s="40" t="n">
        <f aca="true">RAND()</f>
        <v>0.924220927821915</v>
      </c>
      <c r="R537" s="40" t="n">
        <f aca="true">RAND()</f>
        <v>0.284267956756405</v>
      </c>
      <c r="S537" s="40" t="n">
        <f aca="true">RAND()</f>
        <v>0.1196601711777</v>
      </c>
      <c r="T537" s="40" t="n">
        <f aca="true">RAND()</f>
        <v>0.482807522671494</v>
      </c>
      <c r="U537" s="40" t="n">
        <f aca="true">RAND()</f>
        <v>0.0152899613475596</v>
      </c>
    </row>
    <row r="538" customFormat="false" ht="15" hidden="false" customHeight="false" outlineLevel="0" collapsed="false">
      <c r="A538" s="36" t="n">
        <v>458</v>
      </c>
      <c r="B538" s="37" t="n">
        <f aca="false">1+IF($G$6=$E$6,$F$6,IF(P538&lt;($F$6-$E$6)/($G$6-$E$6),$E$6+SQRT(P538*($G$6-$E$6)*($F$6-$E$6)),$G$6-SQRT((1-P538)*($G$6-$E$6)*($G$6-$F$6))))</f>
        <v>0.989612098952191</v>
      </c>
      <c r="C538" s="37" t="n">
        <f aca="false">1+IF($G$7=$E$7,$F$7,IF(Q538&lt;($F$7-$E$7)/($G$7-$E$7),$E$7+SQRT(Q538*($G$7-$E$7)*($F$7-$E$7)),$G$7-SQRT((1-Q538)*($G$7-$E$7)*($G$7-$F$7))))</f>
        <v>0.990372938909833</v>
      </c>
      <c r="D538" s="37" t="n">
        <f aca="false">1+IF($G$8=$E$8,$F$8,IF(R538&lt;($F$8-$E$8)/($G$8-$E$8),$E$8+SQRT(R538*($G$8-$E$8)*($F$8-$E$8)),$G$8-SQRT((1-R538)*($G$8-$E$8)*($G$8-$F$8))))</f>
        <v>1.007909531095</v>
      </c>
      <c r="E538" s="37" t="n">
        <f aca="false">1+IF($G$9=$E$9,$F$9,IF(S538&lt;($F$9-$E$9)/($G$9-$E$9),$E$9+SQRT(S538*($G$9-$E$9)*($F$9-$E$9)),$G$9-SQRT((1-S538)*($G$9-$E$9)*($G$9-$F$9))))</f>
        <v>0.997151634559984</v>
      </c>
      <c r="F538" s="37" t="n">
        <f aca="false">1+IF($G$10=$E$10,$F$10,IF(T538&lt;($F$10-$E$10)/($G$10-$E$10),$E$10+SQRT(T538*($G$10-$E$10)*($F$10-$E$10)),$G$10-SQRT((1-T538)*($G$10-$E$10)*($G$10-$F$10))))</f>
        <v>0.98964558027464</v>
      </c>
      <c r="G538" s="38" t="n">
        <f aca="false">IF($G$11=$E$11,$F$11,IF(U538&lt;($F$11-$E$11)/($G$11-$E$11),$E$11+SQRT(U538*($G$11-$E$11)*($F$11-$E$11)),$G$11-SQRT((1-U538)*($G$11-$E$11)*($G$11-$F$11))))</f>
        <v>0.117421276442157</v>
      </c>
      <c r="H538" s="39" t="n">
        <f aca="false">(('Business Case'!B11*$C538*'Business Case'!B12*$B538)-'Business Case'!B11*$C538*'Business Case'!B13*$D538-'Business Case'!B14*$E538)-MAX(0,(('Business Case'!B11*$C538*'Business Case'!B12*$B538)-'Business Case'!B11*$C538*'Business Case'!B13*$D538-'Business Case'!B14*$E538))*'Business Case'!$B$7-'Business Case'!$B$8*('Business Case'!B11*$C538*'Business Case'!B12*$B538)-'Business Case'!B15*$F538</f>
        <v>-1979291160.54928</v>
      </c>
      <c r="I538" s="39" t="n">
        <f aca="false">(('Business Case'!C11*$C538*'Business Case'!C12*$B538)-'Business Case'!C11*$C538*'Business Case'!C13*$D538-'Business Case'!C14*$E538)-MAX(0,(('Business Case'!C11*$C538*'Business Case'!C12*$B538)-'Business Case'!C11*$C538*'Business Case'!C13*$D538-'Business Case'!C14*$E538))*'Business Case'!$B$7-'Business Case'!$B$8*(('Business Case'!C11*$C538*'Business Case'!C12*$B538)-('Business Case'!B11*$C538*'Business Case'!B12*$B538))-'Business Case'!C15*$F538</f>
        <v>191305.4904605</v>
      </c>
      <c r="J538" s="39" t="n">
        <f aca="false">(('Business Case'!D11*$C538*'Business Case'!D12*$B538)-'Business Case'!D11*$C538*'Business Case'!D13*$D538-'Business Case'!D14*$E538)-MAX(0,(('Business Case'!D11*$C538*'Business Case'!D12*$B538)-'Business Case'!D11*$C538*'Business Case'!D13*$D538-'Business Case'!D14*$E538))*'Business Case'!$B$7-'Business Case'!$B$8*(('Business Case'!D11*$C538*'Business Case'!D12*$B538)-('Business Case'!C11*$C538*'Business Case'!C12*$B538))-'Business Case'!D15*$F538</f>
        <v>291949740.062604</v>
      </c>
      <c r="K538" s="39" t="n">
        <f aca="false">(('Business Case'!E11*$C538*'Business Case'!E12*$B538)-'Business Case'!E11*$C538*'Business Case'!E13*$D538-'Business Case'!E14*$E538)-MAX(0,(('Business Case'!E11*$C538*'Business Case'!E12*$B538)-'Business Case'!E11*$C538*'Business Case'!E13*$D538-'Business Case'!E14*$E538))*'Business Case'!$B$7-'Business Case'!$B$8*(('Business Case'!E11*$C538*'Business Case'!E12*$B538)-('Business Case'!D11*$C538*'Business Case'!D12*$B538))-'Business Case'!E15*$F538</f>
        <v>633190453.648479</v>
      </c>
      <c r="L538" s="39" t="n">
        <f aca="false">(('Business Case'!F11*$C538*'Business Case'!F12*$B538)-'Business Case'!F11*$C538*'Business Case'!F13*$D538-'Business Case'!F14*$E538)-MAX(0,(('Business Case'!F11*$C538*'Business Case'!F12*$B538)-'Business Case'!F11*$C538*'Business Case'!F13*$D538-'Business Case'!F14*$E538))*'Business Case'!$B$7-'Business Case'!$B$8*(('Business Case'!F11*$C538*'Business Case'!F12*$B538)-('Business Case'!E11*$C538*'Business Case'!E12*$B538))-'Business Case'!F15*$F538</f>
        <v>764315004.252387</v>
      </c>
      <c r="M538" s="39" t="n">
        <f aca="false">(('Business Case'!G11*$C538*'Business Case'!G12*$B538)-'Business Case'!G11*$C538*'Business Case'!G13*$D538-'Business Case'!G14*$E538)-MAX(0,(('Business Case'!G11*$C538*'Business Case'!G12*$B538)-'Business Case'!G11*$C538*'Business Case'!G13*$D538-'Business Case'!G14*$E538))*'Business Case'!$B$7-'Business Case'!$B$8*(('Business Case'!G11*$C538*'Business Case'!G12*$B538)-('Business Case'!F11*$C538*'Business Case'!F12*$B538))-'Business Case'!G15*$F538+'Business Case'!$B$8*('Business Case'!G11*$C538*'Business Case'!G12*$B538)</f>
        <v>950609569.191614</v>
      </c>
      <c r="N538" s="39" t="n">
        <f aca="false">IF(COUNT('Business Case'!B11:G11)=0,"",H538+NPV(G538,I538:M538))</f>
        <v>-255594482.423274</v>
      </c>
      <c r="P538" s="40" t="n">
        <f aca="true">RAND()</f>
        <v>0.535355218574488</v>
      </c>
      <c r="Q538" s="40" t="n">
        <f aca="true">RAND()</f>
        <v>0.624566249267658</v>
      </c>
      <c r="R538" s="40" t="n">
        <f aca="true">RAND()</f>
        <v>0.434623035790537</v>
      </c>
      <c r="S538" s="40" t="n">
        <f aca="true">RAND()</f>
        <v>0.377537603907063</v>
      </c>
      <c r="T538" s="40" t="n">
        <f aca="true">RAND()</f>
        <v>0.104784802354193</v>
      </c>
      <c r="U538" s="40" t="n">
        <f aca="true">RAND()</f>
        <v>0.89451714243691</v>
      </c>
    </row>
    <row r="539" customFormat="false" ht="15" hidden="false" customHeight="false" outlineLevel="0" collapsed="false">
      <c r="A539" s="36" t="n">
        <v>459</v>
      </c>
      <c r="B539" s="37" t="n">
        <f aca="false">1+IF($G$6=$E$6,$F$6,IF(P539&lt;($F$6-$E$6)/($G$6-$E$6),$E$6+SQRT(P539*($G$6-$E$6)*($F$6-$E$6)),$G$6-SQRT((1-P539)*($G$6-$E$6)*($G$6-$F$6))))</f>
        <v>0.969653129142781</v>
      </c>
      <c r="C539" s="37" t="n">
        <f aca="false">1+IF($G$7=$E$7,$F$7,IF(Q539&lt;($F$7-$E$7)/($G$7-$E$7),$E$7+SQRT(Q539*($G$7-$E$7)*($F$7-$E$7)),$G$7-SQRT((1-Q539)*($G$7-$E$7)*($G$7-$F$7))))</f>
        <v>1.09111135810152</v>
      </c>
      <c r="D539" s="37" t="n">
        <f aca="false">1+IF($G$8=$E$8,$F$8,IF(R539&lt;($F$8-$E$8)/($G$8-$E$8),$E$8+SQRT(R539*($G$8-$E$8)*($F$8-$E$8)),$G$8-SQRT((1-R539)*($G$8-$E$8)*($G$8-$F$8))))</f>
        <v>1.08058281568113</v>
      </c>
      <c r="E539" s="37" t="n">
        <f aca="false">1+IF($G$9=$E$9,$F$9,IF(S539&lt;($F$9-$E$9)/($G$9-$E$9),$E$9+SQRT(S539*($G$9-$E$9)*($F$9-$E$9)),$G$9-SQRT((1-S539)*($G$9-$E$9)*($G$9-$F$9))))</f>
        <v>1.08755796076012</v>
      </c>
      <c r="F539" s="37" t="n">
        <f aca="false">1+IF($G$10=$E$10,$F$10,IF(T539&lt;($F$10-$E$10)/($G$10-$E$10),$E$10+SQRT(T539*($G$10-$E$10)*($F$10-$E$10)),$G$10-SQRT((1-T539)*($G$10-$E$10)*($G$10-$F$10))))</f>
        <v>1.00729308611718</v>
      </c>
      <c r="G539" s="38" t="n">
        <f aca="false">IF($G$11=$E$11,$F$11,IF(U539&lt;($F$11-$E$11)/($G$11-$E$11),$E$11+SQRT(U539*($G$11-$E$11)*($F$11-$E$11)),$G$11-SQRT((1-U539)*($G$11-$E$11)*($G$11-$F$11))))</f>
        <v>0.106412377900186</v>
      </c>
      <c r="H539" s="39" t="n">
        <f aca="false">(('Business Case'!B11*$C539*'Business Case'!B12*$B539)-'Business Case'!B11*$C539*'Business Case'!B13*$D539-'Business Case'!B14*$E539)-MAX(0,(('Business Case'!B11*$C539*'Business Case'!B12*$B539)-'Business Case'!B11*$C539*'Business Case'!B13*$D539-'Business Case'!B14*$E539))*'Business Case'!$B$7-'Business Case'!$B$8*('Business Case'!B11*$C539*'Business Case'!B12*$B539)-'Business Case'!B15*$F539</f>
        <v>-2014586172.23437</v>
      </c>
      <c r="I539" s="39" t="n">
        <f aca="false">(('Business Case'!C11*$C539*'Business Case'!C12*$B539)-'Business Case'!C11*$C539*'Business Case'!C13*$D539-'Business Case'!C14*$E539)-MAX(0,(('Business Case'!C11*$C539*'Business Case'!C12*$B539)-'Business Case'!C11*$C539*'Business Case'!C13*$D539-'Business Case'!C14*$E539))*'Business Case'!$B$7-'Business Case'!$B$8*(('Business Case'!C11*$C539*'Business Case'!C12*$B539)-('Business Case'!B11*$C539*'Business Case'!B12*$B539))-'Business Case'!C15*$F539</f>
        <v>-47221148.631019</v>
      </c>
      <c r="J539" s="39" t="n">
        <f aca="false">(('Business Case'!D11*$C539*'Business Case'!D12*$B539)-'Business Case'!D11*$C539*'Business Case'!D13*$D539-'Business Case'!D14*$E539)-MAX(0,(('Business Case'!D11*$C539*'Business Case'!D12*$B539)-'Business Case'!D11*$C539*'Business Case'!D13*$D539-'Business Case'!D14*$E539))*'Business Case'!$B$7-'Business Case'!$B$8*(('Business Case'!D11*$C539*'Business Case'!D12*$B539)-('Business Case'!C11*$C539*'Business Case'!C12*$B539))-'Business Case'!D15*$F539</f>
        <v>215784449.659521</v>
      </c>
      <c r="K539" s="39" t="n">
        <f aca="false">(('Business Case'!E11*$C539*'Business Case'!E12*$B539)-'Business Case'!E11*$C539*'Business Case'!E13*$D539-'Business Case'!E14*$E539)-MAX(0,(('Business Case'!E11*$C539*'Business Case'!E12*$B539)-'Business Case'!E11*$C539*'Business Case'!E13*$D539-'Business Case'!E14*$E539))*'Business Case'!$B$7-'Business Case'!$B$8*(('Business Case'!E11*$C539*'Business Case'!E12*$B539)-('Business Case'!D11*$C539*'Business Case'!D12*$B539))-'Business Case'!E15*$F539</f>
        <v>529154702.255919</v>
      </c>
      <c r="L539" s="39" t="n">
        <f aca="false">(('Business Case'!F11*$C539*'Business Case'!F12*$B539)-'Business Case'!F11*$C539*'Business Case'!F13*$D539-'Business Case'!F14*$E539)-MAX(0,(('Business Case'!F11*$C539*'Business Case'!F12*$B539)-'Business Case'!F11*$C539*'Business Case'!F13*$D539-'Business Case'!F14*$E539))*'Business Case'!$B$7-'Business Case'!$B$8*(('Business Case'!F11*$C539*'Business Case'!F12*$B539)-('Business Case'!E11*$C539*'Business Case'!E12*$B539))-'Business Case'!F15*$F539</f>
        <v>653387699.2126</v>
      </c>
      <c r="M539" s="39" t="n">
        <f aca="false">(('Business Case'!G11*$C539*'Business Case'!G12*$B539)-'Business Case'!G11*$C539*'Business Case'!G13*$D539-'Business Case'!G14*$E539)-MAX(0,(('Business Case'!G11*$C539*'Business Case'!G12*$B539)-'Business Case'!G11*$C539*'Business Case'!G13*$D539-'Business Case'!G14*$E539))*'Business Case'!$B$7-'Business Case'!$B$8*(('Business Case'!G11*$C539*'Business Case'!G12*$B539)-('Business Case'!F11*$C539*'Business Case'!F12*$B539))-'Business Case'!G15*$F539+'Business Case'!$B$8*('Business Case'!G11*$C539*'Business Case'!G12*$B539)</f>
        <v>854492252.275019</v>
      </c>
      <c r="N539" s="39" t="n">
        <f aca="false">IF(COUNT('Business Case'!B11:G11)=0,"",H539+NPV(G539,I539:M539))</f>
        <v>-538912198.199213</v>
      </c>
      <c r="P539" s="40" t="n">
        <f aca="true">RAND()</f>
        <v>0.32343722662539</v>
      </c>
      <c r="Q539" s="40" t="n">
        <f aca="true">RAND()</f>
        <v>0.94862411637559</v>
      </c>
      <c r="R539" s="40" t="n">
        <f aca="true">RAND()</f>
        <v>0.974864863541801</v>
      </c>
      <c r="S539" s="40" t="n">
        <f aca="true">RAND()</f>
        <v>0.896026446281755</v>
      </c>
      <c r="T539" s="40" t="n">
        <f aca="true">RAND()</f>
        <v>0.21457805271305</v>
      </c>
      <c r="U539" s="40" t="n">
        <f aca="true">RAND()</f>
        <v>0.629082722450906</v>
      </c>
    </row>
    <row r="540" customFormat="false" ht="15" hidden="false" customHeight="false" outlineLevel="0" collapsed="false">
      <c r="A540" s="36" t="n">
        <v>460</v>
      </c>
      <c r="B540" s="37" t="n">
        <f aca="false">1+IF($G$6=$E$6,$F$6,IF(P540&lt;($F$6-$E$6)/($G$6-$E$6),$E$6+SQRT(P540*($G$6-$E$6)*($F$6-$E$6)),$G$6-SQRT((1-P540)*($G$6-$E$6)*($G$6-$F$6))))</f>
        <v>1.03802174345816</v>
      </c>
      <c r="C540" s="37" t="n">
        <f aca="false">1+IF($G$7=$E$7,$F$7,IF(Q540&lt;($F$7-$E$7)/($G$7-$E$7),$E$7+SQRT(Q540*($G$7-$E$7)*($F$7-$E$7)),$G$7-SQRT((1-Q540)*($G$7-$E$7)*($G$7-$F$7))))</f>
        <v>0.882445421572086</v>
      </c>
      <c r="D540" s="37" t="n">
        <f aca="false">1+IF($G$8=$E$8,$F$8,IF(R540&lt;($F$8-$E$8)/($G$8-$E$8),$E$8+SQRT(R540*($G$8-$E$8)*($F$8-$E$8)),$G$8-SQRT((1-R540)*($G$8-$E$8)*($G$8-$F$8))))</f>
        <v>0.978098995315585</v>
      </c>
      <c r="E540" s="37" t="n">
        <f aca="false">1+IF($G$9=$E$9,$F$9,IF(S540&lt;($F$9-$E$9)/($G$9-$E$9),$E$9+SQRT(S540*($G$9-$E$9)*($F$9-$E$9)),$G$9-SQRT((1-S540)*($G$9-$E$9)*($G$9-$F$9))))</f>
        <v>1.00073526767569</v>
      </c>
      <c r="F540" s="37" t="n">
        <f aca="false">1+IF($G$10=$E$10,$F$10,IF(T540&lt;($F$10-$E$10)/($G$10-$E$10),$E$10+SQRT(T540*($G$10-$E$10)*($F$10-$E$10)),$G$10-SQRT((1-T540)*($G$10-$E$10)*($G$10-$F$10))))</f>
        <v>1.05891035800667</v>
      </c>
      <c r="G540" s="38" t="n">
        <f aca="false">IF($G$11=$E$11,$F$11,IF(U540&lt;($F$11-$E$11)/($G$11-$E$11),$E$11+SQRT(U540*($G$11-$E$11)*($F$11-$E$11)),$G$11-SQRT((1-U540)*($G$11-$E$11)*($G$11-$F$11))))</f>
        <v>0.0928398684722272</v>
      </c>
      <c r="H540" s="39" t="n">
        <f aca="false">(('Business Case'!B11*$C540*'Business Case'!B12*$B540)-'Business Case'!B11*$C540*'Business Case'!B13*$D540-'Business Case'!B14*$E540)-MAX(0,(('Business Case'!B11*$C540*'Business Case'!B12*$B540)-'Business Case'!B11*$C540*'Business Case'!B13*$D540-'Business Case'!B14*$E540))*'Business Case'!$B$7-'Business Case'!$B$8*('Business Case'!B11*$C540*'Business Case'!B12*$B540)-'Business Case'!B15*$F540</f>
        <v>-2117820716.01335</v>
      </c>
      <c r="I540" s="39" t="n">
        <f aca="false">(('Business Case'!C11*$C540*'Business Case'!C12*$B540)-'Business Case'!C11*$C540*'Business Case'!C13*$D540-'Business Case'!C14*$E540)-MAX(0,(('Business Case'!C11*$C540*'Business Case'!C12*$B540)-'Business Case'!C11*$C540*'Business Case'!C13*$D540-'Business Case'!C14*$E540))*'Business Case'!$B$7-'Business Case'!$B$8*(('Business Case'!C11*$C540*'Business Case'!C12*$B540)-('Business Case'!B11*$C540*'Business Case'!B12*$B540))-'Business Case'!C15*$F540</f>
        <v>12739161.5393298</v>
      </c>
      <c r="J540" s="39" t="n">
        <f aca="false">(('Business Case'!D11*$C540*'Business Case'!D12*$B540)-'Business Case'!D11*$C540*'Business Case'!D13*$D540-'Business Case'!D14*$E540)-MAX(0,(('Business Case'!D11*$C540*'Business Case'!D12*$B540)-'Business Case'!D11*$C540*'Business Case'!D13*$D540-'Business Case'!D14*$E540))*'Business Case'!$B$7-'Business Case'!$B$8*(('Business Case'!D11*$C540*'Business Case'!D12*$B540)-('Business Case'!C11*$C540*'Business Case'!C12*$B540))-'Business Case'!D15*$F540</f>
        <v>321159226.157569</v>
      </c>
      <c r="K540" s="39" t="n">
        <f aca="false">(('Business Case'!E11*$C540*'Business Case'!E12*$B540)-'Business Case'!E11*$C540*'Business Case'!E13*$D540-'Business Case'!E14*$E540)-MAX(0,(('Business Case'!E11*$C540*'Business Case'!E12*$B540)-'Business Case'!E11*$C540*'Business Case'!E13*$D540-'Business Case'!E14*$E540))*'Business Case'!$B$7-'Business Case'!$B$8*(('Business Case'!E11*$C540*'Business Case'!E12*$B540)-('Business Case'!D11*$C540*'Business Case'!D12*$B540))-'Business Case'!E15*$F540</f>
        <v>682524808.676141</v>
      </c>
      <c r="L540" s="39" t="n">
        <f aca="false">(('Business Case'!F11*$C540*'Business Case'!F12*$B540)-'Business Case'!F11*$C540*'Business Case'!F13*$D540-'Business Case'!F14*$E540)-MAX(0,(('Business Case'!F11*$C540*'Business Case'!F12*$B540)-'Business Case'!F11*$C540*'Business Case'!F13*$D540-'Business Case'!F14*$E540))*'Business Case'!$B$7-'Business Case'!$B$8*(('Business Case'!F11*$C540*'Business Case'!F12*$B540)-('Business Case'!E11*$C540*'Business Case'!E12*$B540))-'Business Case'!F15*$F540</f>
        <v>816988371.69206</v>
      </c>
      <c r="M540" s="39" t="n">
        <f aca="false">(('Business Case'!G11*$C540*'Business Case'!G12*$B540)-'Business Case'!G11*$C540*'Business Case'!G13*$D540-'Business Case'!G14*$E540)-MAX(0,(('Business Case'!G11*$C540*'Business Case'!G12*$B540)-'Business Case'!G11*$C540*'Business Case'!G13*$D540-'Business Case'!G14*$E540))*'Business Case'!$B$7-'Business Case'!$B$8*(('Business Case'!G11*$C540*'Business Case'!G12*$B540)-('Business Case'!F11*$C540*'Business Case'!F12*$B540))-'Business Case'!G15*$F540+'Business Case'!$B$8*('Business Case'!G11*$C540*'Business Case'!G12*$B540)</f>
        <v>991101183.146176</v>
      </c>
      <c r="N540" s="39" t="n">
        <f aca="false">IF(COUNT('Business Case'!B11:G11)=0,"",H540+NPV(G540,I540:M540))</f>
        <v>-105712955.178879</v>
      </c>
      <c r="P540" s="40" t="n">
        <f aca="true">RAND()</f>
        <v>0.980869516029036</v>
      </c>
      <c r="Q540" s="40" t="n">
        <f aca="true">RAND()</f>
        <v>0.24656542113049</v>
      </c>
      <c r="R540" s="40" t="n">
        <f aca="true">RAND()</f>
        <v>0.105273805032699</v>
      </c>
      <c r="S540" s="40" t="n">
        <f aca="true">RAND()</f>
        <v>0.405867724910697</v>
      </c>
      <c r="T540" s="40" t="n">
        <f aca="true">RAND()</f>
        <v>0.513129982971501</v>
      </c>
      <c r="U540" s="40" t="n">
        <f aca="true">RAND()</f>
        <v>0.164862222384093</v>
      </c>
    </row>
    <row r="541" customFormat="false" ht="15" hidden="false" customHeight="false" outlineLevel="0" collapsed="false">
      <c r="A541" s="36" t="n">
        <v>461</v>
      </c>
      <c r="B541" s="37" t="n">
        <f aca="false">1+IF($G$6=$E$6,$F$6,IF(P541&lt;($F$6-$E$6)/($G$6-$E$6),$E$6+SQRT(P541*($G$6-$E$6)*($F$6-$E$6)),$G$6-SQRT((1-P541)*($G$6-$E$6)*($G$6-$F$6))))</f>
        <v>0.997228822312252</v>
      </c>
      <c r="C541" s="37" t="n">
        <f aca="false">1+IF($G$7=$E$7,$F$7,IF(Q541&lt;($F$7-$E$7)/($G$7-$E$7),$E$7+SQRT(Q541*($G$7-$E$7)*($F$7-$E$7)),$G$7-SQRT((1-Q541)*($G$7-$E$7)*($G$7-$F$7))))</f>
        <v>0.899544654789973</v>
      </c>
      <c r="D541" s="37" t="n">
        <f aca="false">1+IF($G$8=$E$8,$F$8,IF(R541&lt;($F$8-$E$8)/($G$8-$E$8),$E$8+SQRT(R541*($G$8-$E$8)*($F$8-$E$8)),$G$8-SQRT((1-R541)*($G$8-$E$8)*($G$8-$F$8))))</f>
        <v>1.04405594656865</v>
      </c>
      <c r="E541" s="37" t="n">
        <f aca="false">1+IF($G$9=$E$9,$F$9,IF(S541&lt;($F$9-$E$9)/($G$9-$E$9),$E$9+SQRT(S541*($G$9-$E$9)*($F$9-$E$9)),$G$9-SQRT((1-S541)*($G$9-$E$9)*($G$9-$F$9))))</f>
        <v>1.03155771197111</v>
      </c>
      <c r="F541" s="37" t="n">
        <f aca="false">1+IF($G$10=$E$10,$F$10,IF(T541&lt;($F$10-$E$10)/($G$10-$E$10),$E$10+SQRT(T541*($G$10-$E$10)*($F$10-$E$10)),$G$10-SQRT((1-T541)*($G$10-$E$10)*($G$10-$F$10))))</f>
        <v>1.14789272381754</v>
      </c>
      <c r="G541" s="38" t="n">
        <f aca="false">IF($G$11=$E$11,$F$11,IF(U541&lt;($F$11-$E$11)/($G$11-$E$11),$E$11+SQRT(U541*($G$11-$E$11)*($F$11-$E$11)),$G$11-SQRT((1-U541)*($G$11-$E$11)*($G$11-$F$11))))</f>
        <v>0.101421170914722</v>
      </c>
      <c r="H541" s="39" t="n">
        <f aca="false">(('Business Case'!B11*$C541*'Business Case'!B12*$B541)-'Business Case'!B11*$C541*'Business Case'!B13*$D541-'Business Case'!B14*$E541)-MAX(0,(('Business Case'!B11*$C541*'Business Case'!B12*$B541)-'Business Case'!B11*$C541*'Business Case'!B13*$D541-'Business Case'!B14*$E541))*'Business Case'!$B$7-'Business Case'!$B$8*('Business Case'!B11*$C541*'Business Case'!B12*$B541)-'Business Case'!B15*$F541</f>
        <v>-2295785447.63509</v>
      </c>
      <c r="I541" s="39" t="n">
        <f aca="false">(('Business Case'!C11*$C541*'Business Case'!C12*$B541)-'Business Case'!C11*$C541*'Business Case'!C13*$D541-'Business Case'!C14*$E541)-MAX(0,(('Business Case'!C11*$C541*'Business Case'!C12*$B541)-'Business Case'!C11*$C541*'Business Case'!C13*$D541-'Business Case'!C14*$E541))*'Business Case'!$B$7-'Business Case'!$B$8*(('Business Case'!C11*$C541*'Business Case'!C12*$B541)-('Business Case'!B11*$C541*'Business Case'!B12*$B541))-'Business Case'!C15*$F541</f>
        <v>-54012327.2695678</v>
      </c>
      <c r="J541" s="39" t="n">
        <f aca="false">(('Business Case'!D11*$C541*'Business Case'!D12*$B541)-'Business Case'!D11*$C541*'Business Case'!D13*$D541-'Business Case'!D14*$E541)-MAX(0,(('Business Case'!D11*$C541*'Business Case'!D12*$B541)-'Business Case'!D11*$C541*'Business Case'!D13*$D541-'Business Case'!D14*$E541))*'Business Case'!$B$7-'Business Case'!$B$8*(('Business Case'!D11*$C541*'Business Case'!D12*$B541)-('Business Case'!C11*$C541*'Business Case'!C12*$B541))-'Business Case'!D15*$F541</f>
        <v>199955292.736938</v>
      </c>
      <c r="K541" s="39" t="n">
        <f aca="false">(('Business Case'!E11*$C541*'Business Case'!E12*$B541)-'Business Case'!E11*$C541*'Business Case'!E13*$D541-'Business Case'!E14*$E541)-MAX(0,(('Business Case'!E11*$C541*'Business Case'!E12*$B541)-'Business Case'!E11*$C541*'Business Case'!E13*$D541-'Business Case'!E14*$E541))*'Business Case'!$B$7-'Business Case'!$B$8*(('Business Case'!E11*$C541*'Business Case'!E12*$B541)-('Business Case'!D11*$C541*'Business Case'!D12*$B541))-'Business Case'!E15*$F541</f>
        <v>511317548.93432</v>
      </c>
      <c r="L541" s="39" t="n">
        <f aca="false">(('Business Case'!F11*$C541*'Business Case'!F12*$B541)-'Business Case'!F11*$C541*'Business Case'!F13*$D541-'Business Case'!F14*$E541)-MAX(0,(('Business Case'!F11*$C541*'Business Case'!F12*$B541)-'Business Case'!F11*$C541*'Business Case'!F13*$D541-'Business Case'!F14*$E541))*'Business Case'!$B$7-'Business Case'!$B$8*(('Business Case'!F11*$C541*'Business Case'!F12*$B541)-('Business Case'!E11*$C541*'Business Case'!E12*$B541))-'Business Case'!F15*$F541</f>
        <v>626975534.43784</v>
      </c>
      <c r="M541" s="39" t="n">
        <f aca="false">(('Business Case'!G11*$C541*'Business Case'!G12*$B541)-'Business Case'!G11*$C541*'Business Case'!G13*$D541-'Business Case'!G14*$E541)-MAX(0,(('Business Case'!G11*$C541*'Business Case'!G12*$B541)-'Business Case'!G11*$C541*'Business Case'!G13*$D541-'Business Case'!G14*$E541))*'Business Case'!$B$7-'Business Case'!$B$8*(('Business Case'!G11*$C541*'Business Case'!G12*$B541)-('Business Case'!F11*$C541*'Business Case'!F12*$B541))-'Business Case'!G15*$F541+'Business Case'!$B$8*('Business Case'!G11*$C541*'Business Case'!G12*$B541)</f>
        <v>797487151.361939</v>
      </c>
      <c r="N541" s="39" t="n">
        <f aca="false">IF(COUNT('Business Case'!B11:G11)=0,"",H541+NPV(G541,I541:M541))</f>
        <v>-879305613.464463</v>
      </c>
      <c r="P541" s="40" t="n">
        <f aca="true">RAND()</f>
        <v>0.630229592548494</v>
      </c>
      <c r="Q541" s="40" t="n">
        <f aca="true">RAND()</f>
        <v>0.294948661149995</v>
      </c>
      <c r="R541" s="40" t="n">
        <f aca="true">RAND()</f>
        <v>0.791350859044655</v>
      </c>
      <c r="S541" s="40" t="n">
        <f aca="true">RAND()</f>
        <v>0.625904650839502</v>
      </c>
      <c r="T541" s="40" t="n">
        <f aca="true">RAND()</f>
        <v>0.860988055341326</v>
      </c>
      <c r="U541" s="40" t="n">
        <f aca="true">RAND()</f>
        <v>0.455500352076298</v>
      </c>
    </row>
    <row r="542" customFormat="false" ht="15" hidden="false" customHeight="false" outlineLevel="0" collapsed="false">
      <c r="A542" s="36" t="n">
        <v>462</v>
      </c>
      <c r="B542" s="37" t="n">
        <f aca="false">1+IF($G$6=$E$6,$F$6,IF(P542&lt;($F$6-$E$6)/($G$6-$E$6),$E$6+SQRT(P542*($G$6-$E$6)*($F$6-$E$6)),$G$6-SQRT((1-P542)*($G$6-$E$6)*($G$6-$F$6))))</f>
        <v>0.937093727481749</v>
      </c>
      <c r="C542" s="37" t="n">
        <f aca="false">1+IF($G$7=$E$7,$F$7,IF(Q542&lt;($F$7-$E$7)/($G$7-$E$7),$E$7+SQRT(Q542*($G$7-$E$7)*($F$7-$E$7)),$G$7-SQRT((1-Q542)*($G$7-$E$7)*($G$7-$F$7))))</f>
        <v>0.791757410484711</v>
      </c>
      <c r="D542" s="37" t="n">
        <f aca="false">1+IF($G$8=$E$8,$F$8,IF(R542&lt;($F$8-$E$8)/($G$8-$E$8),$E$8+SQRT(R542*($G$8-$E$8)*($F$8-$E$8)),$G$8-SQRT((1-R542)*($G$8-$E$8)*($G$8-$F$8))))</f>
        <v>0.983552075173081</v>
      </c>
      <c r="E542" s="37" t="n">
        <f aca="false">1+IF($G$9=$E$9,$F$9,IF(S542&lt;($F$9-$E$9)/($G$9-$E$9),$E$9+SQRT(S542*($G$9-$E$9)*($F$9-$E$9)),$G$9-SQRT((1-S542)*($G$9-$E$9)*($G$9-$F$9))))</f>
        <v>1.03666418636972</v>
      </c>
      <c r="F542" s="37" t="n">
        <f aca="false">1+IF($G$10=$E$10,$F$10,IF(T542&lt;($F$10-$E$10)/($G$10-$E$10),$E$10+SQRT(T542*($G$10-$E$10)*($F$10-$E$10)),$G$10-SQRT((1-T542)*($G$10-$E$10)*($G$10-$F$10))))</f>
        <v>1.02608407779589</v>
      </c>
      <c r="G542" s="38" t="n">
        <f aca="false">IF($G$11=$E$11,$F$11,IF(U542&lt;($F$11-$E$11)/($G$11-$E$11),$E$11+SQRT(U542*($G$11-$E$11)*($F$11-$E$11)),$G$11-SQRT((1-U542)*($G$11-$E$11)*($G$11-$F$11))))</f>
        <v>0.113940298433317</v>
      </c>
      <c r="H542" s="39" t="n">
        <f aca="false">(('Business Case'!B11*$C542*'Business Case'!B12*$B542)-'Business Case'!B11*$C542*'Business Case'!B13*$D542-'Business Case'!B14*$E542)-MAX(0,(('Business Case'!B11*$C542*'Business Case'!B12*$B542)-'Business Case'!B11*$C542*'Business Case'!B13*$D542-'Business Case'!B14*$E542))*'Business Case'!$B$7-'Business Case'!$B$8*('Business Case'!B11*$C542*'Business Case'!B12*$B542)-'Business Case'!B15*$F542</f>
        <v>-2052168155.59177</v>
      </c>
      <c r="I542" s="39" t="n">
        <f aca="false">(('Business Case'!C11*$C542*'Business Case'!C12*$B542)-'Business Case'!C11*$C542*'Business Case'!C13*$D542-'Business Case'!C14*$E542)-MAX(0,(('Business Case'!C11*$C542*'Business Case'!C12*$B542)-'Business Case'!C11*$C542*'Business Case'!C13*$D542-'Business Case'!C14*$E542))*'Business Case'!$B$7-'Business Case'!$B$8*(('Business Case'!C11*$C542*'Business Case'!C12*$B542)-('Business Case'!B11*$C542*'Business Case'!B12*$B542))-'Business Case'!C15*$F542</f>
        <v>-79423418.8464649</v>
      </c>
      <c r="J542" s="39" t="n">
        <f aca="false">(('Business Case'!D11*$C542*'Business Case'!D12*$B542)-'Business Case'!D11*$C542*'Business Case'!D13*$D542-'Business Case'!D14*$E542)-MAX(0,(('Business Case'!D11*$C542*'Business Case'!D12*$B542)-'Business Case'!D11*$C542*'Business Case'!D13*$D542-'Business Case'!D14*$E542))*'Business Case'!$B$7-'Business Case'!$B$8*(('Business Case'!D11*$C542*'Business Case'!D12*$B542)-('Business Case'!C11*$C542*'Business Case'!C12*$B542))-'Business Case'!D15*$F542</f>
        <v>129637952.20267</v>
      </c>
      <c r="K542" s="39" t="n">
        <f aca="false">(('Business Case'!E11*$C542*'Business Case'!E12*$B542)-'Business Case'!E11*$C542*'Business Case'!E13*$D542-'Business Case'!E14*$E542)-MAX(0,(('Business Case'!E11*$C542*'Business Case'!E12*$B542)-'Business Case'!E11*$C542*'Business Case'!E13*$D542-'Business Case'!E14*$E542))*'Business Case'!$B$7-'Business Case'!$B$8*(('Business Case'!E11*$C542*'Business Case'!E12*$B542)-('Business Case'!D11*$C542*'Business Case'!D12*$B542))-'Business Case'!E15*$F542</f>
        <v>390003527.141599</v>
      </c>
      <c r="L542" s="39" t="n">
        <f aca="false">(('Business Case'!F11*$C542*'Business Case'!F12*$B542)-'Business Case'!F11*$C542*'Business Case'!F13*$D542-'Business Case'!F14*$E542)-MAX(0,(('Business Case'!F11*$C542*'Business Case'!F12*$B542)-'Business Case'!F11*$C542*'Business Case'!F13*$D542-'Business Case'!F14*$E542))*'Business Case'!$B$7-'Business Case'!$B$8*(('Business Case'!F11*$C542*'Business Case'!F12*$B542)-('Business Case'!E11*$C542*'Business Case'!E12*$B542))-'Business Case'!F15*$F542</f>
        <v>485332474.034136</v>
      </c>
      <c r="M542" s="39" t="n">
        <f aca="false">(('Business Case'!G11*$C542*'Business Case'!G12*$B542)-'Business Case'!G11*$C542*'Business Case'!G13*$D542-'Business Case'!G14*$E542)-MAX(0,(('Business Case'!G11*$C542*'Business Case'!G12*$B542)-'Business Case'!G11*$C542*'Business Case'!G13*$D542-'Business Case'!G14*$E542))*'Business Case'!$B$7-'Business Case'!$B$8*(('Business Case'!G11*$C542*'Business Case'!G12*$B542)-('Business Case'!F11*$C542*'Business Case'!F12*$B542))-'Business Case'!G15*$F542+'Business Case'!$B$8*('Business Case'!G11*$C542*'Business Case'!G12*$B542)</f>
        <v>626362501.686339</v>
      </c>
      <c r="N542" s="39" t="n">
        <f aca="false">IF(COUNT('Business Case'!B11:G11)=0,"",H542+NPV(G542,I542:M542))</f>
        <v>-1056450178.79967</v>
      </c>
      <c r="P542" s="40" t="n">
        <f aca="true">RAND()</f>
        <v>0.0917296412326833</v>
      </c>
      <c r="Q542" s="40" t="n">
        <f aca="true">RAND()</f>
        <v>0.062366091695258</v>
      </c>
      <c r="R542" s="40" t="n">
        <f aca="true">RAND()</f>
        <v>0.150098899789343</v>
      </c>
      <c r="S542" s="40" t="n">
        <f aca="true">RAND()</f>
        <v>0.657466489300325</v>
      </c>
      <c r="T542" s="40" t="n">
        <f aca="true">RAND()</f>
        <v>0.331488797113078</v>
      </c>
      <c r="U542" s="40" t="n">
        <f aca="true">RAND()</f>
        <v>0.828057323726063</v>
      </c>
    </row>
    <row r="543" customFormat="false" ht="15" hidden="false" customHeight="false" outlineLevel="0" collapsed="false">
      <c r="A543" s="36" t="n">
        <v>463</v>
      </c>
      <c r="B543" s="37" t="n">
        <f aca="false">1+IF($G$6=$E$6,$F$6,IF(P543&lt;($F$6-$E$6)/($G$6-$E$6),$E$6+SQRT(P543*($G$6-$E$6)*($F$6-$E$6)),$G$6-SQRT((1-P543)*($G$6-$E$6)*($G$6-$F$6))))</f>
        <v>0.971285286291628</v>
      </c>
      <c r="C543" s="37" t="n">
        <f aca="false">1+IF($G$7=$E$7,$F$7,IF(Q543&lt;($F$7-$E$7)/($G$7-$E$7),$E$7+SQRT(Q543*($G$7-$E$7)*($F$7-$E$7)),$G$7-SQRT((1-Q543)*($G$7-$E$7)*($G$7-$F$7))))</f>
        <v>1.05458701687808</v>
      </c>
      <c r="D543" s="37" t="n">
        <f aca="false">1+IF($G$8=$E$8,$F$8,IF(R543&lt;($F$8-$E$8)/($G$8-$E$8),$E$8+SQRT(R543*($G$8-$E$8)*($F$8-$E$8)),$G$8-SQRT((1-R543)*($G$8-$E$8)*($G$8-$F$8))))</f>
        <v>1.04025098377406</v>
      </c>
      <c r="E543" s="37" t="n">
        <f aca="false">1+IF($G$9=$E$9,$F$9,IF(S543&lt;($F$9-$E$9)/($G$9-$E$9),$E$9+SQRT(S543*($G$9-$E$9)*($F$9-$E$9)),$G$9-SQRT((1-S543)*($G$9-$E$9)*($G$9-$F$9))))</f>
        <v>0.957165468245946</v>
      </c>
      <c r="F543" s="37" t="n">
        <f aca="false">1+IF($G$10=$E$10,$F$10,IF(T543&lt;($F$10-$E$10)/($G$10-$E$10),$E$10+SQRT(T543*($G$10-$E$10)*($F$10-$E$10)),$G$10-SQRT((1-T543)*($G$10-$E$10)*($G$10-$F$10))))</f>
        <v>0.971255526604759</v>
      </c>
      <c r="G543" s="38" t="n">
        <f aca="false">IF($G$11=$E$11,$F$11,IF(U543&lt;($F$11-$E$11)/($G$11-$E$11),$E$11+SQRT(U543*($G$11-$E$11)*($F$11-$E$11)),$G$11-SQRT((1-U543)*($G$11-$E$11)*($G$11-$F$11))))</f>
        <v>0.101992839015355</v>
      </c>
      <c r="H543" s="39" t="n">
        <f aca="false">(('Business Case'!B11*$C543*'Business Case'!B12*$B543)-'Business Case'!B11*$C543*'Business Case'!B13*$D543-'Business Case'!B14*$E543)-MAX(0,(('Business Case'!B11*$C543*'Business Case'!B12*$B543)-'Business Case'!B11*$C543*'Business Case'!B13*$D543-'Business Case'!B14*$E543))*'Business Case'!$B$7-'Business Case'!$B$8*('Business Case'!B11*$C543*'Business Case'!B12*$B543)-'Business Case'!B15*$F543</f>
        <v>-1942511053.20952</v>
      </c>
      <c r="I543" s="39" t="n">
        <f aca="false">(('Business Case'!C11*$C543*'Business Case'!C12*$B543)-'Business Case'!C11*$C543*'Business Case'!C13*$D543-'Business Case'!C14*$E543)-MAX(0,(('Business Case'!C11*$C543*'Business Case'!C12*$B543)-'Business Case'!C11*$C543*'Business Case'!C13*$D543-'Business Case'!C14*$E543))*'Business Case'!$B$7-'Business Case'!$B$8*(('Business Case'!C11*$C543*'Business Case'!C12*$B543)-('Business Case'!B11*$C543*'Business Case'!B12*$B543))-'Business Case'!C15*$F543</f>
        <v>-8949271.82725169</v>
      </c>
      <c r="J543" s="39" t="n">
        <f aca="false">(('Business Case'!D11*$C543*'Business Case'!D12*$B543)-'Business Case'!D11*$C543*'Business Case'!D13*$D543-'Business Case'!D14*$E543)-MAX(0,(('Business Case'!D11*$C543*'Business Case'!D12*$B543)-'Business Case'!D11*$C543*'Business Case'!D13*$D543-'Business Case'!D14*$E543))*'Business Case'!$B$7-'Business Case'!$B$8*(('Business Case'!D11*$C543*'Business Case'!D12*$B543)-('Business Case'!C11*$C543*'Business Case'!C12*$B543))-'Business Case'!D15*$F543</f>
        <v>268435902.149738</v>
      </c>
      <c r="K543" s="39" t="n">
        <f aca="false">(('Business Case'!E11*$C543*'Business Case'!E12*$B543)-'Business Case'!E11*$C543*'Business Case'!E13*$D543-'Business Case'!E14*$E543)-MAX(0,(('Business Case'!E11*$C543*'Business Case'!E12*$B543)-'Business Case'!E11*$C543*'Business Case'!E13*$D543-'Business Case'!E14*$E543))*'Business Case'!$B$7-'Business Case'!$B$8*(('Business Case'!E11*$C543*'Business Case'!E12*$B543)-('Business Case'!D11*$C543*'Business Case'!D12*$B543))-'Business Case'!E15*$F543</f>
        <v>594383852.456964</v>
      </c>
      <c r="L543" s="39" t="n">
        <f aca="false">(('Business Case'!F11*$C543*'Business Case'!F12*$B543)-'Business Case'!F11*$C543*'Business Case'!F13*$D543-'Business Case'!F14*$E543)-MAX(0,(('Business Case'!F11*$C543*'Business Case'!F12*$B543)-'Business Case'!F11*$C543*'Business Case'!F13*$D543-'Business Case'!F14*$E543))*'Business Case'!$B$7-'Business Case'!$B$8*(('Business Case'!F11*$C543*'Business Case'!F12*$B543)-('Business Case'!E11*$C543*'Business Case'!E12*$B543))-'Business Case'!F15*$F543</f>
        <v>722245552.822088</v>
      </c>
      <c r="M543" s="39" t="n">
        <f aca="false">(('Business Case'!G11*$C543*'Business Case'!G12*$B543)-'Business Case'!G11*$C543*'Business Case'!G13*$D543-'Business Case'!G14*$E543)-MAX(0,(('Business Case'!G11*$C543*'Business Case'!G12*$B543)-'Business Case'!G11*$C543*'Business Case'!G13*$D543-'Business Case'!G14*$E543))*'Business Case'!$B$7-'Business Case'!$B$8*(('Business Case'!G11*$C543*'Business Case'!G12*$B543)-('Business Case'!F11*$C543*'Business Case'!F12*$B543))-'Business Case'!G15*$F543+'Business Case'!$B$8*('Business Case'!G11*$C543*'Business Case'!G12*$B543)</f>
        <v>916945419.20579</v>
      </c>
      <c r="N543" s="39" t="n">
        <f aca="false">IF(COUNT('Business Case'!B11:G11)=0,"",H543+NPV(G543,I543:M543))</f>
        <v>-231468561.933996</v>
      </c>
      <c r="P543" s="40" t="n">
        <f aca="true">RAND()</f>
        <v>0.338772802778625</v>
      </c>
      <c r="Q543" s="40" t="n">
        <f aca="true">RAND()</f>
        <v>0.865131298544831</v>
      </c>
      <c r="R543" s="40" t="n">
        <f aca="true">RAND()</f>
        <v>0.762003670668797</v>
      </c>
      <c r="S543" s="40" t="n">
        <f aca="true">RAND()</f>
        <v>0.130715630391132</v>
      </c>
      <c r="T543" s="40" t="n">
        <f aca="true">RAND()</f>
        <v>0.0301198274163743</v>
      </c>
      <c r="U543" s="40" t="n">
        <f aca="true">RAND()</f>
        <v>0.477065955720131</v>
      </c>
    </row>
    <row r="544" customFormat="false" ht="15" hidden="false" customHeight="false" outlineLevel="0" collapsed="false">
      <c r="A544" s="36" t="n">
        <v>464</v>
      </c>
      <c r="B544" s="37" t="n">
        <f aca="false">1+IF($G$6=$E$6,$F$6,IF(P544&lt;($F$6-$E$6)/($G$6-$E$6),$E$6+SQRT(P544*($G$6-$E$6)*($F$6-$E$6)),$G$6-SQRT((1-P544)*($G$6-$E$6)*($G$6-$F$6))))</f>
        <v>0.986734956419352</v>
      </c>
      <c r="C544" s="37" t="n">
        <f aca="false">1+IF($G$7=$E$7,$F$7,IF(Q544&lt;($F$7-$E$7)/($G$7-$E$7),$E$7+SQRT(Q544*($G$7-$E$7)*($F$7-$E$7)),$G$7-SQRT((1-Q544)*($G$7-$E$7)*($G$7-$F$7))))</f>
        <v>1.03046164960416</v>
      </c>
      <c r="D544" s="37" t="n">
        <f aca="false">1+IF($G$8=$E$8,$F$8,IF(R544&lt;($F$8-$E$8)/($G$8-$E$8),$E$8+SQRT(R544*($G$8-$E$8)*($F$8-$E$8)),$G$8-SQRT((1-R544)*($G$8-$E$8)*($G$8-$F$8))))</f>
        <v>1.02288188519227</v>
      </c>
      <c r="E544" s="37" t="n">
        <f aca="false">1+IF($G$9=$E$9,$F$9,IF(S544&lt;($F$9-$E$9)/($G$9-$E$9),$E$9+SQRT(S544*($G$9-$E$9)*($F$9-$E$9)),$G$9-SQRT((1-S544)*($G$9-$E$9)*($G$9-$F$9))))</f>
        <v>1.06840830074766</v>
      </c>
      <c r="F544" s="37" t="n">
        <f aca="false">1+IF($G$10=$E$10,$F$10,IF(T544&lt;($F$10-$E$10)/($G$10-$E$10),$E$10+SQRT(T544*($G$10-$E$10)*($F$10-$E$10)),$G$10-SQRT((1-T544)*($G$10-$E$10)*($G$10-$F$10))))</f>
        <v>1.18227170904129</v>
      </c>
      <c r="G544" s="38" t="n">
        <f aca="false">IF($G$11=$E$11,$F$11,IF(U544&lt;($F$11-$E$11)/($G$11-$E$11),$E$11+SQRT(U544*($G$11-$E$11)*($F$11-$E$11)),$G$11-SQRT((1-U544)*($G$11-$E$11)*($G$11-$F$11))))</f>
        <v>0.116893509178343</v>
      </c>
      <c r="H544" s="39" t="n">
        <f aca="false">(('Business Case'!B11*$C544*'Business Case'!B12*$B544)-'Business Case'!B11*$C544*'Business Case'!B13*$D544-'Business Case'!B14*$E544)-MAX(0,(('Business Case'!B11*$C544*'Business Case'!B12*$B544)-'Business Case'!B11*$C544*'Business Case'!B13*$D544-'Business Case'!B14*$E544))*'Business Case'!$B$7-'Business Case'!$B$8*('Business Case'!B11*$C544*'Business Case'!B12*$B544)-'Business Case'!B15*$F544</f>
        <v>-2364543418.08257</v>
      </c>
      <c r="I544" s="39" t="n">
        <f aca="false">(('Business Case'!C11*$C544*'Business Case'!C12*$B544)-'Business Case'!C11*$C544*'Business Case'!C13*$D544-'Business Case'!C14*$E544)-MAX(0,(('Business Case'!C11*$C544*'Business Case'!C12*$B544)-'Business Case'!C11*$C544*'Business Case'!C13*$D544-'Business Case'!C14*$E544))*'Business Case'!$B$7-'Business Case'!$B$8*(('Business Case'!C11*$C544*'Business Case'!C12*$B544)-('Business Case'!B11*$C544*'Business Case'!B12*$B544))-'Business Case'!C15*$F544</f>
        <v>-29623504.9877799</v>
      </c>
      <c r="J544" s="39" t="n">
        <f aca="false">(('Business Case'!D11*$C544*'Business Case'!D12*$B544)-'Business Case'!D11*$C544*'Business Case'!D13*$D544-'Business Case'!D14*$E544)-MAX(0,(('Business Case'!D11*$C544*'Business Case'!D12*$B544)-'Business Case'!D11*$C544*'Business Case'!D13*$D544-'Business Case'!D14*$E544))*'Business Case'!$B$7-'Business Case'!$B$8*(('Business Case'!D11*$C544*'Business Case'!D12*$B544)-('Business Case'!C11*$C544*'Business Case'!C12*$B544))-'Business Case'!D15*$F544</f>
        <v>263618346.097467</v>
      </c>
      <c r="K544" s="39" t="n">
        <f aca="false">(('Business Case'!E11*$C544*'Business Case'!E12*$B544)-'Business Case'!E11*$C544*'Business Case'!E13*$D544-'Business Case'!E14*$E544)-MAX(0,(('Business Case'!E11*$C544*'Business Case'!E12*$B544)-'Business Case'!E11*$C544*'Business Case'!E13*$D544-'Business Case'!E14*$E544))*'Business Case'!$B$7-'Business Case'!$B$8*(('Business Case'!E11*$C544*'Business Case'!E12*$B544)-('Business Case'!D11*$C544*'Business Case'!D12*$B544))-'Business Case'!E15*$F544</f>
        <v>615973782.634778</v>
      </c>
      <c r="L544" s="39" t="n">
        <f aca="false">(('Business Case'!F11*$C544*'Business Case'!F12*$B544)-'Business Case'!F11*$C544*'Business Case'!F13*$D544-'Business Case'!F14*$E544)-MAX(0,(('Business Case'!F11*$C544*'Business Case'!F12*$B544)-'Business Case'!F11*$C544*'Business Case'!F13*$D544-'Business Case'!F14*$E544))*'Business Case'!$B$7-'Business Case'!$B$8*(('Business Case'!F11*$C544*'Business Case'!F12*$B544)-('Business Case'!E11*$C544*'Business Case'!E12*$B544))-'Business Case'!F15*$F544</f>
        <v>748861416.198247</v>
      </c>
      <c r="M544" s="39" t="n">
        <f aca="false">(('Business Case'!G11*$C544*'Business Case'!G12*$B544)-'Business Case'!G11*$C544*'Business Case'!G13*$D544-'Business Case'!G14*$E544)-MAX(0,(('Business Case'!G11*$C544*'Business Case'!G12*$B544)-'Business Case'!G11*$C544*'Business Case'!G13*$D544-'Business Case'!G14*$E544))*'Business Case'!$B$7-'Business Case'!$B$8*(('Business Case'!G11*$C544*'Business Case'!G12*$B544)-('Business Case'!F11*$C544*'Business Case'!F12*$B544))-'Business Case'!G15*$F544+'Business Case'!$B$8*('Business Case'!G11*$C544*'Business Case'!G12*$B544)</f>
        <v>942133340.474376</v>
      </c>
      <c r="N544" s="39" t="n">
        <f aca="false">IF(COUNT('Business Case'!B11:G11)=0,"",H544+NPV(G544,I544:M544))</f>
        <v>-714334835.603779</v>
      </c>
      <c r="P544" s="40" t="n">
        <f aca="true">RAND()</f>
        <v>0.501530177671131</v>
      </c>
      <c r="Q544" s="40" t="n">
        <f aca="true">RAND()</f>
        <v>0.78830493014285</v>
      </c>
      <c r="R544" s="40" t="n">
        <f aca="true">RAND()</f>
        <v>0.603519757900156</v>
      </c>
      <c r="S544" s="40" t="n">
        <f aca="true">RAND()</f>
        <v>0.822474523016419</v>
      </c>
      <c r="T544" s="40" t="n">
        <f aca="true">RAND()</f>
        <v>0.938838381384156</v>
      </c>
      <c r="U544" s="40" t="n">
        <f aca="true">RAND()</f>
        <v>0.885479932227886</v>
      </c>
    </row>
    <row r="545" customFormat="false" ht="15" hidden="false" customHeight="false" outlineLevel="0" collapsed="false">
      <c r="A545" s="36" t="n">
        <v>465</v>
      </c>
      <c r="B545" s="37" t="n">
        <f aca="false">1+IF($G$6=$E$6,$F$6,IF(P545&lt;($F$6-$E$6)/($G$6-$E$6),$E$6+SQRT(P545*($G$6-$E$6)*($F$6-$E$6)),$G$6-SQRT((1-P545)*($G$6-$E$6)*($G$6-$F$6))))</f>
        <v>1.04173116923171</v>
      </c>
      <c r="C545" s="37" t="n">
        <f aca="false">1+IF($G$7=$E$7,$F$7,IF(Q545&lt;($F$7-$E$7)/($G$7-$E$7),$E$7+SQRT(Q545*($G$7-$E$7)*($F$7-$E$7)),$G$7-SQRT((1-Q545)*($G$7-$E$7)*($G$7-$F$7))))</f>
        <v>1.01369553314019</v>
      </c>
      <c r="D545" s="37" t="n">
        <f aca="false">1+IF($G$8=$E$8,$F$8,IF(R545&lt;($F$8-$E$8)/($G$8-$E$8),$E$8+SQRT(R545*($G$8-$E$8)*($F$8-$E$8)),$G$8-SQRT((1-R545)*($G$8-$E$8)*($G$8-$F$8))))</f>
        <v>1.05623812569398</v>
      </c>
      <c r="E545" s="37" t="n">
        <f aca="false">1+IF($G$9=$E$9,$F$9,IF(S545&lt;($F$9-$E$9)/($G$9-$E$9),$E$9+SQRT(S545*($G$9-$E$9)*($F$9-$E$9)),$G$9-SQRT((1-S545)*($G$9-$E$9)*($G$9-$F$9))))</f>
        <v>0.97839904122742</v>
      </c>
      <c r="F545" s="37" t="n">
        <f aca="false">1+IF($G$10=$E$10,$F$10,IF(T545&lt;($F$10-$E$10)/($G$10-$E$10),$E$10+SQRT(T545*($G$10-$E$10)*($F$10-$E$10)),$G$10-SQRT((1-T545)*($G$10-$E$10)*($G$10-$F$10))))</f>
        <v>1.08651336225659</v>
      </c>
      <c r="G545" s="38" t="n">
        <f aca="false">IF($G$11=$E$11,$F$11,IF(U545&lt;($F$11-$E$11)/($G$11-$E$11),$E$11+SQRT(U545*($G$11-$E$11)*($F$11-$E$11)),$G$11-SQRT((1-U545)*($G$11-$E$11)*($G$11-$F$11))))</f>
        <v>0.100106438505224</v>
      </c>
      <c r="H545" s="39" t="n">
        <f aca="false">(('Business Case'!B11*$C545*'Business Case'!B12*$B545)-'Business Case'!B11*$C545*'Business Case'!B13*$D545-'Business Case'!B14*$E545)-MAX(0,(('Business Case'!B11*$C545*'Business Case'!B12*$B545)-'Business Case'!B11*$C545*'Business Case'!B13*$D545-'Business Case'!B14*$E545))*'Business Case'!$B$7-'Business Case'!$B$8*('Business Case'!B11*$C545*'Business Case'!B12*$B545)-'Business Case'!B15*$F545</f>
        <v>-2173026724.51318</v>
      </c>
      <c r="I545" s="39" t="n">
        <f aca="false">(('Business Case'!C11*$C545*'Business Case'!C12*$B545)-'Business Case'!C11*$C545*'Business Case'!C13*$D545-'Business Case'!C14*$E545)-MAX(0,(('Business Case'!C11*$C545*'Business Case'!C12*$B545)-'Business Case'!C11*$C545*'Business Case'!C13*$D545-'Business Case'!C14*$E545))*'Business Case'!$B$7-'Business Case'!$B$8*(('Business Case'!C11*$C545*'Business Case'!C12*$B545)-('Business Case'!B11*$C545*'Business Case'!B12*$B545))-'Business Case'!C15*$F545</f>
        <v>14301231.2959246</v>
      </c>
      <c r="J545" s="39" t="n">
        <f aca="false">(('Business Case'!D11*$C545*'Business Case'!D12*$B545)-'Business Case'!D11*$C545*'Business Case'!D13*$D545-'Business Case'!D14*$E545)-MAX(0,(('Business Case'!D11*$C545*'Business Case'!D12*$B545)-'Business Case'!D11*$C545*'Business Case'!D13*$D545-'Business Case'!D14*$E545))*'Business Case'!$B$7-'Business Case'!$B$8*(('Business Case'!D11*$C545*'Business Case'!D12*$B545)-('Business Case'!C11*$C545*'Business Case'!C12*$B545))-'Business Case'!D15*$F545</f>
        <v>331125090.877891</v>
      </c>
      <c r="K545" s="39" t="n">
        <f aca="false">(('Business Case'!E11*$C545*'Business Case'!E12*$B545)-'Business Case'!E11*$C545*'Business Case'!E13*$D545-'Business Case'!E14*$E545)-MAX(0,(('Business Case'!E11*$C545*'Business Case'!E12*$B545)-'Business Case'!E11*$C545*'Business Case'!E13*$D545-'Business Case'!E14*$E545))*'Business Case'!$B$7-'Business Case'!$B$8*(('Business Case'!E11*$C545*'Business Case'!E12*$B545)-('Business Case'!D11*$C545*'Business Case'!D12*$B545))-'Business Case'!E15*$F545</f>
        <v>702274618.572686</v>
      </c>
      <c r="L545" s="39" t="n">
        <f aca="false">(('Business Case'!F11*$C545*'Business Case'!F12*$B545)-'Business Case'!F11*$C545*'Business Case'!F13*$D545-'Business Case'!F14*$E545)-MAX(0,(('Business Case'!F11*$C545*'Business Case'!F12*$B545)-'Business Case'!F11*$C545*'Business Case'!F13*$D545-'Business Case'!F14*$E545))*'Business Case'!$B$7-'Business Case'!$B$8*(('Business Case'!F11*$C545*'Business Case'!F12*$B545)-('Business Case'!E11*$C545*'Business Case'!E12*$B545))-'Business Case'!F15*$F545</f>
        <v>844377870.69857</v>
      </c>
      <c r="M545" s="39" t="n">
        <f aca="false">(('Business Case'!G11*$C545*'Business Case'!G12*$B545)-'Business Case'!G11*$C545*'Business Case'!G13*$D545-'Business Case'!G14*$E545)-MAX(0,(('Business Case'!G11*$C545*'Business Case'!G12*$B545)-'Business Case'!G11*$C545*'Business Case'!G13*$D545-'Business Case'!G14*$E545))*'Business Case'!$B$7-'Business Case'!$B$8*(('Business Case'!G11*$C545*'Business Case'!G12*$B545)-('Business Case'!F11*$C545*'Business Case'!F12*$B545))-'Business Case'!G15*$F545+'Business Case'!$B$8*('Business Case'!G11*$C545*'Business Case'!G12*$B545)</f>
        <v>1045102014.824</v>
      </c>
      <c r="N545" s="39" t="n">
        <f aca="false">IF(COUNT('Business Case'!B11:G11)=0,"",H545+NPV(G545,I545:M545))</f>
        <v>-133835993.199547</v>
      </c>
      <c r="P545" s="40" t="n">
        <f aca="true">RAND()</f>
        <v>0.990883525030051</v>
      </c>
      <c r="Q545" s="40" t="n">
        <f aca="true">RAND()</f>
        <v>0.724756923171295</v>
      </c>
      <c r="R545" s="40" t="n">
        <f aca="true">RAND()</f>
        <v>0.872326557148261</v>
      </c>
      <c r="S545" s="40" t="n">
        <f aca="true">RAND()</f>
        <v>0.245856386615149</v>
      </c>
      <c r="T545" s="40" t="n">
        <f aca="true">RAND()</f>
        <v>0.643628257058059</v>
      </c>
      <c r="U545" s="40" t="n">
        <f aca="true">RAND()</f>
        <v>0.404249987438692</v>
      </c>
    </row>
    <row r="546" customFormat="false" ht="15" hidden="false" customHeight="false" outlineLevel="0" collapsed="false">
      <c r="A546" s="36" t="n">
        <v>466</v>
      </c>
      <c r="B546" s="37" t="n">
        <f aca="false">1+IF($G$6=$E$6,$F$6,IF(P546&lt;($F$6-$E$6)/($G$6-$E$6),$E$6+SQRT(P546*($G$6-$E$6)*($F$6-$E$6)),$G$6-SQRT((1-P546)*($G$6-$E$6)*($G$6-$F$6))))</f>
        <v>0.999079894389129</v>
      </c>
      <c r="C546" s="37" t="n">
        <f aca="false">1+IF($G$7=$E$7,$F$7,IF(Q546&lt;($F$7-$E$7)/($G$7-$E$7),$E$7+SQRT(Q546*($G$7-$E$7)*($F$7-$E$7)),$G$7-SQRT((1-Q546)*($G$7-$E$7)*($G$7-$F$7))))</f>
        <v>0.819652486890299</v>
      </c>
      <c r="D546" s="37" t="n">
        <f aca="false">1+IF($G$8=$E$8,$F$8,IF(R546&lt;($F$8-$E$8)/($G$8-$E$8),$E$8+SQRT(R546*($G$8-$E$8)*($F$8-$E$8)),$G$8-SQRT((1-R546)*($G$8-$E$8)*($G$8-$F$8))))</f>
        <v>1.06071660747828</v>
      </c>
      <c r="E546" s="37" t="n">
        <f aca="false">1+IF($G$9=$E$9,$F$9,IF(S546&lt;($F$9-$E$9)/($G$9-$E$9),$E$9+SQRT(S546*($G$9-$E$9)*($F$9-$E$9)),$G$9-SQRT((1-S546)*($G$9-$E$9)*($G$9-$F$9))))</f>
        <v>1.01640000021051</v>
      </c>
      <c r="F546" s="37" t="n">
        <f aca="false">1+IF($G$10=$E$10,$F$10,IF(T546&lt;($F$10-$E$10)/($G$10-$E$10),$E$10+SQRT(T546*($G$10-$E$10)*($F$10-$E$10)),$G$10-SQRT((1-T546)*($G$10-$E$10)*($G$10-$F$10))))</f>
        <v>1.12400202962591</v>
      </c>
      <c r="G546" s="38" t="n">
        <f aca="false">IF($G$11=$E$11,$F$11,IF(U546&lt;($F$11-$E$11)/($G$11-$E$11),$E$11+SQRT(U546*($G$11-$E$11)*($F$11-$E$11)),$G$11-SQRT((1-U546)*($G$11-$E$11)*($G$11-$F$11))))</f>
        <v>0.126470510507486</v>
      </c>
      <c r="H546" s="39" t="n">
        <f aca="false">(('Business Case'!B11*$C546*'Business Case'!B12*$B546)-'Business Case'!B11*$C546*'Business Case'!B13*$D546-'Business Case'!B14*$E546)-MAX(0,(('Business Case'!B11*$C546*'Business Case'!B12*$B546)-'Business Case'!B11*$C546*'Business Case'!B13*$D546-'Business Case'!B14*$E546))*'Business Case'!$B$7-'Business Case'!$B$8*('Business Case'!B11*$C546*'Business Case'!B12*$B546)-'Business Case'!B15*$F546</f>
        <v>-2248004059.25181</v>
      </c>
      <c r="I546" s="39" t="n">
        <f aca="false">(('Business Case'!C11*$C546*'Business Case'!C12*$B546)-'Business Case'!C11*$C546*'Business Case'!C13*$D546-'Business Case'!C14*$E546)-MAX(0,(('Business Case'!C11*$C546*'Business Case'!C12*$B546)-'Business Case'!C11*$C546*'Business Case'!C13*$D546-'Business Case'!C14*$E546))*'Business Case'!$B$7-'Business Case'!$B$8*(('Business Case'!C11*$C546*'Business Case'!C12*$B546)-('Business Case'!B11*$C546*'Business Case'!B12*$B546))-'Business Case'!C15*$F546</f>
        <v>-73720264.2577749</v>
      </c>
      <c r="J546" s="39" t="n">
        <f aca="false">(('Business Case'!D11*$C546*'Business Case'!D12*$B546)-'Business Case'!D11*$C546*'Business Case'!D13*$D546-'Business Case'!D14*$E546)-MAX(0,(('Business Case'!D11*$C546*'Business Case'!D12*$B546)-'Business Case'!D11*$C546*'Business Case'!D13*$D546-'Business Case'!D14*$E546))*'Business Case'!$B$7-'Business Case'!$B$8*(('Business Case'!D11*$C546*'Business Case'!D12*$B546)-('Business Case'!C11*$C546*'Business Case'!C12*$B546))-'Business Case'!D15*$F546</f>
        <v>151943443.387753</v>
      </c>
      <c r="K546" s="39" t="n">
        <f aca="false">(('Business Case'!E11*$C546*'Business Case'!E12*$B546)-'Business Case'!E11*$C546*'Business Case'!E13*$D546-'Business Case'!E14*$E546)-MAX(0,(('Business Case'!E11*$C546*'Business Case'!E12*$B546)-'Business Case'!E11*$C546*'Business Case'!E13*$D546-'Business Case'!E14*$E546))*'Business Case'!$B$7-'Business Case'!$B$8*(('Business Case'!E11*$C546*'Business Case'!E12*$B546)-('Business Case'!D11*$C546*'Business Case'!D12*$B546))-'Business Case'!E15*$F546</f>
        <v>433807252.514577</v>
      </c>
      <c r="L546" s="39" t="n">
        <f aca="false">(('Business Case'!F11*$C546*'Business Case'!F12*$B546)-'Business Case'!F11*$C546*'Business Case'!F13*$D546-'Business Case'!F14*$E546)-MAX(0,(('Business Case'!F11*$C546*'Business Case'!F12*$B546)-'Business Case'!F11*$C546*'Business Case'!F13*$D546-'Business Case'!F14*$E546))*'Business Case'!$B$7-'Business Case'!$B$8*(('Business Case'!F11*$C546*'Business Case'!F12*$B546)-('Business Case'!E11*$C546*'Business Case'!E12*$B546))-'Business Case'!F15*$F546</f>
        <v>537329614.336938</v>
      </c>
      <c r="M546" s="39" t="n">
        <f aca="false">(('Business Case'!G11*$C546*'Business Case'!G12*$B546)-'Business Case'!G11*$C546*'Business Case'!G13*$D546-'Business Case'!G14*$E546)-MAX(0,(('Business Case'!G11*$C546*'Business Case'!G12*$B546)-'Business Case'!G11*$C546*'Business Case'!G13*$D546-'Business Case'!G14*$E546))*'Business Case'!$B$7-'Business Case'!$B$8*(('Business Case'!G11*$C546*'Business Case'!G12*$B546)-('Business Case'!F11*$C546*'Business Case'!F12*$B546))-'Business Case'!G15*$F546+'Business Case'!$B$8*('Business Case'!G11*$C546*'Business Case'!G12*$B546)</f>
        <v>692985807.009789</v>
      </c>
      <c r="N546" s="39" t="n">
        <f aca="false">IF(COUNT('Business Case'!B11:G11)=0,"",H546+NPV(G546,I546:M546))</f>
        <v>-1174463286.86763</v>
      </c>
      <c r="P546" s="40" t="n">
        <f aca="true">RAND()</f>
        <v>0.654455031477401</v>
      </c>
      <c r="Q546" s="40" t="n">
        <f aca="true">RAND()</f>
        <v>0.106049760140986</v>
      </c>
      <c r="R546" s="40" t="n">
        <f aca="true">RAND()</f>
        <v>0.897121004798987</v>
      </c>
      <c r="S546" s="40" t="n">
        <f aca="true">RAND()</f>
        <v>0.524027734833309</v>
      </c>
      <c r="T546" s="40" t="n">
        <f aca="true">RAND()</f>
        <v>0.788326819488116</v>
      </c>
      <c r="U546" s="40" t="n">
        <f aca="true">RAND()</f>
        <v>0.991695135948156</v>
      </c>
    </row>
    <row r="547" customFormat="false" ht="15" hidden="false" customHeight="false" outlineLevel="0" collapsed="false">
      <c r="A547" s="36" t="n">
        <v>467</v>
      </c>
      <c r="B547" s="37" t="n">
        <f aca="false">1+IF($G$6=$E$6,$F$6,IF(P547&lt;($F$6-$E$6)/($G$6-$E$6),$E$6+SQRT(P547*($G$6-$E$6)*($F$6-$E$6)),$G$6-SQRT((1-P547)*($G$6-$E$6)*($G$6-$F$6))))</f>
        <v>0.940267049949884</v>
      </c>
      <c r="C547" s="37" t="n">
        <f aca="false">1+IF($G$7=$E$7,$F$7,IF(Q547&lt;($F$7-$E$7)/($G$7-$E$7),$E$7+SQRT(Q547*($G$7-$E$7)*($F$7-$E$7)),$G$7-SQRT((1-Q547)*($G$7-$E$7)*($G$7-$F$7))))</f>
        <v>0.92381730211949</v>
      </c>
      <c r="D547" s="37" t="n">
        <f aca="false">1+IF($G$8=$E$8,$F$8,IF(R547&lt;($F$8-$E$8)/($G$8-$E$8),$E$8+SQRT(R547*($G$8-$E$8)*($F$8-$E$8)),$G$8-SQRT((1-R547)*($G$8-$E$8)*($G$8-$F$8))))</f>
        <v>1.0210126358626</v>
      </c>
      <c r="E547" s="37" t="n">
        <f aca="false">1+IF($G$9=$E$9,$F$9,IF(S547&lt;($F$9-$E$9)/($G$9-$E$9),$E$9+SQRT(S547*($G$9-$E$9)*($F$9-$E$9)),$G$9-SQRT((1-S547)*($G$9-$E$9)*($G$9-$F$9))))</f>
        <v>0.98361281648775</v>
      </c>
      <c r="F547" s="37" t="n">
        <f aca="false">1+IF($G$10=$E$10,$F$10,IF(T547&lt;($F$10-$E$10)/($G$10-$E$10),$E$10+SQRT(T547*($G$10-$E$10)*($F$10-$E$10)),$G$10-SQRT((1-T547)*($G$10-$E$10)*($G$10-$F$10))))</f>
        <v>0.977897790737579</v>
      </c>
      <c r="G547" s="38" t="n">
        <f aca="false">IF($G$11=$E$11,$F$11,IF(U547&lt;($F$11-$E$11)/($G$11-$E$11),$E$11+SQRT(U547*($G$11-$E$11)*($F$11-$E$11)),$G$11-SQRT((1-U547)*($G$11-$E$11)*($G$11-$F$11))))</f>
        <v>0.0954390111071941</v>
      </c>
      <c r="H547" s="39" t="n">
        <f aca="false">(('Business Case'!B11*$C547*'Business Case'!B12*$B547)-'Business Case'!B11*$C547*'Business Case'!B13*$D547-'Business Case'!B14*$E547)-MAX(0,(('Business Case'!B11*$C547*'Business Case'!B12*$B547)-'Business Case'!B11*$C547*'Business Case'!B13*$D547-'Business Case'!B14*$E547))*'Business Case'!$B$7-'Business Case'!$B$8*('Business Case'!B11*$C547*'Business Case'!B12*$B547)-'Business Case'!B15*$F547</f>
        <v>-1955795581.47516</v>
      </c>
      <c r="I547" s="39" t="n">
        <f aca="false">(('Business Case'!C11*$C547*'Business Case'!C12*$B547)-'Business Case'!C11*$C547*'Business Case'!C13*$D547-'Business Case'!C14*$E547)-MAX(0,(('Business Case'!C11*$C547*'Business Case'!C12*$B547)-'Business Case'!C11*$C547*'Business Case'!C13*$D547-'Business Case'!C14*$E547))*'Business Case'!$B$7-'Business Case'!$B$8*(('Business Case'!C11*$C547*'Business Case'!C12*$B547)-('Business Case'!B11*$C547*'Business Case'!B12*$B547))-'Business Case'!C15*$F547</f>
        <v>-54072837.4484127</v>
      </c>
      <c r="J547" s="39" t="n">
        <f aca="false">(('Business Case'!D11*$C547*'Business Case'!D12*$B547)-'Business Case'!D11*$C547*'Business Case'!D13*$D547-'Business Case'!D14*$E547)-MAX(0,(('Business Case'!D11*$C547*'Business Case'!D12*$B547)-'Business Case'!D11*$C547*'Business Case'!D13*$D547-'Business Case'!D14*$E547))*'Business Case'!$B$7-'Business Case'!$B$8*(('Business Case'!D11*$C547*'Business Case'!D12*$B547)-('Business Case'!C11*$C547*'Business Case'!C12*$B547))-'Business Case'!D15*$F547</f>
        <v>174543883.492934</v>
      </c>
      <c r="K547" s="39" t="n">
        <f aca="false">(('Business Case'!E11*$C547*'Business Case'!E12*$B547)-'Business Case'!E11*$C547*'Business Case'!E13*$D547-'Business Case'!E14*$E547)-MAX(0,(('Business Case'!E11*$C547*'Business Case'!E12*$B547)-'Business Case'!E11*$C547*'Business Case'!E13*$D547-'Business Case'!E14*$E547))*'Business Case'!$B$7-'Business Case'!$B$8*(('Business Case'!E11*$C547*'Business Case'!E12*$B547)-('Business Case'!D11*$C547*'Business Case'!D12*$B547))-'Business Case'!E15*$F547</f>
        <v>452055493.97116</v>
      </c>
      <c r="L547" s="39" t="n">
        <f aca="false">(('Business Case'!F11*$C547*'Business Case'!F12*$B547)-'Business Case'!F11*$C547*'Business Case'!F13*$D547-'Business Case'!F14*$E547)-MAX(0,(('Business Case'!F11*$C547*'Business Case'!F12*$B547)-'Business Case'!F11*$C547*'Business Case'!F13*$D547-'Business Case'!F14*$E547))*'Business Case'!$B$7-'Business Case'!$B$8*(('Business Case'!F11*$C547*'Business Case'!F12*$B547)-('Business Case'!E11*$C547*'Business Case'!E12*$B547))-'Business Case'!F15*$F547</f>
        <v>558281092.159239</v>
      </c>
      <c r="M547" s="39" t="n">
        <f aca="false">(('Business Case'!G11*$C547*'Business Case'!G12*$B547)-'Business Case'!G11*$C547*'Business Case'!G13*$D547-'Business Case'!G14*$E547)-MAX(0,(('Business Case'!G11*$C547*'Business Case'!G12*$B547)-'Business Case'!G11*$C547*'Business Case'!G13*$D547-'Business Case'!G14*$E547))*'Business Case'!$B$7-'Business Case'!$B$8*(('Business Case'!G11*$C547*'Business Case'!G12*$B547)-('Business Case'!F11*$C547*'Business Case'!F12*$B547))-'Business Case'!G15*$F547+'Business Case'!$B$8*('Business Case'!G11*$C547*'Business Case'!G12*$B547)</f>
        <v>723391227.134532</v>
      </c>
      <c r="N547" s="39" t="n">
        <f aca="false">IF(COUNT('Business Case'!B11:G11)=0,"",H547+NPV(G547,I547:M547))</f>
        <v>-669504592.903749</v>
      </c>
      <c r="P547" s="40" t="n">
        <f aca="true">RAND()</f>
        <v>0.108095687444431</v>
      </c>
      <c r="Q547" s="40" t="n">
        <f aca="true">RAND()</f>
        <v>0.371068035022569</v>
      </c>
      <c r="R547" s="40" t="n">
        <f aca="true">RAND()</f>
        <v>0.584066420441746</v>
      </c>
      <c r="S547" s="40" t="n">
        <f aca="true">RAND()</f>
        <v>0.279644123240567</v>
      </c>
      <c r="T547" s="40" t="n">
        <f aca="true">RAND()</f>
        <v>0.0518857818691827</v>
      </c>
      <c r="U547" s="40" t="n">
        <f aca="true">RAND()</f>
        <v>0.238363063968061</v>
      </c>
    </row>
    <row r="548" customFormat="false" ht="15" hidden="false" customHeight="false" outlineLevel="0" collapsed="false">
      <c r="A548" s="36" t="n">
        <v>468</v>
      </c>
      <c r="B548" s="37" t="n">
        <f aca="false">1+IF($G$6=$E$6,$F$6,IF(P548&lt;($F$6-$E$6)/($G$6-$E$6),$E$6+SQRT(P548*($G$6-$E$6)*($F$6-$E$6)),$G$6-SQRT((1-P548)*($G$6-$E$6)*($G$6-$F$6))))</f>
        <v>0.990948157685086</v>
      </c>
      <c r="C548" s="37" t="n">
        <f aca="false">1+IF($G$7=$E$7,$F$7,IF(Q548&lt;($F$7-$E$7)/($G$7-$E$7),$E$7+SQRT(Q548*($G$7-$E$7)*($F$7-$E$7)),$G$7-SQRT((1-Q548)*($G$7-$E$7)*($G$7-$F$7))))</f>
        <v>0.978760899203379</v>
      </c>
      <c r="D548" s="37" t="n">
        <f aca="false">1+IF($G$8=$E$8,$F$8,IF(R548&lt;($F$8-$E$8)/($G$8-$E$8),$E$8+SQRT(R548*($G$8-$E$8)*($F$8-$E$8)),$G$8-SQRT((1-R548)*($G$8-$E$8)*($G$8-$F$8))))</f>
        <v>0.967500678600476</v>
      </c>
      <c r="E548" s="37" t="n">
        <f aca="false">1+IF($G$9=$E$9,$F$9,IF(S548&lt;($F$9-$E$9)/($G$9-$E$9),$E$9+SQRT(S548*($G$9-$E$9)*($F$9-$E$9)),$G$9-SQRT((1-S548)*($G$9-$E$9)*($G$9-$F$9))))</f>
        <v>0.99974139003875</v>
      </c>
      <c r="F548" s="37" t="n">
        <f aca="false">1+IF($G$10=$E$10,$F$10,IF(T548&lt;($F$10-$E$10)/($G$10-$E$10),$E$10+SQRT(T548*($G$10-$E$10)*($F$10-$E$10)),$G$10-SQRT((1-T548)*($G$10-$E$10)*($G$10-$F$10))))</f>
        <v>1.17634884567154</v>
      </c>
      <c r="G548" s="38" t="n">
        <f aca="false">IF($G$11=$E$11,$F$11,IF(U548&lt;($F$11-$E$11)/($G$11-$E$11),$E$11+SQRT(U548*($G$11-$E$11)*($F$11-$E$11)),$G$11-SQRT((1-U548)*($G$11-$E$11)*($G$11-$F$11))))</f>
        <v>0.105415361198992</v>
      </c>
      <c r="H548" s="39" t="n">
        <f aca="false">(('Business Case'!B11*$C548*'Business Case'!B12*$B548)-'Business Case'!B11*$C548*'Business Case'!B13*$D548-'Business Case'!B14*$E548)-MAX(0,(('Business Case'!B11*$C548*'Business Case'!B12*$B548)-'Business Case'!B11*$C548*'Business Case'!B13*$D548-'Business Case'!B14*$E548))*'Business Case'!$B$7-'Business Case'!$B$8*('Business Case'!B11*$C548*'Business Case'!B12*$B548)-'Business Case'!B15*$F548</f>
        <v>-2352697691.34307</v>
      </c>
      <c r="I548" s="39" t="n">
        <f aca="false">(('Business Case'!C11*$C548*'Business Case'!C12*$B548)-'Business Case'!C11*$C548*'Business Case'!C13*$D548-'Business Case'!C14*$E548)-MAX(0,(('Business Case'!C11*$C548*'Business Case'!C12*$B548)-'Business Case'!C11*$C548*'Business Case'!C13*$D548-'Business Case'!C14*$E548))*'Business Case'!$B$7-'Business Case'!$B$8*(('Business Case'!C11*$C548*'Business Case'!C12*$B548)-('Business Case'!B11*$C548*'Business Case'!B12*$B548))-'Business Case'!C15*$F548</f>
        <v>-422371.395685568</v>
      </c>
      <c r="J548" s="39" t="n">
        <f aca="false">(('Business Case'!D11*$C548*'Business Case'!D12*$B548)-'Business Case'!D11*$C548*'Business Case'!D13*$D548-'Business Case'!D14*$E548)-MAX(0,(('Business Case'!D11*$C548*'Business Case'!D12*$B548)-'Business Case'!D11*$C548*'Business Case'!D13*$D548-'Business Case'!D14*$E548))*'Business Case'!$B$7-'Business Case'!$B$8*(('Business Case'!D11*$C548*'Business Case'!D12*$B548)-('Business Case'!C11*$C548*'Business Case'!C12*$B548))-'Business Case'!D15*$F548</f>
        <v>309233051.343461</v>
      </c>
      <c r="K548" s="39" t="n">
        <f aca="false">(('Business Case'!E11*$C548*'Business Case'!E12*$B548)-'Business Case'!E11*$C548*'Business Case'!E13*$D548-'Business Case'!E14*$E548)-MAX(0,(('Business Case'!E11*$C548*'Business Case'!E12*$B548)-'Business Case'!E11*$C548*'Business Case'!E13*$D548-'Business Case'!E14*$E548))*'Business Case'!$B$7-'Business Case'!$B$8*(('Business Case'!E11*$C548*'Business Case'!E12*$B548)-('Business Case'!D11*$C548*'Business Case'!D12*$B548))-'Business Case'!E15*$F548</f>
        <v>677705916.366184</v>
      </c>
      <c r="L548" s="39" t="n">
        <f aca="false">(('Business Case'!F11*$C548*'Business Case'!F12*$B548)-'Business Case'!F11*$C548*'Business Case'!F13*$D548-'Business Case'!F14*$E548)-MAX(0,(('Business Case'!F11*$C548*'Business Case'!F12*$B548)-'Business Case'!F11*$C548*'Business Case'!F13*$D548-'Business Case'!F14*$E548))*'Business Case'!$B$7-'Business Case'!$B$8*(('Business Case'!F11*$C548*'Business Case'!F12*$B548)-('Business Case'!E11*$C548*'Business Case'!E12*$B548))-'Business Case'!F15*$F548</f>
        <v>814444179.882011</v>
      </c>
      <c r="M548" s="39" t="n">
        <f aca="false">(('Business Case'!G11*$C548*'Business Case'!G12*$B548)-'Business Case'!G11*$C548*'Business Case'!G13*$D548-'Business Case'!G14*$E548)-MAX(0,(('Business Case'!G11*$C548*'Business Case'!G12*$B548)-'Business Case'!G11*$C548*'Business Case'!G13*$D548-'Business Case'!G14*$E548))*'Business Case'!$B$7-'Business Case'!$B$8*(('Business Case'!G11*$C548*'Business Case'!G12*$B548)-('Business Case'!F11*$C548*'Business Case'!F12*$B548))-'Business Case'!G15*$F548+'Business Case'!$B$8*('Business Case'!G11*$C548*'Business Case'!G12*$B548)</f>
        <v>998803020.863961</v>
      </c>
      <c r="N548" s="39" t="n">
        <f aca="false">IF(COUNT('Business Case'!B11:G11)=0,"",H548+NPV(G548,I548:M548))</f>
        <v>-447698575.168854</v>
      </c>
      <c r="P548" s="40" t="n">
        <f aca="true">RAND()</f>
        <v>0.55143782575408</v>
      </c>
      <c r="Q548" s="40" t="n">
        <f aca="true">RAND()</f>
        <v>0.575612140182787</v>
      </c>
      <c r="R548" s="40" t="n">
        <f aca="true">RAND()</f>
        <v>0.0408365001969538</v>
      </c>
      <c r="S548" s="40" t="n">
        <f aca="true">RAND()</f>
        <v>0.397933795474485</v>
      </c>
      <c r="T548" s="40" t="n">
        <f aca="true">RAND()</f>
        <v>0.92767343288113</v>
      </c>
      <c r="U548" s="40" t="n">
        <f aca="true">RAND()</f>
        <v>0.597063690015976</v>
      </c>
    </row>
    <row r="549" customFormat="false" ht="15" hidden="false" customHeight="false" outlineLevel="0" collapsed="false">
      <c r="A549" s="36" t="n">
        <v>469</v>
      </c>
      <c r="B549" s="37" t="n">
        <f aca="false">1+IF($G$6=$E$6,$F$6,IF(P549&lt;($F$6-$E$6)/($G$6-$E$6),$E$6+SQRT(P549*($G$6-$E$6)*($F$6-$E$6)),$G$6-SQRT((1-P549)*($G$6-$E$6)*($G$6-$F$6))))</f>
        <v>1.02916042123226</v>
      </c>
      <c r="C549" s="37" t="n">
        <f aca="false">1+IF($G$7=$E$7,$F$7,IF(Q549&lt;($F$7-$E$7)/($G$7-$E$7),$E$7+SQRT(Q549*($G$7-$E$7)*($F$7-$E$7)),$G$7-SQRT((1-Q549)*($G$7-$E$7)*($G$7-$F$7))))</f>
        <v>0.983671469824529</v>
      </c>
      <c r="D549" s="37" t="n">
        <f aca="false">1+IF($G$8=$E$8,$F$8,IF(R549&lt;($F$8-$E$8)/($G$8-$E$8),$E$8+SQRT(R549*($G$8-$E$8)*($F$8-$E$8)),$G$8-SQRT((1-R549)*($G$8-$E$8)*($G$8-$F$8))))</f>
        <v>0.95307541207887</v>
      </c>
      <c r="E549" s="37" t="n">
        <f aca="false">1+IF($G$9=$E$9,$F$9,IF(S549&lt;($F$9-$E$9)/($G$9-$E$9),$E$9+SQRT(S549*($G$9-$E$9)*($F$9-$E$9)),$G$9-SQRT((1-S549)*($G$9-$E$9)*($G$9-$F$9))))</f>
        <v>0.990842185480482</v>
      </c>
      <c r="F549" s="37" t="n">
        <f aca="false">1+IF($G$10=$E$10,$F$10,IF(T549&lt;($F$10-$E$10)/($G$10-$E$10),$E$10+SQRT(T549*($G$10-$E$10)*($F$10-$E$10)),$G$10-SQRT((1-T549)*($G$10-$E$10)*($G$10-$F$10))))</f>
        <v>1.22763075224539</v>
      </c>
      <c r="G549" s="38" t="n">
        <f aca="false">IF($G$11=$E$11,$F$11,IF(U549&lt;($F$11-$E$11)/($G$11-$E$11),$E$11+SQRT(U549*($G$11-$E$11)*($F$11-$E$11)),$G$11-SQRT((1-U549)*($G$11-$E$11)*($G$11-$F$11))))</f>
        <v>0.103437875394586</v>
      </c>
      <c r="H549" s="39" t="n">
        <f aca="false">(('Business Case'!B11*$C549*'Business Case'!B12*$B549)-'Business Case'!B11*$C549*'Business Case'!B13*$D549-'Business Case'!B14*$E549)-MAX(0,(('Business Case'!B11*$C549*'Business Case'!B12*$B549)-'Business Case'!B11*$C549*'Business Case'!B13*$D549-'Business Case'!B14*$E549))*'Business Case'!$B$7-'Business Case'!$B$8*('Business Case'!B11*$C549*'Business Case'!B12*$B549)-'Business Case'!B15*$F549</f>
        <v>-2455261504.49077</v>
      </c>
      <c r="I549" s="39" t="n">
        <f aca="false">(('Business Case'!C11*$C549*'Business Case'!C12*$B549)-'Business Case'!C11*$C549*'Business Case'!C13*$D549-'Business Case'!C14*$E549)-MAX(0,(('Business Case'!C11*$C549*'Business Case'!C12*$B549)-'Business Case'!C11*$C549*'Business Case'!C13*$D549-'Business Case'!C14*$E549))*'Business Case'!$B$7-'Business Case'!$B$8*(('Business Case'!C11*$C549*'Business Case'!C12*$B549)-('Business Case'!B11*$C549*'Business Case'!B12*$B549))-'Business Case'!C15*$F549</f>
        <v>33119186.5871902</v>
      </c>
      <c r="J549" s="39" t="n">
        <f aca="false">(('Business Case'!D11*$C549*'Business Case'!D12*$B549)-'Business Case'!D11*$C549*'Business Case'!D13*$D549-'Business Case'!D14*$E549)-MAX(0,(('Business Case'!D11*$C549*'Business Case'!D12*$B549)-'Business Case'!D11*$C549*'Business Case'!D13*$D549-'Business Case'!D14*$E549))*'Business Case'!$B$7-'Business Case'!$B$8*(('Business Case'!D11*$C549*'Business Case'!D12*$B549)-('Business Case'!C11*$C549*'Business Case'!C12*$B549))-'Business Case'!D15*$F549</f>
        <v>382379728.955581</v>
      </c>
      <c r="K549" s="39" t="n">
        <f aca="false">(('Business Case'!E11*$C549*'Business Case'!E12*$B549)-'Business Case'!E11*$C549*'Business Case'!E13*$D549-'Business Case'!E14*$E549)-MAX(0,(('Business Case'!E11*$C549*'Business Case'!E12*$B549)-'Business Case'!E11*$C549*'Business Case'!E13*$D549-'Business Case'!E14*$E549))*'Business Case'!$B$7-'Business Case'!$B$8*(('Business Case'!E11*$C549*'Business Case'!E12*$B549)-('Business Case'!D11*$C549*'Business Case'!D12*$B549))-'Business Case'!E15*$F549</f>
        <v>793021808.936241</v>
      </c>
      <c r="L549" s="39" t="n">
        <f aca="false">(('Business Case'!F11*$C549*'Business Case'!F12*$B549)-'Business Case'!F11*$C549*'Business Case'!F13*$D549-'Business Case'!F14*$E549)-MAX(0,(('Business Case'!F11*$C549*'Business Case'!F12*$B549)-'Business Case'!F11*$C549*'Business Case'!F13*$D549-'Business Case'!F14*$E549))*'Business Case'!$B$7-'Business Case'!$B$8*(('Business Case'!F11*$C549*'Business Case'!F12*$B549)-('Business Case'!E11*$C549*'Business Case'!E12*$B549))-'Business Case'!F15*$F549</f>
        <v>944429004.246597</v>
      </c>
      <c r="M549" s="39" t="n">
        <f aca="false">(('Business Case'!G11*$C549*'Business Case'!G12*$B549)-'Business Case'!G11*$C549*'Business Case'!G13*$D549-'Business Case'!G14*$E549)-MAX(0,(('Business Case'!G11*$C549*'Business Case'!G12*$B549)-'Business Case'!G11*$C549*'Business Case'!G13*$D549-'Business Case'!G14*$E549))*'Business Case'!$B$7-'Business Case'!$B$8*(('Business Case'!G11*$C549*'Business Case'!G12*$B549)-('Business Case'!F11*$C549*'Business Case'!F12*$B549))-'Business Case'!G15*$F549+'Business Case'!$B$8*('Business Case'!G11*$C549*'Business Case'!G12*$B549)</f>
        <v>1136857584.1115</v>
      </c>
      <c r="N549" s="39" t="n">
        <f aca="false">IF(COUNT('Business Case'!B11:G11)=0,"",H549+NPV(G549,I549:M549))</f>
        <v>-188912164.550264</v>
      </c>
      <c r="P549" s="40" t="n">
        <f aca="true">RAND()</f>
        <v>0.942094927571071</v>
      </c>
      <c r="Q549" s="40" t="n">
        <f aca="true">RAND()</f>
        <v>0.596070391054877</v>
      </c>
      <c r="R549" s="40" t="n">
        <f aca="true">RAND()</f>
        <v>0.00126108792731484</v>
      </c>
      <c r="S549" s="40" t="n">
        <f aca="true">RAND()</f>
        <v>0.330092106514812</v>
      </c>
      <c r="T549" s="40" t="n">
        <f aca="true">RAND()</f>
        <v>0.993328223398569</v>
      </c>
      <c r="U549" s="40" t="n">
        <f aca="true">RAND()</f>
        <v>0.529635690964318</v>
      </c>
    </row>
    <row r="550" customFormat="false" ht="15" hidden="false" customHeight="false" outlineLevel="0" collapsed="false">
      <c r="A550" s="36" t="n">
        <v>470</v>
      </c>
      <c r="B550" s="37" t="n">
        <f aca="false">1+IF($G$6=$E$6,$F$6,IF(P550&lt;($F$6-$E$6)/($G$6-$E$6),$E$6+SQRT(P550*($G$6-$E$6)*($F$6-$E$6)),$G$6-SQRT((1-P550)*($G$6-$E$6)*($G$6-$F$6))))</f>
        <v>0.973145101539596</v>
      </c>
      <c r="C550" s="37" t="n">
        <f aca="false">1+IF($G$7=$E$7,$F$7,IF(Q550&lt;($F$7-$E$7)/($G$7-$E$7),$E$7+SQRT(Q550*($G$7-$E$7)*($F$7-$E$7)),$G$7-SQRT((1-Q550)*($G$7-$E$7)*($G$7-$F$7))))</f>
        <v>1.06734291051983</v>
      </c>
      <c r="D550" s="37" t="n">
        <f aca="false">1+IF($G$8=$E$8,$F$8,IF(R550&lt;($F$8-$E$8)/($G$8-$E$8),$E$8+SQRT(R550*($G$8-$E$8)*($F$8-$E$8)),$G$8-SQRT((1-R550)*($G$8-$E$8)*($G$8-$F$8))))</f>
        <v>1.07667498659948</v>
      </c>
      <c r="E550" s="37" t="n">
        <f aca="false">1+IF($G$9=$E$9,$F$9,IF(S550&lt;($F$9-$E$9)/($G$9-$E$9),$E$9+SQRT(S550*($G$9-$E$9)*($F$9-$E$9)),$G$9-SQRT((1-S550)*($G$9-$E$9)*($G$9-$F$9))))</f>
        <v>1.04087470172178</v>
      </c>
      <c r="F550" s="37" t="n">
        <f aca="false">1+IF($G$10=$E$10,$F$10,IF(T550&lt;($F$10-$E$10)/($G$10-$E$10),$E$10+SQRT(T550*($G$10-$E$10)*($F$10-$E$10)),$G$10-SQRT((1-T550)*($G$10-$E$10)*($G$10-$F$10))))</f>
        <v>1.05907710942908</v>
      </c>
      <c r="G550" s="38" t="n">
        <f aca="false">IF($G$11=$E$11,$F$11,IF(U550&lt;($F$11-$E$11)/($G$11-$E$11),$E$11+SQRT(U550*($G$11-$E$11)*($F$11-$E$11)),$G$11-SQRT((1-U550)*($G$11-$E$11)*($G$11-$F$11))))</f>
        <v>0.0974145696742974</v>
      </c>
      <c r="H550" s="39" t="n">
        <f aca="false">(('Business Case'!B11*$C550*'Business Case'!B12*$B550)-'Business Case'!B11*$C550*'Business Case'!B13*$D550-'Business Case'!B14*$E550)-MAX(0,(('Business Case'!B11*$C550*'Business Case'!B12*$B550)-'Business Case'!B11*$C550*'Business Case'!B13*$D550-'Business Case'!B14*$E550))*'Business Case'!$B$7-'Business Case'!$B$8*('Business Case'!B11*$C550*'Business Case'!B12*$B550)-'Business Case'!B15*$F550</f>
        <v>-2118154218.85816</v>
      </c>
      <c r="I550" s="39" t="n">
        <f aca="false">(('Business Case'!C11*$C550*'Business Case'!C12*$B550)-'Business Case'!C11*$C550*'Business Case'!C13*$D550-'Business Case'!C14*$E550)-MAX(0,(('Business Case'!C11*$C550*'Business Case'!C12*$B550)-'Business Case'!C11*$C550*'Business Case'!C13*$D550-'Business Case'!C14*$E550))*'Business Case'!$B$7-'Business Case'!$B$8*(('Business Case'!C11*$C550*'Business Case'!C12*$B550)-('Business Case'!B11*$C550*'Business Case'!B12*$B550))-'Business Case'!C15*$F550</f>
        <v>-45300873.5697471</v>
      </c>
      <c r="J550" s="39" t="n">
        <f aca="false">(('Business Case'!D11*$C550*'Business Case'!D12*$B550)-'Business Case'!D11*$C550*'Business Case'!D13*$D550-'Business Case'!D14*$E550)-MAX(0,(('Business Case'!D11*$C550*'Business Case'!D12*$B550)-'Business Case'!D11*$C550*'Business Case'!D13*$D550-'Business Case'!D14*$E550))*'Business Case'!$B$7-'Business Case'!$B$8*(('Business Case'!D11*$C550*'Business Case'!D12*$B550)-('Business Case'!C11*$C550*'Business Case'!C12*$B550))-'Business Case'!D15*$F550</f>
        <v>217163492.966086</v>
      </c>
      <c r="K550" s="39" t="n">
        <f aca="false">(('Business Case'!E11*$C550*'Business Case'!E12*$B550)-'Business Case'!E11*$C550*'Business Case'!E13*$D550-'Business Case'!E14*$E550)-MAX(0,(('Business Case'!E11*$C550*'Business Case'!E12*$B550)-'Business Case'!E11*$C550*'Business Case'!E13*$D550-'Business Case'!E14*$E550))*'Business Case'!$B$7-'Business Case'!$B$8*(('Business Case'!E11*$C550*'Business Case'!E12*$B550)-('Business Case'!D11*$C550*'Business Case'!D12*$B550))-'Business Case'!E15*$F550</f>
        <v>532581714.973373</v>
      </c>
      <c r="L550" s="39" t="n">
        <f aca="false">(('Business Case'!F11*$C550*'Business Case'!F12*$B550)-'Business Case'!F11*$C550*'Business Case'!F13*$D550-'Business Case'!F14*$E550)-MAX(0,(('Business Case'!F11*$C550*'Business Case'!F12*$B550)-'Business Case'!F11*$C550*'Business Case'!F13*$D550-'Business Case'!F14*$E550))*'Business Case'!$B$7-'Business Case'!$B$8*(('Business Case'!F11*$C550*'Business Case'!F12*$B550)-('Business Case'!E11*$C550*'Business Case'!E12*$B550))-'Business Case'!F15*$F550</f>
        <v>655966601.537207</v>
      </c>
      <c r="M550" s="39" t="n">
        <f aca="false">(('Business Case'!G11*$C550*'Business Case'!G12*$B550)-'Business Case'!G11*$C550*'Business Case'!G13*$D550-'Business Case'!G14*$E550)-MAX(0,(('Business Case'!G11*$C550*'Business Case'!G12*$B550)-'Business Case'!G11*$C550*'Business Case'!G13*$D550-'Business Case'!G14*$E550))*'Business Case'!$B$7-'Business Case'!$B$8*(('Business Case'!G11*$C550*'Business Case'!G12*$B550)-('Business Case'!F11*$C550*'Business Case'!F12*$B550))-'Business Case'!G15*$F550+'Business Case'!$B$8*('Business Case'!G11*$C550*'Business Case'!G12*$B550)</f>
        <v>853398805.655934</v>
      </c>
      <c r="N550" s="39" t="n">
        <f aca="false">IF(COUNT('Business Case'!B11:G11)=0,"",H550+NPV(G550,I550:M550))</f>
        <v>-587705913.092562</v>
      </c>
      <c r="P550" s="40" t="n">
        <f aca="true">RAND()</f>
        <v>0.356680391949186</v>
      </c>
      <c r="Q550" s="40" t="n">
        <f aca="true">RAND()</f>
        <v>0.898782304572858</v>
      </c>
      <c r="R550" s="40" t="n">
        <f aca="true">RAND()</f>
        <v>0.963729583324359</v>
      </c>
      <c r="S550" s="40" t="n">
        <f aca="true">RAND()</f>
        <v>0.682444514018404</v>
      </c>
      <c r="T550" s="40" t="n">
        <f aca="true">RAND()</f>
        <v>0.513979331413928</v>
      </c>
      <c r="U550" s="40" t="n">
        <f aca="true">RAND()</f>
        <v>0.303267236940959</v>
      </c>
    </row>
    <row r="551" customFormat="false" ht="15" hidden="false" customHeight="false" outlineLevel="0" collapsed="false">
      <c r="A551" s="36" t="n">
        <v>471</v>
      </c>
      <c r="B551" s="37" t="n">
        <f aca="false">1+IF($G$6=$E$6,$F$6,IF(P551&lt;($F$6-$E$6)/($G$6-$E$6),$E$6+SQRT(P551*($G$6-$E$6)*($F$6-$E$6)),$G$6-SQRT((1-P551)*($G$6-$E$6)*($G$6-$F$6))))</f>
        <v>0.963614032390847</v>
      </c>
      <c r="C551" s="37" t="n">
        <f aca="false">1+IF($G$7=$E$7,$F$7,IF(Q551&lt;($F$7-$E$7)/($G$7-$E$7),$E$7+SQRT(Q551*($G$7-$E$7)*($F$7-$E$7)),$G$7-SQRT((1-Q551)*($G$7-$E$7)*($G$7-$F$7))))</f>
        <v>0.970952477457243</v>
      </c>
      <c r="D551" s="37" t="n">
        <f aca="false">1+IF($G$8=$E$8,$F$8,IF(R551&lt;($F$8-$E$8)/($G$8-$E$8),$E$8+SQRT(R551*($G$8-$E$8)*($F$8-$E$8)),$G$8-SQRT((1-R551)*($G$8-$E$8)*($G$8-$F$8))))</f>
        <v>1.01481445708252</v>
      </c>
      <c r="E551" s="37" t="n">
        <f aca="false">1+IF($G$9=$E$9,$F$9,IF(S551&lt;($F$9-$E$9)/($G$9-$E$9),$E$9+SQRT(S551*($G$9-$E$9)*($F$9-$E$9)),$G$9-SQRT((1-S551)*($G$9-$E$9)*($G$9-$F$9))))</f>
        <v>1.12402548142294</v>
      </c>
      <c r="F551" s="37" t="n">
        <f aca="false">1+IF($G$10=$E$10,$F$10,IF(T551&lt;($F$10-$E$10)/($G$10-$E$10),$E$10+SQRT(T551*($G$10-$E$10)*($F$10-$E$10)),$G$10-SQRT((1-T551)*($G$10-$E$10)*($G$10-$F$10))))</f>
        <v>1.02993832246022</v>
      </c>
      <c r="G551" s="38" t="n">
        <f aca="false">IF($G$11=$E$11,$F$11,IF(U551&lt;($F$11-$E$11)/($G$11-$E$11),$E$11+SQRT(U551*($G$11-$E$11)*($F$11-$E$11)),$G$11-SQRT((1-U551)*($G$11-$E$11)*($G$11-$F$11))))</f>
        <v>0.0892487379292547</v>
      </c>
      <c r="H551" s="39" t="n">
        <f aca="false">(('Business Case'!B11*$C551*'Business Case'!B12*$B551)-'Business Case'!B11*$C551*'Business Case'!B13*$D551-'Business Case'!B14*$E551)-MAX(0,(('Business Case'!B11*$C551*'Business Case'!B12*$B551)-'Business Case'!B11*$C551*'Business Case'!B13*$D551-'Business Case'!B14*$E551))*'Business Case'!$B$7-'Business Case'!$B$8*('Business Case'!B11*$C551*'Business Case'!B12*$B551)-'Business Case'!B15*$F551</f>
        <v>-2059876644.92043</v>
      </c>
      <c r="I551" s="39" t="n">
        <f aca="false">(('Business Case'!C11*$C551*'Business Case'!C12*$B551)-'Business Case'!C11*$C551*'Business Case'!C13*$D551-'Business Case'!C14*$E551)-MAX(0,(('Business Case'!C11*$C551*'Business Case'!C12*$B551)-'Business Case'!C11*$C551*'Business Case'!C13*$D551-'Business Case'!C14*$E551))*'Business Case'!$B$7-'Business Case'!$B$8*(('Business Case'!C11*$C551*'Business Case'!C12*$B551)-('Business Case'!B11*$C551*'Business Case'!B12*$B551))-'Business Case'!C15*$F551</f>
        <v>-49403536.7143365</v>
      </c>
      <c r="J551" s="39" t="n">
        <f aca="false">(('Business Case'!D11*$C551*'Business Case'!D12*$B551)-'Business Case'!D11*$C551*'Business Case'!D13*$D551-'Business Case'!D14*$E551)-MAX(0,(('Business Case'!D11*$C551*'Business Case'!D12*$B551)-'Business Case'!D11*$C551*'Business Case'!D13*$D551-'Business Case'!D14*$E551))*'Business Case'!$B$7-'Business Case'!$B$8*(('Business Case'!D11*$C551*'Business Case'!D12*$B551)-('Business Case'!C11*$C551*'Business Case'!C12*$B551))-'Business Case'!D15*$F551</f>
        <v>212525900.993809</v>
      </c>
      <c r="K551" s="39" t="n">
        <f aca="false">(('Business Case'!E11*$C551*'Business Case'!E12*$B551)-'Business Case'!E11*$C551*'Business Case'!E13*$D551-'Business Case'!E14*$E551)-MAX(0,(('Business Case'!E11*$C551*'Business Case'!E12*$B551)-'Business Case'!E11*$C551*'Business Case'!E13*$D551-'Business Case'!E14*$E551))*'Business Case'!$B$7-'Business Case'!$B$8*(('Business Case'!E11*$C551*'Business Case'!E12*$B551)-('Business Case'!D11*$C551*'Business Case'!D12*$B551))-'Business Case'!E15*$F551</f>
        <v>525952254.824965</v>
      </c>
      <c r="L551" s="39" t="n">
        <f aca="false">(('Business Case'!F11*$C551*'Business Case'!F12*$B551)-'Business Case'!F11*$C551*'Business Case'!F13*$D551-'Business Case'!F14*$E551)-MAX(0,(('Business Case'!F11*$C551*'Business Case'!F12*$B551)-'Business Case'!F11*$C551*'Business Case'!F13*$D551-'Business Case'!F14*$E551))*'Business Case'!$B$7-'Business Case'!$B$8*(('Business Case'!F11*$C551*'Business Case'!F12*$B551)-('Business Case'!E11*$C551*'Business Case'!E12*$B551))-'Business Case'!F15*$F551</f>
        <v>645597213.206426</v>
      </c>
      <c r="M551" s="39" t="n">
        <f aca="false">(('Business Case'!G11*$C551*'Business Case'!G12*$B551)-'Business Case'!G11*$C551*'Business Case'!G13*$D551-'Business Case'!G14*$E551)-MAX(0,(('Business Case'!G11*$C551*'Business Case'!G12*$B551)-'Business Case'!G11*$C551*'Business Case'!G13*$D551-'Business Case'!G14*$E551))*'Business Case'!$B$7-'Business Case'!$B$8*(('Business Case'!G11*$C551*'Business Case'!G12*$B551)-('Business Case'!F11*$C551*'Business Case'!F12*$B551))-'Business Case'!G15*$F551+'Business Case'!$B$8*('Business Case'!G11*$C551*'Business Case'!G12*$B551)</f>
        <v>823440515.172857</v>
      </c>
      <c r="N551" s="39" t="n">
        <f aca="false">IF(COUNT('Business Case'!B11:G11)=0,"",H551+NPV(G551,I551:M551))</f>
        <v>-523485675.895987</v>
      </c>
      <c r="P551" s="40" t="n">
        <f aca="true">RAND()</f>
        <v>0.269783007801583</v>
      </c>
      <c r="Q551" s="40" t="n">
        <f aca="true">RAND()</f>
        <v>0.54381662992754</v>
      </c>
      <c r="R551" s="40" t="n">
        <f aca="true">RAND()</f>
        <v>0.516228218523662</v>
      </c>
      <c r="S551" s="40" t="n">
        <f aca="true">RAND()</f>
        <v>0.982008650258403</v>
      </c>
      <c r="T551" s="40" t="n">
        <f aca="true">RAND()</f>
        <v>0.354304774378353</v>
      </c>
      <c r="U551" s="40" t="n">
        <f aca="true">RAND()</f>
        <v>0.085539153284035</v>
      </c>
    </row>
    <row r="552" customFormat="false" ht="15" hidden="false" customHeight="false" outlineLevel="0" collapsed="false">
      <c r="A552" s="36" t="n">
        <v>472</v>
      </c>
      <c r="B552" s="37" t="n">
        <f aca="false">1+IF($G$6=$E$6,$F$6,IF(P552&lt;($F$6-$E$6)/($G$6-$E$6),$E$6+SQRT(P552*($G$6-$E$6)*($F$6-$E$6)),$G$6-SQRT((1-P552)*($G$6-$E$6)*($G$6-$F$6))))</f>
        <v>0.9423944229056</v>
      </c>
      <c r="C552" s="37" t="n">
        <f aca="false">1+IF($G$7=$E$7,$F$7,IF(Q552&lt;($F$7-$E$7)/($G$7-$E$7),$E$7+SQRT(Q552*($G$7-$E$7)*($F$7-$E$7)),$G$7-SQRT((1-Q552)*($G$7-$E$7)*($G$7-$F$7))))</f>
        <v>1.04133086018324</v>
      </c>
      <c r="D552" s="37" t="n">
        <f aca="false">1+IF($G$8=$E$8,$F$8,IF(R552&lt;($F$8-$E$8)/($G$8-$E$8),$E$8+SQRT(R552*($G$8-$E$8)*($F$8-$E$8)),$G$8-SQRT((1-R552)*($G$8-$E$8)*($G$8-$F$8))))</f>
        <v>0.990792030368217</v>
      </c>
      <c r="E552" s="37" t="n">
        <f aca="false">1+IF($G$9=$E$9,$F$9,IF(S552&lt;($F$9-$E$9)/($G$9-$E$9),$E$9+SQRT(S552*($G$9-$E$9)*($F$9-$E$9)),$G$9-SQRT((1-S552)*($G$9-$E$9)*($G$9-$F$9))))</f>
        <v>0.935802021977588</v>
      </c>
      <c r="F552" s="37" t="n">
        <f aca="false">1+IF($G$10=$E$10,$F$10,IF(T552&lt;($F$10-$E$10)/($G$10-$E$10),$E$10+SQRT(T552*($G$10-$E$10)*($F$10-$E$10)),$G$10-SQRT((1-T552)*($G$10-$E$10)*($G$10-$F$10))))</f>
        <v>0.997859680245538</v>
      </c>
      <c r="G552" s="38" t="n">
        <f aca="false">IF($G$11=$E$11,$F$11,IF(U552&lt;($F$11-$E$11)/($G$11-$E$11),$E$11+SQRT(U552*($G$11-$E$11)*($F$11-$E$11)),$G$11-SQRT((1-U552)*($G$11-$E$11)*($G$11-$F$11))))</f>
        <v>0.102815391819682</v>
      </c>
      <c r="H552" s="39" t="n">
        <f aca="false">(('Business Case'!B11*$C552*'Business Case'!B12*$B552)-'Business Case'!B11*$C552*'Business Case'!B13*$D552-'Business Case'!B14*$E552)-MAX(0,(('Business Case'!B11*$C552*'Business Case'!B12*$B552)-'Business Case'!B11*$C552*'Business Case'!B13*$D552-'Business Case'!B14*$E552))*'Business Case'!$B$7-'Business Case'!$B$8*('Business Case'!B11*$C552*'Business Case'!B12*$B552)-'Business Case'!B15*$F552</f>
        <v>-1995719360.49108</v>
      </c>
      <c r="I552" s="39" t="n">
        <f aca="false">(('Business Case'!C11*$C552*'Business Case'!C12*$B552)-'Business Case'!C11*$C552*'Business Case'!C13*$D552-'Business Case'!C14*$E552)-MAX(0,(('Business Case'!C11*$C552*'Business Case'!C12*$B552)-'Business Case'!C11*$C552*'Business Case'!C13*$D552-'Business Case'!C14*$E552))*'Business Case'!$B$7-'Business Case'!$B$8*(('Business Case'!C11*$C552*'Business Case'!C12*$B552)-('Business Case'!B11*$C552*'Business Case'!B12*$B552))-'Business Case'!C15*$F552</f>
        <v>-8107719.70196044</v>
      </c>
      <c r="J552" s="39" t="n">
        <f aca="false">(('Business Case'!D11*$C552*'Business Case'!D12*$B552)-'Business Case'!D11*$C552*'Business Case'!D13*$D552-'Business Case'!D14*$E552)-MAX(0,(('Business Case'!D11*$C552*'Business Case'!D12*$B552)-'Business Case'!D11*$C552*'Business Case'!D13*$D552-'Business Case'!D14*$E552))*'Business Case'!$B$7-'Business Case'!$B$8*(('Business Case'!D11*$C552*'Business Case'!D12*$B552)-('Business Case'!C11*$C552*'Business Case'!C12*$B552))-'Business Case'!D15*$F552</f>
        <v>267514469.584522</v>
      </c>
      <c r="K552" s="39" t="n">
        <f aca="false">(('Business Case'!E11*$C552*'Business Case'!E12*$B552)-'Business Case'!E11*$C552*'Business Case'!E13*$D552-'Business Case'!E14*$E552)-MAX(0,(('Business Case'!E11*$C552*'Business Case'!E12*$B552)-'Business Case'!E11*$C552*'Business Case'!E13*$D552-'Business Case'!E14*$E552))*'Business Case'!$B$7-'Business Case'!$B$8*(('Business Case'!E11*$C552*'Business Case'!E12*$B552)-('Business Case'!D11*$C552*'Business Case'!D12*$B552))-'Business Case'!E15*$F552</f>
        <v>593029642.88328</v>
      </c>
      <c r="L552" s="39" t="n">
        <f aca="false">(('Business Case'!F11*$C552*'Business Case'!F12*$B552)-'Business Case'!F11*$C552*'Business Case'!F13*$D552-'Business Case'!F14*$E552)-MAX(0,(('Business Case'!F11*$C552*'Business Case'!F12*$B552)-'Business Case'!F11*$C552*'Business Case'!F13*$D552-'Business Case'!F14*$E552))*'Business Case'!$B$7-'Business Case'!$B$8*(('Business Case'!F11*$C552*'Business Case'!F12*$B552)-('Business Case'!E11*$C552*'Business Case'!E12*$B552))-'Business Case'!F15*$F552</f>
        <v>718818968.271224</v>
      </c>
      <c r="M552" s="39" t="n">
        <f aca="false">(('Business Case'!G11*$C552*'Business Case'!G12*$B552)-'Business Case'!G11*$C552*'Business Case'!G13*$D552-'Business Case'!G14*$E552)-MAX(0,(('Business Case'!G11*$C552*'Business Case'!G12*$B552)-'Business Case'!G11*$C552*'Business Case'!G13*$D552-'Business Case'!G14*$E552))*'Business Case'!$B$7-'Business Case'!$B$8*(('Business Case'!G11*$C552*'Business Case'!G12*$B552)-('Business Case'!F11*$C552*'Business Case'!F12*$B552))-'Business Case'!G15*$F552+'Business Case'!$B$8*('Business Case'!G11*$C552*'Business Case'!G12*$B552)</f>
        <v>905352910.879701</v>
      </c>
      <c r="N552" s="39" t="n">
        <f aca="false">IF(COUNT('Business Case'!B11:G11)=0,"",H552+NPV(G552,I552:M552))</f>
        <v>-299981477.858613</v>
      </c>
      <c r="P552" s="40" t="n">
        <f aca="true">RAND()</f>
        <v>0.119819139566591</v>
      </c>
      <c r="Q552" s="40" t="n">
        <f aca="true">RAND()</f>
        <v>0.825052119281271</v>
      </c>
      <c r="R552" s="40" t="n">
        <f aca="true">RAND()</f>
        <v>0.221865298874869</v>
      </c>
      <c r="S552" s="40" t="n">
        <f aca="true">RAND()</f>
        <v>0.0512713911073489</v>
      </c>
      <c r="T552" s="40" t="n">
        <f aca="true">RAND()</f>
        <v>0.152703266213679</v>
      </c>
      <c r="U552" s="40" t="n">
        <f aca="true">RAND()</f>
        <v>0.507331385388401</v>
      </c>
    </row>
    <row r="553" customFormat="false" ht="15" hidden="false" customHeight="false" outlineLevel="0" collapsed="false">
      <c r="A553" s="36" t="n">
        <v>473</v>
      </c>
      <c r="B553" s="37" t="n">
        <f aca="false">1+IF($G$6=$E$6,$F$6,IF(P553&lt;($F$6-$E$6)/($G$6-$E$6),$E$6+SQRT(P553*($G$6-$E$6)*($F$6-$E$6)),$G$6-SQRT((1-P553)*($G$6-$E$6)*($G$6-$F$6))))</f>
        <v>0.995873631468251</v>
      </c>
      <c r="C553" s="37" t="n">
        <f aca="false">1+IF($G$7=$E$7,$F$7,IF(Q553&lt;($F$7-$E$7)/($G$7-$E$7),$E$7+SQRT(Q553*($G$7-$E$7)*($F$7-$E$7)),$G$7-SQRT((1-Q553)*($G$7-$E$7)*($G$7-$F$7))))</f>
        <v>0.943064405723531</v>
      </c>
      <c r="D553" s="37" t="n">
        <f aca="false">1+IF($G$8=$E$8,$F$8,IF(R553&lt;($F$8-$E$8)/($G$8-$E$8),$E$8+SQRT(R553*($G$8-$E$8)*($F$8-$E$8)),$G$8-SQRT((1-R553)*($G$8-$E$8)*($G$8-$F$8))))</f>
        <v>1.02725825078604</v>
      </c>
      <c r="E553" s="37" t="n">
        <f aca="false">1+IF($G$9=$E$9,$F$9,IF(S553&lt;($F$9-$E$9)/($G$9-$E$9),$E$9+SQRT(S553*($G$9-$E$9)*($F$9-$E$9)),$G$9-SQRT((1-S553)*($G$9-$E$9)*($G$9-$F$9))))</f>
        <v>0.930173569681919</v>
      </c>
      <c r="F553" s="37" t="n">
        <f aca="false">1+IF($G$10=$E$10,$F$10,IF(T553&lt;($F$10-$E$10)/($G$10-$E$10),$E$10+SQRT(T553*($G$10-$E$10)*($F$10-$E$10)),$G$10-SQRT((1-T553)*($G$10-$E$10)*($G$10-$F$10))))</f>
        <v>1.02062524074677</v>
      </c>
      <c r="G553" s="38" t="n">
        <f aca="false">IF($G$11=$E$11,$F$11,IF(U553&lt;($F$11-$E$11)/($G$11-$E$11),$E$11+SQRT(U553*($G$11-$E$11)*($F$11-$E$11)),$G$11-SQRT((1-U553)*($G$11-$E$11)*($G$11-$F$11))))</f>
        <v>0.09409048039258</v>
      </c>
      <c r="H553" s="39" t="n">
        <f aca="false">(('Business Case'!B11*$C553*'Business Case'!B12*$B553)-'Business Case'!B11*$C553*'Business Case'!B13*$D553-'Business Case'!B14*$E553)-MAX(0,(('Business Case'!B11*$C553*'Business Case'!B12*$B553)-'Business Case'!B11*$C553*'Business Case'!B13*$D553-'Business Case'!B14*$E553))*'Business Case'!$B$7-'Business Case'!$B$8*('Business Case'!B11*$C553*'Business Case'!B12*$B553)-'Business Case'!B15*$F553</f>
        <v>-2041250481.49355</v>
      </c>
      <c r="I553" s="39" t="n">
        <f aca="false">(('Business Case'!C11*$C553*'Business Case'!C12*$B553)-'Business Case'!C11*$C553*'Business Case'!C13*$D553-'Business Case'!C14*$E553)-MAX(0,(('Business Case'!C11*$C553*'Business Case'!C12*$B553)-'Business Case'!C11*$C553*'Business Case'!C13*$D553-'Business Case'!C14*$E553))*'Business Case'!$B$7-'Business Case'!$B$8*(('Business Case'!C11*$C553*'Business Case'!C12*$B553)-('Business Case'!B11*$C553*'Business Case'!B12*$B553))-'Business Case'!C15*$F553</f>
        <v>-9702738.70804861</v>
      </c>
      <c r="J553" s="39" t="n">
        <f aca="false">(('Business Case'!D11*$C553*'Business Case'!D12*$B553)-'Business Case'!D11*$C553*'Business Case'!D13*$D553-'Business Case'!D14*$E553)-MAX(0,(('Business Case'!D11*$C553*'Business Case'!D12*$B553)-'Business Case'!D11*$C553*'Business Case'!D13*$D553-'Business Case'!D14*$E553))*'Business Case'!$B$7-'Business Case'!$B$8*(('Business Case'!D11*$C553*'Business Case'!D12*$B553)-('Business Case'!C11*$C553*'Business Case'!C12*$B553))-'Business Case'!D15*$F553</f>
        <v>263614455.262129</v>
      </c>
      <c r="K553" s="39" t="n">
        <f aca="false">(('Business Case'!E11*$C553*'Business Case'!E12*$B553)-'Business Case'!E11*$C553*'Business Case'!E13*$D553-'Business Case'!E14*$E553)-MAX(0,(('Business Case'!E11*$C553*'Business Case'!E12*$B553)-'Business Case'!E11*$C553*'Business Case'!E13*$D553-'Business Case'!E14*$E553))*'Business Case'!$B$7-'Business Case'!$B$8*(('Business Case'!E11*$C553*'Business Case'!E12*$B553)-('Business Case'!D11*$C553*'Business Case'!D12*$B553))-'Business Case'!E15*$F553</f>
        <v>587962911.269645</v>
      </c>
      <c r="L553" s="39" t="n">
        <f aca="false">(('Business Case'!F11*$C553*'Business Case'!F12*$B553)-'Business Case'!F11*$C553*'Business Case'!F13*$D553-'Business Case'!F14*$E553)-MAX(0,(('Business Case'!F11*$C553*'Business Case'!F12*$B553)-'Business Case'!F11*$C553*'Business Case'!F13*$D553-'Business Case'!F14*$E553))*'Business Case'!$B$7-'Business Case'!$B$8*(('Business Case'!F11*$C553*'Business Case'!F12*$B553)-('Business Case'!E11*$C553*'Business Case'!E12*$B553))-'Business Case'!F15*$F553</f>
        <v>711526460.589557</v>
      </c>
      <c r="M553" s="39" t="n">
        <f aca="false">(('Business Case'!G11*$C553*'Business Case'!G12*$B553)-'Business Case'!G11*$C553*'Business Case'!G13*$D553-'Business Case'!G14*$E553)-MAX(0,(('Business Case'!G11*$C553*'Business Case'!G12*$B553)-'Business Case'!G11*$C553*'Business Case'!G13*$D553-'Business Case'!G14*$E553))*'Business Case'!$B$7-'Business Case'!$B$8*(('Business Case'!G11*$C553*'Business Case'!G12*$B553)-('Business Case'!F11*$C553*'Business Case'!F12*$B553))-'Business Case'!G15*$F553+'Business Case'!$B$8*('Business Case'!G11*$C553*'Business Case'!G12*$B553)</f>
        <v>890044459.570417</v>
      </c>
      <c r="N553" s="39" t="n">
        <f aca="false">IF(COUNT('Business Case'!B11:G11)=0,"",H553+NPV(G553,I553:M553))</f>
        <v>-316651721.367507</v>
      </c>
      <c r="P553" s="40" t="n">
        <f aca="true">RAND()</f>
        <v>0.612783547393998</v>
      </c>
      <c r="Q553" s="40" t="n">
        <f aca="true">RAND()</f>
        <v>0.437631891331357</v>
      </c>
      <c r="R553" s="40" t="n">
        <f aca="true">RAND()</f>
        <v>0.647242528086184</v>
      </c>
      <c r="S553" s="40" t="n">
        <f aca="true">RAND()</f>
        <v>0.0364177722939853</v>
      </c>
      <c r="T553" s="40" t="n">
        <f aca="true">RAND()</f>
        <v>0.298496264233653</v>
      </c>
      <c r="U553" s="40" t="n">
        <f aca="true">RAND()</f>
        <v>0.19854163769368</v>
      </c>
    </row>
    <row r="554" customFormat="false" ht="15" hidden="false" customHeight="false" outlineLevel="0" collapsed="false">
      <c r="A554" s="36" t="n">
        <v>474</v>
      </c>
      <c r="B554" s="37" t="n">
        <f aca="false">1+IF($G$6=$E$6,$F$6,IF(P554&lt;($F$6-$E$6)/($G$6-$E$6),$E$6+SQRT(P554*($G$6-$E$6)*($F$6-$E$6)),$G$6-SQRT((1-P554)*($G$6-$E$6)*($G$6-$F$6))))</f>
        <v>1.01150012644893</v>
      </c>
      <c r="C554" s="37" t="n">
        <f aca="false">1+IF($G$7=$E$7,$F$7,IF(Q554&lt;($F$7-$E$7)/($G$7-$E$7),$E$7+SQRT(Q554*($G$7-$E$7)*($F$7-$E$7)),$G$7-SQRT((1-Q554)*($G$7-$E$7)*($G$7-$F$7))))</f>
        <v>0.857747502697469</v>
      </c>
      <c r="D554" s="37" t="n">
        <f aca="false">1+IF($G$8=$E$8,$F$8,IF(R554&lt;($F$8-$E$8)/($G$8-$E$8),$E$8+SQRT(R554*($G$8-$E$8)*($F$8-$E$8)),$G$8-SQRT((1-R554)*($G$8-$E$8)*($G$8-$F$8))))</f>
        <v>1.05891940646499</v>
      </c>
      <c r="E554" s="37" t="n">
        <f aca="false">1+IF($G$9=$E$9,$F$9,IF(S554&lt;($F$9-$E$9)/($G$9-$E$9),$E$9+SQRT(S554*($G$9-$E$9)*($F$9-$E$9)),$G$9-SQRT((1-S554)*($G$9-$E$9)*($G$9-$F$9))))</f>
        <v>1.0122464692726</v>
      </c>
      <c r="F554" s="37" t="n">
        <f aca="false">1+IF($G$10=$E$10,$F$10,IF(T554&lt;($F$10-$E$10)/($G$10-$E$10),$E$10+SQRT(T554*($G$10-$E$10)*($F$10-$E$10)),$G$10-SQRT((1-T554)*($G$10-$E$10)*($G$10-$F$10))))</f>
        <v>0.983683147028157</v>
      </c>
      <c r="G554" s="38" t="n">
        <f aca="false">IF($G$11=$E$11,$F$11,IF(U554&lt;($F$11-$E$11)/($G$11-$E$11),$E$11+SQRT(U554*($G$11-$E$11)*($F$11-$E$11)),$G$11-SQRT((1-U554)*($G$11-$E$11)*($G$11-$F$11))))</f>
        <v>0.0901666700322126</v>
      </c>
      <c r="H554" s="39" t="n">
        <f aca="false">(('Business Case'!B11*$C554*'Business Case'!B12*$B554)-'Business Case'!B11*$C554*'Business Case'!B13*$D554-'Business Case'!B14*$E554)-MAX(0,(('Business Case'!B11*$C554*'Business Case'!B12*$B554)-'Business Case'!B11*$C554*'Business Case'!B13*$D554-'Business Case'!B14*$E554))*'Business Case'!$B$7-'Business Case'!$B$8*('Business Case'!B11*$C554*'Business Case'!B12*$B554)-'Business Case'!B15*$F554</f>
        <v>-1967366294.05631</v>
      </c>
      <c r="I554" s="39" t="n">
        <f aca="false">(('Business Case'!C11*$C554*'Business Case'!C12*$B554)-'Business Case'!C11*$C554*'Business Case'!C13*$D554-'Business Case'!C14*$E554)-MAX(0,(('Business Case'!C11*$C554*'Business Case'!C12*$B554)-'Business Case'!C11*$C554*'Business Case'!C13*$D554-'Business Case'!C14*$E554))*'Business Case'!$B$7-'Business Case'!$B$8*(('Business Case'!C11*$C554*'Business Case'!C12*$B554)-('Business Case'!B11*$C554*'Business Case'!B12*$B554))-'Business Case'!C15*$F554</f>
        <v>-41619798.2169105</v>
      </c>
      <c r="J554" s="39" t="n">
        <f aca="false">(('Business Case'!D11*$C554*'Business Case'!D12*$B554)-'Business Case'!D11*$C554*'Business Case'!D13*$D554-'Business Case'!D14*$E554)-MAX(0,(('Business Case'!D11*$C554*'Business Case'!D12*$B554)-'Business Case'!D11*$C554*'Business Case'!D13*$D554-'Business Case'!D14*$E554))*'Business Case'!$B$7-'Business Case'!$B$8*(('Business Case'!D11*$C554*'Business Case'!D12*$B554)-('Business Case'!C11*$C554*'Business Case'!C12*$B554))-'Business Case'!D15*$F554</f>
        <v>204047157.113235</v>
      </c>
      <c r="K554" s="39" t="n">
        <f aca="false">(('Business Case'!E11*$C554*'Business Case'!E12*$B554)-'Business Case'!E11*$C554*'Business Case'!E13*$D554-'Business Case'!E14*$E554)-MAX(0,(('Business Case'!E11*$C554*'Business Case'!E12*$B554)-'Business Case'!E11*$C554*'Business Case'!E13*$D554-'Business Case'!E14*$E554))*'Business Case'!$B$7-'Business Case'!$B$8*(('Business Case'!E11*$C554*'Business Case'!E12*$B554)-('Business Case'!D11*$C554*'Business Case'!D12*$B554))-'Business Case'!E15*$F554</f>
        <v>498898269.794789</v>
      </c>
      <c r="L554" s="39" t="n">
        <f aca="false">(('Business Case'!F11*$C554*'Business Case'!F12*$B554)-'Business Case'!F11*$C554*'Business Case'!F13*$D554-'Business Case'!F14*$E554)-MAX(0,(('Business Case'!F11*$C554*'Business Case'!F12*$B554)-'Business Case'!F11*$C554*'Business Case'!F13*$D554-'Business Case'!F14*$E554))*'Business Case'!$B$7-'Business Case'!$B$8*(('Business Case'!F11*$C554*'Business Case'!F12*$B554)-('Business Case'!E11*$C554*'Business Case'!E12*$B554))-'Business Case'!F15*$F554</f>
        <v>610771915.513955</v>
      </c>
      <c r="M554" s="39" t="n">
        <f aca="false">(('Business Case'!G11*$C554*'Business Case'!G12*$B554)-'Business Case'!G11*$C554*'Business Case'!G13*$D554-'Business Case'!G14*$E554)-MAX(0,(('Business Case'!G11*$C554*'Business Case'!G12*$B554)-'Business Case'!G11*$C554*'Business Case'!G13*$D554-'Business Case'!G14*$E554))*'Business Case'!$B$7-'Business Case'!$B$8*(('Business Case'!G11*$C554*'Business Case'!G12*$B554)-('Business Case'!F11*$C554*'Business Case'!F12*$B554))-'Business Case'!G15*$F554+'Business Case'!$B$8*('Business Case'!G11*$C554*'Business Case'!G12*$B554)</f>
        <v>775687548.864101</v>
      </c>
      <c r="N554" s="39" t="n">
        <f aca="false">IF(COUNT('Business Case'!B11:G11)=0,"",H554+NPV(G554,I554:M554))</f>
        <v>-512609419.715364</v>
      </c>
      <c r="P554" s="40" t="n">
        <f aca="true">RAND()</f>
        <v>0.802367964873539</v>
      </c>
      <c r="Q554" s="40" t="n">
        <f aca="true">RAND()</f>
        <v>0.184327960053984</v>
      </c>
      <c r="R554" s="40" t="n">
        <f aca="true">RAND()</f>
        <v>0.887492322320768</v>
      </c>
      <c r="S554" s="40" t="n">
        <f aca="true">RAND()</f>
        <v>0.49397239392363</v>
      </c>
      <c r="T554" s="40" t="n">
        <f aca="true">RAND()</f>
        <v>0.0756369595813621</v>
      </c>
      <c r="U554" s="40" t="n">
        <f aca="true">RAND()</f>
        <v>0.10336117954389</v>
      </c>
    </row>
    <row r="555" customFormat="false" ht="15" hidden="false" customHeight="false" outlineLevel="0" collapsed="false">
      <c r="A555" s="36" t="n">
        <v>475</v>
      </c>
      <c r="B555" s="37" t="n">
        <f aca="false">1+IF($G$6=$E$6,$F$6,IF(P555&lt;($F$6-$E$6)/($G$6-$E$6),$E$6+SQRT(P555*($G$6-$E$6)*($F$6-$E$6)),$G$6-SQRT((1-P555)*($G$6-$E$6)*($G$6-$F$6))))</f>
        <v>0.928061704198577</v>
      </c>
      <c r="C555" s="37" t="n">
        <f aca="false">1+IF($G$7=$E$7,$F$7,IF(Q555&lt;($F$7-$E$7)/($G$7-$E$7),$E$7+SQRT(Q555*($G$7-$E$7)*($F$7-$E$7)),$G$7-SQRT((1-Q555)*($G$7-$E$7)*($G$7-$F$7))))</f>
        <v>0.904789492539737</v>
      </c>
      <c r="D555" s="37" t="n">
        <f aca="false">1+IF($G$8=$E$8,$F$8,IF(R555&lt;($F$8-$E$8)/($G$8-$E$8),$E$8+SQRT(R555*($G$8-$E$8)*($F$8-$E$8)),$G$8-SQRT((1-R555)*($G$8-$E$8)*($G$8-$F$8))))</f>
        <v>0.977776540881665</v>
      </c>
      <c r="E555" s="37" t="n">
        <f aca="false">1+IF($G$9=$E$9,$F$9,IF(S555&lt;($F$9-$E$9)/($G$9-$E$9),$E$9+SQRT(S555*($G$9-$E$9)*($F$9-$E$9)),$G$9-SQRT((1-S555)*($G$9-$E$9)*($G$9-$F$9))))</f>
        <v>0.945616901013698</v>
      </c>
      <c r="F555" s="37" t="n">
        <f aca="false">1+IF($G$10=$E$10,$F$10,IF(T555&lt;($F$10-$E$10)/($G$10-$E$10),$E$10+SQRT(T555*($G$10-$E$10)*($F$10-$E$10)),$G$10-SQRT((1-T555)*($G$10-$E$10)*($G$10-$F$10))))</f>
        <v>1.17455040611011</v>
      </c>
      <c r="G555" s="38" t="n">
        <f aca="false">IF($G$11=$E$11,$F$11,IF(U555&lt;($F$11-$E$11)/($G$11-$E$11),$E$11+SQRT(U555*($G$11-$E$11)*($F$11-$E$11)),$G$11-SQRT((1-U555)*($G$11-$E$11)*($G$11-$F$11))))</f>
        <v>0.0874685016585332</v>
      </c>
      <c r="H555" s="39" t="n">
        <f aca="false">(('Business Case'!B11*$C555*'Business Case'!B12*$B555)-'Business Case'!B11*$C555*'Business Case'!B13*$D555-'Business Case'!B14*$E555)-MAX(0,(('Business Case'!B11*$C555*'Business Case'!B12*$B555)-'Business Case'!B11*$C555*'Business Case'!B13*$D555-'Business Case'!B14*$E555))*'Business Case'!$B$7-'Business Case'!$B$8*('Business Case'!B11*$C555*'Business Case'!B12*$B555)-'Business Case'!B15*$F555</f>
        <v>-2349100812.22022</v>
      </c>
      <c r="I555" s="39" t="n">
        <f aca="false">(('Business Case'!C11*$C555*'Business Case'!C12*$B555)-'Business Case'!C11*$C555*'Business Case'!C13*$D555-'Business Case'!C14*$E555)-MAX(0,(('Business Case'!C11*$C555*'Business Case'!C12*$B555)-'Business Case'!C11*$C555*'Business Case'!C13*$D555-'Business Case'!C14*$E555))*'Business Case'!$B$7-'Business Case'!$B$8*(('Business Case'!C11*$C555*'Business Case'!C12*$B555)-('Business Case'!B11*$C555*'Business Case'!B12*$B555))-'Business Case'!C15*$F555</f>
        <v>-60563065.3495124</v>
      </c>
      <c r="J555" s="39" t="n">
        <f aca="false">(('Business Case'!D11*$C555*'Business Case'!D12*$B555)-'Business Case'!D11*$C555*'Business Case'!D13*$D555-'Business Case'!D14*$E555)-MAX(0,(('Business Case'!D11*$C555*'Business Case'!D12*$B555)-'Business Case'!D11*$C555*'Business Case'!D13*$D555-'Business Case'!D14*$E555))*'Business Case'!$B$7-'Business Case'!$B$8*(('Business Case'!D11*$C555*'Business Case'!D12*$B555)-('Business Case'!C11*$C555*'Business Case'!C12*$B555))-'Business Case'!D15*$F555</f>
        <v>174325706.035736</v>
      </c>
      <c r="K555" s="39" t="n">
        <f aca="false">(('Business Case'!E11*$C555*'Business Case'!E12*$B555)-'Business Case'!E11*$C555*'Business Case'!E13*$D555-'Business Case'!E14*$E555)-MAX(0,(('Business Case'!E11*$C555*'Business Case'!E12*$B555)-'Business Case'!E11*$C555*'Business Case'!E13*$D555-'Business Case'!E14*$E555))*'Business Case'!$B$7-'Business Case'!$B$8*(('Business Case'!E11*$C555*'Business Case'!E12*$B555)-('Business Case'!D11*$C555*'Business Case'!D12*$B555))-'Business Case'!E15*$F555</f>
        <v>467941997.726491</v>
      </c>
      <c r="L555" s="39" t="n">
        <f aca="false">(('Business Case'!F11*$C555*'Business Case'!F12*$B555)-'Business Case'!F11*$C555*'Business Case'!F13*$D555-'Business Case'!F14*$E555)-MAX(0,(('Business Case'!F11*$C555*'Business Case'!F12*$B555)-'Business Case'!F11*$C555*'Business Case'!F13*$D555-'Business Case'!F14*$E555))*'Business Case'!$B$7-'Business Case'!$B$8*(('Business Case'!F11*$C555*'Business Case'!F12*$B555)-('Business Case'!E11*$C555*'Business Case'!E12*$B555))-'Business Case'!F15*$F555</f>
        <v>575258303.387976</v>
      </c>
      <c r="M555" s="39" t="n">
        <f aca="false">(('Business Case'!G11*$C555*'Business Case'!G12*$B555)-'Business Case'!G11*$C555*'Business Case'!G13*$D555-'Business Case'!G14*$E555)-MAX(0,(('Business Case'!G11*$C555*'Business Case'!G12*$B555)-'Business Case'!G11*$C555*'Business Case'!G13*$D555-'Business Case'!G14*$E555))*'Business Case'!$B$7-'Business Case'!$B$8*(('Business Case'!G11*$C555*'Business Case'!G12*$B555)-('Business Case'!F11*$C555*'Business Case'!F12*$B555))-'Business Case'!G15*$F555+'Business Case'!$B$8*('Business Case'!G11*$C555*'Business Case'!G12*$B555)</f>
        <v>734868570.319852</v>
      </c>
      <c r="N555" s="39" t="n">
        <f aca="false">IF(COUNT('Business Case'!B11:G11)=0,"",H555+NPV(G555,I555:M555))</f>
        <v>-998981115.472619</v>
      </c>
      <c r="P555" s="40" t="n">
        <f aca="true">RAND()</f>
        <v>0.0524972828352279</v>
      </c>
      <c r="Q555" s="40" t="n">
        <f aca="true">RAND()</f>
        <v>0.310657305590243</v>
      </c>
      <c r="R555" s="40" t="n">
        <f aca="true">RAND()</f>
        <v>0.102871496446776</v>
      </c>
      <c r="S555" s="40" t="n">
        <f aca="true">RAND()</f>
        <v>0.0832360663237407</v>
      </c>
      <c r="T555" s="40" t="n">
        <f aca="true">RAND()</f>
        <v>0.924098117091342</v>
      </c>
      <c r="U555" s="40" t="n">
        <f aca="true">RAND()</f>
        <v>0.0557785170235133</v>
      </c>
    </row>
    <row r="556" customFormat="false" ht="15" hidden="false" customHeight="false" outlineLevel="0" collapsed="false">
      <c r="A556" s="36" t="n">
        <v>476</v>
      </c>
      <c r="B556" s="37" t="n">
        <f aca="false">1+IF($G$6=$E$6,$F$6,IF(P556&lt;($F$6-$E$6)/($G$6-$E$6),$E$6+SQRT(P556*($G$6-$E$6)*($F$6-$E$6)),$G$6-SQRT((1-P556)*($G$6-$E$6)*($G$6-$F$6))))</f>
        <v>0.993497543377515</v>
      </c>
      <c r="C556" s="37" t="n">
        <f aca="false">1+IF($G$7=$E$7,$F$7,IF(Q556&lt;($F$7-$E$7)/($G$7-$E$7),$E$7+SQRT(Q556*($G$7-$E$7)*($F$7-$E$7)),$G$7-SQRT((1-Q556)*($G$7-$E$7)*($G$7-$F$7))))</f>
        <v>0.973873365521673</v>
      </c>
      <c r="D556" s="37" t="n">
        <f aca="false">1+IF($G$8=$E$8,$F$8,IF(R556&lt;($F$8-$E$8)/($G$8-$E$8),$E$8+SQRT(R556*($G$8-$E$8)*($F$8-$E$8)),$G$8-SQRT((1-R556)*($G$8-$E$8)*($G$8-$F$8))))</f>
        <v>1.0098056386107</v>
      </c>
      <c r="E556" s="37" t="n">
        <f aca="false">1+IF($G$9=$E$9,$F$9,IF(S556&lt;($F$9-$E$9)/($G$9-$E$9),$E$9+SQRT(S556*($G$9-$E$9)*($F$9-$E$9)),$G$9-SQRT((1-S556)*($G$9-$E$9)*($G$9-$F$9))))</f>
        <v>0.966130660268473</v>
      </c>
      <c r="F556" s="37" t="n">
        <f aca="false">1+IF($G$10=$E$10,$F$10,IF(T556&lt;($F$10-$E$10)/($G$10-$E$10),$E$10+SQRT(T556*($G$10-$E$10)*($F$10-$E$10)),$G$10-SQRT((1-T556)*($G$10-$E$10)*($G$10-$F$10))))</f>
        <v>1.23267958071529</v>
      </c>
      <c r="G556" s="38" t="n">
        <f aca="false">IF($G$11=$E$11,$F$11,IF(U556&lt;($F$11-$E$11)/($G$11-$E$11),$E$11+SQRT(U556*($G$11-$E$11)*($F$11-$E$11)),$G$11-SQRT((1-U556)*($G$11-$E$11)*($G$11-$F$11))))</f>
        <v>0.109448514650446</v>
      </c>
      <c r="H556" s="39" t="n">
        <f aca="false">(('Business Case'!B11*$C556*'Business Case'!B12*$B556)-'Business Case'!B11*$C556*'Business Case'!B13*$D556-'Business Case'!B14*$E556)-MAX(0,(('Business Case'!B11*$C556*'Business Case'!B12*$B556)-'Business Case'!B11*$C556*'Business Case'!B13*$D556-'Business Case'!B14*$E556))*'Business Case'!$B$7-'Business Case'!$B$8*('Business Case'!B11*$C556*'Business Case'!B12*$B556)-'Business Case'!B15*$F556</f>
        <v>-2465359161.43059</v>
      </c>
      <c r="I556" s="39" t="n">
        <f aca="false">(('Business Case'!C11*$C556*'Business Case'!C12*$B556)-'Business Case'!C11*$C556*'Business Case'!C13*$D556-'Business Case'!C14*$E556)-MAX(0,(('Business Case'!C11*$C556*'Business Case'!C12*$B556)-'Business Case'!C11*$C556*'Business Case'!C13*$D556-'Business Case'!C14*$E556))*'Business Case'!$B$7-'Business Case'!$B$8*(('Business Case'!C11*$C556*'Business Case'!C12*$B556)-('Business Case'!B11*$C556*'Business Case'!B12*$B556))-'Business Case'!C15*$F556</f>
        <v>-21757285.6691229</v>
      </c>
      <c r="J556" s="39" t="n">
        <f aca="false">(('Business Case'!D11*$C556*'Business Case'!D12*$B556)-'Business Case'!D11*$C556*'Business Case'!D13*$D556-'Business Case'!D14*$E556)-MAX(0,(('Business Case'!D11*$C556*'Business Case'!D12*$B556)-'Business Case'!D11*$C556*'Business Case'!D13*$D556-'Business Case'!D14*$E556))*'Business Case'!$B$7-'Business Case'!$B$8*(('Business Case'!D11*$C556*'Business Case'!D12*$B556)-('Business Case'!C11*$C556*'Business Case'!C12*$B556))-'Business Case'!D15*$F556</f>
        <v>267294481.498809</v>
      </c>
      <c r="K556" s="39" t="n">
        <f aca="false">(('Business Case'!E11*$C556*'Business Case'!E12*$B556)-'Business Case'!E11*$C556*'Business Case'!E13*$D556-'Business Case'!E14*$E556)-MAX(0,(('Business Case'!E11*$C556*'Business Case'!E12*$B556)-'Business Case'!E11*$C556*'Business Case'!E13*$D556-'Business Case'!E14*$E556))*'Business Case'!$B$7-'Business Case'!$B$8*(('Business Case'!E11*$C556*'Business Case'!E12*$B556)-('Business Case'!D11*$C556*'Business Case'!D12*$B556))-'Business Case'!E15*$F556</f>
        <v>617980227.702506</v>
      </c>
      <c r="L556" s="39" t="n">
        <f aca="false">(('Business Case'!F11*$C556*'Business Case'!F12*$B556)-'Business Case'!F11*$C556*'Business Case'!F13*$D556-'Business Case'!F14*$E556)-MAX(0,(('Business Case'!F11*$C556*'Business Case'!F12*$B556)-'Business Case'!F11*$C556*'Business Case'!F13*$D556-'Business Case'!F14*$E556))*'Business Case'!$B$7-'Business Case'!$B$8*(('Business Case'!F11*$C556*'Business Case'!F12*$B556)-('Business Case'!E11*$C556*'Business Case'!E12*$B556))-'Business Case'!F15*$F556</f>
        <v>747769026.675383</v>
      </c>
      <c r="M556" s="39" t="n">
        <f aca="false">(('Business Case'!G11*$C556*'Business Case'!G12*$B556)-'Business Case'!G11*$C556*'Business Case'!G13*$D556-'Business Case'!G14*$E556)-MAX(0,(('Business Case'!G11*$C556*'Business Case'!G12*$B556)-'Business Case'!G11*$C556*'Business Case'!G13*$D556-'Business Case'!G14*$E556))*'Business Case'!$B$7-'Business Case'!$B$8*(('Business Case'!G11*$C556*'Business Case'!G12*$B556)-('Business Case'!F11*$C556*'Business Case'!F12*$B556))-'Business Case'!G15*$F556+'Business Case'!$B$8*('Business Case'!G11*$C556*'Business Case'!G12*$B556)</f>
        <v>931679181.218328</v>
      </c>
      <c r="N556" s="39" t="n">
        <f aca="false">IF(COUNT('Business Case'!B11:G11)=0,"",H556+NPV(G556,I556:M556))</f>
        <v>-767435585.718428</v>
      </c>
      <c r="P556" s="40" t="n">
        <f aca="true">RAND()</f>
        <v>0.582786041175347</v>
      </c>
      <c r="Q556" s="40" t="n">
        <f aca="true">RAND()</f>
        <v>0.555604595127169</v>
      </c>
      <c r="R556" s="40" t="n">
        <f aca="true">RAND()</f>
        <v>0.457665144905128</v>
      </c>
      <c r="S556" s="40" t="n">
        <f aca="true">RAND()</f>
        <v>0.174930569101768</v>
      </c>
      <c r="T556" s="40" t="n">
        <f aca="true">RAND()</f>
        <v>0.996000041010693</v>
      </c>
      <c r="U556" s="40" t="n">
        <f aca="true">RAND()</f>
        <v>0.718424299951373</v>
      </c>
    </row>
    <row r="557" customFormat="false" ht="15" hidden="false" customHeight="false" outlineLevel="0" collapsed="false">
      <c r="A557" s="36" t="n">
        <v>477</v>
      </c>
      <c r="B557" s="37" t="n">
        <f aca="false">1+IF($G$6=$E$6,$F$6,IF(P557&lt;($F$6-$E$6)/($G$6-$E$6),$E$6+SQRT(P557*($G$6-$E$6)*($F$6-$E$6)),$G$6-SQRT((1-P557)*($G$6-$E$6)*($G$6-$F$6))))</f>
        <v>0.995722301039512</v>
      </c>
      <c r="C557" s="37" t="n">
        <f aca="false">1+IF($G$7=$E$7,$F$7,IF(Q557&lt;($F$7-$E$7)/($G$7-$E$7),$E$7+SQRT(Q557*($G$7-$E$7)*($F$7-$E$7)),$G$7-SQRT((1-Q557)*($G$7-$E$7)*($G$7-$F$7))))</f>
        <v>0.854725368413086</v>
      </c>
      <c r="D557" s="37" t="n">
        <f aca="false">1+IF($G$8=$E$8,$F$8,IF(R557&lt;($F$8-$E$8)/($G$8-$E$8),$E$8+SQRT(R557*($G$8-$E$8)*($F$8-$E$8)),$G$8-SQRT((1-R557)*($G$8-$E$8)*($G$8-$F$8))))</f>
        <v>1.04480340984679</v>
      </c>
      <c r="E557" s="37" t="n">
        <f aca="false">1+IF($G$9=$E$9,$F$9,IF(S557&lt;($F$9-$E$9)/($G$9-$E$9),$E$9+SQRT(S557*($G$9-$E$9)*($F$9-$E$9)),$G$9-SQRT((1-S557)*($G$9-$E$9)*($G$9-$F$9))))</f>
        <v>0.96068784246701</v>
      </c>
      <c r="F557" s="37" t="n">
        <f aca="false">1+IF($G$10=$E$10,$F$10,IF(T557&lt;($F$10-$E$10)/($G$10-$E$10),$E$10+SQRT(T557*($G$10-$E$10)*($F$10-$E$10)),$G$10-SQRT((1-T557)*($G$10-$E$10)*($G$10-$F$10))))</f>
        <v>1.02111697261458</v>
      </c>
      <c r="G557" s="38" t="n">
        <f aca="false">IF($G$11=$E$11,$F$11,IF(U557&lt;($F$11-$E$11)/($G$11-$E$11),$E$11+SQRT(U557*($G$11-$E$11)*($F$11-$E$11)),$G$11-SQRT((1-U557)*($G$11-$E$11)*($G$11-$F$11))))</f>
        <v>0.109040373700123</v>
      </c>
      <c r="H557" s="39" t="n">
        <f aca="false">(('Business Case'!B11*$C557*'Business Case'!B12*$B557)-'Business Case'!B11*$C557*'Business Case'!B13*$D557-'Business Case'!B14*$E557)-MAX(0,(('Business Case'!B11*$C557*'Business Case'!B12*$B557)-'Business Case'!B11*$C557*'Business Case'!B13*$D557-'Business Case'!B14*$E557))*'Business Case'!$B$7-'Business Case'!$B$8*('Business Case'!B11*$C557*'Business Case'!B12*$B557)-'Business Case'!B15*$F557</f>
        <v>-2042233945.22917</v>
      </c>
      <c r="I557" s="39" t="n">
        <f aca="false">(('Business Case'!C11*$C557*'Business Case'!C12*$B557)-'Business Case'!C11*$C557*'Business Case'!C13*$D557-'Business Case'!C14*$E557)-MAX(0,(('Business Case'!C11*$C557*'Business Case'!C12*$B557)-'Business Case'!C11*$C557*'Business Case'!C13*$D557-'Business Case'!C14*$E557))*'Business Case'!$B$7-'Business Case'!$B$8*(('Business Case'!C11*$C557*'Business Case'!C12*$B557)-('Business Case'!B11*$C557*'Business Case'!B12*$B557))-'Business Case'!C15*$F557</f>
        <v>-42908840.4564112</v>
      </c>
      <c r="J557" s="39" t="n">
        <f aca="false">(('Business Case'!D11*$C557*'Business Case'!D12*$B557)-'Business Case'!D11*$C557*'Business Case'!D13*$D557-'Business Case'!D14*$E557)-MAX(0,(('Business Case'!D11*$C557*'Business Case'!D12*$B557)-'Business Case'!D11*$C557*'Business Case'!D13*$D557-'Business Case'!D14*$E557))*'Business Case'!$B$7-'Business Case'!$B$8*(('Business Case'!D11*$C557*'Business Case'!D12*$B557)-('Business Case'!C11*$C557*'Business Case'!C12*$B557))-'Business Case'!D15*$F557</f>
        <v>197023250.240592</v>
      </c>
      <c r="K557" s="39" t="n">
        <f aca="false">(('Business Case'!E11*$C557*'Business Case'!E12*$B557)-'Business Case'!E11*$C557*'Business Case'!E13*$D557-'Business Case'!E14*$E557)-MAX(0,(('Business Case'!E11*$C557*'Business Case'!E12*$B557)-'Business Case'!E11*$C557*'Business Case'!E13*$D557-'Business Case'!E14*$E557))*'Business Case'!$B$7-'Business Case'!$B$8*(('Business Case'!E11*$C557*'Business Case'!E12*$B557)-('Business Case'!D11*$C557*'Business Case'!D12*$B557))-'Business Case'!E15*$F557</f>
        <v>488011189.568325</v>
      </c>
      <c r="L557" s="39" t="n">
        <f aca="false">(('Business Case'!F11*$C557*'Business Case'!F12*$B557)-'Business Case'!F11*$C557*'Business Case'!F13*$D557-'Business Case'!F14*$E557)-MAX(0,(('Business Case'!F11*$C557*'Business Case'!F12*$B557)-'Business Case'!F11*$C557*'Business Case'!F13*$D557-'Business Case'!F14*$E557))*'Business Case'!$B$7-'Business Case'!$B$8*(('Business Case'!F11*$C557*'Business Case'!F12*$B557)-('Business Case'!E11*$C557*'Business Case'!E12*$B557))-'Business Case'!F15*$F557</f>
        <v>597401501.596091</v>
      </c>
      <c r="M557" s="39" t="n">
        <f aca="false">(('Business Case'!G11*$C557*'Business Case'!G12*$B557)-'Business Case'!G11*$C557*'Business Case'!G13*$D557-'Business Case'!G14*$E557)-MAX(0,(('Business Case'!G11*$C557*'Business Case'!G12*$B557)-'Business Case'!G11*$C557*'Business Case'!G13*$D557-'Business Case'!G14*$E557))*'Business Case'!$B$7-'Business Case'!$B$8*(('Business Case'!G11*$C557*'Business Case'!G12*$B557)-('Business Case'!F11*$C557*'Business Case'!F12*$B557))-'Business Case'!G15*$F557+'Business Case'!$B$8*('Business Case'!G11*$C557*'Business Case'!G12*$B557)</f>
        <v>759172718.137632</v>
      </c>
      <c r="N557" s="39" t="n">
        <f aca="false">IF(COUNT('Business Case'!B11:G11)=0,"",H557+NPV(G557,I557:M557))</f>
        <v>-715606734.306346</v>
      </c>
      <c r="P557" s="40" t="n">
        <f aca="true">RAND()</f>
        <v>0.610850594419929</v>
      </c>
      <c r="Q557" s="40" t="n">
        <f aca="true">RAND()</f>
        <v>0.177332886152336</v>
      </c>
      <c r="R557" s="40" t="n">
        <f aca="true">RAND()</f>
        <v>0.796889095697223</v>
      </c>
      <c r="S557" s="40" t="n">
        <f aca="true">RAND()</f>
        <v>0.147320568932025</v>
      </c>
      <c r="T557" s="40" t="n">
        <f aca="true">RAND()</f>
        <v>0.301500796998488</v>
      </c>
      <c r="U557" s="40" t="n">
        <f aca="true">RAND()</f>
        <v>0.707129376913011</v>
      </c>
    </row>
    <row r="558" customFormat="false" ht="15" hidden="false" customHeight="false" outlineLevel="0" collapsed="false">
      <c r="A558" s="36" t="n">
        <v>478</v>
      </c>
      <c r="B558" s="37" t="n">
        <f aca="false">1+IF($G$6=$E$6,$F$6,IF(P558&lt;($F$6-$E$6)/($G$6-$E$6),$E$6+SQRT(P558*($G$6-$E$6)*($F$6-$E$6)),$G$6-SQRT((1-P558)*($G$6-$E$6)*($G$6-$F$6))))</f>
        <v>0.959750525671196</v>
      </c>
      <c r="C558" s="37" t="n">
        <f aca="false">1+IF($G$7=$E$7,$F$7,IF(Q558&lt;($F$7-$E$7)/($G$7-$E$7),$E$7+SQRT(Q558*($G$7-$E$7)*($F$7-$E$7)),$G$7-SQRT((1-Q558)*($G$7-$E$7)*($G$7-$F$7))))</f>
        <v>0.805417071476069</v>
      </c>
      <c r="D558" s="37" t="n">
        <f aca="false">1+IF($G$8=$E$8,$F$8,IF(R558&lt;($F$8-$E$8)/($G$8-$E$8),$E$8+SQRT(R558*($G$8-$E$8)*($F$8-$E$8)),$G$8-SQRT((1-R558)*($G$8-$E$8)*($G$8-$F$8))))</f>
        <v>1.03053011253099</v>
      </c>
      <c r="E558" s="37" t="n">
        <f aca="false">1+IF($G$9=$E$9,$F$9,IF(S558&lt;($F$9-$E$9)/($G$9-$E$9),$E$9+SQRT(S558*($G$9-$E$9)*($F$9-$E$9)),$G$9-SQRT((1-S558)*($G$9-$E$9)*($G$9-$F$9))))</f>
        <v>1.05559046732952</v>
      </c>
      <c r="F558" s="37" t="n">
        <f aca="false">1+IF($G$10=$E$10,$F$10,IF(T558&lt;($F$10-$E$10)/($G$10-$E$10),$E$10+SQRT(T558*($G$10-$E$10)*($F$10-$E$10)),$G$10-SQRT((1-T558)*($G$10-$E$10)*($G$10-$F$10))))</f>
        <v>1.00183988769155</v>
      </c>
      <c r="G558" s="38" t="n">
        <f aca="false">IF($G$11=$E$11,$F$11,IF(U558&lt;($F$11-$E$11)/($G$11-$E$11),$E$11+SQRT(U558*($G$11-$E$11)*($F$11-$E$11)),$G$11-SQRT((1-U558)*($G$11-$E$11)*($G$11-$F$11))))</f>
        <v>0.110761895475433</v>
      </c>
      <c r="H558" s="39" t="n">
        <f aca="false">(('Business Case'!B11*$C558*'Business Case'!B12*$B558)-'Business Case'!B11*$C558*'Business Case'!B13*$D558-'Business Case'!B14*$E558)-MAX(0,(('Business Case'!B11*$C558*'Business Case'!B12*$B558)-'Business Case'!B11*$C558*'Business Case'!B13*$D558-'Business Case'!B14*$E558))*'Business Case'!$B$7-'Business Case'!$B$8*('Business Case'!B11*$C558*'Business Case'!B12*$B558)-'Business Case'!B15*$F558</f>
        <v>-2003679775.38309</v>
      </c>
      <c r="I558" s="39" t="n">
        <f aca="false">(('Business Case'!C11*$C558*'Business Case'!C12*$B558)-'Business Case'!C11*$C558*'Business Case'!C13*$D558-'Business Case'!C14*$E558)-MAX(0,(('Business Case'!C11*$C558*'Business Case'!C12*$B558)-'Business Case'!C11*$C558*'Business Case'!C13*$D558-'Business Case'!C14*$E558))*'Business Case'!$B$7-'Business Case'!$B$8*(('Business Case'!C11*$C558*'Business Case'!C12*$B558)-('Business Case'!B11*$C558*'Business Case'!B12*$B558))-'Business Case'!C15*$F558</f>
        <v>-82115983.938773</v>
      </c>
      <c r="J558" s="39" t="n">
        <f aca="false">(('Business Case'!D11*$C558*'Business Case'!D12*$B558)-'Business Case'!D11*$C558*'Business Case'!D13*$D558-'Business Case'!D14*$E558)-MAX(0,(('Business Case'!D11*$C558*'Business Case'!D12*$B558)-'Business Case'!D11*$C558*'Business Case'!D13*$D558-'Business Case'!D14*$E558))*'Business Case'!$B$7-'Business Case'!$B$8*(('Business Case'!D11*$C558*'Business Case'!D12*$B558)-('Business Case'!C11*$C558*'Business Case'!C12*$B558))-'Business Case'!D15*$F558</f>
        <v>126129277.234781</v>
      </c>
      <c r="K558" s="39" t="n">
        <f aca="false">(('Business Case'!E11*$C558*'Business Case'!E12*$B558)-'Business Case'!E11*$C558*'Business Case'!E13*$D558-'Business Case'!E14*$E558)-MAX(0,(('Business Case'!E11*$C558*'Business Case'!E12*$B558)-'Business Case'!E11*$C558*'Business Case'!E13*$D558-'Business Case'!E14*$E558))*'Business Case'!$B$7-'Business Case'!$B$8*(('Business Case'!E11*$C558*'Business Case'!E12*$B558)-('Business Case'!D11*$C558*'Business Case'!D12*$B558))-'Business Case'!E15*$F558</f>
        <v>384466532.792913</v>
      </c>
      <c r="L558" s="39" t="n">
        <f aca="false">(('Business Case'!F11*$C558*'Business Case'!F12*$B558)-'Business Case'!F11*$C558*'Business Case'!F13*$D558-'Business Case'!F14*$E558)-MAX(0,(('Business Case'!F11*$C558*'Business Case'!F12*$B558)-'Business Case'!F11*$C558*'Business Case'!F13*$D558-'Business Case'!F14*$E558))*'Business Case'!$B$7-'Business Case'!$B$8*(('Business Case'!F11*$C558*'Business Case'!F12*$B558)-('Business Case'!E11*$C558*'Business Case'!E12*$B558))-'Business Case'!F15*$F558</f>
        <v>480596481.110042</v>
      </c>
      <c r="M558" s="39" t="n">
        <f aca="false">(('Business Case'!G11*$C558*'Business Case'!G12*$B558)-'Business Case'!G11*$C558*'Business Case'!G13*$D558-'Business Case'!G14*$E558)-MAX(0,(('Business Case'!G11*$C558*'Business Case'!G12*$B558)-'Business Case'!G11*$C558*'Business Case'!G13*$D558-'Business Case'!G14*$E558))*'Business Case'!$B$7-'Business Case'!$B$8*(('Business Case'!G11*$C558*'Business Case'!G12*$B558)-('Business Case'!F11*$C558*'Business Case'!F12*$B558))-'Business Case'!G15*$F558+'Business Case'!$B$8*('Business Case'!G11*$C558*'Business Case'!G12*$B558)</f>
        <v>627528218.036066</v>
      </c>
      <c r="N558" s="39" t="n">
        <f aca="false">IF(COUNT('Business Case'!B11:G11)=0,"",H558+NPV(G558,I558:M558))</f>
        <v>-1007989826.75962</v>
      </c>
      <c r="P558" s="40" t="n">
        <f aca="true">RAND()</f>
        <v>0.238008354532283</v>
      </c>
      <c r="Q558" s="40" t="n">
        <f aca="true">RAND()</f>
        <v>0.0823167330265968</v>
      </c>
      <c r="R558" s="40" t="n">
        <f aca="true">RAND()</f>
        <v>0.678262315669509</v>
      </c>
      <c r="S558" s="40" t="n">
        <f aca="true">RAND()</f>
        <v>0.762315737091757</v>
      </c>
      <c r="T558" s="40" t="n">
        <f aca="true">RAND()</f>
        <v>0.178887448787403</v>
      </c>
      <c r="U558" s="40" t="n">
        <f aca="true">RAND()</f>
        <v>0.753263556201234</v>
      </c>
    </row>
    <row r="559" customFormat="false" ht="15" hidden="false" customHeight="false" outlineLevel="0" collapsed="false">
      <c r="A559" s="36" t="n">
        <v>479</v>
      </c>
      <c r="B559" s="37" t="n">
        <f aca="false">1+IF($G$6=$E$6,$F$6,IF(P559&lt;($F$6-$E$6)/($G$6-$E$6),$E$6+SQRT(P559*($G$6-$E$6)*($F$6-$E$6)),$G$6-SQRT((1-P559)*($G$6-$E$6)*($G$6-$F$6))))</f>
        <v>0.911883949783099</v>
      </c>
      <c r="C559" s="37" t="n">
        <f aca="false">1+IF($G$7=$E$7,$F$7,IF(Q559&lt;($F$7-$E$7)/($G$7-$E$7),$E$7+SQRT(Q559*($G$7-$E$7)*($F$7-$E$7)),$G$7-SQRT((1-Q559)*($G$7-$E$7)*($G$7-$F$7))))</f>
        <v>1.01612612603802</v>
      </c>
      <c r="D559" s="37" t="n">
        <f aca="false">1+IF($G$8=$E$8,$F$8,IF(R559&lt;($F$8-$E$8)/($G$8-$E$8),$E$8+SQRT(R559*($G$8-$E$8)*($F$8-$E$8)),$G$8-SQRT((1-R559)*($G$8-$E$8)*($G$8-$F$8))))</f>
        <v>1.04177442077231</v>
      </c>
      <c r="E559" s="37" t="n">
        <f aca="false">1+IF($G$9=$E$9,$F$9,IF(S559&lt;($F$9-$E$9)/($G$9-$E$9),$E$9+SQRT(S559*($G$9-$E$9)*($F$9-$E$9)),$G$9-SQRT((1-S559)*($G$9-$E$9)*($G$9-$F$9))))</f>
        <v>1.0292867763963</v>
      </c>
      <c r="F559" s="37" t="n">
        <f aca="false">1+IF($G$10=$E$10,$F$10,IF(T559&lt;($F$10-$E$10)/($G$10-$E$10),$E$10+SQRT(T559*($G$10-$E$10)*($F$10-$E$10)),$G$10-SQRT((1-T559)*($G$10-$E$10)*($G$10-$F$10))))</f>
        <v>0.970528738657739</v>
      </c>
      <c r="G559" s="38" t="n">
        <f aca="false">IF($G$11=$E$11,$F$11,IF(U559&lt;($F$11-$E$11)/($G$11-$E$11),$E$11+SQRT(U559*($G$11-$E$11)*($F$11-$E$11)),$G$11-SQRT((1-U559)*($G$11-$E$11)*($G$11-$F$11))))</f>
        <v>0.098822539121592</v>
      </c>
      <c r="H559" s="39" t="n">
        <f aca="false">(('Business Case'!B11*$C559*'Business Case'!B12*$B559)-'Business Case'!B11*$C559*'Business Case'!B13*$D559-'Business Case'!B14*$E559)-MAX(0,(('Business Case'!B11*$C559*'Business Case'!B12*$B559)-'Business Case'!B11*$C559*'Business Case'!B13*$D559-'Business Case'!B14*$E559))*'Business Case'!$B$7-'Business Case'!$B$8*('Business Case'!B11*$C559*'Business Case'!B12*$B559)-'Business Case'!B15*$F559</f>
        <v>-1941057477.31548</v>
      </c>
      <c r="I559" s="39" t="n">
        <f aca="false">(('Business Case'!C11*$C559*'Business Case'!C12*$B559)-'Business Case'!C11*$C559*'Business Case'!C13*$D559-'Business Case'!C14*$E559)-MAX(0,(('Business Case'!C11*$C559*'Business Case'!C12*$B559)-'Business Case'!C11*$C559*'Business Case'!C13*$D559-'Business Case'!C14*$E559))*'Business Case'!$B$7-'Business Case'!$B$8*(('Business Case'!C11*$C559*'Business Case'!C12*$B559)-('Business Case'!B11*$C559*'Business Case'!B12*$B559))-'Business Case'!C15*$F559</f>
        <v>-74413948.7725123</v>
      </c>
      <c r="J559" s="39" t="n">
        <f aca="false">(('Business Case'!D11*$C559*'Business Case'!D12*$B559)-'Business Case'!D11*$C559*'Business Case'!D13*$D559-'Business Case'!D14*$E559)-MAX(0,(('Business Case'!D11*$C559*'Business Case'!D12*$B559)-'Business Case'!D11*$C559*'Business Case'!D13*$D559-'Business Case'!D14*$E559))*'Business Case'!$B$7-'Business Case'!$B$8*(('Business Case'!D11*$C559*'Business Case'!D12*$B559)-('Business Case'!C11*$C559*'Business Case'!C12*$B559))-'Business Case'!D15*$F559</f>
        <v>142623935.142504</v>
      </c>
      <c r="K559" s="39" t="n">
        <f aca="false">(('Business Case'!E11*$C559*'Business Case'!E12*$B559)-'Business Case'!E11*$C559*'Business Case'!E13*$D559-'Business Case'!E14*$E559)-MAX(0,(('Business Case'!E11*$C559*'Business Case'!E12*$B559)-'Business Case'!E11*$C559*'Business Case'!E13*$D559-'Business Case'!E14*$E559))*'Business Case'!$B$7-'Business Case'!$B$8*(('Business Case'!E11*$C559*'Business Case'!E12*$B559)-('Business Case'!D11*$C559*'Business Case'!D12*$B559))-'Business Case'!E15*$F559</f>
        <v>408188255.990406</v>
      </c>
      <c r="L559" s="39" t="n">
        <f aca="false">(('Business Case'!F11*$C559*'Business Case'!F12*$B559)-'Business Case'!F11*$C559*'Business Case'!F13*$D559-'Business Case'!F14*$E559)-MAX(0,(('Business Case'!F11*$C559*'Business Case'!F12*$B559)-'Business Case'!F11*$C559*'Business Case'!F13*$D559-'Business Case'!F14*$E559))*'Business Case'!$B$7-'Business Case'!$B$8*(('Business Case'!F11*$C559*'Business Case'!F12*$B559)-('Business Case'!E11*$C559*'Business Case'!E12*$B559))-'Business Case'!F15*$F559</f>
        <v>512557136.774212</v>
      </c>
      <c r="M559" s="39" t="n">
        <f aca="false">(('Business Case'!G11*$C559*'Business Case'!G12*$B559)-'Business Case'!G11*$C559*'Business Case'!G13*$D559-'Business Case'!G14*$E559)-MAX(0,(('Business Case'!G11*$C559*'Business Case'!G12*$B559)-'Business Case'!G11*$C559*'Business Case'!G13*$D559-'Business Case'!G14*$E559))*'Business Case'!$B$7-'Business Case'!$B$8*(('Business Case'!G11*$C559*'Business Case'!G12*$B559)-('Business Case'!F11*$C559*'Business Case'!F12*$B559))-'Business Case'!G15*$F559+'Business Case'!$B$8*('Business Case'!G11*$C559*'Business Case'!G12*$B559)</f>
        <v>688683193.907612</v>
      </c>
      <c r="N559" s="39" t="n">
        <f aca="false">IF(COUNT('Business Case'!B11:G11)=0,"",H559+NPV(G559,I559:M559))</f>
        <v>-801489945.947075</v>
      </c>
      <c r="P559" s="40" t="n">
        <f aca="true">RAND()</f>
        <v>0.00941521749648057</v>
      </c>
      <c r="Q559" s="40" t="n">
        <f aca="true">RAND()</f>
        <v>0.734485716598701</v>
      </c>
      <c r="R559" s="40" t="n">
        <f aca="true">RAND()</f>
        <v>0.77398546157332</v>
      </c>
      <c r="S559" s="40" t="n">
        <f aca="true">RAND()</f>
        <v>0.611421803925442</v>
      </c>
      <c r="T559" s="40" t="n">
        <f aca="true">RAND()</f>
        <v>0.0280952740585166</v>
      </c>
      <c r="U559" s="40" t="n">
        <f aca="true">RAND()</f>
        <v>0.354287978983859</v>
      </c>
    </row>
    <row r="560" customFormat="false" ht="15" hidden="false" customHeight="false" outlineLevel="0" collapsed="false">
      <c r="A560" s="36" t="n">
        <v>480</v>
      </c>
      <c r="B560" s="37" t="n">
        <f aca="false">1+IF($G$6=$E$6,$F$6,IF(P560&lt;($F$6-$E$6)/($G$6-$E$6),$E$6+SQRT(P560*($G$6-$E$6)*($F$6-$E$6)),$G$6-SQRT((1-P560)*($G$6-$E$6)*($G$6-$F$6))))</f>
        <v>0.975531522410326</v>
      </c>
      <c r="C560" s="37" t="n">
        <f aca="false">1+IF($G$7=$E$7,$F$7,IF(Q560&lt;($F$7-$E$7)/($G$7-$E$7),$E$7+SQRT(Q560*($G$7-$E$7)*($F$7-$E$7)),$G$7-SQRT((1-Q560)*($G$7-$E$7)*($G$7-$F$7))))</f>
        <v>0.901573869724448</v>
      </c>
      <c r="D560" s="37" t="n">
        <f aca="false">1+IF($G$8=$E$8,$F$8,IF(R560&lt;($F$8-$E$8)/($G$8-$E$8),$E$8+SQRT(R560*($G$8-$E$8)*($F$8-$E$8)),$G$8-SQRT((1-R560)*($G$8-$E$8)*($G$8-$F$8))))</f>
        <v>0.993149413691935</v>
      </c>
      <c r="E560" s="37" t="n">
        <f aca="false">1+IF($G$9=$E$9,$F$9,IF(S560&lt;($F$9-$E$9)/($G$9-$E$9),$E$9+SQRT(S560*($G$9-$E$9)*($F$9-$E$9)),$G$9-SQRT((1-S560)*($G$9-$E$9)*($G$9-$F$9))))</f>
        <v>0.99188313069359</v>
      </c>
      <c r="F560" s="37" t="n">
        <f aca="false">1+IF($G$10=$E$10,$F$10,IF(T560&lt;($F$10-$E$10)/($G$10-$E$10),$E$10+SQRT(T560*($G$10-$E$10)*($F$10-$E$10)),$G$10-SQRT((1-T560)*($G$10-$E$10)*($G$10-$F$10))))</f>
        <v>1.01189141849051</v>
      </c>
      <c r="G560" s="38" t="n">
        <f aca="false">IF($G$11=$E$11,$F$11,IF(U560&lt;($F$11-$E$11)/($G$11-$E$11),$E$11+SQRT(U560*($G$11-$E$11)*($F$11-$E$11)),$G$11-SQRT((1-U560)*($G$11-$E$11)*($G$11-$F$11))))</f>
        <v>0.119410437824165</v>
      </c>
      <c r="H560" s="39" t="n">
        <f aca="false">(('Business Case'!B11*$C560*'Business Case'!B12*$B560)-'Business Case'!B11*$C560*'Business Case'!B13*$D560-'Business Case'!B14*$E560)-MAX(0,(('Business Case'!B11*$C560*'Business Case'!B12*$B560)-'Business Case'!B11*$C560*'Business Case'!B13*$D560-'Business Case'!B14*$E560))*'Business Case'!$B$7-'Business Case'!$B$8*('Business Case'!B11*$C560*'Business Case'!B12*$B560)-'Business Case'!B15*$F560</f>
        <v>-2023782836.98102</v>
      </c>
      <c r="I560" s="39" t="n">
        <f aca="false">(('Business Case'!C11*$C560*'Business Case'!C12*$B560)-'Business Case'!C11*$C560*'Business Case'!C13*$D560-'Business Case'!C14*$E560)-MAX(0,(('Business Case'!C11*$C560*'Business Case'!C12*$B560)-'Business Case'!C11*$C560*'Business Case'!C13*$D560-'Business Case'!C14*$E560))*'Business Case'!$B$7-'Business Case'!$B$8*(('Business Case'!C11*$C560*'Business Case'!C12*$B560)-('Business Case'!B11*$C560*'Business Case'!B12*$B560))-'Business Case'!C15*$F560</f>
        <v>-25815764.1452791</v>
      </c>
      <c r="J560" s="39" t="n">
        <f aca="false">(('Business Case'!D11*$C560*'Business Case'!D12*$B560)-'Business Case'!D11*$C560*'Business Case'!D13*$D560-'Business Case'!D14*$E560)-MAX(0,(('Business Case'!D11*$C560*'Business Case'!D12*$B560)-'Business Case'!D11*$C560*'Business Case'!D13*$D560-'Business Case'!D14*$E560))*'Business Case'!$B$7-'Business Case'!$B$8*(('Business Case'!D11*$C560*'Business Case'!D12*$B560)-('Business Case'!C11*$C560*'Business Case'!C12*$B560))-'Business Case'!D15*$F560</f>
        <v>236197386.490648</v>
      </c>
      <c r="K560" s="39" t="n">
        <f aca="false">(('Business Case'!E11*$C560*'Business Case'!E12*$B560)-'Business Case'!E11*$C560*'Business Case'!E13*$D560-'Business Case'!E14*$E560)-MAX(0,(('Business Case'!E11*$C560*'Business Case'!E12*$B560)-'Business Case'!E11*$C560*'Business Case'!E13*$D560-'Business Case'!E14*$E560))*'Business Case'!$B$7-'Business Case'!$B$8*(('Business Case'!E11*$C560*'Business Case'!E12*$B560)-('Business Case'!D11*$C560*'Business Case'!D12*$B560))-'Business Case'!E15*$F560</f>
        <v>548805108.051099</v>
      </c>
      <c r="L560" s="39" t="n">
        <f aca="false">(('Business Case'!F11*$C560*'Business Case'!F12*$B560)-'Business Case'!F11*$C560*'Business Case'!F13*$D560-'Business Case'!F14*$E560)-MAX(0,(('Business Case'!F11*$C560*'Business Case'!F12*$B560)-'Business Case'!F11*$C560*'Business Case'!F13*$D560-'Business Case'!F14*$E560))*'Business Case'!$B$7-'Business Case'!$B$8*(('Business Case'!F11*$C560*'Business Case'!F12*$B560)-('Business Case'!E11*$C560*'Business Case'!E12*$B560))-'Business Case'!F15*$F560</f>
        <v>666538819.428093</v>
      </c>
      <c r="M560" s="39" t="n">
        <f aca="false">(('Business Case'!G11*$C560*'Business Case'!G12*$B560)-'Business Case'!G11*$C560*'Business Case'!G13*$D560-'Business Case'!G14*$E560)-MAX(0,(('Business Case'!G11*$C560*'Business Case'!G12*$B560)-'Business Case'!G11*$C560*'Business Case'!G13*$D560-'Business Case'!G14*$E560))*'Business Case'!$B$7-'Business Case'!$B$8*(('Business Case'!G11*$C560*'Business Case'!G12*$B560)-('Business Case'!F11*$C560*'Business Case'!F12*$B560))-'Business Case'!G15*$F560+'Business Case'!$B$8*('Business Case'!G11*$C560*'Business Case'!G12*$B560)</f>
        <v>833716789.169024</v>
      </c>
      <c r="N560" s="39" t="n">
        <f aca="false">IF(COUNT('Business Case'!B11:G11)=0,"",H560+NPV(G560,I560:M560))</f>
        <v>-568294159.180877</v>
      </c>
      <c r="P560" s="40" t="n">
        <f aca="true">RAND()</f>
        <v>0.380334058508106</v>
      </c>
      <c r="Q560" s="40" t="n">
        <f aca="true">RAND()</f>
        <v>0.30097796263473</v>
      </c>
      <c r="R560" s="40" t="n">
        <f aca="true">RAND()</f>
        <v>0.248249586927703</v>
      </c>
      <c r="S560" s="40" t="n">
        <f aca="true">RAND()</f>
        <v>0.337700388242212</v>
      </c>
      <c r="T560" s="40" t="n">
        <f aca="true">RAND()</f>
        <v>0.244057378820498</v>
      </c>
      <c r="U560" s="40" t="n">
        <f aca="true">RAND()</f>
        <v>0.925240781949417</v>
      </c>
    </row>
    <row r="561" customFormat="false" ht="15" hidden="false" customHeight="false" outlineLevel="0" collapsed="false">
      <c r="A561" s="36" t="n">
        <v>481</v>
      </c>
      <c r="B561" s="37" t="n">
        <f aca="false">1+IF($G$6=$E$6,$F$6,IF(P561&lt;($F$6-$E$6)/($G$6-$E$6),$E$6+SQRT(P561*($G$6-$E$6)*($F$6-$E$6)),$G$6-SQRT((1-P561)*($G$6-$E$6)*($G$6-$F$6))))</f>
        <v>0.960964835007651</v>
      </c>
      <c r="C561" s="37" t="n">
        <f aca="false">1+IF($G$7=$E$7,$F$7,IF(Q561&lt;($F$7-$E$7)/($G$7-$E$7),$E$7+SQRT(Q561*($G$7-$E$7)*($F$7-$E$7)),$G$7-SQRT((1-Q561)*($G$7-$E$7)*($G$7-$F$7))))</f>
        <v>0.972323600836993</v>
      </c>
      <c r="D561" s="37" t="n">
        <f aca="false">1+IF($G$8=$E$8,$F$8,IF(R561&lt;($F$8-$E$8)/($G$8-$E$8),$E$8+SQRT(R561*($G$8-$E$8)*($F$8-$E$8)),$G$8-SQRT((1-R561)*($G$8-$E$8)*($G$8-$F$8))))</f>
        <v>1.0105214105435</v>
      </c>
      <c r="E561" s="37" t="n">
        <f aca="false">1+IF($G$9=$E$9,$F$9,IF(S561&lt;($F$9-$E$9)/($G$9-$E$9),$E$9+SQRT(S561*($G$9-$E$9)*($F$9-$E$9)),$G$9-SQRT((1-S561)*($G$9-$E$9)*($G$9-$F$9))))</f>
        <v>1.09182479689332</v>
      </c>
      <c r="F561" s="37" t="n">
        <f aca="false">1+IF($G$10=$E$10,$F$10,IF(T561&lt;($F$10-$E$10)/($G$10-$E$10),$E$10+SQRT(T561*($G$10-$E$10)*($F$10-$E$10)),$G$10-SQRT((1-T561)*($G$10-$E$10)*($G$10-$F$10))))</f>
        <v>1.07266311610675</v>
      </c>
      <c r="G561" s="38" t="n">
        <f aca="false">IF($G$11=$E$11,$F$11,IF(U561&lt;($F$11-$E$11)/($G$11-$E$11),$E$11+SQRT(U561*($G$11-$E$11)*($F$11-$E$11)),$G$11-SQRT((1-U561)*($G$11-$E$11)*($G$11-$F$11))))</f>
        <v>0.105537920628824</v>
      </c>
      <c r="H561" s="39" t="n">
        <f aca="false">(('Business Case'!B11*$C561*'Business Case'!B12*$B561)-'Business Case'!B11*$C561*'Business Case'!B13*$D561-'Business Case'!B14*$E561)-MAX(0,(('Business Case'!B11*$C561*'Business Case'!B12*$B561)-'Business Case'!B11*$C561*'Business Case'!B13*$D561-'Business Case'!B14*$E561))*'Business Case'!$B$7-'Business Case'!$B$8*('Business Case'!B11*$C561*'Business Case'!B12*$B561)-'Business Case'!B15*$F561</f>
        <v>-2145326232.21349</v>
      </c>
      <c r="I561" s="39" t="n">
        <f aca="false">(('Business Case'!C11*$C561*'Business Case'!C12*$B561)-'Business Case'!C11*$C561*'Business Case'!C13*$D561-'Business Case'!C14*$E561)-MAX(0,(('Business Case'!C11*$C561*'Business Case'!C12*$B561)-'Business Case'!C11*$C561*'Business Case'!C13*$D561-'Business Case'!C14*$E561))*'Business Case'!$B$7-'Business Case'!$B$8*(('Business Case'!C11*$C561*'Business Case'!C12*$B561)-('Business Case'!B11*$C561*'Business Case'!B12*$B561))-'Business Case'!C15*$F561</f>
        <v>-48635113.0789809</v>
      </c>
      <c r="J561" s="39" t="n">
        <f aca="false">(('Business Case'!D11*$C561*'Business Case'!D12*$B561)-'Business Case'!D11*$C561*'Business Case'!D13*$D561-'Business Case'!D14*$E561)-MAX(0,(('Business Case'!D11*$C561*'Business Case'!D12*$B561)-'Business Case'!D11*$C561*'Business Case'!D13*$D561-'Business Case'!D14*$E561))*'Business Case'!$B$7-'Business Case'!$B$8*(('Business Case'!D11*$C561*'Business Case'!D12*$B561)-('Business Case'!C11*$C561*'Business Case'!C12*$B561))-'Business Case'!D15*$F561</f>
        <v>213691249.574682</v>
      </c>
      <c r="K561" s="39" t="n">
        <f aca="false">(('Business Case'!E11*$C561*'Business Case'!E12*$B561)-'Business Case'!E11*$C561*'Business Case'!E13*$D561-'Business Case'!E14*$E561)-MAX(0,(('Business Case'!E11*$C561*'Business Case'!E12*$B561)-'Business Case'!E11*$C561*'Business Case'!E13*$D561-'Business Case'!E14*$E561))*'Business Case'!$B$7-'Business Case'!$B$8*(('Business Case'!E11*$C561*'Business Case'!E12*$B561)-('Business Case'!D11*$C561*'Business Case'!D12*$B561))-'Business Case'!E15*$F561</f>
        <v>529650768.033682</v>
      </c>
      <c r="L561" s="39" t="n">
        <f aca="false">(('Business Case'!F11*$C561*'Business Case'!F12*$B561)-'Business Case'!F11*$C561*'Business Case'!F13*$D561-'Business Case'!F14*$E561)-MAX(0,(('Business Case'!F11*$C561*'Business Case'!F12*$B561)-'Business Case'!F11*$C561*'Business Case'!F13*$D561-'Business Case'!F14*$E561))*'Business Case'!$B$7-'Business Case'!$B$8*(('Business Case'!F11*$C561*'Business Case'!F12*$B561)-('Business Case'!E11*$C561*'Business Case'!E12*$B561))-'Business Case'!F15*$F561</f>
        <v>649384674.254062</v>
      </c>
      <c r="M561" s="39" t="n">
        <f aca="false">(('Business Case'!G11*$C561*'Business Case'!G12*$B561)-'Business Case'!G11*$C561*'Business Case'!G13*$D561-'Business Case'!G14*$E561)-MAX(0,(('Business Case'!G11*$C561*'Business Case'!G12*$B561)-'Business Case'!G11*$C561*'Business Case'!G13*$D561-'Business Case'!G14*$E561))*'Business Case'!$B$7-'Business Case'!$B$8*(('Business Case'!G11*$C561*'Business Case'!G12*$B561)-('Business Case'!F11*$C561*'Business Case'!F12*$B561))-'Business Case'!G15*$F561+'Business Case'!$B$8*('Business Case'!G11*$C561*'Business Case'!G12*$B561)</f>
        <v>826989493.601104</v>
      </c>
      <c r="N561" s="39" t="n">
        <f aca="false">IF(COUNT('Business Case'!B11:G11)=0,"",H561+NPV(G561,I561:M561))</f>
        <v>-687014426.085945</v>
      </c>
      <c r="P561" s="40" t="n">
        <f aca="true">RAND()</f>
        <v>0.247780740500672</v>
      </c>
      <c r="Q561" s="40" t="n">
        <f aca="true">RAND()</f>
        <v>0.549334396835749</v>
      </c>
      <c r="R561" s="40" t="n">
        <f aca="true">RAND()</f>
        <v>0.466238801925022</v>
      </c>
      <c r="S561" s="40" t="n">
        <f aca="true">RAND()</f>
        <v>0.909750553159918</v>
      </c>
      <c r="T561" s="40" t="n">
        <f aca="true">RAND()</f>
        <v>0.580688394813739</v>
      </c>
      <c r="U561" s="40" t="n">
        <f aca="true">RAND()</f>
        <v>0.601071115225528</v>
      </c>
    </row>
    <row r="562" customFormat="false" ht="15" hidden="false" customHeight="false" outlineLevel="0" collapsed="false">
      <c r="A562" s="36" t="n">
        <v>482</v>
      </c>
      <c r="B562" s="37" t="n">
        <f aca="false">1+IF($G$6=$E$6,$F$6,IF(P562&lt;($F$6-$E$6)/($G$6-$E$6),$E$6+SQRT(P562*($G$6-$E$6)*($F$6-$E$6)),$G$6-SQRT((1-P562)*($G$6-$E$6)*($G$6-$F$6))))</f>
        <v>0.968670780293743</v>
      </c>
      <c r="C562" s="37" t="n">
        <f aca="false">1+IF($G$7=$E$7,$F$7,IF(Q562&lt;($F$7-$E$7)/($G$7-$E$7),$E$7+SQRT(Q562*($G$7-$E$7)*($F$7-$E$7)),$G$7-SQRT((1-Q562)*($G$7-$E$7)*($G$7-$F$7))))</f>
        <v>0.984253916066295</v>
      </c>
      <c r="D562" s="37" t="n">
        <f aca="false">1+IF($G$8=$E$8,$F$8,IF(R562&lt;($F$8-$E$8)/($G$8-$E$8),$E$8+SQRT(R562*($G$8-$E$8)*($F$8-$E$8)),$G$8-SQRT((1-R562)*($G$8-$E$8)*($G$8-$F$8))))</f>
        <v>0.974453042924152</v>
      </c>
      <c r="E562" s="37" t="n">
        <f aca="false">1+IF($G$9=$E$9,$F$9,IF(S562&lt;($F$9-$E$9)/($G$9-$E$9),$E$9+SQRT(S562*($G$9-$E$9)*($F$9-$E$9)),$G$9-SQRT((1-S562)*($G$9-$E$9)*($G$9-$F$9))))</f>
        <v>1.03439628613301</v>
      </c>
      <c r="F562" s="37" t="n">
        <f aca="false">1+IF($G$10=$E$10,$F$10,IF(T562&lt;($F$10-$E$10)/($G$10-$E$10),$E$10+SQRT(T562*($G$10-$E$10)*($F$10-$E$10)),$G$10-SQRT((1-T562)*($G$10-$E$10)*($G$10-$F$10))))</f>
        <v>1.042949610858</v>
      </c>
      <c r="G562" s="38" t="n">
        <f aca="false">IF($G$11=$E$11,$F$11,IF(U562&lt;($F$11-$E$11)/($G$11-$E$11),$E$11+SQRT(U562*($G$11-$E$11)*($F$11-$E$11)),$G$11-SQRT((1-U562)*($G$11-$E$11)*($G$11-$F$11))))</f>
        <v>0.104560498413045</v>
      </c>
      <c r="H562" s="39" t="n">
        <f aca="false">(('Business Case'!B11*$C562*'Business Case'!B12*$B562)-'Business Case'!B11*$C562*'Business Case'!B13*$D562-'Business Case'!B14*$E562)-MAX(0,(('Business Case'!B11*$C562*'Business Case'!B12*$B562)-'Business Case'!B11*$C562*'Business Case'!B13*$D562-'Business Case'!B14*$E562))*'Business Case'!$B$7-'Business Case'!$B$8*('Business Case'!B11*$C562*'Business Case'!B12*$B562)-'Business Case'!B15*$F562</f>
        <v>-2085899221.71601</v>
      </c>
      <c r="I562" s="39" t="n">
        <f aca="false">(('Business Case'!C11*$C562*'Business Case'!C12*$B562)-'Business Case'!C11*$C562*'Business Case'!C13*$D562-'Business Case'!C14*$E562)-MAX(0,(('Business Case'!C11*$C562*'Business Case'!C12*$B562)-'Business Case'!C11*$C562*'Business Case'!C13*$D562-'Business Case'!C14*$E562))*'Business Case'!$B$7-'Business Case'!$B$8*(('Business Case'!C11*$C562*'Business Case'!C12*$B562)-('Business Case'!B11*$C562*'Business Case'!B12*$B562))-'Business Case'!C15*$F562</f>
        <v>-10880500.8872833</v>
      </c>
      <c r="J562" s="39" t="n">
        <f aca="false">(('Business Case'!D11*$C562*'Business Case'!D12*$B562)-'Business Case'!D11*$C562*'Business Case'!D13*$D562-'Business Case'!D14*$E562)-MAX(0,(('Business Case'!D11*$C562*'Business Case'!D12*$B562)-'Business Case'!D11*$C562*'Business Case'!D13*$D562-'Business Case'!D14*$E562))*'Business Case'!$B$7-'Business Case'!$B$8*(('Business Case'!D11*$C562*'Business Case'!D12*$B562)-('Business Case'!C11*$C562*'Business Case'!C12*$B562))-'Business Case'!D15*$F562</f>
        <v>279050300.779848</v>
      </c>
      <c r="K562" s="39" t="n">
        <f aca="false">(('Business Case'!E11*$C562*'Business Case'!E12*$B562)-'Business Case'!E11*$C562*'Business Case'!E13*$D562-'Business Case'!E14*$E562)-MAX(0,(('Business Case'!E11*$C562*'Business Case'!E12*$B562)-'Business Case'!E11*$C562*'Business Case'!E13*$D562-'Business Case'!E14*$E562))*'Business Case'!$B$7-'Business Case'!$B$8*(('Business Case'!E11*$C562*'Business Case'!E12*$B562)-('Business Case'!D11*$C562*'Business Case'!D12*$B562))-'Business Case'!E15*$F562</f>
        <v>621128582.98988</v>
      </c>
      <c r="L562" s="39" t="n">
        <f aca="false">(('Business Case'!F11*$C562*'Business Case'!F12*$B562)-'Business Case'!F11*$C562*'Business Case'!F13*$D562-'Business Case'!F14*$E562)-MAX(0,(('Business Case'!F11*$C562*'Business Case'!F12*$B562)-'Business Case'!F11*$C562*'Business Case'!F13*$D562-'Business Case'!F14*$E562))*'Business Case'!$B$7-'Business Case'!$B$8*(('Business Case'!F11*$C562*'Business Case'!F12*$B562)-('Business Case'!E11*$C562*'Business Case'!E12*$B562))-'Business Case'!F15*$F562</f>
        <v>750722309.932591</v>
      </c>
      <c r="M562" s="39" t="n">
        <f aca="false">(('Business Case'!G11*$C562*'Business Case'!G12*$B562)-'Business Case'!G11*$C562*'Business Case'!G13*$D562-'Business Case'!G14*$E562)-MAX(0,(('Business Case'!G11*$C562*'Business Case'!G12*$B562)-'Business Case'!G11*$C562*'Business Case'!G13*$D562-'Business Case'!G14*$E562))*'Business Case'!$B$7-'Business Case'!$B$8*(('Business Case'!G11*$C562*'Business Case'!G12*$B562)-('Business Case'!F11*$C562*'Business Case'!F12*$B562))-'Business Case'!G15*$F562+'Business Case'!$B$8*('Business Case'!G11*$C562*'Business Case'!G12*$B562)</f>
        <v>931948005.061093</v>
      </c>
      <c r="N562" s="39" t="n">
        <f aca="false">IF(COUNT('Business Case'!B11:G11)=0,"",H562+NPV(G562,I562:M562))</f>
        <v>-334967226.45162</v>
      </c>
      <c r="P562" s="40" t="n">
        <f aca="true">RAND()</f>
        <v>0.314378404410104</v>
      </c>
      <c r="Q562" s="40" t="n">
        <f aca="true">RAND()</f>
        <v>0.598520657770548</v>
      </c>
      <c r="R562" s="40" t="n">
        <f aca="true">RAND()</f>
        <v>0.0797268411000568</v>
      </c>
      <c r="S562" s="40" t="n">
        <f aca="true">RAND()</f>
        <v>0.643620835737586</v>
      </c>
      <c r="T562" s="40" t="n">
        <f aca="true">RAND()</f>
        <v>0.428401818081974</v>
      </c>
      <c r="U562" s="40" t="n">
        <f aca="true">RAND()</f>
        <v>0.568554506004861</v>
      </c>
    </row>
    <row r="563" customFormat="false" ht="15" hidden="false" customHeight="false" outlineLevel="0" collapsed="false">
      <c r="A563" s="36" t="n">
        <v>483</v>
      </c>
      <c r="B563" s="37" t="n">
        <f aca="false">1+IF($G$6=$E$6,$F$6,IF(P563&lt;($F$6-$E$6)/($G$6-$E$6),$E$6+SQRT(P563*($G$6-$E$6)*($F$6-$E$6)),$G$6-SQRT((1-P563)*($G$6-$E$6)*($G$6-$F$6))))</f>
        <v>0.957851143512857</v>
      </c>
      <c r="C563" s="37" t="n">
        <f aca="false">1+IF($G$7=$E$7,$F$7,IF(Q563&lt;($F$7-$E$7)/($G$7-$E$7),$E$7+SQRT(Q563*($G$7-$E$7)*($F$7-$E$7)),$G$7-SQRT((1-Q563)*($G$7-$E$7)*($G$7-$F$7))))</f>
        <v>1.01739247096662</v>
      </c>
      <c r="D563" s="37" t="n">
        <f aca="false">1+IF($G$8=$E$8,$F$8,IF(R563&lt;($F$8-$E$8)/($G$8-$E$8),$E$8+SQRT(R563*($G$8-$E$8)*($F$8-$E$8)),$G$8-SQRT((1-R563)*($G$8-$E$8)*($G$8-$F$8))))</f>
        <v>1.00691245725884</v>
      </c>
      <c r="E563" s="37" t="n">
        <f aca="false">1+IF($G$9=$E$9,$F$9,IF(S563&lt;($F$9-$E$9)/($G$9-$E$9),$E$9+SQRT(S563*($G$9-$E$9)*($F$9-$E$9)),$G$9-SQRT((1-S563)*($G$9-$E$9)*($G$9-$F$9))))</f>
        <v>0.996786944486048</v>
      </c>
      <c r="F563" s="37" t="n">
        <f aca="false">1+IF($G$10=$E$10,$F$10,IF(T563&lt;($F$10-$E$10)/($G$10-$E$10),$E$10+SQRT(T563*($G$10-$E$10)*($F$10-$E$10)),$G$10-SQRT((1-T563)*($G$10-$E$10)*($G$10-$F$10))))</f>
        <v>1.02172791847595</v>
      </c>
      <c r="G563" s="38" t="n">
        <f aca="false">IF($G$11=$E$11,$F$11,IF(U563&lt;($F$11-$E$11)/($G$11-$E$11),$E$11+SQRT(U563*($G$11-$E$11)*($F$11-$E$11)),$G$11-SQRT((1-U563)*($G$11-$E$11)*($G$11-$F$11))))</f>
        <v>0.101894223579318</v>
      </c>
      <c r="H563" s="39" t="n">
        <f aca="false">(('Business Case'!B11*$C563*'Business Case'!B12*$B563)-'Business Case'!B11*$C563*'Business Case'!B13*$D563-'Business Case'!B14*$E563)-MAX(0,(('Business Case'!B11*$C563*'Business Case'!B12*$B563)-'Business Case'!B11*$C563*'Business Case'!B13*$D563-'Business Case'!B14*$E563))*'Business Case'!$B$7-'Business Case'!$B$8*('Business Case'!B11*$C563*'Business Case'!B12*$B563)-'Business Case'!B15*$F563</f>
        <v>-2043455836.9519</v>
      </c>
      <c r="I563" s="39" t="n">
        <f aca="false">(('Business Case'!C11*$C563*'Business Case'!C12*$B563)-'Business Case'!C11*$C563*'Business Case'!C13*$D563-'Business Case'!C14*$E563)-MAX(0,(('Business Case'!C11*$C563*'Business Case'!C12*$B563)-'Business Case'!C11*$C563*'Business Case'!C13*$D563-'Business Case'!C14*$E563))*'Business Case'!$B$7-'Business Case'!$B$8*(('Business Case'!C11*$C563*'Business Case'!C12*$B563)-('Business Case'!B11*$C563*'Business Case'!B12*$B563))-'Business Case'!C15*$F563</f>
        <v>-20663947.7029268</v>
      </c>
      <c r="J563" s="39" t="n">
        <f aca="false">(('Business Case'!D11*$C563*'Business Case'!D12*$B563)-'Business Case'!D11*$C563*'Business Case'!D13*$D563-'Business Case'!D14*$E563)-MAX(0,(('Business Case'!D11*$C563*'Business Case'!D12*$B563)-'Business Case'!D11*$C563*'Business Case'!D13*$D563-'Business Case'!D14*$E563))*'Business Case'!$B$7-'Business Case'!$B$8*(('Business Case'!D11*$C563*'Business Case'!D12*$B563)-('Business Case'!C11*$C563*'Business Case'!C12*$B563))-'Business Case'!D15*$F563</f>
        <v>253106626.430253</v>
      </c>
      <c r="K563" s="39" t="n">
        <f aca="false">(('Business Case'!E11*$C563*'Business Case'!E12*$B563)-'Business Case'!E11*$C563*'Business Case'!E13*$D563-'Business Case'!E14*$E563)-MAX(0,(('Business Case'!E11*$C563*'Business Case'!E12*$B563)-'Business Case'!E11*$C563*'Business Case'!E13*$D563-'Business Case'!E14*$E563))*'Business Case'!$B$7-'Business Case'!$B$8*(('Business Case'!E11*$C563*'Business Case'!E12*$B563)-('Business Case'!D11*$C563*'Business Case'!D12*$B563))-'Business Case'!E15*$F563</f>
        <v>577963596.48723</v>
      </c>
      <c r="L563" s="39" t="n">
        <f aca="false">(('Business Case'!F11*$C563*'Business Case'!F12*$B563)-'Business Case'!F11*$C563*'Business Case'!F13*$D563-'Business Case'!F14*$E563)-MAX(0,(('Business Case'!F11*$C563*'Business Case'!F12*$B563)-'Business Case'!F11*$C563*'Business Case'!F13*$D563-'Business Case'!F14*$E563))*'Business Case'!$B$7-'Business Case'!$B$8*(('Business Case'!F11*$C563*'Business Case'!F12*$B563)-('Business Case'!E11*$C563*'Business Case'!E12*$B563))-'Business Case'!F15*$F563</f>
        <v>702899538.853354</v>
      </c>
      <c r="M563" s="39" t="n">
        <f aca="false">(('Business Case'!G11*$C563*'Business Case'!G12*$B563)-'Business Case'!G11*$C563*'Business Case'!G13*$D563-'Business Case'!G14*$E563)-MAX(0,(('Business Case'!G11*$C563*'Business Case'!G12*$B563)-'Business Case'!G11*$C563*'Business Case'!G13*$D563-'Business Case'!G14*$E563))*'Business Case'!$B$7-'Business Case'!$B$8*(('Business Case'!G11*$C563*'Business Case'!G12*$B563)-('Business Case'!F11*$C563*'Business Case'!F12*$B563))-'Business Case'!G15*$F563+'Business Case'!$B$8*('Business Case'!G11*$C563*'Business Case'!G12*$B563)</f>
        <v>888134502.622873</v>
      </c>
      <c r="N563" s="39" t="n">
        <f aca="false">IF(COUNT('Business Case'!B11:G11)=0,"",H563+NPV(G563,I563:M563))</f>
        <v>-398216383.036735</v>
      </c>
      <c r="P563" s="40" t="n">
        <f aca="true">RAND()</f>
        <v>0.223116987049681</v>
      </c>
      <c r="Q563" s="40" t="n">
        <f aca="true">RAND()</f>
        <v>0.739485085091258</v>
      </c>
      <c r="R563" s="40" t="n">
        <f aca="true">RAND()</f>
        <v>0.422313959094214</v>
      </c>
      <c r="S563" s="40" t="n">
        <f aca="true">RAND()</f>
        <v>0.374708504917812</v>
      </c>
      <c r="T563" s="40" t="n">
        <f aca="true">RAND()</f>
        <v>0.305224757289028</v>
      </c>
      <c r="U563" s="40" t="n">
        <f aca="true">RAND()</f>
        <v>0.473376887860407</v>
      </c>
    </row>
    <row r="564" customFormat="false" ht="15" hidden="false" customHeight="false" outlineLevel="0" collapsed="false">
      <c r="A564" s="36" t="n">
        <v>484</v>
      </c>
      <c r="B564" s="37" t="n">
        <f aca="false">1+IF($G$6=$E$6,$F$6,IF(P564&lt;($F$6-$E$6)/($G$6-$E$6),$E$6+SQRT(P564*($G$6-$E$6)*($F$6-$E$6)),$G$6-SQRT((1-P564)*($G$6-$E$6)*($G$6-$F$6))))</f>
        <v>1.00691306808659</v>
      </c>
      <c r="C564" s="37" t="n">
        <f aca="false">1+IF($G$7=$E$7,$F$7,IF(Q564&lt;($F$7-$E$7)/($G$7-$E$7),$E$7+SQRT(Q564*($G$7-$E$7)*($F$7-$E$7)),$G$7-SQRT((1-Q564)*($G$7-$E$7)*($G$7-$F$7))))</f>
        <v>0.928030260435559</v>
      </c>
      <c r="D564" s="37" t="n">
        <f aca="false">1+IF($G$8=$E$8,$F$8,IF(R564&lt;($F$8-$E$8)/($G$8-$E$8),$E$8+SQRT(R564*($G$8-$E$8)*($F$8-$E$8)),$G$8-SQRT((1-R564)*($G$8-$E$8)*($G$8-$F$8))))</f>
        <v>1.05402484680316</v>
      </c>
      <c r="E564" s="37" t="n">
        <f aca="false">1+IF($G$9=$E$9,$F$9,IF(S564&lt;($F$9-$E$9)/($G$9-$E$9),$E$9+SQRT(S564*($G$9-$E$9)*($F$9-$E$9)),$G$9-SQRT((1-S564)*($G$9-$E$9)*($G$9-$F$9))))</f>
        <v>1.05997915215424</v>
      </c>
      <c r="F564" s="37" t="n">
        <f aca="false">1+IF($G$10=$E$10,$F$10,IF(T564&lt;($F$10-$E$10)/($G$10-$E$10),$E$10+SQRT(T564*($G$10-$E$10)*($F$10-$E$10)),$G$10-SQRT((1-T564)*($G$10-$E$10)*($G$10-$F$10))))</f>
        <v>0.983945022953079</v>
      </c>
      <c r="G564" s="38" t="n">
        <f aca="false">IF($G$11=$E$11,$F$11,IF(U564&lt;($F$11-$E$11)/($G$11-$E$11),$E$11+SQRT(U564*($G$11-$E$11)*($F$11-$E$11)),$G$11-SQRT((1-U564)*($G$11-$E$11)*($G$11-$F$11))))</f>
        <v>0.0982714900890177</v>
      </c>
      <c r="H564" s="39" t="n">
        <f aca="false">(('Business Case'!B11*$C564*'Business Case'!B12*$B564)-'Business Case'!B11*$C564*'Business Case'!B13*$D564-'Business Case'!B14*$E564)-MAX(0,(('Business Case'!B11*$C564*'Business Case'!B12*$B564)-'Business Case'!B11*$C564*'Business Case'!B13*$D564-'Business Case'!B14*$E564))*'Business Case'!$B$7-'Business Case'!$B$8*('Business Case'!B11*$C564*'Business Case'!B12*$B564)-'Business Case'!B15*$F564</f>
        <v>-1967890045.90616</v>
      </c>
      <c r="I564" s="39" t="n">
        <f aca="false">(('Business Case'!C11*$C564*'Business Case'!C12*$B564)-'Business Case'!C11*$C564*'Business Case'!C13*$D564-'Business Case'!C14*$E564)-MAX(0,(('Business Case'!C11*$C564*'Business Case'!C12*$B564)-'Business Case'!C11*$C564*'Business Case'!C13*$D564-'Business Case'!C14*$E564))*'Business Case'!$B$7-'Business Case'!$B$8*(('Business Case'!C11*$C564*'Business Case'!C12*$B564)-('Business Case'!B11*$C564*'Business Case'!B12*$B564))-'Business Case'!C15*$F564</f>
        <v>-32930046.7746081</v>
      </c>
      <c r="J564" s="39" t="n">
        <f aca="false">(('Business Case'!D11*$C564*'Business Case'!D12*$B564)-'Business Case'!D11*$C564*'Business Case'!D13*$D564-'Business Case'!D14*$E564)-MAX(0,(('Business Case'!D11*$C564*'Business Case'!D12*$B564)-'Business Case'!D11*$C564*'Business Case'!D13*$D564-'Business Case'!D14*$E564))*'Business Case'!$B$7-'Business Case'!$B$8*(('Business Case'!D11*$C564*'Business Case'!D12*$B564)-('Business Case'!C11*$C564*'Business Case'!C12*$B564))-'Business Case'!D15*$F564</f>
        <v>231705114.289178</v>
      </c>
      <c r="K564" s="39" t="n">
        <f aca="false">(('Business Case'!E11*$C564*'Business Case'!E12*$B564)-'Business Case'!E11*$C564*'Business Case'!E13*$D564-'Business Case'!E14*$E564)-MAX(0,(('Business Case'!E11*$C564*'Business Case'!E12*$B564)-'Business Case'!E11*$C564*'Business Case'!E13*$D564-'Business Case'!E14*$E564))*'Business Case'!$B$7-'Business Case'!$B$8*(('Business Case'!E11*$C564*'Business Case'!E12*$B564)-('Business Case'!D11*$C564*'Business Case'!D12*$B564))-'Business Case'!E15*$F564</f>
        <v>545537526.500618</v>
      </c>
      <c r="L564" s="39" t="n">
        <f aca="false">(('Business Case'!F11*$C564*'Business Case'!F12*$B564)-'Business Case'!F11*$C564*'Business Case'!F13*$D564-'Business Case'!F14*$E564)-MAX(0,(('Business Case'!F11*$C564*'Business Case'!F12*$B564)-'Business Case'!F11*$C564*'Business Case'!F13*$D564-'Business Case'!F14*$E564))*'Business Case'!$B$7-'Business Case'!$B$8*(('Business Case'!F11*$C564*'Business Case'!F12*$B564)-('Business Case'!E11*$C564*'Business Case'!E12*$B564))-'Business Case'!F15*$F564</f>
        <v>666043693.593048</v>
      </c>
      <c r="M564" s="39" t="n">
        <f aca="false">(('Business Case'!G11*$C564*'Business Case'!G12*$B564)-'Business Case'!G11*$C564*'Business Case'!G13*$D564-'Business Case'!G14*$E564)-MAX(0,(('Business Case'!G11*$C564*'Business Case'!G12*$B564)-'Business Case'!G11*$C564*'Business Case'!G13*$D564-'Business Case'!G14*$E564))*'Business Case'!$B$7-'Business Case'!$B$8*(('Business Case'!G11*$C564*'Business Case'!G12*$B564)-('Business Case'!F11*$C564*'Business Case'!F12*$B564))-'Business Case'!G15*$F564+'Business Case'!$B$8*('Business Case'!G11*$C564*'Business Case'!G12*$B564)</f>
        <v>843663150.651142</v>
      </c>
      <c r="N564" s="39" t="n">
        <f aca="false">IF(COUNT('Business Case'!B11:G11)=0,"",H564+NPV(G564,I564:M564))</f>
        <v>-408198654.794847</v>
      </c>
      <c r="P564" s="40" t="n">
        <f aca="true">RAND()</f>
        <v>0.752468839771847</v>
      </c>
      <c r="Q564" s="40" t="n">
        <f aca="true">RAND()</f>
        <v>0.385168886476361</v>
      </c>
      <c r="R564" s="40" t="n">
        <f aca="true">RAND()</f>
        <v>0.859085685901823</v>
      </c>
      <c r="S564" s="40" t="n">
        <f aca="true">RAND()</f>
        <v>0.783899918750155</v>
      </c>
      <c r="T564" s="40" t="n">
        <f aca="true">RAND()</f>
        <v>0.0768176388856721</v>
      </c>
      <c r="U564" s="40" t="n">
        <f aca="true">RAND()</f>
        <v>0.333847350073073</v>
      </c>
    </row>
    <row r="565" customFormat="false" ht="15" hidden="false" customHeight="false" outlineLevel="0" collapsed="false">
      <c r="A565" s="36" t="n">
        <v>485</v>
      </c>
      <c r="B565" s="37" t="n">
        <f aca="false">1+IF($G$6=$E$6,$F$6,IF(P565&lt;($F$6-$E$6)/($G$6-$E$6),$E$6+SQRT(P565*($G$6-$E$6)*($F$6-$E$6)),$G$6-SQRT((1-P565)*($G$6-$E$6)*($G$6-$F$6))))</f>
        <v>1.02925107606722</v>
      </c>
      <c r="C565" s="37" t="n">
        <f aca="false">1+IF($G$7=$E$7,$F$7,IF(Q565&lt;($F$7-$E$7)/($G$7-$E$7),$E$7+SQRT(Q565*($G$7-$E$7)*($F$7-$E$7)),$G$7-SQRT((1-Q565)*($G$7-$E$7)*($G$7-$F$7))))</f>
        <v>0.828654725704731</v>
      </c>
      <c r="D565" s="37" t="n">
        <f aca="false">1+IF($G$8=$E$8,$F$8,IF(R565&lt;($F$8-$E$8)/($G$8-$E$8),$E$8+SQRT(R565*($G$8-$E$8)*($F$8-$E$8)),$G$8-SQRT((1-R565)*($G$8-$E$8)*($G$8-$F$8))))</f>
        <v>1.05383861278816</v>
      </c>
      <c r="E565" s="37" t="n">
        <f aca="false">1+IF($G$9=$E$9,$F$9,IF(S565&lt;($F$9-$E$9)/($G$9-$E$9),$E$9+SQRT(S565*($G$9-$E$9)*($F$9-$E$9)),$G$9-SQRT((1-S565)*($G$9-$E$9)*($G$9-$F$9))))</f>
        <v>1.02441179928351</v>
      </c>
      <c r="F565" s="37" t="n">
        <f aca="false">1+IF($G$10=$E$10,$F$10,IF(T565&lt;($F$10-$E$10)/($G$10-$E$10),$E$10+SQRT(T565*($G$10-$E$10)*($F$10-$E$10)),$G$10-SQRT((1-T565)*($G$10-$E$10)*($G$10-$F$10))))</f>
        <v>1.13053888167522</v>
      </c>
      <c r="G565" s="38" t="n">
        <f aca="false">IF($G$11=$E$11,$F$11,IF(U565&lt;($F$11-$E$11)/($G$11-$E$11),$E$11+SQRT(U565*($G$11-$E$11)*($F$11-$E$11)),$G$11-SQRT((1-U565)*($G$11-$E$11)*($G$11-$F$11))))</f>
        <v>0.101677287944818</v>
      </c>
      <c r="H565" s="39" t="n">
        <f aca="false">(('Business Case'!B11*$C565*'Business Case'!B12*$B565)-'Business Case'!B11*$C565*'Business Case'!B13*$D565-'Business Case'!B14*$E565)-MAX(0,(('Business Case'!B11*$C565*'Business Case'!B12*$B565)-'Business Case'!B11*$C565*'Business Case'!B13*$D565-'Business Case'!B14*$E565))*'Business Case'!$B$7-'Business Case'!$B$8*('Business Case'!B11*$C565*'Business Case'!B12*$B565)-'Business Case'!B15*$F565</f>
        <v>-2261077763.35044</v>
      </c>
      <c r="I565" s="39" t="n">
        <f aca="false">(('Business Case'!C11*$C565*'Business Case'!C12*$B565)-'Business Case'!C11*$C565*'Business Case'!C13*$D565-'Business Case'!C14*$E565)-MAX(0,(('Business Case'!C11*$C565*'Business Case'!C12*$B565)-'Business Case'!C11*$C565*'Business Case'!C13*$D565-'Business Case'!C14*$E565))*'Business Case'!$B$7-'Business Case'!$B$8*(('Business Case'!C11*$C565*'Business Case'!C12*$B565)-('Business Case'!B11*$C565*'Business Case'!B12*$B565))-'Business Case'!C15*$F565</f>
        <v>-51401386.5237501</v>
      </c>
      <c r="J565" s="39" t="n">
        <f aca="false">(('Business Case'!D11*$C565*'Business Case'!D12*$B565)-'Business Case'!D11*$C565*'Business Case'!D13*$D565-'Business Case'!D14*$E565)-MAX(0,(('Business Case'!D11*$C565*'Business Case'!D12*$B565)-'Business Case'!D11*$C565*'Business Case'!D13*$D565-'Business Case'!D14*$E565))*'Business Case'!$B$7-'Business Case'!$B$8*(('Business Case'!D11*$C565*'Business Case'!D12*$B565)-('Business Case'!C11*$C565*'Business Case'!C12*$B565))-'Business Case'!D15*$F565</f>
        <v>200136485.917467</v>
      </c>
      <c r="K565" s="39" t="n">
        <f aca="false">(('Business Case'!E11*$C565*'Business Case'!E12*$B565)-'Business Case'!E11*$C565*'Business Case'!E13*$D565-'Business Case'!E14*$E565)-MAX(0,(('Business Case'!E11*$C565*'Business Case'!E12*$B565)-'Business Case'!E11*$C565*'Business Case'!E13*$D565-'Business Case'!E14*$E565))*'Business Case'!$B$7-'Business Case'!$B$8*(('Business Case'!E11*$C565*'Business Case'!E12*$B565)-('Business Case'!D11*$C565*'Business Case'!D12*$B565))-'Business Case'!E15*$F565</f>
        <v>508201302.442445</v>
      </c>
      <c r="L565" s="39" t="n">
        <f aca="false">(('Business Case'!F11*$C565*'Business Case'!F12*$B565)-'Business Case'!F11*$C565*'Business Case'!F13*$D565-'Business Case'!F14*$E565)-MAX(0,(('Business Case'!F11*$C565*'Business Case'!F12*$B565)-'Business Case'!F11*$C565*'Business Case'!F13*$D565-'Business Case'!F14*$E565))*'Business Case'!$B$7-'Business Case'!$B$8*(('Business Case'!F11*$C565*'Business Case'!F12*$B565)-('Business Case'!E11*$C565*'Business Case'!E12*$B565))-'Business Case'!F15*$F565</f>
        <v>621523268.54907</v>
      </c>
      <c r="M565" s="39" t="n">
        <f aca="false">(('Business Case'!G11*$C565*'Business Case'!G12*$B565)-'Business Case'!G11*$C565*'Business Case'!G13*$D565-'Business Case'!G14*$E565)-MAX(0,(('Business Case'!G11*$C565*'Business Case'!G12*$B565)-'Business Case'!G11*$C565*'Business Case'!G13*$D565-'Business Case'!G14*$E565))*'Business Case'!$B$7-'Business Case'!$B$8*(('Business Case'!G11*$C565*'Business Case'!G12*$B565)-('Business Case'!F11*$C565*'Business Case'!F12*$B565))-'Business Case'!G15*$F565+'Business Case'!$B$8*('Business Case'!G11*$C565*'Business Case'!G12*$B565)</f>
        <v>783641315.993278</v>
      </c>
      <c r="N565" s="39" t="n">
        <f aca="false">IF(COUNT('Business Case'!B11:G11)=0,"",H565+NPV(G565,I565:M565))</f>
        <v>-857942257.258313</v>
      </c>
      <c r="P565" s="40" t="n">
        <f aca="true">RAND()</f>
        <v>0.942597620750894</v>
      </c>
      <c r="Q565" s="40" t="n">
        <f aca="true">RAND()</f>
        <v>0.122607692193775</v>
      </c>
      <c r="R565" s="40" t="n">
        <f aca="true">RAND()</f>
        <v>0.857941755378572</v>
      </c>
      <c r="S565" s="40" t="n">
        <f aca="true">RAND()</f>
        <v>0.579402769087888</v>
      </c>
      <c r="T565" s="40" t="n">
        <f aca="true">RAND()</f>
        <v>0.809720549447904</v>
      </c>
      <c r="U565" s="40" t="n">
        <f aca="true">RAND()</f>
        <v>0.46521598789282</v>
      </c>
    </row>
    <row r="566" customFormat="false" ht="15" hidden="false" customHeight="false" outlineLevel="0" collapsed="false">
      <c r="A566" s="36" t="n">
        <v>486</v>
      </c>
      <c r="B566" s="37" t="n">
        <f aca="false">1+IF($G$6=$E$6,$F$6,IF(P566&lt;($F$6-$E$6)/($G$6-$E$6),$E$6+SQRT(P566*($G$6-$E$6)*($F$6-$E$6)),$G$6-SQRT((1-P566)*($G$6-$E$6)*($G$6-$F$6))))</f>
        <v>1.03105946923262</v>
      </c>
      <c r="C566" s="37" t="n">
        <f aca="false">1+IF($G$7=$E$7,$F$7,IF(Q566&lt;($F$7-$E$7)/($G$7-$E$7),$E$7+SQRT(Q566*($G$7-$E$7)*($F$7-$E$7)),$G$7-SQRT((1-Q566)*($G$7-$E$7)*($G$7-$F$7))))</f>
        <v>1.05485232443081</v>
      </c>
      <c r="D566" s="37" t="n">
        <f aca="false">1+IF($G$8=$E$8,$F$8,IF(R566&lt;($F$8-$E$8)/($G$8-$E$8),$E$8+SQRT(R566*($G$8-$E$8)*($F$8-$E$8)),$G$8-SQRT((1-R566)*($G$8-$E$8)*($G$8-$F$8))))</f>
        <v>0.988695485977008</v>
      </c>
      <c r="E566" s="37" t="n">
        <f aca="false">1+IF($G$9=$E$9,$F$9,IF(S566&lt;($F$9-$E$9)/($G$9-$E$9),$E$9+SQRT(S566*($G$9-$E$9)*($F$9-$E$9)),$G$9-SQRT((1-S566)*($G$9-$E$9)*($G$9-$F$9))))</f>
        <v>0.990168038345125</v>
      </c>
      <c r="F566" s="37" t="n">
        <f aca="false">1+IF($G$10=$E$10,$F$10,IF(T566&lt;($F$10-$E$10)/($G$10-$E$10),$E$10+SQRT(T566*($G$10-$E$10)*($F$10-$E$10)),$G$10-SQRT((1-T566)*($G$10-$E$10)*($G$10-$F$10))))</f>
        <v>1.07406939437509</v>
      </c>
      <c r="G566" s="38" t="n">
        <f aca="false">IF($G$11=$E$11,$F$11,IF(U566&lt;($F$11-$E$11)/($G$11-$E$11),$E$11+SQRT(U566*($G$11-$E$11)*($F$11-$E$11)),$G$11-SQRT((1-U566)*($G$11-$E$11)*($G$11-$F$11))))</f>
        <v>0.0974686529647581</v>
      </c>
      <c r="H566" s="39" t="n">
        <f aca="false">(('Business Case'!B11*$C566*'Business Case'!B12*$B566)-'Business Case'!B11*$C566*'Business Case'!B13*$D566-'Business Case'!B14*$E566)-MAX(0,(('Business Case'!B11*$C566*'Business Case'!B12*$B566)-'Business Case'!B11*$C566*'Business Case'!B13*$D566-'Business Case'!B14*$E566))*'Business Case'!$B$7-'Business Case'!$B$8*('Business Case'!B11*$C566*'Business Case'!B12*$B566)-'Business Case'!B15*$F566</f>
        <v>-2148138788.75017</v>
      </c>
      <c r="I566" s="39" t="n">
        <f aca="false">(('Business Case'!C11*$C566*'Business Case'!C12*$B566)-'Business Case'!C11*$C566*'Business Case'!C13*$D566-'Business Case'!C14*$E566)-MAX(0,(('Business Case'!C11*$C566*'Business Case'!C12*$B566)-'Business Case'!C11*$C566*'Business Case'!C13*$D566-'Business Case'!C14*$E566))*'Business Case'!$B$7-'Business Case'!$B$8*(('Business Case'!C11*$C566*'Business Case'!C12*$B566)-('Business Case'!B11*$C566*'Business Case'!B12*$B566))-'Business Case'!C15*$F566</f>
        <v>52348999.4036909</v>
      </c>
      <c r="J566" s="39" t="n">
        <f aca="false">(('Business Case'!D11*$C566*'Business Case'!D12*$B566)-'Business Case'!D11*$C566*'Business Case'!D13*$D566-'Business Case'!D14*$E566)-MAX(0,(('Business Case'!D11*$C566*'Business Case'!D12*$B566)-'Business Case'!D11*$C566*'Business Case'!D13*$D566-'Business Case'!D14*$E566))*'Business Case'!$B$7-'Business Case'!$B$8*(('Business Case'!D11*$C566*'Business Case'!D12*$B566)-('Business Case'!C11*$C566*'Business Case'!C12*$B566))-'Business Case'!D15*$F566</f>
        <v>409288819.663942</v>
      </c>
      <c r="K566" s="39" t="n">
        <f aca="false">(('Business Case'!E11*$C566*'Business Case'!E12*$B566)-'Business Case'!E11*$C566*'Business Case'!E13*$D566-'Business Case'!E14*$E566)-MAX(0,(('Business Case'!E11*$C566*'Business Case'!E12*$B566)-'Business Case'!E11*$C566*'Business Case'!E13*$D566-'Business Case'!E14*$E566))*'Business Case'!$B$7-'Business Case'!$B$8*(('Business Case'!E11*$C566*'Business Case'!E12*$B566)-('Business Case'!D11*$C566*'Business Case'!D12*$B566))-'Business Case'!E15*$F566</f>
        <v>819932109.642947</v>
      </c>
      <c r="L566" s="39" t="n">
        <f aca="false">(('Business Case'!F11*$C566*'Business Case'!F12*$B566)-'Business Case'!F11*$C566*'Business Case'!F13*$D566-'Business Case'!F14*$E566)-MAX(0,(('Business Case'!F11*$C566*'Business Case'!F12*$B566)-'Business Case'!F11*$C566*'Business Case'!F13*$D566-'Business Case'!F14*$E566))*'Business Case'!$B$7-'Business Case'!$B$8*(('Business Case'!F11*$C566*'Business Case'!F12*$B566)-('Business Case'!E11*$C566*'Business Case'!E12*$B566))-'Business Case'!F15*$F566</f>
        <v>976500040.640613</v>
      </c>
      <c r="M566" s="39" t="n">
        <f aca="false">(('Business Case'!G11*$C566*'Business Case'!G12*$B566)-'Business Case'!G11*$C566*'Business Case'!G13*$D566-'Business Case'!G14*$E566)-MAX(0,(('Business Case'!G11*$C566*'Business Case'!G12*$B566)-'Business Case'!G11*$C566*'Business Case'!G13*$D566-'Business Case'!G14*$E566))*'Business Case'!$B$7-'Business Case'!$B$8*(('Business Case'!G11*$C566*'Business Case'!G12*$B566)-('Business Case'!F11*$C566*'Business Case'!F12*$B566))-'Business Case'!G15*$F566+'Business Case'!$B$8*('Business Case'!G11*$C566*'Business Case'!G12*$B566)</f>
        <v>1183233990.65065</v>
      </c>
      <c r="N566" s="39" t="n">
        <f aca="false">IF(COUNT('Business Case'!B11:G11)=0,"",H566+NPV(G566,I566:M566))</f>
        <v>276022880.093316</v>
      </c>
      <c r="P566" s="40" t="n">
        <f aca="true">RAND()</f>
        <v>0.9521675059</v>
      </c>
      <c r="Q566" s="40" t="n">
        <f aca="true">RAND()</f>
        <v>0.865880293833767</v>
      </c>
      <c r="R566" s="40" t="n">
        <f aca="true">RAND()</f>
        <v>0.199645417999571</v>
      </c>
      <c r="S566" s="40" t="n">
        <f aca="true">RAND()</f>
        <v>0.325211005560316</v>
      </c>
      <c r="T566" s="40" t="n">
        <f aca="true">RAND()</f>
        <v>0.587312293392685</v>
      </c>
      <c r="U566" s="40" t="n">
        <f aca="true">RAND()</f>
        <v>0.305153836403151</v>
      </c>
    </row>
    <row r="567" customFormat="false" ht="15" hidden="false" customHeight="false" outlineLevel="0" collapsed="false">
      <c r="A567" s="36" t="n">
        <v>487</v>
      </c>
      <c r="B567" s="37" t="n">
        <f aca="false">1+IF($G$6=$E$6,$F$6,IF(P567&lt;($F$6-$E$6)/($G$6-$E$6),$E$6+SQRT(P567*($G$6-$E$6)*($F$6-$E$6)),$G$6-SQRT((1-P567)*($G$6-$E$6)*($G$6-$F$6))))</f>
        <v>0.997478761663612</v>
      </c>
      <c r="C567" s="37" t="n">
        <f aca="false">1+IF($G$7=$E$7,$F$7,IF(Q567&lt;($F$7-$E$7)/($G$7-$E$7),$E$7+SQRT(Q567*($G$7-$E$7)*($F$7-$E$7)),$G$7-SQRT((1-Q567)*($G$7-$E$7)*($G$7-$F$7))))</f>
        <v>0.829246570847218</v>
      </c>
      <c r="D567" s="37" t="n">
        <f aca="false">1+IF($G$8=$E$8,$F$8,IF(R567&lt;($F$8-$E$8)/($G$8-$E$8),$E$8+SQRT(R567*($G$8-$E$8)*($F$8-$E$8)),$G$8-SQRT((1-R567)*($G$8-$E$8)*($G$8-$F$8))))</f>
        <v>0.996715228563381</v>
      </c>
      <c r="E567" s="37" t="n">
        <f aca="false">1+IF($G$9=$E$9,$F$9,IF(S567&lt;($F$9-$E$9)/($G$9-$E$9),$E$9+SQRT(S567*($G$9-$E$9)*($F$9-$E$9)),$G$9-SQRT((1-S567)*($G$9-$E$9)*($G$9-$F$9))))</f>
        <v>1.05408456184057</v>
      </c>
      <c r="F567" s="37" t="n">
        <f aca="false">1+IF($G$10=$E$10,$F$10,IF(T567&lt;($F$10-$E$10)/($G$10-$E$10),$E$10+SQRT(T567*($G$10-$E$10)*($F$10-$E$10)),$G$10-SQRT((1-T567)*($G$10-$E$10)*($G$10-$F$10))))</f>
        <v>1.02793462264961</v>
      </c>
      <c r="G567" s="38" t="n">
        <f aca="false">IF($G$11=$E$11,$F$11,IF(U567&lt;($F$11-$E$11)/($G$11-$E$11),$E$11+SQRT(U567*($G$11-$E$11)*($F$11-$E$11)),$G$11-SQRT((1-U567)*($G$11-$E$11)*($G$11-$F$11))))</f>
        <v>0.0945382473982888</v>
      </c>
      <c r="H567" s="39" t="n">
        <f aca="false">(('Business Case'!B11*$C567*'Business Case'!B12*$B567)-'Business Case'!B11*$C567*'Business Case'!B13*$D567-'Business Case'!B14*$E567)-MAX(0,(('Business Case'!B11*$C567*'Business Case'!B12*$B567)-'Business Case'!B11*$C567*'Business Case'!B13*$D567-'Business Case'!B14*$E567))*'Business Case'!$B$7-'Business Case'!$B$8*('Business Case'!B11*$C567*'Business Case'!B12*$B567)-'Business Case'!B15*$F567</f>
        <v>-2055869245.29923</v>
      </c>
      <c r="I567" s="39" t="n">
        <f aca="false">(('Business Case'!C11*$C567*'Business Case'!C12*$B567)-'Business Case'!C11*$C567*'Business Case'!C13*$D567-'Business Case'!C14*$E567)-MAX(0,(('Business Case'!C11*$C567*'Business Case'!C12*$B567)-'Business Case'!C11*$C567*'Business Case'!C13*$D567-'Business Case'!C14*$E567))*'Business Case'!$B$7-'Business Case'!$B$8*(('Business Case'!C11*$C567*'Business Case'!C12*$B567)-('Business Case'!B11*$C567*'Business Case'!B12*$B567))-'Business Case'!C15*$F567</f>
        <v>-41177348.635734</v>
      </c>
      <c r="J567" s="39" t="n">
        <f aca="false">(('Business Case'!D11*$C567*'Business Case'!D12*$B567)-'Business Case'!D11*$C567*'Business Case'!D13*$D567-'Business Case'!D14*$E567)-MAX(0,(('Business Case'!D11*$C567*'Business Case'!D12*$B567)-'Business Case'!D11*$C567*'Business Case'!D13*$D567-'Business Case'!D14*$E567))*'Business Case'!$B$7-'Business Case'!$B$8*(('Business Case'!D11*$C567*'Business Case'!D12*$B567)-('Business Case'!C11*$C567*'Business Case'!C12*$B567))-'Business Case'!D15*$F567</f>
        <v>213209348.567735</v>
      </c>
      <c r="K567" s="39" t="n">
        <f aca="false">(('Business Case'!E11*$C567*'Business Case'!E12*$B567)-'Business Case'!E11*$C567*'Business Case'!E13*$D567-'Business Case'!E14*$E567)-MAX(0,(('Business Case'!E11*$C567*'Business Case'!E12*$B567)-'Business Case'!E11*$C567*'Business Case'!E13*$D567-'Business Case'!E14*$E567))*'Business Case'!$B$7-'Business Case'!$B$8*(('Business Case'!E11*$C567*'Business Case'!E12*$B567)-('Business Case'!D11*$C567*'Business Case'!D12*$B567))-'Business Case'!E15*$F567</f>
        <v>518992776.903686</v>
      </c>
      <c r="L567" s="39" t="n">
        <f aca="false">(('Business Case'!F11*$C567*'Business Case'!F12*$B567)-'Business Case'!F11*$C567*'Business Case'!F13*$D567-'Business Case'!F14*$E567)-MAX(0,(('Business Case'!F11*$C567*'Business Case'!F12*$B567)-'Business Case'!F11*$C567*'Business Case'!F13*$D567-'Business Case'!F14*$E567))*'Business Case'!$B$7-'Business Case'!$B$8*(('Business Case'!F11*$C567*'Business Case'!F12*$B567)-('Business Case'!E11*$C567*'Business Case'!E12*$B567))-'Business Case'!F15*$F567</f>
        <v>632374848.558517</v>
      </c>
      <c r="M567" s="39" t="n">
        <f aca="false">(('Business Case'!G11*$C567*'Business Case'!G12*$B567)-'Business Case'!G11*$C567*'Business Case'!G13*$D567-'Business Case'!G14*$E567)-MAX(0,(('Business Case'!G11*$C567*'Business Case'!G12*$B567)-'Business Case'!G11*$C567*'Business Case'!G13*$D567-'Business Case'!G14*$E567))*'Business Case'!$B$7-'Business Case'!$B$8*(('Business Case'!G11*$C567*'Business Case'!G12*$B567)-('Business Case'!F11*$C567*'Business Case'!F12*$B567))-'Business Case'!G15*$F567+'Business Case'!$B$8*('Business Case'!G11*$C567*'Business Case'!G12*$B567)</f>
        <v>789600631.120397</v>
      </c>
      <c r="N567" s="39" t="n">
        <f aca="false">IF(COUNT('Business Case'!B11:G11)=0,"",H567+NPV(G567,I567:M567))</f>
        <v>-576486173.270539</v>
      </c>
      <c r="P567" s="40" t="n">
        <f aca="true">RAND()</f>
        <v>0.63347393169809</v>
      </c>
      <c r="Q567" s="40" t="n">
        <f aca="true">RAND()</f>
        <v>0.123738341301963</v>
      </c>
      <c r="R567" s="40" t="n">
        <f aca="true">RAND()</f>
        <v>0.290975010630519</v>
      </c>
      <c r="S567" s="40" t="n">
        <f aca="true">RAND()</f>
        <v>0.754672765938269</v>
      </c>
      <c r="T567" s="40" t="n">
        <f aca="true">RAND()</f>
        <v>0.342492909096405</v>
      </c>
      <c r="U567" s="40" t="n">
        <f aca="true">RAND()</f>
        <v>0.21136063741385</v>
      </c>
    </row>
    <row r="568" customFormat="false" ht="15" hidden="false" customHeight="false" outlineLevel="0" collapsed="false">
      <c r="A568" s="36" t="n">
        <v>488</v>
      </c>
      <c r="B568" s="37" t="n">
        <f aca="false">1+IF($G$6=$E$6,$F$6,IF(P568&lt;($F$6-$E$6)/($G$6-$E$6),$E$6+SQRT(P568*($G$6-$E$6)*($F$6-$E$6)),$G$6-SQRT((1-P568)*($G$6-$E$6)*($G$6-$F$6))))</f>
        <v>0.958229535228141</v>
      </c>
      <c r="C568" s="37" t="n">
        <f aca="false">1+IF($G$7=$E$7,$F$7,IF(Q568&lt;($F$7-$E$7)/($G$7-$E$7),$E$7+SQRT(Q568*($G$7-$E$7)*($F$7-$E$7)),$G$7-SQRT((1-Q568)*($G$7-$E$7)*($G$7-$F$7))))</f>
        <v>0.853962516341516</v>
      </c>
      <c r="D568" s="37" t="n">
        <f aca="false">1+IF($G$8=$E$8,$F$8,IF(R568&lt;($F$8-$E$8)/($G$8-$E$8),$E$8+SQRT(R568*($G$8-$E$8)*($F$8-$E$8)),$G$8-SQRT((1-R568)*($G$8-$E$8)*($G$8-$F$8))))</f>
        <v>1.08134136573849</v>
      </c>
      <c r="E568" s="37" t="n">
        <f aca="false">1+IF($G$9=$E$9,$F$9,IF(S568&lt;($F$9-$E$9)/($G$9-$E$9),$E$9+SQRT(S568*($G$9-$E$9)*($F$9-$E$9)),$G$9-SQRT((1-S568)*($G$9-$E$9)*($G$9-$F$9))))</f>
        <v>1.01823164529163</v>
      </c>
      <c r="F568" s="37" t="n">
        <f aca="false">1+IF($G$10=$E$10,$F$10,IF(T568&lt;($F$10-$E$10)/($G$10-$E$10),$E$10+SQRT(T568*($G$10-$E$10)*($F$10-$E$10)),$G$10-SQRT((1-T568)*($G$10-$E$10)*($G$10-$F$10))))</f>
        <v>1.1206319224393</v>
      </c>
      <c r="G568" s="38" t="n">
        <f aca="false">IF($G$11=$E$11,$F$11,IF(U568&lt;($F$11-$E$11)/($G$11-$E$11),$E$11+SQRT(U568*($G$11-$E$11)*($F$11-$E$11)),$G$11-SQRT((1-U568)*($G$11-$E$11)*($G$11-$F$11))))</f>
        <v>0.108439269474734</v>
      </c>
      <c r="H568" s="39" t="n">
        <f aca="false">(('Business Case'!B11*$C568*'Business Case'!B12*$B568)-'Business Case'!B11*$C568*'Business Case'!B13*$D568-'Business Case'!B14*$E568)-MAX(0,(('Business Case'!B11*$C568*'Business Case'!B12*$B568)-'Business Case'!B11*$C568*'Business Case'!B13*$D568-'Business Case'!B14*$E568))*'Business Case'!$B$7-'Business Case'!$B$8*('Business Case'!B11*$C568*'Business Case'!B12*$B568)-'Business Case'!B15*$F568</f>
        <v>-2241263844.8786</v>
      </c>
      <c r="I568" s="39" t="n">
        <f aca="false">(('Business Case'!C11*$C568*'Business Case'!C12*$B568)-'Business Case'!C11*$C568*'Business Case'!C13*$D568-'Business Case'!C14*$E568)-MAX(0,(('Business Case'!C11*$C568*'Business Case'!C12*$B568)-'Business Case'!C11*$C568*'Business Case'!C13*$D568-'Business Case'!C14*$E568))*'Business Case'!$B$7-'Business Case'!$B$8*(('Business Case'!C11*$C568*'Business Case'!C12*$B568)-('Business Case'!B11*$C568*'Business Case'!B12*$B568))-'Business Case'!C15*$F568</f>
        <v>-101755566.576689</v>
      </c>
      <c r="J568" s="39" t="n">
        <f aca="false">(('Business Case'!D11*$C568*'Business Case'!D12*$B568)-'Business Case'!D11*$C568*'Business Case'!D13*$D568-'Business Case'!D14*$E568)-MAX(0,(('Business Case'!D11*$C568*'Business Case'!D12*$B568)-'Business Case'!D11*$C568*'Business Case'!D13*$D568-'Business Case'!D14*$E568))*'Business Case'!$B$7-'Business Case'!$B$8*(('Business Case'!D11*$C568*'Business Case'!D12*$B568)-('Business Case'!C11*$C568*'Business Case'!C12*$B568))-'Business Case'!D15*$F568</f>
        <v>95764861.7812823</v>
      </c>
      <c r="K568" s="39" t="n">
        <f aca="false">(('Business Case'!E11*$C568*'Business Case'!E12*$B568)-'Business Case'!E11*$C568*'Business Case'!E13*$D568-'Business Case'!E14*$E568)-MAX(0,(('Business Case'!E11*$C568*'Business Case'!E12*$B568)-'Business Case'!E11*$C568*'Business Case'!E13*$D568-'Business Case'!E14*$E568))*'Business Case'!$B$7-'Business Case'!$B$8*(('Business Case'!E11*$C568*'Business Case'!E12*$B568)-('Business Case'!D11*$C568*'Business Case'!D12*$B568))-'Business Case'!E15*$F568</f>
        <v>349316886.261218</v>
      </c>
      <c r="L568" s="39" t="n">
        <f aca="false">(('Business Case'!F11*$C568*'Business Case'!F12*$B568)-'Business Case'!F11*$C568*'Business Case'!F13*$D568-'Business Case'!F14*$E568)-MAX(0,(('Business Case'!F11*$C568*'Business Case'!F12*$B568)-'Business Case'!F11*$C568*'Business Case'!F13*$D568-'Business Case'!F14*$E568))*'Business Case'!$B$7-'Business Case'!$B$8*(('Business Case'!F11*$C568*'Business Case'!F12*$B568)-('Business Case'!E11*$C568*'Business Case'!E12*$B568))-'Business Case'!F15*$F568</f>
        <v>443437204.200715</v>
      </c>
      <c r="M568" s="39" t="n">
        <f aca="false">(('Business Case'!G11*$C568*'Business Case'!G12*$B568)-'Business Case'!G11*$C568*'Business Case'!G13*$D568-'Business Case'!G14*$E568)-MAX(0,(('Business Case'!G11*$C568*'Business Case'!G12*$B568)-'Business Case'!G11*$C568*'Business Case'!G13*$D568-'Business Case'!G14*$E568))*'Business Case'!$B$7-'Business Case'!$B$8*(('Business Case'!G11*$C568*'Business Case'!G12*$B568)-('Business Case'!F11*$C568*'Business Case'!F12*$B568))-'Business Case'!G15*$F568+'Business Case'!$B$8*('Business Case'!G11*$C568*'Business Case'!G12*$B568)</f>
        <v>598978167.545001</v>
      </c>
      <c r="N568" s="39" t="n">
        <f aca="false">IF(COUNT('Business Case'!B11:G11)=0,"",H568+NPV(G568,I568:M568))</f>
        <v>-1346894243.92836</v>
      </c>
      <c r="P568" s="40" t="n">
        <f aca="true">RAND()</f>
        <v>0.226045251525684</v>
      </c>
      <c r="Q568" s="40" t="n">
        <f aca="true">RAND()</f>
        <v>0.175588566208975</v>
      </c>
      <c r="R568" s="40" t="n">
        <f aca="true">RAND()</f>
        <v>0.976790357833025</v>
      </c>
      <c r="S568" s="40" t="n">
        <f aca="true">RAND()</f>
        <v>0.536989351931959</v>
      </c>
      <c r="T568" s="40" t="n">
        <f aca="true">RAND()</f>
        <v>0.776852006776652</v>
      </c>
      <c r="U568" s="40" t="n">
        <f aca="true">RAND()</f>
        <v>0.690089932811231</v>
      </c>
    </row>
    <row r="569" customFormat="false" ht="15" hidden="false" customHeight="false" outlineLevel="0" collapsed="false">
      <c r="A569" s="36" t="n">
        <v>489</v>
      </c>
      <c r="B569" s="37" t="n">
        <f aca="false">1+IF($G$6=$E$6,$F$6,IF(P569&lt;($F$6-$E$6)/($G$6-$E$6),$E$6+SQRT(P569*($G$6-$E$6)*($F$6-$E$6)),$G$6-SQRT((1-P569)*($G$6-$E$6)*($G$6-$F$6))))</f>
        <v>0.963383813730241</v>
      </c>
      <c r="C569" s="37" t="n">
        <f aca="false">1+IF($G$7=$E$7,$F$7,IF(Q569&lt;($F$7-$E$7)/($G$7-$E$7),$E$7+SQRT(Q569*($G$7-$E$7)*($F$7-$E$7)),$G$7-SQRT((1-Q569)*($G$7-$E$7)*($G$7-$F$7))))</f>
        <v>0.911587937475413</v>
      </c>
      <c r="D569" s="37" t="n">
        <f aca="false">1+IF($G$8=$E$8,$F$8,IF(R569&lt;($F$8-$E$8)/($G$8-$E$8),$E$8+SQRT(R569*($G$8-$E$8)*($F$8-$E$8)),$G$8-SQRT((1-R569)*($G$8-$E$8)*($G$8-$F$8))))</f>
        <v>0.997981087548914</v>
      </c>
      <c r="E569" s="37" t="n">
        <f aca="false">1+IF($G$9=$E$9,$F$9,IF(S569&lt;($F$9-$E$9)/($G$9-$E$9),$E$9+SQRT(S569*($G$9-$E$9)*($F$9-$E$9)),$G$9-SQRT((1-S569)*($G$9-$E$9)*($G$9-$F$9))))</f>
        <v>1.04660109781924</v>
      </c>
      <c r="F569" s="37" t="n">
        <f aca="false">1+IF($G$10=$E$10,$F$10,IF(T569&lt;($F$10-$E$10)/($G$10-$E$10),$E$10+SQRT(T569*($G$10-$E$10)*($F$10-$E$10)),$G$10-SQRT((1-T569)*($G$10-$E$10)*($G$10-$F$10))))</f>
        <v>0.967268589325928</v>
      </c>
      <c r="G569" s="38" t="n">
        <f aca="false">IF($G$11=$E$11,$F$11,IF(U569&lt;($F$11-$E$11)/($G$11-$E$11),$E$11+SQRT(U569*($G$11-$E$11)*($F$11-$E$11)),$G$11-SQRT((1-U569)*($G$11-$E$11)*($G$11-$F$11))))</f>
        <v>0.0870407499748063</v>
      </c>
      <c r="H569" s="39" t="n">
        <f aca="false">(('Business Case'!B11*$C569*'Business Case'!B12*$B569)-'Business Case'!B11*$C569*'Business Case'!B13*$D569-'Business Case'!B14*$E569)-MAX(0,(('Business Case'!B11*$C569*'Business Case'!B12*$B569)-'Business Case'!B11*$C569*'Business Case'!B13*$D569-'Business Case'!B14*$E569))*'Business Case'!$B$7-'Business Case'!$B$8*('Business Case'!B11*$C569*'Business Case'!B12*$B569)-'Business Case'!B15*$F569</f>
        <v>-1934537178.65186</v>
      </c>
      <c r="I569" s="39" t="n">
        <f aca="false">(('Business Case'!C11*$C569*'Business Case'!C12*$B569)-'Business Case'!C11*$C569*'Business Case'!C13*$D569-'Business Case'!C14*$E569)-MAX(0,(('Business Case'!C11*$C569*'Business Case'!C12*$B569)-'Business Case'!C11*$C569*'Business Case'!C13*$D569-'Business Case'!C14*$E569))*'Business Case'!$B$7-'Business Case'!$B$8*(('Business Case'!C11*$C569*'Business Case'!C12*$B569)-('Business Case'!B11*$C569*'Business Case'!B12*$B569))-'Business Case'!C15*$F569</f>
        <v>-37481389.7114433</v>
      </c>
      <c r="J569" s="39" t="n">
        <f aca="false">(('Business Case'!D11*$C569*'Business Case'!D12*$B569)-'Business Case'!D11*$C569*'Business Case'!D13*$D569-'Business Case'!D14*$E569)-MAX(0,(('Business Case'!D11*$C569*'Business Case'!D12*$B569)-'Business Case'!D11*$C569*'Business Case'!D13*$D569-'Business Case'!D14*$E569))*'Business Case'!$B$7-'Business Case'!$B$8*(('Business Case'!D11*$C569*'Business Case'!D12*$B569)-('Business Case'!C11*$C569*'Business Case'!C12*$B569))-'Business Case'!D15*$F569</f>
        <v>216117113.48469</v>
      </c>
      <c r="K569" s="39" t="n">
        <f aca="false">(('Business Case'!E11*$C569*'Business Case'!E12*$B569)-'Business Case'!E11*$C569*'Business Case'!E13*$D569-'Business Case'!E14*$E569)-MAX(0,(('Business Case'!E11*$C569*'Business Case'!E12*$B569)-'Business Case'!E11*$C569*'Business Case'!E13*$D569-'Business Case'!E14*$E569))*'Business Case'!$B$7-'Business Case'!$B$8*(('Business Case'!E11*$C569*'Business Case'!E12*$B569)-('Business Case'!D11*$C569*'Business Case'!D12*$B569))-'Business Case'!E15*$F569</f>
        <v>518079046.14712</v>
      </c>
      <c r="L569" s="39" t="n">
        <f aca="false">(('Business Case'!F11*$C569*'Business Case'!F12*$B569)-'Business Case'!F11*$C569*'Business Case'!F13*$D569-'Business Case'!F14*$E569)-MAX(0,(('Business Case'!F11*$C569*'Business Case'!F12*$B569)-'Business Case'!F11*$C569*'Business Case'!F13*$D569-'Business Case'!F14*$E569))*'Business Case'!$B$7-'Business Case'!$B$8*(('Business Case'!F11*$C569*'Business Case'!F12*$B569)-('Business Case'!E11*$C569*'Business Case'!E12*$B569))-'Business Case'!F15*$F569</f>
        <v>632962785.789222</v>
      </c>
      <c r="M569" s="39" t="n">
        <f aca="false">(('Business Case'!G11*$C569*'Business Case'!G12*$B569)-'Business Case'!G11*$C569*'Business Case'!G13*$D569-'Business Case'!G14*$E569)-MAX(0,(('Business Case'!G11*$C569*'Business Case'!G12*$B569)-'Business Case'!G11*$C569*'Business Case'!G13*$D569-'Business Case'!G14*$E569))*'Business Case'!$B$7-'Business Case'!$B$8*(('Business Case'!G11*$C569*'Business Case'!G12*$B569)-('Business Case'!F11*$C569*'Business Case'!F12*$B569))-'Business Case'!G15*$F569+'Business Case'!$B$8*('Business Case'!G11*$C569*'Business Case'!G12*$B569)</f>
        <v>799892764.627877</v>
      </c>
      <c r="N569" s="39" t="n">
        <f aca="false">IF(COUNT('Business Case'!B11:G11)=0,"",H569+NPV(G569,I569:M569))</f>
        <v>-402496151.708583</v>
      </c>
      <c r="P569" s="40" t="n">
        <f aca="true">RAND()</f>
        <v>0.267833856199329</v>
      </c>
      <c r="Q569" s="40" t="n">
        <f aca="true">RAND()</f>
        <v>0.331625594704441</v>
      </c>
      <c r="R569" s="40" t="n">
        <f aca="true">RAND()</f>
        <v>0.306957968316876</v>
      </c>
      <c r="S569" s="40" t="n">
        <f aca="true">RAND()</f>
        <v>0.714897787408368</v>
      </c>
      <c r="T569" s="40" t="n">
        <f aca="true">RAND()</f>
        <v>0.0198802784871694</v>
      </c>
      <c r="U569" s="40" t="n">
        <f aca="true">RAND()</f>
        <v>0.0495721602077348</v>
      </c>
    </row>
    <row r="570" customFormat="false" ht="15" hidden="false" customHeight="false" outlineLevel="0" collapsed="false">
      <c r="A570" s="36" t="n">
        <v>490</v>
      </c>
      <c r="B570" s="37" t="n">
        <f aca="false">1+IF($G$6=$E$6,$F$6,IF(P570&lt;($F$6-$E$6)/($G$6-$E$6),$E$6+SQRT(P570*($G$6-$E$6)*($F$6-$E$6)),$G$6-SQRT((1-P570)*($G$6-$E$6)*($G$6-$F$6))))</f>
        <v>1.00941552611863</v>
      </c>
      <c r="C570" s="37" t="n">
        <f aca="false">1+IF($G$7=$E$7,$F$7,IF(Q570&lt;($F$7-$E$7)/($G$7-$E$7),$E$7+SQRT(Q570*($G$7-$E$7)*($F$7-$E$7)),$G$7-SQRT((1-Q570)*($G$7-$E$7)*($G$7-$F$7))))</f>
        <v>0.877583826642302</v>
      </c>
      <c r="D570" s="37" t="n">
        <f aca="false">1+IF($G$8=$E$8,$F$8,IF(R570&lt;($F$8-$E$8)/($G$8-$E$8),$E$8+SQRT(R570*($G$8-$E$8)*($F$8-$E$8)),$G$8-SQRT((1-R570)*($G$8-$E$8)*($G$8-$F$8))))</f>
        <v>1.03673971999127</v>
      </c>
      <c r="E570" s="37" t="n">
        <f aca="false">1+IF($G$9=$E$9,$F$9,IF(S570&lt;($F$9-$E$9)/($G$9-$E$9),$E$9+SQRT(S570*($G$9-$E$9)*($F$9-$E$9)),$G$9-SQRT((1-S570)*($G$9-$E$9)*($G$9-$F$9))))</f>
        <v>1.00644980565188</v>
      </c>
      <c r="F570" s="37" t="n">
        <f aca="false">1+IF($G$10=$E$10,$F$10,IF(T570&lt;($F$10-$E$10)/($G$10-$E$10),$E$10+SQRT(T570*($G$10-$E$10)*($F$10-$E$10)),$G$10-SQRT((1-T570)*($G$10-$E$10)*($G$10-$F$10))))</f>
        <v>0.958035857798009</v>
      </c>
      <c r="G570" s="38" t="n">
        <f aca="false">IF($G$11=$E$11,$F$11,IF(U570&lt;($F$11-$E$11)/($G$11-$E$11),$E$11+SQRT(U570*($G$11-$E$11)*($F$11-$E$11)),$G$11-SQRT((1-U570)*($G$11-$E$11)*($G$11-$F$11))))</f>
        <v>0.0969319421072596</v>
      </c>
      <c r="H570" s="39" t="n">
        <f aca="false">(('Business Case'!B11*$C570*'Business Case'!B12*$B570)-'Business Case'!B11*$C570*'Business Case'!B13*$D570-'Business Case'!B14*$E570)-MAX(0,(('Business Case'!B11*$C570*'Business Case'!B12*$B570)-'Business Case'!B11*$C570*'Business Case'!B13*$D570-'Business Case'!B14*$E570))*'Business Case'!$B$7-'Business Case'!$B$8*('Business Case'!B11*$C570*'Business Case'!B12*$B570)-'Business Case'!B15*$F570</f>
        <v>-1916071715.59602</v>
      </c>
      <c r="I570" s="39" t="n">
        <f aca="false">(('Business Case'!C11*$C570*'Business Case'!C12*$B570)-'Business Case'!C11*$C570*'Business Case'!C13*$D570-'Business Case'!C14*$E570)-MAX(0,(('Business Case'!C11*$C570*'Business Case'!C12*$B570)-'Business Case'!C11*$C570*'Business Case'!C13*$D570-'Business Case'!C14*$E570))*'Business Case'!$B$7-'Business Case'!$B$8*(('Business Case'!C11*$C570*'Business Case'!C12*$B570)-('Business Case'!B11*$C570*'Business Case'!B12*$B570))-'Business Case'!C15*$F570</f>
        <v>-25028913.4544494</v>
      </c>
      <c r="J570" s="39" t="n">
        <f aca="false">(('Business Case'!D11*$C570*'Business Case'!D12*$B570)-'Business Case'!D11*$C570*'Business Case'!D13*$D570-'Business Case'!D14*$E570)-MAX(0,(('Business Case'!D11*$C570*'Business Case'!D12*$B570)-'Business Case'!D11*$C570*'Business Case'!D13*$D570-'Business Case'!D14*$E570))*'Business Case'!$B$7-'Business Case'!$B$8*(('Business Case'!D11*$C570*'Business Case'!D12*$B570)-('Business Case'!C11*$C570*'Business Case'!C12*$B570))-'Business Case'!D15*$F570</f>
        <v>234785216.240519</v>
      </c>
      <c r="K570" s="39" t="n">
        <f aca="false">(('Business Case'!E11*$C570*'Business Case'!E12*$B570)-'Business Case'!E11*$C570*'Business Case'!E13*$D570-'Business Case'!E14*$E570)-MAX(0,(('Business Case'!E11*$C570*'Business Case'!E12*$B570)-'Business Case'!E11*$C570*'Business Case'!E13*$D570-'Business Case'!E14*$E570))*'Business Case'!$B$7-'Business Case'!$B$8*(('Business Case'!E11*$C570*'Business Case'!E12*$B570)-('Business Case'!D11*$C570*'Business Case'!D12*$B570))-'Business Case'!E15*$F570</f>
        <v>542501138.825389</v>
      </c>
      <c r="L570" s="39" t="n">
        <f aca="false">(('Business Case'!F11*$C570*'Business Case'!F12*$B570)-'Business Case'!F11*$C570*'Business Case'!F13*$D570-'Business Case'!F14*$E570)-MAX(0,(('Business Case'!F11*$C570*'Business Case'!F12*$B570)-'Business Case'!F11*$C570*'Business Case'!F13*$D570-'Business Case'!F14*$E570))*'Business Case'!$B$7-'Business Case'!$B$8*(('Business Case'!F11*$C570*'Business Case'!F12*$B570)-('Business Case'!E11*$C570*'Business Case'!E12*$B570))-'Business Case'!F15*$F570</f>
        <v>659720712.060992</v>
      </c>
      <c r="M570" s="39" t="n">
        <f aca="false">(('Business Case'!G11*$C570*'Business Case'!G12*$B570)-'Business Case'!G11*$C570*'Business Case'!G13*$D570-'Business Case'!G14*$E570)-MAX(0,(('Business Case'!G11*$C570*'Business Case'!G12*$B570)-'Business Case'!G11*$C570*'Business Case'!G13*$D570-'Business Case'!G14*$E570))*'Business Case'!$B$7-'Business Case'!$B$8*(('Business Case'!G11*$C570*'Business Case'!G12*$B570)-('Business Case'!F11*$C570*'Business Case'!F12*$B570))-'Business Case'!G15*$F570+'Business Case'!$B$8*('Business Case'!G11*$C570*'Business Case'!G12*$B570)</f>
        <v>828102460.416033</v>
      </c>
      <c r="N570" s="39" t="n">
        <f aca="false">IF(COUNT('Business Case'!B11:G11)=0,"",H570+NPV(G570,I570:M570))</f>
        <v>-355667808.871794</v>
      </c>
      <c r="P570" s="40" t="n">
        <f aca="true">RAND()</f>
        <v>0.780386730636289</v>
      </c>
      <c r="Q570" s="40" t="n">
        <f aca="true">RAND()</f>
        <v>0.233600114703134</v>
      </c>
      <c r="R570" s="40" t="n">
        <f aca="true">RAND()</f>
        <v>0.733209131547786</v>
      </c>
      <c r="S570" s="40" t="n">
        <f aca="true">RAND()</f>
        <v>0.450489112069771</v>
      </c>
      <c r="T570" s="40" t="n">
        <f aca="true">RAND()</f>
        <v>0.00430500070332093</v>
      </c>
      <c r="U570" s="40" t="n">
        <f aca="true">RAND()</f>
        <v>0.286690663523591</v>
      </c>
    </row>
    <row r="571" customFormat="false" ht="15" hidden="false" customHeight="false" outlineLevel="0" collapsed="false">
      <c r="A571" s="36" t="n">
        <v>491</v>
      </c>
      <c r="B571" s="37" t="n">
        <f aca="false">1+IF($G$6=$E$6,$F$6,IF(P571&lt;($F$6-$E$6)/($G$6-$E$6),$E$6+SQRT(P571*($G$6-$E$6)*($F$6-$E$6)),$G$6-SQRT((1-P571)*($G$6-$E$6)*($G$6-$F$6))))</f>
        <v>0.974260885541836</v>
      </c>
      <c r="C571" s="37" t="n">
        <f aca="false">1+IF($G$7=$E$7,$F$7,IF(Q571&lt;($F$7-$E$7)/($G$7-$E$7),$E$7+SQRT(Q571*($G$7-$E$7)*($F$7-$E$7)),$G$7-SQRT((1-Q571)*($G$7-$E$7)*($G$7-$F$7))))</f>
        <v>0.905813623337498</v>
      </c>
      <c r="D571" s="37" t="n">
        <f aca="false">1+IF($G$8=$E$8,$F$8,IF(R571&lt;($F$8-$E$8)/($G$8-$E$8),$E$8+SQRT(R571*($G$8-$E$8)*($F$8-$E$8)),$G$8-SQRT((1-R571)*($G$8-$E$8)*($G$8-$F$8))))</f>
        <v>1.0154074900671</v>
      </c>
      <c r="E571" s="37" t="n">
        <f aca="false">1+IF($G$9=$E$9,$F$9,IF(S571&lt;($F$9-$E$9)/($G$9-$E$9),$E$9+SQRT(S571*($G$9-$E$9)*($F$9-$E$9)),$G$9-SQRT((1-S571)*($G$9-$E$9)*($G$9-$F$9))))</f>
        <v>0.978096745751967</v>
      </c>
      <c r="F571" s="37" t="n">
        <f aca="false">1+IF($G$10=$E$10,$F$10,IF(T571&lt;($F$10-$E$10)/($G$10-$E$10),$E$10+SQRT(T571*($G$10-$E$10)*($F$10-$E$10)),$G$10-SQRT((1-T571)*($G$10-$E$10)*($G$10-$F$10))))</f>
        <v>0.987549202479648</v>
      </c>
      <c r="G571" s="38" t="n">
        <f aca="false">IF($G$11=$E$11,$F$11,IF(U571&lt;($F$11-$E$11)/($G$11-$E$11),$E$11+SQRT(U571*($G$11-$E$11)*($F$11-$E$11)),$G$11-SQRT((1-U571)*($G$11-$E$11)*($G$11-$F$11))))</f>
        <v>0.101167547210142</v>
      </c>
      <c r="H571" s="39" t="n">
        <f aca="false">(('Business Case'!B11*$C571*'Business Case'!B12*$B571)-'Business Case'!B11*$C571*'Business Case'!B13*$D571-'Business Case'!B14*$E571)-MAX(0,(('Business Case'!B11*$C571*'Business Case'!B12*$B571)-'Business Case'!B11*$C571*'Business Case'!B13*$D571-'Business Case'!B14*$E571))*'Business Case'!$B$7-'Business Case'!$B$8*('Business Case'!B11*$C571*'Business Case'!B12*$B571)-'Business Case'!B15*$F571</f>
        <v>-1975098404.9593</v>
      </c>
      <c r="I571" s="39" t="n">
        <f aca="false">(('Business Case'!C11*$C571*'Business Case'!C12*$B571)-'Business Case'!C11*$C571*'Business Case'!C13*$D571-'Business Case'!C14*$E571)-MAX(0,(('Business Case'!C11*$C571*'Business Case'!C12*$B571)-'Business Case'!C11*$C571*'Business Case'!C13*$D571-'Business Case'!C14*$E571))*'Business Case'!$B$7-'Business Case'!$B$8*(('Business Case'!C11*$C571*'Business Case'!C12*$B571)-('Business Case'!B11*$C571*'Business Case'!B12*$B571))-'Business Case'!C15*$F571</f>
        <v>-31607597.8907858</v>
      </c>
      <c r="J571" s="39" t="n">
        <f aca="false">(('Business Case'!D11*$C571*'Business Case'!D12*$B571)-'Business Case'!D11*$C571*'Business Case'!D13*$D571-'Business Case'!D14*$E571)-MAX(0,(('Business Case'!D11*$C571*'Business Case'!D12*$B571)-'Business Case'!D11*$C571*'Business Case'!D13*$D571-'Business Case'!D14*$E571))*'Business Case'!$B$7-'Business Case'!$B$8*(('Business Case'!D11*$C571*'Business Case'!D12*$B571)-('Business Case'!C11*$C571*'Business Case'!C12*$B571))-'Business Case'!D15*$F571</f>
        <v>220373818.613123</v>
      </c>
      <c r="K571" s="39" t="n">
        <f aca="false">(('Business Case'!E11*$C571*'Business Case'!E12*$B571)-'Business Case'!E11*$C571*'Business Case'!E13*$D571-'Business Case'!E14*$E571)-MAX(0,(('Business Case'!E11*$C571*'Business Case'!E12*$B571)-'Business Case'!E11*$C571*'Business Case'!E13*$D571-'Business Case'!E14*$E571))*'Business Case'!$B$7-'Business Case'!$B$8*(('Business Case'!E11*$C571*'Business Case'!E12*$B571)-('Business Case'!D11*$C571*'Business Case'!D12*$B571))-'Business Case'!E15*$F571</f>
        <v>521732695.241015</v>
      </c>
      <c r="L571" s="39" t="n">
        <f aca="false">(('Business Case'!F11*$C571*'Business Case'!F12*$B571)-'Business Case'!F11*$C571*'Business Case'!F13*$D571-'Business Case'!F14*$E571)-MAX(0,(('Business Case'!F11*$C571*'Business Case'!F12*$B571)-'Business Case'!F11*$C571*'Business Case'!F13*$D571-'Business Case'!F14*$E571))*'Business Case'!$B$7-'Business Case'!$B$8*(('Business Case'!F11*$C571*'Business Case'!F12*$B571)-('Business Case'!E11*$C571*'Business Case'!E12*$B571))-'Business Case'!F15*$F571</f>
        <v>636225658.676185</v>
      </c>
      <c r="M571" s="39" t="n">
        <f aca="false">(('Business Case'!G11*$C571*'Business Case'!G12*$B571)-'Business Case'!G11*$C571*'Business Case'!G13*$D571-'Business Case'!G14*$E571)-MAX(0,(('Business Case'!G11*$C571*'Business Case'!G12*$B571)-'Business Case'!G11*$C571*'Business Case'!G13*$D571-'Business Case'!G14*$E571))*'Business Case'!$B$7-'Business Case'!$B$8*(('Business Case'!G11*$C571*'Business Case'!G12*$B571)-('Business Case'!F11*$C571*'Business Case'!F12*$B571))-'Business Case'!G15*$F571+'Business Case'!$B$8*('Business Case'!G11*$C571*'Business Case'!G12*$B571)</f>
        <v>803971027.312453</v>
      </c>
      <c r="N571" s="39" t="n">
        <f aca="false">IF(COUNT('Business Case'!B11:G11)=0,"",H571+NPV(G571,I571:M571))</f>
        <v>-502048515.219286</v>
      </c>
      <c r="P571" s="40" t="n">
        <f aca="true">RAND()</f>
        <v>0.367645274763842</v>
      </c>
      <c r="Q571" s="40" t="n">
        <f aca="true">RAND()</f>
        <v>0.313772204083773</v>
      </c>
      <c r="R571" s="40" t="n">
        <f aca="true">RAND()</f>
        <v>0.522940484216785</v>
      </c>
      <c r="S571" s="40" t="n">
        <f aca="true">RAND()</f>
        <v>0.243964067881893</v>
      </c>
      <c r="T571" s="40" t="n">
        <f aca="true">RAND()</f>
        <v>0.0939961737905046</v>
      </c>
      <c r="U571" s="40" t="n">
        <f aca="true">RAND()</f>
        <v>0.445793110747066</v>
      </c>
    </row>
    <row r="572" customFormat="false" ht="15" hidden="false" customHeight="false" outlineLevel="0" collapsed="false">
      <c r="A572" s="36" t="n">
        <v>492</v>
      </c>
      <c r="B572" s="37" t="n">
        <f aca="false">1+IF($G$6=$E$6,$F$6,IF(P572&lt;($F$6-$E$6)/($G$6-$E$6),$E$6+SQRT(P572*($G$6-$E$6)*($F$6-$E$6)),$G$6-SQRT((1-P572)*($G$6-$E$6)*($G$6-$F$6))))</f>
        <v>0.943470473139591</v>
      </c>
      <c r="C572" s="37" t="n">
        <f aca="false">1+IF($G$7=$E$7,$F$7,IF(Q572&lt;($F$7-$E$7)/($G$7-$E$7),$E$7+SQRT(Q572*($G$7-$E$7)*($F$7-$E$7)),$G$7-SQRT((1-Q572)*($G$7-$E$7)*($G$7-$F$7))))</f>
        <v>1.03085842264329</v>
      </c>
      <c r="D572" s="37" t="n">
        <f aca="false">1+IF($G$8=$E$8,$F$8,IF(R572&lt;($F$8-$E$8)/($G$8-$E$8),$E$8+SQRT(R572*($G$8-$E$8)*($F$8-$E$8)),$G$8-SQRT((1-R572)*($G$8-$E$8)*($G$8-$F$8))))</f>
        <v>1.01632253669156</v>
      </c>
      <c r="E572" s="37" t="n">
        <f aca="false">1+IF($G$9=$E$9,$F$9,IF(S572&lt;($F$9-$E$9)/($G$9-$E$9),$E$9+SQRT(S572*($G$9-$E$9)*($F$9-$E$9)),$G$9-SQRT((1-S572)*($G$9-$E$9)*($G$9-$F$9))))</f>
        <v>1.0056987185111</v>
      </c>
      <c r="F572" s="37" t="n">
        <f aca="false">1+IF($G$10=$E$10,$F$10,IF(T572&lt;($F$10-$E$10)/($G$10-$E$10),$E$10+SQRT(T572*($G$10-$E$10)*($F$10-$E$10)),$G$10-SQRT((1-T572)*($G$10-$E$10)*($G$10-$F$10))))</f>
        <v>1.06074923717989</v>
      </c>
      <c r="G572" s="38" t="n">
        <f aca="false">IF($G$11=$E$11,$F$11,IF(U572&lt;($F$11-$E$11)/($G$11-$E$11),$E$11+SQRT(U572*($G$11-$E$11)*($F$11-$E$11)),$G$11-SQRT((1-U572)*($G$11-$E$11)*($G$11-$F$11))))</f>
        <v>0.105358695839567</v>
      </c>
      <c r="H572" s="39" t="n">
        <f aca="false">(('Business Case'!B11*$C572*'Business Case'!B12*$B572)-'Business Case'!B11*$C572*'Business Case'!B13*$D572-'Business Case'!B14*$E572)-MAX(0,(('Business Case'!B11*$C572*'Business Case'!B12*$B572)-'Business Case'!B11*$C572*'Business Case'!B13*$D572-'Business Case'!B14*$E572))*'Business Case'!$B$7-'Business Case'!$B$8*('Business Case'!B11*$C572*'Business Case'!B12*$B572)-'Business Case'!B15*$F572</f>
        <v>-2121498474.35977</v>
      </c>
      <c r="I572" s="39" t="n">
        <f aca="false">(('Business Case'!C11*$C572*'Business Case'!C12*$B572)-'Business Case'!C11*$C572*'Business Case'!C13*$D572-'Business Case'!C14*$E572)-MAX(0,(('Business Case'!C11*$C572*'Business Case'!C12*$B572)-'Business Case'!C11*$C572*'Business Case'!C13*$D572-'Business Case'!C14*$E572))*'Business Case'!$B$7-'Business Case'!$B$8*(('Business Case'!C11*$C572*'Business Case'!C12*$B572)-('Business Case'!B11*$C572*'Business Case'!B12*$B572))-'Business Case'!C15*$F572</f>
        <v>-39218067.3812954</v>
      </c>
      <c r="J572" s="39" t="n">
        <f aca="false">(('Business Case'!D11*$C572*'Business Case'!D12*$B572)-'Business Case'!D11*$C572*'Business Case'!D13*$D572-'Business Case'!D14*$E572)-MAX(0,(('Business Case'!D11*$C572*'Business Case'!D12*$B572)-'Business Case'!D11*$C572*'Business Case'!D13*$D572-'Business Case'!D14*$E572))*'Business Case'!$B$7-'Business Case'!$B$8*(('Business Case'!D11*$C572*'Business Case'!D12*$B572)-('Business Case'!C11*$C572*'Business Case'!C12*$B572))-'Business Case'!D15*$F572</f>
        <v>221067926.365338</v>
      </c>
      <c r="K572" s="39" t="n">
        <f aca="false">(('Business Case'!E11*$C572*'Business Case'!E12*$B572)-'Business Case'!E11*$C572*'Business Case'!E13*$D572-'Business Case'!E14*$E572)-MAX(0,(('Business Case'!E11*$C572*'Business Case'!E12*$B572)-'Business Case'!E11*$C572*'Business Case'!E13*$D572-'Business Case'!E14*$E572))*'Business Case'!$B$7-'Business Case'!$B$8*(('Business Case'!E11*$C572*'Business Case'!E12*$B572)-('Business Case'!D11*$C572*'Business Case'!D12*$B572))-'Business Case'!E15*$F572</f>
        <v>534391381.970966</v>
      </c>
      <c r="L572" s="39" t="n">
        <f aca="false">(('Business Case'!F11*$C572*'Business Case'!F12*$B572)-'Business Case'!F11*$C572*'Business Case'!F13*$D572-'Business Case'!F14*$E572)-MAX(0,(('Business Case'!F11*$C572*'Business Case'!F12*$B572)-'Business Case'!F11*$C572*'Business Case'!F13*$D572-'Business Case'!F14*$E572))*'Business Case'!$B$7-'Business Case'!$B$8*(('Business Case'!F11*$C572*'Business Case'!F12*$B572)-('Business Case'!E11*$C572*'Business Case'!E12*$B572))-'Business Case'!F15*$F572</f>
        <v>654765899.644951</v>
      </c>
      <c r="M572" s="39" t="n">
        <f aca="false">(('Business Case'!G11*$C572*'Business Case'!G12*$B572)-'Business Case'!G11*$C572*'Business Case'!G13*$D572-'Business Case'!G14*$E572)-MAX(0,(('Business Case'!G11*$C572*'Business Case'!G12*$B572)-'Business Case'!G11*$C572*'Business Case'!G13*$D572-'Business Case'!G14*$E572))*'Business Case'!$B$7-'Business Case'!$B$8*(('Business Case'!G11*$C572*'Business Case'!G12*$B572)-('Business Case'!F11*$C572*'Business Case'!F12*$B572))-'Business Case'!G15*$F572+'Business Case'!$B$8*('Business Case'!G11*$C572*'Business Case'!G12*$B572)</f>
        <v>839634758.316379</v>
      </c>
      <c r="N572" s="39" t="n">
        <f aca="false">IF(COUNT('Business Case'!B11:G11)=0,"",H572+NPV(G572,I572:M572))</f>
        <v>-632923307.835163</v>
      </c>
      <c r="P572" s="40" t="n">
        <f aca="true">RAND()</f>
        <v>0.125978802331991</v>
      </c>
      <c r="Q572" s="40" t="n">
        <f aca="true">RAND()</f>
        <v>0.789707919184514</v>
      </c>
      <c r="R572" s="40" t="n">
        <f aca="true">RAND()</f>
        <v>0.533205475617639</v>
      </c>
      <c r="S572" s="40" t="n">
        <f aca="true">RAND()</f>
        <v>0.4447237376176</v>
      </c>
      <c r="T572" s="40" t="n">
        <f aca="true">RAND()</f>
        <v>0.522455316960072</v>
      </c>
      <c r="U572" s="40" t="n">
        <f aca="true">RAND()</f>
        <v>0.595204086182013</v>
      </c>
    </row>
    <row r="573" customFormat="false" ht="15" hidden="false" customHeight="false" outlineLevel="0" collapsed="false">
      <c r="A573" s="36" t="n">
        <v>493</v>
      </c>
      <c r="B573" s="37" t="n">
        <f aca="false">1+IF($G$6=$E$6,$F$6,IF(P573&lt;($F$6-$E$6)/($G$6-$E$6),$E$6+SQRT(P573*($G$6-$E$6)*($F$6-$E$6)),$G$6-SQRT((1-P573)*($G$6-$E$6)*($G$6-$F$6))))</f>
        <v>0.942761267169664</v>
      </c>
      <c r="C573" s="37" t="n">
        <f aca="false">1+IF($G$7=$E$7,$F$7,IF(Q573&lt;($F$7-$E$7)/($G$7-$E$7),$E$7+SQRT(Q573*($G$7-$E$7)*($F$7-$E$7)),$G$7-SQRT((1-Q573)*($G$7-$E$7)*($G$7-$F$7))))</f>
        <v>0.85017706608883</v>
      </c>
      <c r="D573" s="37" t="n">
        <f aca="false">1+IF($G$8=$E$8,$F$8,IF(R573&lt;($F$8-$E$8)/($G$8-$E$8),$E$8+SQRT(R573*($G$8-$E$8)*($F$8-$E$8)),$G$8-SQRT((1-R573)*($G$8-$E$8)*($G$8-$F$8))))</f>
        <v>1.06819348440904</v>
      </c>
      <c r="E573" s="37" t="n">
        <f aca="false">1+IF($G$9=$E$9,$F$9,IF(S573&lt;($F$9-$E$9)/($G$9-$E$9),$E$9+SQRT(S573*($G$9-$E$9)*($F$9-$E$9)),$G$9-SQRT((1-S573)*($G$9-$E$9)*($G$9-$F$9))))</f>
        <v>1.06341946254774</v>
      </c>
      <c r="F573" s="37" t="n">
        <f aca="false">1+IF($G$10=$E$10,$F$10,IF(T573&lt;($F$10-$E$10)/($G$10-$E$10),$E$10+SQRT(T573*($G$10-$E$10)*($F$10-$E$10)),$G$10-SQRT((1-T573)*($G$10-$E$10)*($G$10-$F$10))))</f>
        <v>1.06175290506116</v>
      </c>
      <c r="G573" s="38" t="n">
        <f aca="false">IF($G$11=$E$11,$F$11,IF(U573&lt;($F$11-$E$11)/($G$11-$E$11),$E$11+SQRT(U573*($G$11-$E$11)*($F$11-$E$11)),$G$11-SQRT((1-U573)*($G$11-$E$11)*($G$11-$F$11))))</f>
        <v>0.0943204018547359</v>
      </c>
      <c r="H573" s="39" t="n">
        <f aca="false">(('Business Case'!B11*$C573*'Business Case'!B12*$B573)-'Business Case'!B11*$C573*'Business Case'!B13*$D573-'Business Case'!B14*$E573)-MAX(0,(('Business Case'!B11*$C573*'Business Case'!B12*$B573)-'Business Case'!B11*$C573*'Business Case'!B13*$D573-'Business Case'!B14*$E573))*'Business Case'!$B$7-'Business Case'!$B$8*('Business Case'!B11*$C573*'Business Case'!B12*$B573)-'Business Case'!B15*$F573</f>
        <v>-2123505810.12233</v>
      </c>
      <c r="I573" s="39" t="n">
        <f aca="false">(('Business Case'!C11*$C573*'Business Case'!C12*$B573)-'Business Case'!C11*$C573*'Business Case'!C13*$D573-'Business Case'!C14*$E573)-MAX(0,(('Business Case'!C11*$C573*'Business Case'!C12*$B573)-'Business Case'!C11*$C573*'Business Case'!C13*$D573-'Business Case'!C14*$E573))*'Business Case'!$B$7-'Business Case'!$B$8*(('Business Case'!C11*$C573*'Business Case'!C12*$B573)-('Business Case'!B11*$C573*'Business Case'!B12*$B573))-'Business Case'!C15*$F573</f>
        <v>-107348334.821604</v>
      </c>
      <c r="J573" s="39" t="n">
        <f aca="false">(('Business Case'!D11*$C573*'Business Case'!D12*$B573)-'Business Case'!D11*$C573*'Business Case'!D13*$D573-'Business Case'!D14*$E573)-MAX(0,(('Business Case'!D11*$C573*'Business Case'!D12*$B573)-'Business Case'!D11*$C573*'Business Case'!D13*$D573-'Business Case'!D14*$E573))*'Business Case'!$B$7-'Business Case'!$B$8*(('Business Case'!D11*$C573*'Business Case'!D12*$B573)-('Business Case'!C11*$C573*'Business Case'!C12*$B573))-'Business Case'!D15*$F573</f>
        <v>84247354.6194076</v>
      </c>
      <c r="K573" s="39" t="n">
        <f aca="false">(('Business Case'!E11*$C573*'Business Case'!E12*$B573)-'Business Case'!E11*$C573*'Business Case'!E13*$D573-'Business Case'!E14*$E573)-MAX(0,(('Business Case'!E11*$C573*'Business Case'!E12*$B573)-'Business Case'!E11*$C573*'Business Case'!E13*$D573-'Business Case'!E14*$E573))*'Business Case'!$B$7-'Business Case'!$B$8*(('Business Case'!E11*$C573*'Business Case'!E12*$B573)-('Business Case'!D11*$C573*'Business Case'!D12*$B573))-'Business Case'!E15*$F573</f>
        <v>328930689.313477</v>
      </c>
      <c r="L573" s="39" t="n">
        <f aca="false">(('Business Case'!F11*$C573*'Business Case'!F12*$B573)-'Business Case'!F11*$C573*'Business Case'!F13*$D573-'Business Case'!F14*$E573)-MAX(0,(('Business Case'!F11*$C573*'Business Case'!F12*$B573)-'Business Case'!F11*$C573*'Business Case'!F13*$D573-'Business Case'!F14*$E573))*'Business Case'!$B$7-'Business Case'!$B$8*(('Business Case'!F11*$C573*'Business Case'!F12*$B573)-('Business Case'!E11*$C573*'Business Case'!E12*$B573))-'Business Case'!F15*$F573</f>
        <v>420496243.248621</v>
      </c>
      <c r="M573" s="39" t="n">
        <f aca="false">(('Business Case'!G11*$C573*'Business Case'!G12*$B573)-'Business Case'!G11*$C573*'Business Case'!G13*$D573-'Business Case'!G14*$E573)-MAX(0,(('Business Case'!G11*$C573*'Business Case'!G12*$B573)-'Business Case'!G11*$C573*'Business Case'!G13*$D573-'Business Case'!G14*$E573))*'Business Case'!$B$7-'Business Case'!$B$8*(('Business Case'!G11*$C573*'Business Case'!G12*$B573)-('Business Case'!F11*$C573*'Business Case'!F12*$B573))-'Business Case'!G15*$F573+'Business Case'!$B$8*('Business Case'!G11*$C573*'Business Case'!G12*$B573)</f>
        <v>572848025.916726</v>
      </c>
      <c r="N573" s="39" t="n">
        <f aca="false">IF(COUNT('Business Case'!B11:G11)=0,"",H573+NPV(G573,I573:M573))</f>
        <v>-1242018959.93283</v>
      </c>
      <c r="P573" s="40" t="n">
        <f aca="true">RAND()</f>
        <v>0.121901731330357</v>
      </c>
      <c r="Q573" s="40" t="n">
        <f aca="true">RAND()</f>
        <v>0.167060379104066</v>
      </c>
      <c r="R573" s="40" t="n">
        <f aca="true">RAND()</f>
        <v>0.932556371064129</v>
      </c>
      <c r="S573" s="40" t="n">
        <f aca="true">RAND()</f>
        <v>0.800101614252738</v>
      </c>
      <c r="T573" s="40" t="n">
        <f aca="true">RAND()</f>
        <v>0.527507083294513</v>
      </c>
      <c r="U573" s="40" t="n">
        <f aca="true">RAND()</f>
        <v>0.205073909281122</v>
      </c>
    </row>
    <row r="574" customFormat="false" ht="15" hidden="false" customHeight="false" outlineLevel="0" collapsed="false">
      <c r="A574" s="36" t="n">
        <v>494</v>
      </c>
      <c r="B574" s="37" t="n">
        <f aca="false">1+IF($G$6=$E$6,$F$6,IF(P574&lt;($F$6-$E$6)/($G$6-$E$6),$E$6+SQRT(P574*($G$6-$E$6)*($F$6-$E$6)),$G$6-SQRT((1-P574)*($G$6-$E$6)*($G$6-$F$6))))</f>
        <v>1.0251195456907</v>
      </c>
      <c r="C574" s="37" t="n">
        <f aca="false">1+IF($G$7=$E$7,$F$7,IF(Q574&lt;($F$7-$E$7)/($G$7-$E$7),$E$7+SQRT(Q574*($G$7-$E$7)*($F$7-$E$7)),$G$7-SQRT((1-Q574)*($G$7-$E$7)*($G$7-$F$7))))</f>
        <v>1.02512956012581</v>
      </c>
      <c r="D574" s="37" t="n">
        <f aca="false">1+IF($G$8=$E$8,$F$8,IF(R574&lt;($F$8-$E$8)/($G$8-$E$8),$E$8+SQRT(R574*($G$8-$E$8)*($F$8-$E$8)),$G$8-SQRT((1-R574)*($G$8-$E$8)*($G$8-$F$8))))</f>
        <v>1.04260723715074</v>
      </c>
      <c r="E574" s="37" t="n">
        <f aca="false">1+IF($G$9=$E$9,$F$9,IF(S574&lt;($F$9-$E$9)/($G$9-$E$9),$E$9+SQRT(S574*($G$9-$E$9)*($F$9-$E$9)),$G$9-SQRT((1-S574)*($G$9-$E$9)*($G$9-$F$9))))</f>
        <v>1.00423084959383</v>
      </c>
      <c r="F574" s="37" t="n">
        <f aca="false">1+IF($G$10=$E$10,$F$10,IF(T574&lt;($F$10-$E$10)/($G$10-$E$10),$E$10+SQRT(T574*($G$10-$E$10)*($F$10-$E$10)),$G$10-SQRT((1-T574)*($G$10-$E$10)*($G$10-$F$10))))</f>
        <v>1.13548021333265</v>
      </c>
      <c r="G574" s="38" t="n">
        <f aca="false">IF($G$11=$E$11,$F$11,IF(U574&lt;($F$11-$E$11)/($G$11-$E$11),$E$11+SQRT(U574*($G$11-$E$11)*($F$11-$E$11)),$G$11-SQRT((1-U574)*($G$11-$E$11)*($G$11-$F$11))))</f>
        <v>0.111257637407823</v>
      </c>
      <c r="H574" s="39" t="n">
        <f aca="false">(('Business Case'!B11*$C574*'Business Case'!B12*$B574)-'Business Case'!B11*$C574*'Business Case'!B13*$D574-'Business Case'!B14*$E574)-MAX(0,(('Business Case'!B11*$C574*'Business Case'!B12*$B574)-'Business Case'!B11*$C574*'Business Case'!B13*$D574-'Business Case'!B14*$E574))*'Business Case'!$B$7-'Business Case'!$B$8*('Business Case'!B11*$C574*'Business Case'!B12*$B574)-'Business Case'!B15*$F574</f>
        <v>-2270960426.6653</v>
      </c>
      <c r="I574" s="39" t="n">
        <f aca="false">(('Business Case'!C11*$C574*'Business Case'!C12*$B574)-'Business Case'!C11*$C574*'Business Case'!C13*$D574-'Business Case'!C14*$E574)-MAX(0,(('Business Case'!C11*$C574*'Business Case'!C12*$B574)-'Business Case'!C11*$C574*'Business Case'!C13*$D574-'Business Case'!C14*$E574))*'Business Case'!$B$7-'Business Case'!$B$8*(('Business Case'!C11*$C574*'Business Case'!C12*$B574)-('Business Case'!B11*$C574*'Business Case'!B12*$B574))-'Business Case'!C15*$F574</f>
        <v>2775449.15716809</v>
      </c>
      <c r="J574" s="39" t="n">
        <f aca="false">(('Business Case'!D11*$C574*'Business Case'!D12*$B574)-'Business Case'!D11*$C574*'Business Case'!D13*$D574-'Business Case'!D14*$E574)-MAX(0,(('Business Case'!D11*$C574*'Business Case'!D12*$B574)-'Business Case'!D11*$C574*'Business Case'!D13*$D574-'Business Case'!D14*$E574))*'Business Case'!$B$7-'Business Case'!$B$8*(('Business Case'!D11*$C574*'Business Case'!D12*$B574)-('Business Case'!C11*$C574*'Business Case'!C12*$B574))-'Business Case'!D15*$F574</f>
        <v>316378183.749426</v>
      </c>
      <c r="K574" s="39" t="n">
        <f aca="false">(('Business Case'!E11*$C574*'Business Case'!E12*$B574)-'Business Case'!E11*$C574*'Business Case'!E13*$D574-'Business Case'!E14*$E574)-MAX(0,(('Business Case'!E11*$C574*'Business Case'!E12*$B574)-'Business Case'!E11*$C574*'Business Case'!E13*$D574-'Business Case'!E14*$E574))*'Business Case'!$B$7-'Business Case'!$B$8*(('Business Case'!E11*$C574*'Business Case'!E12*$B574)-('Business Case'!D11*$C574*'Business Case'!D12*$B574))-'Business Case'!E15*$F574</f>
        <v>686754929.008317</v>
      </c>
      <c r="L574" s="39" t="n">
        <f aca="false">(('Business Case'!F11*$C574*'Business Case'!F12*$B574)-'Business Case'!F11*$C574*'Business Case'!F13*$D574-'Business Case'!F14*$E574)-MAX(0,(('Business Case'!F11*$C574*'Business Case'!F12*$B574)-'Business Case'!F11*$C574*'Business Case'!F13*$D574-'Business Case'!F14*$E574))*'Business Case'!$B$7-'Business Case'!$B$8*(('Business Case'!F11*$C574*'Business Case'!F12*$B574)-('Business Case'!E11*$C574*'Business Case'!E12*$B574))-'Business Case'!F15*$F574</f>
        <v>827607598.732124</v>
      </c>
      <c r="M574" s="39" t="n">
        <f aca="false">(('Business Case'!G11*$C574*'Business Case'!G12*$B574)-'Business Case'!G11*$C574*'Business Case'!G13*$D574-'Business Case'!G14*$E574)-MAX(0,(('Business Case'!G11*$C574*'Business Case'!G12*$B574)-'Business Case'!G11*$C574*'Business Case'!G13*$D574-'Business Case'!G14*$E574))*'Business Case'!$B$7-'Business Case'!$B$8*(('Business Case'!G11*$C574*'Business Case'!G12*$B574)-('Business Case'!F11*$C574*'Business Case'!F12*$B574))-'Business Case'!G15*$F574+'Business Case'!$B$8*('Business Case'!G11*$C574*'Business Case'!G12*$B574)</f>
        <v>1027358935.46059</v>
      </c>
      <c r="N574" s="39" t="n">
        <f aca="false">IF(COUNT('Business Case'!B11:G11)=0,"",H574+NPV(G574,I574:M574))</f>
        <v>-362865421.867399</v>
      </c>
      <c r="P574" s="40" t="n">
        <f aca="true">RAND()</f>
        <v>0.917461732448384</v>
      </c>
      <c r="Q574" s="40" t="n">
        <f aca="true">RAND()</f>
        <v>0.76899812215741</v>
      </c>
      <c r="R574" s="40" t="n">
        <f aca="true">RAND()</f>
        <v>0.78040471816859</v>
      </c>
      <c r="S574" s="40" t="n">
        <f aca="true">RAND()</f>
        <v>0.433369461063041</v>
      </c>
      <c r="T574" s="40" t="n">
        <f aca="true">RAND()</f>
        <v>0.825136246155528</v>
      </c>
      <c r="U574" s="40" t="n">
        <f aca="true">RAND()</f>
        <v>0.765815896308919</v>
      </c>
    </row>
    <row r="575" customFormat="false" ht="15" hidden="false" customHeight="false" outlineLevel="0" collapsed="false">
      <c r="A575" s="36" t="n">
        <v>495</v>
      </c>
      <c r="B575" s="37" t="n">
        <f aca="false">1+IF($G$6=$E$6,$F$6,IF(P575&lt;($F$6-$E$6)/($G$6-$E$6),$E$6+SQRT(P575*($G$6-$E$6)*($F$6-$E$6)),$G$6-SQRT((1-P575)*($G$6-$E$6)*($G$6-$F$6))))</f>
        <v>0.966849965301626</v>
      </c>
      <c r="C575" s="37" t="n">
        <f aca="false">1+IF($G$7=$E$7,$F$7,IF(Q575&lt;($F$7-$E$7)/($G$7-$E$7),$E$7+SQRT(Q575*($G$7-$E$7)*($F$7-$E$7)),$G$7-SQRT((1-Q575)*($G$7-$E$7)*($G$7-$F$7))))</f>
        <v>1.0941004398209</v>
      </c>
      <c r="D575" s="37" t="n">
        <f aca="false">1+IF($G$8=$E$8,$F$8,IF(R575&lt;($F$8-$E$8)/($G$8-$E$8),$E$8+SQRT(R575*($G$8-$E$8)*($F$8-$E$8)),$G$8-SQRT((1-R575)*($G$8-$E$8)*($G$8-$F$8))))</f>
        <v>1.00277719248962</v>
      </c>
      <c r="E575" s="37" t="n">
        <f aca="false">1+IF($G$9=$E$9,$F$9,IF(S575&lt;($F$9-$E$9)/($G$9-$E$9),$E$9+SQRT(S575*($G$9-$E$9)*($F$9-$E$9)),$G$9-SQRT((1-S575)*($G$9-$E$9)*($G$9-$F$9))))</f>
        <v>0.948079667299884</v>
      </c>
      <c r="F575" s="37" t="n">
        <f aca="false">1+IF($G$10=$E$10,$F$10,IF(T575&lt;($F$10-$E$10)/($G$10-$E$10),$E$10+SQRT(T575*($G$10-$E$10)*($F$10-$E$10)),$G$10-SQRT((1-T575)*($G$10-$E$10)*($G$10-$F$10))))</f>
        <v>1.18998543066042</v>
      </c>
      <c r="G575" s="38" t="n">
        <f aca="false">IF($G$11=$E$11,$F$11,IF(U575&lt;($F$11-$E$11)/($G$11-$E$11),$E$11+SQRT(U575*($G$11-$E$11)*($F$11-$E$11)),$G$11-SQRT((1-U575)*($G$11-$E$11)*($G$11-$F$11))))</f>
        <v>0.0897798146370374</v>
      </c>
      <c r="H575" s="39" t="n">
        <f aca="false">(('Business Case'!B11*$C575*'Business Case'!B12*$B575)-'Business Case'!B11*$C575*'Business Case'!B13*$D575-'Business Case'!B14*$E575)-MAX(0,(('Business Case'!B11*$C575*'Business Case'!B12*$B575)-'Business Case'!B11*$C575*'Business Case'!B13*$D575-'Business Case'!B14*$E575))*'Business Case'!$B$7-'Business Case'!$B$8*('Business Case'!B11*$C575*'Business Case'!B12*$B575)-'Business Case'!B15*$F575</f>
        <v>-2379970861.32085</v>
      </c>
      <c r="I575" s="39" t="n">
        <f aca="false">(('Business Case'!C11*$C575*'Business Case'!C12*$B575)-'Business Case'!C11*$C575*'Business Case'!C13*$D575-'Business Case'!C14*$E575)-MAX(0,(('Business Case'!C11*$C575*'Business Case'!C12*$B575)-'Business Case'!C11*$C575*'Business Case'!C13*$D575-'Business Case'!C14*$E575))*'Business Case'!$B$7-'Business Case'!$B$8*(('Business Case'!C11*$C575*'Business Case'!C12*$B575)-('Business Case'!B11*$C575*'Business Case'!B12*$B575))-'Business Case'!C15*$F575</f>
        <v>-3861079.39718913</v>
      </c>
      <c r="J575" s="39" t="n">
        <f aca="false">(('Business Case'!D11*$C575*'Business Case'!D12*$B575)-'Business Case'!D11*$C575*'Business Case'!D13*$D575-'Business Case'!D14*$E575)-MAX(0,(('Business Case'!D11*$C575*'Business Case'!D12*$B575)-'Business Case'!D11*$C575*'Business Case'!D13*$D575-'Business Case'!D14*$E575))*'Business Case'!$B$7-'Business Case'!$B$8*(('Business Case'!D11*$C575*'Business Case'!D12*$B575)-('Business Case'!C11*$C575*'Business Case'!C12*$B575))-'Business Case'!D15*$F575</f>
        <v>300931270.564565</v>
      </c>
      <c r="K575" s="39" t="n">
        <f aca="false">(('Business Case'!E11*$C575*'Business Case'!E12*$B575)-'Business Case'!E11*$C575*'Business Case'!E13*$D575-'Business Case'!E14*$E575)-MAX(0,(('Business Case'!E11*$C575*'Business Case'!E12*$B575)-'Business Case'!E11*$C575*'Business Case'!E13*$D575-'Business Case'!E14*$E575))*'Business Case'!$B$7-'Business Case'!$B$8*(('Business Case'!E11*$C575*'Business Case'!E12*$B575)-('Business Case'!D11*$C575*'Business Case'!D12*$B575))-'Business Case'!E15*$F575</f>
        <v>665222892.05934</v>
      </c>
      <c r="L575" s="39" t="n">
        <f aca="false">(('Business Case'!F11*$C575*'Business Case'!F12*$B575)-'Business Case'!F11*$C575*'Business Case'!F13*$D575-'Business Case'!F14*$E575)-MAX(0,(('Business Case'!F11*$C575*'Business Case'!F12*$B575)-'Business Case'!F11*$C575*'Business Case'!F13*$D575-'Business Case'!F14*$E575))*'Business Case'!$B$7-'Business Case'!$B$8*(('Business Case'!F11*$C575*'Business Case'!F12*$B575)-('Business Case'!E11*$C575*'Business Case'!E12*$B575))-'Business Case'!F15*$F575</f>
        <v>803378980.448496</v>
      </c>
      <c r="M575" s="39" t="n">
        <f aca="false">(('Business Case'!G11*$C575*'Business Case'!G12*$B575)-'Business Case'!G11*$C575*'Business Case'!G13*$D575-'Business Case'!G14*$E575)-MAX(0,(('Business Case'!G11*$C575*'Business Case'!G12*$B575)-'Business Case'!G11*$C575*'Business Case'!G13*$D575-'Business Case'!G14*$E575))*'Business Case'!$B$7-'Business Case'!$B$8*(('Business Case'!G11*$C575*'Business Case'!G12*$B575)-('Business Case'!F11*$C575*'Business Case'!F12*$B575))-'Business Case'!G15*$F575+'Business Case'!$B$8*('Business Case'!G11*$C575*'Business Case'!G12*$B575)</f>
        <v>1004451491.65897</v>
      </c>
      <c r="N575" s="39" t="n">
        <f aca="false">IF(COUNT('Business Case'!B11:G11)=0,"",H575+NPV(G575,I575:M575))</f>
        <v>-393059765.796349</v>
      </c>
      <c r="P575" s="40" t="n">
        <f aca="true">RAND()</f>
        <v>0.297927857388577</v>
      </c>
      <c r="Q575" s="40" t="n">
        <f aca="true">RAND()</f>
        <v>0.953707246989387</v>
      </c>
      <c r="R575" s="40" t="n">
        <f aca="true">RAND()</f>
        <v>0.369848379986634</v>
      </c>
      <c r="S575" s="40" t="n">
        <f aca="true">RAND()</f>
        <v>0.0924661763067011</v>
      </c>
      <c r="T575" s="40" t="n">
        <f aca="true">RAND()</f>
        <v>0.951976686226468</v>
      </c>
      <c r="U575" s="40" t="n">
        <f aca="true">RAND()</f>
        <v>0.0956447743348099</v>
      </c>
    </row>
    <row r="576" customFormat="false" ht="15" hidden="false" customHeight="false" outlineLevel="0" collapsed="false">
      <c r="A576" s="36" t="n">
        <v>496</v>
      </c>
      <c r="B576" s="37" t="n">
        <f aca="false">1+IF($G$6=$E$6,$F$6,IF(P576&lt;($F$6-$E$6)/($G$6-$E$6),$E$6+SQRT(P576*($G$6-$E$6)*($F$6-$E$6)),$G$6-SQRT((1-P576)*($G$6-$E$6)*($G$6-$F$6))))</f>
        <v>0.967010536921575</v>
      </c>
      <c r="C576" s="37" t="n">
        <f aca="false">1+IF($G$7=$E$7,$F$7,IF(Q576&lt;($F$7-$E$7)/($G$7-$E$7),$E$7+SQRT(Q576*($G$7-$E$7)*($F$7-$E$7)),$G$7-SQRT((1-Q576)*($G$7-$E$7)*($G$7-$F$7))))</f>
        <v>1.04794000918417</v>
      </c>
      <c r="D576" s="37" t="n">
        <f aca="false">1+IF($G$8=$E$8,$F$8,IF(R576&lt;($F$8-$E$8)/($G$8-$E$8),$E$8+SQRT(R576*($G$8-$E$8)*($F$8-$E$8)),$G$8-SQRT((1-R576)*($G$8-$E$8)*($G$8-$F$8))))</f>
        <v>1.06962014666374</v>
      </c>
      <c r="E576" s="37" t="n">
        <f aca="false">1+IF($G$9=$E$9,$F$9,IF(S576&lt;($F$9-$E$9)/($G$9-$E$9),$E$9+SQRT(S576*($G$9-$E$9)*($F$9-$E$9)),$G$9-SQRT((1-S576)*($G$9-$E$9)*($G$9-$F$9))))</f>
        <v>1.05761060684598</v>
      </c>
      <c r="F576" s="37" t="n">
        <f aca="false">1+IF($G$10=$E$10,$F$10,IF(T576&lt;($F$10-$E$10)/($G$10-$E$10),$E$10+SQRT(T576*($G$10-$E$10)*($F$10-$E$10)),$G$10-SQRT((1-T576)*($G$10-$E$10)*($G$10-$F$10))))</f>
        <v>0.977745174579437</v>
      </c>
      <c r="G576" s="38" t="n">
        <f aca="false">IF($G$11=$E$11,$F$11,IF(U576&lt;($F$11-$E$11)/($G$11-$E$11),$E$11+SQRT(U576*($G$11-$E$11)*($F$11-$E$11)),$G$11-SQRT((1-U576)*($G$11-$E$11)*($G$11-$F$11))))</f>
        <v>0.107214595174154</v>
      </c>
      <c r="H576" s="39" t="n">
        <f aca="false">(('Business Case'!B11*$C576*'Business Case'!B12*$B576)-'Business Case'!B11*$C576*'Business Case'!B13*$D576-'Business Case'!B14*$E576)-MAX(0,(('Business Case'!B11*$C576*'Business Case'!B12*$B576)-'Business Case'!B11*$C576*'Business Case'!B13*$D576-'Business Case'!B14*$E576))*'Business Case'!$B$7-'Business Case'!$B$8*('Business Case'!B11*$C576*'Business Case'!B12*$B576)-'Business Case'!B15*$F576</f>
        <v>-1955490349.15887</v>
      </c>
      <c r="I576" s="39" t="n">
        <f aca="false">(('Business Case'!C11*$C576*'Business Case'!C12*$B576)-'Business Case'!C11*$C576*'Business Case'!C13*$D576-'Business Case'!C14*$E576)-MAX(0,(('Business Case'!C11*$C576*'Business Case'!C12*$B576)-'Business Case'!C11*$C576*'Business Case'!C13*$D576-'Business Case'!C14*$E576))*'Business Case'!$B$7-'Business Case'!$B$8*(('Business Case'!C11*$C576*'Business Case'!C12*$B576)-('Business Case'!B11*$C576*'Business Case'!B12*$B576))-'Business Case'!C15*$F576</f>
        <v>-44487571.6984501</v>
      </c>
      <c r="J576" s="39" t="n">
        <f aca="false">(('Business Case'!D11*$C576*'Business Case'!D12*$B576)-'Business Case'!D11*$C576*'Business Case'!D13*$D576-'Business Case'!D14*$E576)-MAX(0,(('Business Case'!D11*$C576*'Business Case'!D12*$B576)-'Business Case'!D11*$C576*'Business Case'!D13*$D576-'Business Case'!D14*$E576))*'Business Case'!$B$7-'Business Case'!$B$8*(('Business Case'!D11*$C576*'Business Case'!D12*$B576)-('Business Case'!C11*$C576*'Business Case'!C12*$B576))-'Business Case'!D15*$F576</f>
        <v>211724652.918616</v>
      </c>
      <c r="K576" s="39" t="n">
        <f aca="false">(('Business Case'!E11*$C576*'Business Case'!E12*$B576)-'Business Case'!E11*$C576*'Business Case'!E13*$D576-'Business Case'!E14*$E576)-MAX(0,(('Business Case'!E11*$C576*'Business Case'!E12*$B576)-'Business Case'!E11*$C576*'Business Case'!E13*$D576-'Business Case'!E14*$E576))*'Business Case'!$B$7-'Business Case'!$B$8*(('Business Case'!E11*$C576*'Business Case'!E12*$B576)-('Business Case'!D11*$C576*'Business Case'!D12*$B576))-'Business Case'!E15*$F576</f>
        <v>516824136.264654</v>
      </c>
      <c r="L576" s="39" t="n">
        <f aca="false">(('Business Case'!F11*$C576*'Business Case'!F12*$B576)-'Business Case'!F11*$C576*'Business Case'!F13*$D576-'Business Case'!F14*$E576)-MAX(0,(('Business Case'!F11*$C576*'Business Case'!F12*$B576)-'Business Case'!F11*$C576*'Business Case'!F13*$D576-'Business Case'!F14*$E576))*'Business Case'!$B$7-'Business Case'!$B$8*(('Business Case'!F11*$C576*'Business Case'!F12*$B576)-('Business Case'!E11*$C576*'Business Case'!E12*$B576))-'Business Case'!F15*$F576</f>
        <v>637250244.846391</v>
      </c>
      <c r="M576" s="39" t="n">
        <f aca="false">(('Business Case'!G11*$C576*'Business Case'!G12*$B576)-'Business Case'!G11*$C576*'Business Case'!G13*$D576-'Business Case'!G14*$E576)-MAX(0,(('Business Case'!G11*$C576*'Business Case'!G12*$B576)-'Business Case'!G11*$C576*'Business Case'!G13*$D576-'Business Case'!G14*$E576))*'Business Case'!$B$7-'Business Case'!$B$8*(('Business Case'!G11*$C576*'Business Case'!G12*$B576)-('Business Case'!F11*$C576*'Business Case'!F12*$B576))-'Business Case'!G15*$F576+'Business Case'!$B$8*('Business Case'!G11*$C576*'Business Case'!G12*$B576)</f>
        <v>829871430.247995</v>
      </c>
      <c r="N576" s="39" t="n">
        <f aca="false">IF(COUNT('Business Case'!B11:G11)=0,"",H576+NPV(G576,I576:M576))</f>
        <v>-519476535.784978</v>
      </c>
      <c r="P576" s="40" t="n">
        <f aca="true">RAND()</f>
        <v>0.299360803901183</v>
      </c>
      <c r="Q576" s="40" t="n">
        <f aca="true">RAND()</f>
        <v>0.845685307772923</v>
      </c>
      <c r="R576" s="40" t="n">
        <f aca="true">RAND()</f>
        <v>0.938470967417826</v>
      </c>
      <c r="S576" s="40" t="n">
        <f aca="true">RAND()</f>
        <v>0.772378667536857</v>
      </c>
      <c r="T576" s="40" t="n">
        <f aca="true">RAND()</f>
        <v>0.0513196474962283</v>
      </c>
      <c r="U576" s="40" t="n">
        <f aca="true">RAND()</f>
        <v>0.653883551281541</v>
      </c>
    </row>
    <row r="577" customFormat="false" ht="15" hidden="false" customHeight="false" outlineLevel="0" collapsed="false">
      <c r="A577" s="36" t="n">
        <v>497</v>
      </c>
      <c r="B577" s="37" t="n">
        <f aca="false">1+IF($G$6=$E$6,$F$6,IF(P577&lt;($F$6-$E$6)/($G$6-$E$6),$E$6+SQRT(P577*($G$6-$E$6)*($F$6-$E$6)),$G$6-SQRT((1-P577)*($G$6-$E$6)*($G$6-$F$6))))</f>
        <v>1.00878834816633</v>
      </c>
      <c r="C577" s="37" t="n">
        <f aca="false">1+IF($G$7=$E$7,$F$7,IF(Q577&lt;($F$7-$E$7)/($G$7-$E$7),$E$7+SQRT(Q577*($G$7-$E$7)*($F$7-$E$7)),$G$7-SQRT((1-Q577)*($G$7-$E$7)*($G$7-$F$7))))</f>
        <v>0.903735624770518</v>
      </c>
      <c r="D577" s="37" t="n">
        <f aca="false">1+IF($G$8=$E$8,$F$8,IF(R577&lt;($F$8-$E$8)/($G$8-$E$8),$E$8+SQRT(R577*($G$8-$E$8)*($F$8-$E$8)),$G$8-SQRT((1-R577)*($G$8-$E$8)*($G$8-$F$8))))</f>
        <v>1.02989466532503</v>
      </c>
      <c r="E577" s="37" t="n">
        <f aca="false">1+IF($G$9=$E$9,$F$9,IF(S577&lt;($F$9-$E$9)/($G$9-$E$9),$E$9+SQRT(S577*($G$9-$E$9)*($F$9-$E$9)),$G$9-SQRT((1-S577)*($G$9-$E$9)*($G$9-$F$9))))</f>
        <v>0.968777001578065</v>
      </c>
      <c r="F577" s="37" t="n">
        <f aca="false">1+IF($G$10=$E$10,$F$10,IF(T577&lt;($F$10-$E$10)/($G$10-$E$10),$E$10+SQRT(T577*($G$10-$E$10)*($F$10-$E$10)),$G$10-SQRT((1-T577)*($G$10-$E$10)*($G$10-$F$10))))</f>
        <v>1.00570199386031</v>
      </c>
      <c r="G577" s="38" t="n">
        <f aca="false">IF($G$11=$E$11,$F$11,IF(U577&lt;($F$11-$E$11)/($G$11-$E$11),$E$11+SQRT(U577*($G$11-$E$11)*($F$11-$E$11)),$G$11-SQRT((1-U577)*($G$11-$E$11)*($G$11-$F$11))))</f>
        <v>0.1180644122701</v>
      </c>
      <c r="H577" s="39" t="n">
        <f aca="false">(('Business Case'!B11*$C577*'Business Case'!B12*$B577)-'Business Case'!B11*$C577*'Business Case'!B13*$D577-'Business Case'!B14*$E577)-MAX(0,(('Business Case'!B11*$C577*'Business Case'!B12*$B577)-'Business Case'!B11*$C577*'Business Case'!B13*$D577-'Business Case'!B14*$E577))*'Business Case'!$B$7-'Business Case'!$B$8*('Business Case'!B11*$C577*'Business Case'!B12*$B577)-'Business Case'!B15*$F577</f>
        <v>-2011403987.72062</v>
      </c>
      <c r="I577" s="39" t="n">
        <f aca="false">(('Business Case'!C11*$C577*'Business Case'!C12*$B577)-'Business Case'!C11*$C577*'Business Case'!C13*$D577-'Business Case'!C14*$E577)-MAX(0,(('Business Case'!C11*$C577*'Business Case'!C12*$B577)-'Business Case'!C11*$C577*'Business Case'!C13*$D577-'Business Case'!C14*$E577))*'Business Case'!$B$7-'Business Case'!$B$8*(('Business Case'!C11*$C577*'Business Case'!C12*$B577)-('Business Case'!B11*$C577*'Business Case'!B12*$B577))-'Business Case'!C15*$F577</f>
        <v>-15332597.3893434</v>
      </c>
      <c r="J577" s="39" t="n">
        <f aca="false">(('Business Case'!D11*$C577*'Business Case'!D12*$B577)-'Business Case'!D11*$C577*'Business Case'!D13*$D577-'Business Case'!D14*$E577)-MAX(0,(('Business Case'!D11*$C577*'Business Case'!D12*$B577)-'Business Case'!D11*$C577*'Business Case'!D13*$D577-'Business Case'!D14*$E577))*'Business Case'!$B$7-'Business Case'!$B$8*(('Business Case'!D11*$C577*'Business Case'!D12*$B577)-('Business Case'!C11*$C577*'Business Case'!C12*$B577))-'Business Case'!D15*$F577</f>
        <v>254926480.097599</v>
      </c>
      <c r="K577" s="39" t="n">
        <f aca="false">(('Business Case'!E11*$C577*'Business Case'!E12*$B577)-'Business Case'!E11*$C577*'Business Case'!E13*$D577-'Business Case'!E14*$E577)-MAX(0,(('Business Case'!E11*$C577*'Business Case'!E12*$B577)-'Business Case'!E11*$C577*'Business Case'!E13*$D577-'Business Case'!E14*$E577))*'Business Case'!$B$7-'Business Case'!$B$8*(('Business Case'!E11*$C577*'Business Case'!E12*$B577)-('Business Case'!D11*$C577*'Business Case'!D12*$B577))-'Business Case'!E15*$F577</f>
        <v>575470657.277557</v>
      </c>
      <c r="L577" s="39" t="n">
        <f aca="false">(('Business Case'!F11*$C577*'Business Case'!F12*$B577)-'Business Case'!F11*$C577*'Business Case'!F13*$D577-'Business Case'!F14*$E577)-MAX(0,(('Business Case'!F11*$C577*'Business Case'!F12*$B577)-'Business Case'!F11*$C577*'Business Case'!F13*$D577-'Business Case'!F14*$E577))*'Business Case'!$B$7-'Business Case'!$B$8*(('Business Case'!F11*$C577*'Business Case'!F12*$B577)-('Business Case'!E11*$C577*'Business Case'!E12*$B577))-'Business Case'!F15*$F577</f>
        <v>697064607.017107</v>
      </c>
      <c r="M577" s="39" t="n">
        <f aca="false">(('Business Case'!G11*$C577*'Business Case'!G12*$B577)-'Business Case'!G11*$C577*'Business Case'!G13*$D577-'Business Case'!G14*$E577)-MAX(0,(('Business Case'!G11*$C577*'Business Case'!G12*$B577)-'Business Case'!G11*$C577*'Business Case'!G13*$D577-'Business Case'!G14*$E577))*'Business Case'!$B$7-'Business Case'!$B$8*(('Business Case'!G11*$C577*'Business Case'!G12*$B577)-('Business Case'!F11*$C577*'Business Case'!F12*$B577))-'Business Case'!G15*$F577+'Business Case'!$B$8*('Business Case'!G11*$C577*'Business Case'!G12*$B577)</f>
        <v>870356355.191905</v>
      </c>
      <c r="N577" s="39" t="n">
        <f aca="false">IF(COUNT('Business Case'!B11:G11)=0,"",H577+NPV(G577,I577:M577))</f>
        <v>-465221690.486272</v>
      </c>
      <c r="P577" s="40" t="n">
        <f aca="true">RAND()</f>
        <v>0.773546633752028</v>
      </c>
      <c r="Q577" s="40" t="n">
        <f aca="true">RAND()</f>
        <v>0.307468183708394</v>
      </c>
      <c r="R577" s="40" t="n">
        <f aca="true">RAND()</f>
        <v>0.672349470007337</v>
      </c>
      <c r="S577" s="40" t="n">
        <f aca="true">RAND()</f>
        <v>0.189211037842765</v>
      </c>
      <c r="T577" s="40" t="n">
        <f aca="true">RAND()</f>
        <v>0.20424645594897</v>
      </c>
      <c r="U577" s="40" t="n">
        <f aca="true">RAND()</f>
        <v>0.905027830361237</v>
      </c>
    </row>
    <row r="578" customFormat="false" ht="15" hidden="false" customHeight="false" outlineLevel="0" collapsed="false">
      <c r="A578" s="36" t="n">
        <v>498</v>
      </c>
      <c r="B578" s="37" t="n">
        <f aca="false">1+IF($G$6=$E$6,$F$6,IF(P578&lt;($F$6-$E$6)/($G$6-$E$6),$E$6+SQRT(P578*($G$6-$E$6)*($F$6-$E$6)),$G$6-SQRT((1-P578)*($G$6-$E$6)*($G$6-$F$6))))</f>
        <v>0.959599324625403</v>
      </c>
      <c r="C578" s="37" t="n">
        <f aca="false">1+IF($G$7=$E$7,$F$7,IF(Q578&lt;($F$7-$E$7)/($G$7-$E$7),$E$7+SQRT(Q578*($G$7-$E$7)*($F$7-$E$7)),$G$7-SQRT((1-Q578)*($G$7-$E$7)*($G$7-$F$7))))</f>
        <v>0.997523640163119</v>
      </c>
      <c r="D578" s="37" t="n">
        <f aca="false">1+IF($G$8=$E$8,$F$8,IF(R578&lt;($F$8-$E$8)/($G$8-$E$8),$E$8+SQRT(R578*($G$8-$E$8)*($F$8-$E$8)),$G$8-SQRT((1-R578)*($G$8-$E$8)*($G$8-$F$8))))</f>
        <v>1.00069807372733</v>
      </c>
      <c r="E578" s="37" t="n">
        <f aca="false">1+IF($G$9=$E$9,$F$9,IF(S578&lt;($F$9-$E$9)/($G$9-$E$9),$E$9+SQRT(S578*($G$9-$E$9)*($F$9-$E$9)),$G$9-SQRT((1-S578)*($G$9-$E$9)*($G$9-$F$9))))</f>
        <v>1.11223515293577</v>
      </c>
      <c r="F578" s="37" t="n">
        <f aca="false">1+IF($G$10=$E$10,$F$10,IF(T578&lt;($F$10-$E$10)/($G$10-$E$10),$E$10+SQRT(T578*($G$10-$E$10)*($F$10-$E$10)),$G$10-SQRT((1-T578)*($G$10-$E$10)*($G$10-$F$10))))</f>
        <v>1.21166125699343</v>
      </c>
      <c r="G578" s="38" t="n">
        <f aca="false">IF($G$11=$E$11,$F$11,IF(U578&lt;($F$11-$E$11)/($G$11-$E$11),$E$11+SQRT(U578*($G$11-$E$11)*($F$11-$E$11)),$G$11-SQRT((1-U578)*($G$11-$E$11)*($G$11-$F$11))))</f>
        <v>0.0978710957459127</v>
      </c>
      <c r="H578" s="39" t="n">
        <f aca="false">(('Business Case'!B11*$C578*'Business Case'!B12*$B578)-'Business Case'!B11*$C578*'Business Case'!B13*$D578-'Business Case'!B14*$E578)-MAX(0,(('Business Case'!B11*$C578*'Business Case'!B12*$B578)-'Business Case'!B11*$C578*'Business Case'!B13*$D578-'Business Case'!B14*$E578))*'Business Case'!$B$7-'Business Case'!$B$8*('Business Case'!B11*$C578*'Business Case'!B12*$B578)-'Business Case'!B15*$F578</f>
        <v>-2423322513.98686</v>
      </c>
      <c r="I578" s="39" t="n">
        <f aca="false">(('Business Case'!C11*$C578*'Business Case'!C12*$B578)-'Business Case'!C11*$C578*'Business Case'!C13*$D578-'Business Case'!C14*$E578)-MAX(0,(('Business Case'!C11*$C578*'Business Case'!C12*$B578)-'Business Case'!C11*$C578*'Business Case'!C13*$D578-'Business Case'!C14*$E578))*'Business Case'!$B$7-'Business Case'!$B$8*(('Business Case'!C11*$C578*'Business Case'!C12*$B578)-('Business Case'!B11*$C578*'Business Case'!B12*$B578))-'Business Case'!C15*$F578</f>
        <v>-55922613.7936342</v>
      </c>
      <c r="J578" s="39" t="n">
        <f aca="false">(('Business Case'!D11*$C578*'Business Case'!D12*$B578)-'Business Case'!D11*$C578*'Business Case'!D13*$D578-'Business Case'!D14*$E578)-MAX(0,(('Business Case'!D11*$C578*'Business Case'!D12*$B578)-'Business Case'!D11*$C578*'Business Case'!D13*$D578-'Business Case'!D14*$E578))*'Business Case'!$B$7-'Business Case'!$B$8*(('Business Case'!D11*$C578*'Business Case'!D12*$B578)-('Business Case'!C11*$C578*'Business Case'!C12*$B578))-'Business Case'!D15*$F578</f>
        <v>217103177.770435</v>
      </c>
      <c r="K578" s="39" t="n">
        <f aca="false">(('Business Case'!E11*$C578*'Business Case'!E12*$B578)-'Business Case'!E11*$C578*'Business Case'!E13*$D578-'Business Case'!E14*$E578)-MAX(0,(('Business Case'!E11*$C578*'Business Case'!E12*$B578)-'Business Case'!E11*$C578*'Business Case'!E13*$D578-'Business Case'!E14*$E578))*'Business Case'!$B$7-'Business Case'!$B$8*(('Business Case'!E11*$C578*'Business Case'!E12*$B578)-('Business Case'!D11*$C578*'Business Case'!D12*$B578))-'Business Case'!E15*$F578</f>
        <v>550712032.184176</v>
      </c>
      <c r="L578" s="39" t="n">
        <f aca="false">(('Business Case'!F11*$C578*'Business Case'!F12*$B578)-'Business Case'!F11*$C578*'Business Case'!F13*$D578-'Business Case'!F14*$E578)-MAX(0,(('Business Case'!F11*$C578*'Business Case'!F12*$B578)-'Business Case'!F11*$C578*'Business Case'!F13*$D578-'Business Case'!F14*$E578))*'Business Case'!$B$7-'Business Case'!$B$8*(('Business Case'!F11*$C578*'Business Case'!F12*$B578)-('Business Case'!E11*$C578*'Business Case'!E12*$B578))-'Business Case'!F15*$F578</f>
        <v>674802256.646128</v>
      </c>
      <c r="M578" s="39" t="n">
        <f aca="false">(('Business Case'!G11*$C578*'Business Case'!G12*$B578)-'Business Case'!G11*$C578*'Business Case'!G13*$D578-'Business Case'!G14*$E578)-MAX(0,(('Business Case'!G11*$C578*'Business Case'!G12*$B578)-'Business Case'!G11*$C578*'Business Case'!G13*$D578-'Business Case'!G14*$E578))*'Business Case'!$B$7-'Business Case'!$B$8*(('Business Case'!G11*$C578*'Business Case'!G12*$B578)-('Business Case'!F11*$C578*'Business Case'!F12*$B578))-'Business Case'!G15*$F578+'Business Case'!$B$8*('Business Case'!G11*$C578*'Business Case'!G12*$B578)</f>
        <v>856751206.652736</v>
      </c>
      <c r="N578" s="39" t="n">
        <f aca="false">IF(COUNT('Business Case'!B11:G11)=0,"",H578+NPV(G578,I578:M578))</f>
        <v>-876332104.867472</v>
      </c>
      <c r="P578" s="40" t="n">
        <f aca="true">RAND()</f>
        <v>0.236805299720276</v>
      </c>
      <c r="Q578" s="40" t="n">
        <f aca="true">RAND()</f>
        <v>0.655706047821578</v>
      </c>
      <c r="R578" s="40" t="n">
        <f aca="true">RAND()</f>
        <v>0.342608495902517</v>
      </c>
      <c r="S578" s="40" t="n">
        <f aca="true">RAND()</f>
        <v>0.96196843536575</v>
      </c>
      <c r="T578" s="40" t="n">
        <f aca="true">RAND()</f>
        <v>0.980401877129017</v>
      </c>
      <c r="U578" s="40" t="n">
        <f aca="true">RAND()</f>
        <v>0.319376063159577</v>
      </c>
    </row>
    <row r="579" customFormat="false" ht="15" hidden="false" customHeight="false" outlineLevel="0" collapsed="false">
      <c r="A579" s="36" t="n">
        <v>499</v>
      </c>
      <c r="B579" s="37" t="n">
        <f aca="false">1+IF($G$6=$E$6,$F$6,IF(P579&lt;($F$6-$E$6)/($G$6-$E$6),$E$6+SQRT(P579*($G$6-$E$6)*($F$6-$E$6)),$G$6-SQRT((1-P579)*($G$6-$E$6)*($G$6-$F$6))))</f>
        <v>1.00431772698963</v>
      </c>
      <c r="C579" s="37" t="n">
        <f aca="false">1+IF($G$7=$E$7,$F$7,IF(Q579&lt;($F$7-$E$7)/($G$7-$E$7),$E$7+SQRT(Q579*($G$7-$E$7)*($F$7-$E$7)),$G$7-SQRT((1-Q579)*($G$7-$E$7)*($G$7-$F$7))))</f>
        <v>0.883139902906361</v>
      </c>
      <c r="D579" s="37" t="n">
        <f aca="false">1+IF($G$8=$E$8,$F$8,IF(R579&lt;($F$8-$E$8)/($G$8-$E$8),$E$8+SQRT(R579*($G$8-$E$8)*($F$8-$E$8)),$G$8-SQRT((1-R579)*($G$8-$E$8)*($G$8-$F$8))))</f>
        <v>1.07779659047568</v>
      </c>
      <c r="E579" s="37" t="n">
        <f aca="false">1+IF($G$9=$E$9,$F$9,IF(S579&lt;($F$9-$E$9)/($G$9-$E$9),$E$9+SQRT(S579*($G$9-$E$9)*($F$9-$E$9)),$G$9-SQRT((1-S579)*($G$9-$E$9)*($G$9-$F$9))))</f>
        <v>1.02038630682554</v>
      </c>
      <c r="F579" s="37" t="n">
        <f aca="false">1+IF($G$10=$E$10,$F$10,IF(T579&lt;($F$10-$E$10)/($G$10-$E$10),$E$10+SQRT(T579*($G$10-$E$10)*($F$10-$E$10)),$G$10-SQRT((1-T579)*($G$10-$E$10)*($G$10-$F$10))))</f>
        <v>1.07097922268122</v>
      </c>
      <c r="G579" s="38" t="n">
        <f aca="false">IF($G$11=$E$11,$F$11,IF(U579&lt;($F$11-$E$11)/($G$11-$E$11),$E$11+SQRT(U579*($G$11-$E$11)*($F$11-$E$11)),$G$11-SQRT((1-U579)*($G$11-$E$11)*($G$11-$F$11))))</f>
        <v>0.0990338807713821</v>
      </c>
      <c r="H579" s="39" t="n">
        <f aca="false">(('Business Case'!B11*$C579*'Business Case'!B12*$B579)-'Business Case'!B11*$C579*'Business Case'!B13*$D579-'Business Case'!B14*$E579)-MAX(0,(('Business Case'!B11*$C579*'Business Case'!B12*$B579)-'Business Case'!B11*$C579*'Business Case'!B13*$D579-'Business Case'!B14*$E579))*'Business Case'!$B$7-'Business Case'!$B$8*('Business Case'!B11*$C579*'Business Case'!B12*$B579)-'Business Case'!B15*$F579</f>
        <v>-2141958445.36245</v>
      </c>
      <c r="I579" s="39" t="n">
        <f aca="false">(('Business Case'!C11*$C579*'Business Case'!C12*$B579)-'Business Case'!C11*$C579*'Business Case'!C13*$D579-'Business Case'!C14*$E579)-MAX(0,(('Business Case'!C11*$C579*'Business Case'!C12*$B579)-'Business Case'!C11*$C579*'Business Case'!C13*$D579-'Business Case'!C14*$E579))*'Business Case'!$B$7-'Business Case'!$B$8*(('Business Case'!C11*$C579*'Business Case'!C12*$B579)-('Business Case'!B11*$C579*'Business Case'!B12*$B579))-'Business Case'!C15*$F579</f>
        <v>-58966667.6787707</v>
      </c>
      <c r="J579" s="39" t="n">
        <f aca="false">(('Business Case'!D11*$C579*'Business Case'!D12*$B579)-'Business Case'!D11*$C579*'Business Case'!D13*$D579-'Business Case'!D14*$E579)-MAX(0,(('Business Case'!D11*$C579*'Business Case'!D12*$B579)-'Business Case'!D11*$C579*'Business Case'!D13*$D579-'Business Case'!D14*$E579))*'Business Case'!$B$7-'Business Case'!$B$8*(('Business Case'!D11*$C579*'Business Case'!D12*$B579)-('Business Case'!C11*$C579*'Business Case'!C12*$B579))-'Business Case'!D15*$F579</f>
        <v>180243166.366428</v>
      </c>
      <c r="K579" s="39" t="n">
        <f aca="false">(('Business Case'!E11*$C579*'Business Case'!E12*$B579)-'Business Case'!E11*$C579*'Business Case'!E13*$D579-'Business Case'!E14*$E579)-MAX(0,(('Business Case'!E11*$C579*'Business Case'!E12*$B579)-'Business Case'!E11*$C579*'Business Case'!E13*$D579-'Business Case'!E14*$E579))*'Business Case'!$B$7-'Business Case'!$B$8*(('Business Case'!E11*$C579*'Business Case'!E12*$B579)-('Business Case'!D11*$C579*'Business Case'!D12*$B579))-'Business Case'!E15*$F579</f>
        <v>473001961.545688</v>
      </c>
      <c r="L579" s="39" t="n">
        <f aca="false">(('Business Case'!F11*$C579*'Business Case'!F12*$B579)-'Business Case'!F11*$C579*'Business Case'!F13*$D579-'Business Case'!F14*$E579)-MAX(0,(('Business Case'!F11*$C579*'Business Case'!F12*$B579)-'Business Case'!F11*$C579*'Business Case'!F13*$D579-'Business Case'!F14*$E579))*'Business Case'!$B$7-'Business Case'!$B$8*(('Business Case'!F11*$C579*'Business Case'!F12*$B579)-('Business Case'!E11*$C579*'Business Case'!E12*$B579))-'Business Case'!F15*$F579</f>
        <v>583391670.644257</v>
      </c>
      <c r="M579" s="39" t="n">
        <f aca="false">(('Business Case'!G11*$C579*'Business Case'!G12*$B579)-'Business Case'!G11*$C579*'Business Case'!G13*$D579-'Business Case'!G14*$E579)-MAX(0,(('Business Case'!G11*$C579*'Business Case'!G12*$B579)-'Business Case'!G11*$C579*'Business Case'!G13*$D579-'Business Case'!G14*$E579))*'Business Case'!$B$7-'Business Case'!$B$8*(('Business Case'!G11*$C579*'Business Case'!G12*$B579)-('Business Case'!F11*$C579*'Business Case'!F12*$B579))-'Business Case'!G15*$F579+'Business Case'!$B$8*('Business Case'!G11*$C579*'Business Case'!G12*$B579)</f>
        <v>751983708.270193</v>
      </c>
      <c r="N579" s="39" t="n">
        <f aca="false">IF(COUNT('Business Case'!B11:G11)=0,"",H579+NPV(G579,I579:M579))</f>
        <v>-821231032.732622</v>
      </c>
      <c r="P579" s="40" t="n">
        <f aca="true">RAND()</f>
        <v>0.721750657680772</v>
      </c>
      <c r="Q579" s="40" t="n">
        <f aca="true">RAND()</f>
        <v>0.248446103974454</v>
      </c>
      <c r="R579" s="40" t="n">
        <f aca="true">RAND()</f>
        <v>0.967133907033021</v>
      </c>
      <c r="S579" s="40" t="n">
        <f aca="true">RAND()</f>
        <v>0.552007747778048</v>
      </c>
      <c r="T579" s="40" t="n">
        <f aca="true">RAND()</f>
        <v>0.572687483842419</v>
      </c>
      <c r="U579" s="40" t="n">
        <f aca="true">RAND()</f>
        <v>0.362288617219189</v>
      </c>
    </row>
    <row r="580" customFormat="false" ht="15" hidden="false" customHeight="false" outlineLevel="0" collapsed="false">
      <c r="A580" s="36" t="n">
        <v>500</v>
      </c>
      <c r="B580" s="37" t="n">
        <f aca="false">1+IF($G$6=$E$6,$F$6,IF(P580&lt;($F$6-$E$6)/($G$6-$E$6),$E$6+SQRT(P580*($G$6-$E$6)*($F$6-$E$6)),$G$6-SQRT((1-P580)*($G$6-$E$6)*($G$6-$F$6))))</f>
        <v>0.997160447532394</v>
      </c>
      <c r="C580" s="37" t="n">
        <f aca="false">1+IF($G$7=$E$7,$F$7,IF(Q580&lt;($F$7-$E$7)/($G$7-$E$7),$E$7+SQRT(Q580*($G$7-$E$7)*($F$7-$E$7)),$G$7-SQRT((1-Q580)*($G$7-$E$7)*($G$7-$F$7))))</f>
        <v>1.02738344683333</v>
      </c>
      <c r="D580" s="37" t="n">
        <f aca="false">1+IF($G$8=$E$8,$F$8,IF(R580&lt;($F$8-$E$8)/($G$8-$E$8),$E$8+SQRT(R580*($G$8-$E$8)*($F$8-$E$8)),$G$8-SQRT((1-R580)*($G$8-$E$8)*($G$8-$F$8))))</f>
        <v>0.995003252951975</v>
      </c>
      <c r="E580" s="37" t="n">
        <f aca="false">1+IF($G$9=$E$9,$F$9,IF(S580&lt;($F$9-$E$9)/($G$9-$E$9),$E$9+SQRT(S580*($G$9-$E$9)*($F$9-$E$9)),$G$9-SQRT((1-S580)*($G$9-$E$9)*($G$9-$F$9))))</f>
        <v>0.956258538950706</v>
      </c>
      <c r="F580" s="37" t="n">
        <f aca="false">1+IF($G$10=$E$10,$F$10,IF(T580&lt;($F$10-$E$10)/($G$10-$E$10),$E$10+SQRT(T580*($G$10-$E$10)*($F$10-$E$10)),$G$10-SQRT((1-T580)*($G$10-$E$10)*($G$10-$F$10))))</f>
        <v>1.00658139532054</v>
      </c>
      <c r="G580" s="38" t="n">
        <f aca="false">IF($G$11=$E$11,$F$11,IF(U580&lt;($F$11-$E$11)/($G$11-$E$11),$E$11+SQRT(U580*($G$11-$E$11)*($F$11-$E$11)),$G$11-SQRT((1-U580)*($G$11-$E$11)*($G$11-$F$11))))</f>
        <v>0.0979269810352851</v>
      </c>
      <c r="H580" s="39" t="n">
        <f aca="false">(('Business Case'!B11*$C580*'Business Case'!B12*$B580)-'Business Case'!B11*$C580*'Business Case'!B13*$D580-'Business Case'!B14*$E580)-MAX(0,(('Business Case'!B11*$C580*'Business Case'!B12*$B580)-'Business Case'!B11*$C580*'Business Case'!B13*$D580-'Business Case'!B14*$E580))*'Business Case'!$B$7-'Business Case'!$B$8*('Business Case'!B11*$C580*'Business Case'!B12*$B580)-'Business Case'!B15*$F580</f>
        <v>-2013162790.64108</v>
      </c>
      <c r="I580" s="39" t="n">
        <f aca="false">(('Business Case'!C11*$C580*'Business Case'!C12*$B580)-'Business Case'!C11*$C580*'Business Case'!C13*$D580-'Business Case'!C14*$E580)-MAX(0,(('Business Case'!C11*$C580*'Business Case'!C12*$B580)-'Business Case'!C11*$C580*'Business Case'!C13*$D580-'Business Case'!C14*$E580))*'Business Case'!$B$7-'Business Case'!$B$8*(('Business Case'!C11*$C580*'Business Case'!C12*$B580)-('Business Case'!B11*$C580*'Business Case'!B12*$B580))-'Business Case'!C15*$F580</f>
        <v>26054945.6527011</v>
      </c>
      <c r="J580" s="39" t="n">
        <f aca="false">(('Business Case'!D11*$C580*'Business Case'!D12*$B580)-'Business Case'!D11*$C580*'Business Case'!D13*$D580-'Business Case'!D14*$E580)-MAX(0,(('Business Case'!D11*$C580*'Business Case'!D12*$B580)-'Business Case'!D11*$C580*'Business Case'!D13*$D580-'Business Case'!D14*$E580))*'Business Case'!$B$7-'Business Case'!$B$8*(('Business Case'!D11*$C580*'Business Case'!D12*$B580)-('Business Case'!C11*$C580*'Business Case'!C12*$B580))-'Business Case'!D15*$F580</f>
        <v>341856319.651073</v>
      </c>
      <c r="K580" s="39" t="n">
        <f aca="false">(('Business Case'!E11*$C580*'Business Case'!E12*$B580)-'Business Case'!E11*$C580*'Business Case'!E13*$D580-'Business Case'!E14*$E580)-MAX(0,(('Business Case'!E11*$C580*'Business Case'!E12*$B580)-'Business Case'!E11*$C580*'Business Case'!E13*$D580-'Business Case'!E14*$E580))*'Business Case'!$B$7-'Business Case'!$B$8*(('Business Case'!E11*$C580*'Business Case'!E12*$B580)-('Business Case'!D11*$C580*'Business Case'!D12*$B580))-'Business Case'!E15*$F580</f>
        <v>707986763.415473</v>
      </c>
      <c r="L580" s="39" t="n">
        <f aca="false">(('Business Case'!F11*$C580*'Business Case'!F12*$B580)-'Business Case'!F11*$C580*'Business Case'!F13*$D580-'Business Case'!F14*$E580)-MAX(0,(('Business Case'!F11*$C580*'Business Case'!F12*$B580)-'Business Case'!F11*$C580*'Business Case'!F13*$D580-'Business Case'!F14*$E580))*'Business Case'!$B$7-'Business Case'!$B$8*(('Business Case'!F11*$C580*'Business Case'!F12*$B580)-('Business Case'!E11*$C580*'Business Case'!E12*$B580))-'Business Case'!F15*$F580</f>
        <v>848659437.798148</v>
      </c>
      <c r="M580" s="39" t="n">
        <f aca="false">(('Business Case'!G11*$C580*'Business Case'!G12*$B580)-'Business Case'!G11*$C580*'Business Case'!G13*$D580-'Business Case'!G14*$E580)-MAX(0,(('Business Case'!G11*$C580*'Business Case'!G12*$B580)-'Business Case'!G11*$C580*'Business Case'!G13*$D580-'Business Case'!G14*$E580))*'Business Case'!$B$7-'Business Case'!$B$8*(('Business Case'!G11*$C580*'Business Case'!G12*$B580)-('Business Case'!F11*$C580*'Business Case'!F12*$B580))-'Business Case'!G15*$F580+'Business Case'!$B$8*('Business Case'!G11*$C580*'Business Case'!G12*$B580)</f>
        <v>1043389961.23918</v>
      </c>
      <c r="N580" s="39" t="n">
        <f aca="false">IF(COUNT('Business Case'!B11:G11)=0,"",H580+NPV(G580,I580:M580))</f>
        <v>67140072.8803356</v>
      </c>
      <c r="P580" s="40" t="n">
        <f aca="true">RAND()</f>
        <v>0.629343504313004</v>
      </c>
      <c r="Q580" s="40" t="n">
        <f aca="true">RAND()</f>
        <v>0.777261939104064</v>
      </c>
      <c r="R580" s="40" t="n">
        <f aca="true">RAND()</f>
        <v>0.270039036834591</v>
      </c>
      <c r="S580" s="40" t="n">
        <f aca="true">RAND()</f>
        <v>0.126600928194726</v>
      </c>
      <c r="T580" s="40" t="n">
        <f aca="true">RAND()</f>
        <v>0.209965105278722</v>
      </c>
      <c r="U580" s="40" t="n">
        <f aca="true">RAND()</f>
        <v>0.321376649039471</v>
      </c>
    </row>
    <row r="581" customFormat="false" ht="15" hidden="false" customHeight="false" outlineLevel="0" collapsed="false">
      <c r="A581" s="36" t="n">
        <v>501</v>
      </c>
      <c r="B581" s="37" t="n">
        <f aca="false">1+IF($G$6=$E$6,$F$6,IF(P581&lt;($F$6-$E$6)/($G$6-$E$6),$E$6+SQRT(P581*($G$6-$E$6)*($F$6-$E$6)),$G$6-SQRT((1-P581)*($G$6-$E$6)*($G$6-$F$6))))</f>
        <v>1.03167027412749</v>
      </c>
      <c r="C581" s="37" t="n">
        <f aca="false">1+IF($G$7=$E$7,$F$7,IF(Q581&lt;($F$7-$E$7)/($G$7-$E$7),$E$7+SQRT(Q581*($G$7-$E$7)*($F$7-$E$7)),$G$7-SQRT((1-Q581)*($G$7-$E$7)*($G$7-$F$7))))</f>
        <v>0.878071137241906</v>
      </c>
      <c r="D581" s="37" t="n">
        <f aca="false">1+IF($G$8=$E$8,$F$8,IF(R581&lt;($F$8-$E$8)/($G$8-$E$8),$E$8+SQRT(R581*($G$8-$E$8)*($F$8-$E$8)),$G$8-SQRT((1-R581)*($G$8-$E$8)*($G$8-$F$8))))</f>
        <v>1.04336864134388</v>
      </c>
      <c r="E581" s="37" t="n">
        <f aca="false">1+IF($G$9=$E$9,$F$9,IF(S581&lt;($F$9-$E$9)/($G$9-$E$9),$E$9+SQRT(S581*($G$9-$E$9)*($F$9-$E$9)),$G$9-SQRT((1-S581)*($G$9-$E$9)*($G$9-$F$9))))</f>
        <v>1.04372790781992</v>
      </c>
      <c r="F581" s="37" t="n">
        <f aca="false">1+IF($G$10=$E$10,$F$10,IF(T581&lt;($F$10-$E$10)/($G$10-$E$10),$E$10+SQRT(T581*($G$10-$E$10)*($F$10-$E$10)),$G$10-SQRT((1-T581)*($G$10-$E$10)*($G$10-$F$10))))</f>
        <v>1.07421933392361</v>
      </c>
      <c r="G581" s="38" t="n">
        <f aca="false">IF($G$11=$E$11,$F$11,IF(U581&lt;($F$11-$E$11)/($G$11-$E$11),$E$11+SQRT(U581*($G$11-$E$11)*($F$11-$E$11)),$G$11-SQRT((1-U581)*($G$11-$E$11)*($G$11-$F$11))))</f>
        <v>0.109756937119766</v>
      </c>
      <c r="H581" s="39" t="n">
        <f aca="false">(('Business Case'!B11*$C581*'Business Case'!B12*$B581)-'Business Case'!B11*$C581*'Business Case'!B13*$D581-'Business Case'!B14*$E581)-MAX(0,(('Business Case'!B11*$C581*'Business Case'!B12*$B581)-'Business Case'!B11*$C581*'Business Case'!B13*$D581-'Business Case'!B14*$E581))*'Business Case'!$B$7-'Business Case'!$B$8*('Business Case'!B11*$C581*'Business Case'!B12*$B581)-'Business Case'!B15*$F581</f>
        <v>-2148438667.84722</v>
      </c>
      <c r="I581" s="39" t="n">
        <f aca="false">(('Business Case'!C11*$C581*'Business Case'!C12*$B581)-'Business Case'!C11*$C581*'Business Case'!C13*$D581-'Business Case'!C14*$E581)-MAX(0,(('Business Case'!C11*$C581*'Business Case'!C12*$B581)-'Business Case'!C11*$C581*'Business Case'!C13*$D581-'Business Case'!C14*$E581))*'Business Case'!$B$7-'Business Case'!$B$8*(('Business Case'!C11*$C581*'Business Case'!C12*$B581)-('Business Case'!B11*$C581*'Business Case'!B12*$B581))-'Business Case'!C15*$F581</f>
        <v>-29816476.7148108</v>
      </c>
      <c r="J581" s="39" t="n">
        <f aca="false">(('Business Case'!D11*$C581*'Business Case'!D12*$B581)-'Business Case'!D11*$C581*'Business Case'!D13*$D581-'Business Case'!D14*$E581)-MAX(0,(('Business Case'!D11*$C581*'Business Case'!D12*$B581)-'Business Case'!D11*$C581*'Business Case'!D13*$D581-'Business Case'!D14*$E581))*'Business Case'!$B$7-'Business Case'!$B$8*(('Business Case'!D11*$C581*'Business Case'!D12*$B581)-('Business Case'!C11*$C581*'Business Case'!C12*$B581))-'Business Case'!D15*$F581</f>
        <v>243167901.997007</v>
      </c>
      <c r="K581" s="39" t="n">
        <f aca="false">(('Business Case'!E11*$C581*'Business Case'!E12*$B581)-'Business Case'!E11*$C581*'Business Case'!E13*$D581-'Business Case'!E14*$E581)-MAX(0,(('Business Case'!E11*$C581*'Business Case'!E12*$B581)-'Business Case'!E11*$C581*'Business Case'!E13*$D581-'Business Case'!E14*$E581))*'Business Case'!$B$7-'Business Case'!$B$8*(('Business Case'!E11*$C581*'Business Case'!E12*$B581)-('Business Case'!D11*$C581*'Business Case'!D12*$B581))-'Business Case'!E15*$F581</f>
        <v>569863247.405005</v>
      </c>
      <c r="L581" s="39" t="n">
        <f aca="false">(('Business Case'!F11*$C581*'Business Case'!F12*$B581)-'Business Case'!F11*$C581*'Business Case'!F13*$D581-'Business Case'!F14*$E581)-MAX(0,(('Business Case'!F11*$C581*'Business Case'!F12*$B581)-'Business Case'!F11*$C581*'Business Case'!F13*$D581-'Business Case'!F14*$E581))*'Business Case'!$B$7-'Business Case'!$B$8*(('Business Case'!F11*$C581*'Business Case'!F12*$B581)-('Business Case'!E11*$C581*'Business Case'!E12*$B581))-'Business Case'!F15*$F581</f>
        <v>692165249.337128</v>
      </c>
      <c r="M581" s="39" t="n">
        <f aca="false">(('Business Case'!G11*$C581*'Business Case'!G12*$B581)-'Business Case'!G11*$C581*'Business Case'!G13*$D581-'Business Case'!G14*$E581)-MAX(0,(('Business Case'!G11*$C581*'Business Case'!G12*$B581)-'Business Case'!G11*$C581*'Business Case'!G13*$D581-'Business Case'!G14*$E581))*'Business Case'!$B$7-'Business Case'!$B$8*(('Business Case'!G11*$C581*'Business Case'!G12*$B581)-('Business Case'!F11*$C581*'Business Case'!F12*$B581))-'Business Case'!G15*$F581+'Business Case'!$B$8*('Business Case'!G11*$C581*'Business Case'!G12*$B581)</f>
        <v>864354898.992137</v>
      </c>
      <c r="N581" s="39" t="n">
        <f aca="false">IF(COUNT('Business Case'!B11:G11)=0,"",H581+NPV(G581,I581:M581))</f>
        <v>-591041484.202548</v>
      </c>
      <c r="P581" s="40" t="n">
        <f aca="true">RAND()</f>
        <v>0.955202819925137</v>
      </c>
      <c r="Q581" s="40" t="n">
        <f aca="true">RAND()</f>
        <v>0.234883925323154</v>
      </c>
      <c r="R581" s="40" t="n">
        <f aca="true">RAND()</f>
        <v>0.786192614450781</v>
      </c>
      <c r="S581" s="40" t="n">
        <f aca="true">RAND()</f>
        <v>0.698833131297808</v>
      </c>
      <c r="T581" s="40" t="n">
        <f aca="true">RAND()</f>
        <v>0.588015432449878</v>
      </c>
      <c r="U581" s="40" t="n">
        <f aca="true">RAND()</f>
        <v>0.726812270151257</v>
      </c>
    </row>
    <row r="582" customFormat="false" ht="15" hidden="false" customHeight="false" outlineLevel="0" collapsed="false">
      <c r="A582" s="36" t="n">
        <v>502</v>
      </c>
      <c r="B582" s="37" t="n">
        <f aca="false">1+IF($G$6=$E$6,$F$6,IF(P582&lt;($F$6-$E$6)/($G$6-$E$6),$E$6+SQRT(P582*($G$6-$E$6)*($F$6-$E$6)),$G$6-SQRT((1-P582)*($G$6-$E$6)*($G$6-$F$6))))</f>
        <v>0.96687165387271</v>
      </c>
      <c r="C582" s="37" t="n">
        <f aca="false">1+IF($G$7=$E$7,$F$7,IF(Q582&lt;($F$7-$E$7)/($G$7-$E$7),$E$7+SQRT(Q582*($G$7-$E$7)*($F$7-$E$7)),$G$7-SQRT((1-Q582)*($G$7-$E$7)*($G$7-$F$7))))</f>
        <v>0.902247568180109</v>
      </c>
      <c r="D582" s="37" t="n">
        <f aca="false">1+IF($G$8=$E$8,$F$8,IF(R582&lt;($F$8-$E$8)/($G$8-$E$8),$E$8+SQRT(R582*($G$8-$E$8)*($F$8-$E$8)),$G$8-SQRT((1-R582)*($G$8-$E$8)*($G$8-$F$8))))</f>
        <v>1.06573051098654</v>
      </c>
      <c r="E582" s="37" t="n">
        <f aca="false">1+IF($G$9=$E$9,$F$9,IF(S582&lt;($F$9-$E$9)/($G$9-$E$9),$E$9+SQRT(S582*($G$9-$E$9)*($F$9-$E$9)),$G$9-SQRT((1-S582)*($G$9-$E$9)*($G$9-$F$9))))</f>
        <v>1.00813652694731</v>
      </c>
      <c r="F582" s="37" t="n">
        <f aca="false">1+IF($G$10=$E$10,$F$10,IF(T582&lt;($F$10-$E$10)/($G$10-$E$10),$E$10+SQRT(T582*($G$10-$E$10)*($F$10-$E$10)),$G$10-SQRT((1-T582)*($G$10-$E$10)*($G$10-$F$10))))</f>
        <v>0.991315626530436</v>
      </c>
      <c r="G582" s="38" t="n">
        <f aca="false">IF($G$11=$E$11,$F$11,IF(U582&lt;($F$11-$E$11)/($G$11-$E$11),$E$11+SQRT(U582*($G$11-$E$11)*($F$11-$E$11)),$G$11-SQRT((1-U582)*($G$11-$E$11)*($G$11-$F$11))))</f>
        <v>0.10934248616015</v>
      </c>
      <c r="H582" s="39" t="n">
        <f aca="false">(('Business Case'!B11*$C582*'Business Case'!B12*$B582)-'Business Case'!B11*$C582*'Business Case'!B13*$D582-'Business Case'!B14*$E582)-MAX(0,(('Business Case'!B11*$C582*'Business Case'!B12*$B582)-'Business Case'!B11*$C582*'Business Case'!B13*$D582-'Business Case'!B14*$E582))*'Business Case'!$B$7-'Business Case'!$B$8*('Business Case'!B11*$C582*'Business Case'!B12*$B582)-'Business Case'!B15*$F582</f>
        <v>-1982631253.06087</v>
      </c>
      <c r="I582" s="39" t="n">
        <f aca="false">(('Business Case'!C11*$C582*'Business Case'!C12*$B582)-'Business Case'!C11*$C582*'Business Case'!C13*$D582-'Business Case'!C14*$E582)-MAX(0,(('Business Case'!C11*$C582*'Business Case'!C12*$B582)-'Business Case'!C11*$C582*'Business Case'!C13*$D582-'Business Case'!C14*$E582))*'Business Case'!$B$7-'Business Case'!$B$8*(('Business Case'!C11*$C582*'Business Case'!C12*$B582)-('Business Case'!B11*$C582*'Business Case'!B12*$B582))-'Business Case'!C15*$F582</f>
        <v>-65426001.6697804</v>
      </c>
      <c r="J582" s="39" t="n">
        <f aca="false">(('Business Case'!D11*$C582*'Business Case'!D12*$B582)-'Business Case'!D11*$C582*'Business Case'!D13*$D582-'Business Case'!D14*$E582)-MAX(0,(('Business Case'!D11*$C582*'Business Case'!D12*$B582)-'Business Case'!D11*$C582*'Business Case'!D13*$D582-'Business Case'!D14*$E582))*'Business Case'!$B$7-'Business Case'!$B$8*(('Business Case'!D11*$C582*'Business Case'!D12*$B582)-('Business Case'!C11*$C582*'Business Case'!C12*$B582))-'Business Case'!D15*$F582</f>
        <v>156859591.348983</v>
      </c>
      <c r="K582" s="39" t="n">
        <f aca="false">(('Business Case'!E11*$C582*'Business Case'!E12*$B582)-'Business Case'!E11*$C582*'Business Case'!E13*$D582-'Business Case'!E14*$E582)-MAX(0,(('Business Case'!E11*$C582*'Business Case'!E12*$B582)-'Business Case'!E11*$C582*'Business Case'!E13*$D582-'Business Case'!E14*$E582))*'Business Case'!$B$7-'Business Case'!$B$8*(('Business Case'!E11*$C582*'Business Case'!E12*$B582)-('Business Case'!D11*$C582*'Business Case'!D12*$B582))-'Business Case'!E15*$F582</f>
        <v>428710965.694268</v>
      </c>
      <c r="L582" s="39" t="n">
        <f aca="false">(('Business Case'!F11*$C582*'Business Case'!F12*$B582)-'Business Case'!F11*$C582*'Business Case'!F13*$D582-'Business Case'!F14*$E582)-MAX(0,(('Business Case'!F11*$C582*'Business Case'!F12*$B582)-'Business Case'!F11*$C582*'Business Case'!F13*$D582-'Business Case'!F14*$E582))*'Business Case'!$B$7-'Business Case'!$B$8*(('Business Case'!F11*$C582*'Business Case'!F12*$B582)-('Business Case'!E11*$C582*'Business Case'!E12*$B582))-'Business Case'!F15*$F582</f>
        <v>532954841.969585</v>
      </c>
      <c r="M582" s="39" t="n">
        <f aca="false">(('Business Case'!G11*$C582*'Business Case'!G12*$B582)-'Business Case'!G11*$C582*'Business Case'!G13*$D582-'Business Case'!G14*$E582)-MAX(0,(('Business Case'!G11*$C582*'Business Case'!G12*$B582)-'Business Case'!G11*$C582*'Business Case'!G13*$D582-'Business Case'!G14*$E582))*'Business Case'!$B$7-'Business Case'!$B$8*(('Business Case'!G11*$C582*'Business Case'!G12*$B582)-('Business Case'!F11*$C582*'Business Case'!F12*$B582))-'Business Case'!G15*$F582+'Business Case'!$B$8*('Business Case'!G11*$C582*'Business Case'!G12*$B582)</f>
        <v>698772574.282759</v>
      </c>
      <c r="N582" s="39" t="n">
        <f aca="false">IF(COUNT('Business Case'!B11:G11)=0,"",H582+NPV(G582,I582:M582))</f>
        <v>-832294483.737881</v>
      </c>
      <c r="P582" s="40" t="n">
        <f aca="true">RAND()</f>
        <v>0.298121206111438</v>
      </c>
      <c r="Q582" s="40" t="n">
        <f aca="true">RAND()</f>
        <v>0.302993176553835</v>
      </c>
      <c r="R582" s="40" t="n">
        <f aca="true">RAND()</f>
        <v>0.921706808183754</v>
      </c>
      <c r="S582" s="40" t="n">
        <f aca="true">RAND()</f>
        <v>0.463326800358114</v>
      </c>
      <c r="T582" s="40" t="n">
        <f aca="true">RAND()</f>
        <v>0.113798733040163</v>
      </c>
      <c r="U582" s="40" t="n">
        <f aca="true">RAND()</f>
        <v>0.7155114146376</v>
      </c>
    </row>
    <row r="583" customFormat="false" ht="15" hidden="false" customHeight="false" outlineLevel="0" collapsed="false">
      <c r="A583" s="36" t="n">
        <v>503</v>
      </c>
      <c r="B583" s="37" t="n">
        <f aca="false">1+IF($G$6=$E$6,$F$6,IF(P583&lt;($F$6-$E$6)/($G$6-$E$6),$E$6+SQRT(P583*($G$6-$E$6)*($F$6-$E$6)),$G$6-SQRT((1-P583)*($G$6-$E$6)*($G$6-$F$6))))</f>
        <v>0.967644215404765</v>
      </c>
      <c r="C583" s="37" t="n">
        <f aca="false">1+IF($G$7=$E$7,$F$7,IF(Q583&lt;($F$7-$E$7)/($G$7-$E$7),$E$7+SQRT(Q583*($G$7-$E$7)*($F$7-$E$7)),$G$7-SQRT((1-Q583)*($G$7-$E$7)*($G$7-$F$7))))</f>
        <v>0.884329543516689</v>
      </c>
      <c r="D583" s="37" t="n">
        <f aca="false">1+IF($G$8=$E$8,$F$8,IF(R583&lt;($F$8-$E$8)/($G$8-$E$8),$E$8+SQRT(R583*($G$8-$E$8)*($F$8-$E$8)),$G$8-SQRT((1-R583)*($G$8-$E$8)*($G$8-$F$8))))</f>
        <v>1.03174545652453</v>
      </c>
      <c r="E583" s="37" t="n">
        <f aca="false">1+IF($G$9=$E$9,$F$9,IF(S583&lt;($F$9-$E$9)/($G$9-$E$9),$E$9+SQRT(S583*($G$9-$E$9)*($F$9-$E$9)),$G$9-SQRT((1-S583)*($G$9-$E$9)*($G$9-$F$9))))</f>
        <v>0.907887969646869</v>
      </c>
      <c r="F583" s="37" t="n">
        <f aca="false">1+IF($G$10=$E$10,$F$10,IF(T583&lt;($F$10-$E$10)/($G$10-$E$10),$E$10+SQRT(T583*($G$10-$E$10)*($F$10-$E$10)),$G$10-SQRT((1-T583)*($G$10-$E$10)*($G$10-$F$10))))</f>
        <v>1.11995155815698</v>
      </c>
      <c r="G583" s="38" t="n">
        <f aca="false">IF($G$11=$E$11,$F$11,IF(U583&lt;($F$11-$E$11)/($G$11-$E$11),$E$11+SQRT(U583*($G$11-$E$11)*($F$11-$E$11)),$G$11-SQRT((1-U583)*($G$11-$E$11)*($G$11-$F$11))))</f>
        <v>0.103733621843262</v>
      </c>
      <c r="H583" s="39" t="n">
        <f aca="false">(('Business Case'!B11*$C583*'Business Case'!B12*$B583)-'Business Case'!B11*$C583*'Business Case'!B13*$D583-'Business Case'!B14*$E583)-MAX(0,(('Business Case'!B11*$C583*'Business Case'!B12*$B583)-'Business Case'!B11*$C583*'Business Case'!B13*$D583-'Business Case'!B14*$E583))*'Business Case'!$B$7-'Business Case'!$B$8*('Business Case'!B11*$C583*'Business Case'!B12*$B583)-'Business Case'!B15*$F583</f>
        <v>-2239903116.31396</v>
      </c>
      <c r="I583" s="39" t="n">
        <f aca="false">(('Business Case'!C11*$C583*'Business Case'!C12*$B583)-'Business Case'!C11*$C583*'Business Case'!C13*$D583-'Business Case'!C14*$E583)-MAX(0,(('Business Case'!C11*$C583*'Business Case'!C12*$B583)-'Business Case'!C11*$C583*'Business Case'!C13*$D583-'Business Case'!C14*$E583))*'Business Case'!$B$7-'Business Case'!$B$8*(('Business Case'!C11*$C583*'Business Case'!C12*$B583)-('Business Case'!B11*$C583*'Business Case'!B12*$B583))-'Business Case'!C15*$F583</f>
        <v>-51641183.107566</v>
      </c>
      <c r="J583" s="39" t="n">
        <f aca="false">(('Business Case'!D11*$C583*'Business Case'!D12*$B583)-'Business Case'!D11*$C583*'Business Case'!D13*$D583-'Business Case'!D14*$E583)-MAX(0,(('Business Case'!D11*$C583*'Business Case'!D12*$B583)-'Business Case'!D11*$C583*'Business Case'!D13*$D583-'Business Case'!D14*$E583))*'Business Case'!$B$7-'Business Case'!$B$8*(('Business Case'!D11*$C583*'Business Case'!D12*$B583)-('Business Case'!C11*$C583*'Business Case'!C12*$B583))-'Business Case'!D15*$F583</f>
        <v>182174795.364948</v>
      </c>
      <c r="K583" s="39" t="n">
        <f aca="false">(('Business Case'!E11*$C583*'Business Case'!E12*$B583)-'Business Case'!E11*$C583*'Business Case'!E13*$D583-'Business Case'!E14*$E583)-MAX(0,(('Business Case'!E11*$C583*'Business Case'!E12*$B583)-'Business Case'!E11*$C583*'Business Case'!E13*$D583-'Business Case'!E14*$E583))*'Business Case'!$B$7-'Business Case'!$B$8*(('Business Case'!E11*$C583*'Business Case'!E12*$B583)-('Business Case'!D11*$C583*'Business Case'!D12*$B583))-'Business Case'!E15*$F583</f>
        <v>471988351.74531</v>
      </c>
      <c r="L583" s="39" t="n">
        <f aca="false">(('Business Case'!F11*$C583*'Business Case'!F12*$B583)-'Business Case'!F11*$C583*'Business Case'!F13*$D583-'Business Case'!F14*$E583)-MAX(0,(('Business Case'!F11*$C583*'Business Case'!F12*$B583)-'Business Case'!F11*$C583*'Business Case'!F13*$D583-'Business Case'!F14*$E583))*'Business Case'!$B$7-'Business Case'!$B$8*(('Business Case'!F11*$C583*'Business Case'!F12*$B583)-('Business Case'!E11*$C583*'Business Case'!E12*$B583))-'Business Case'!F15*$F583</f>
        <v>579500568.889879</v>
      </c>
      <c r="M583" s="39" t="n">
        <f aca="false">(('Business Case'!G11*$C583*'Business Case'!G12*$B583)-'Business Case'!G11*$C583*'Business Case'!G13*$D583-'Business Case'!G14*$E583)-MAX(0,(('Business Case'!G11*$C583*'Business Case'!G12*$B583)-'Business Case'!G11*$C583*'Business Case'!G13*$D583-'Business Case'!G14*$E583))*'Business Case'!$B$7-'Business Case'!$B$8*(('Business Case'!G11*$C583*'Business Case'!G12*$B583)-('Business Case'!F11*$C583*'Business Case'!F12*$B583))-'Business Case'!G15*$F583+'Business Case'!$B$8*('Business Case'!G11*$C583*'Business Case'!G12*$B583)</f>
        <v>742155135.9854</v>
      </c>
      <c r="N583" s="39" t="n">
        <f aca="false">IF(COUNT('Business Case'!B11:G11)=0,"",H583+NPV(G583,I583:M583))</f>
        <v>-942568123.274478</v>
      </c>
      <c r="P583" s="40" t="n">
        <f aca="true">RAND()</f>
        <v>0.30504932518175</v>
      </c>
      <c r="Q583" s="40" t="n">
        <f aca="true">RAND()</f>
        <v>0.251684300837562</v>
      </c>
      <c r="R583" s="40" t="n">
        <f aca="true">RAND()</f>
        <v>0.689421152996981</v>
      </c>
      <c r="S583" s="40" t="n">
        <f aca="true">RAND()</f>
        <v>0.00248880260599702</v>
      </c>
      <c r="T583" s="40" t="n">
        <f aca="true">RAND()</f>
        <v>0.774498703656041</v>
      </c>
      <c r="U583" s="40" t="n">
        <f aca="true">RAND()</f>
        <v>0.540051585684811</v>
      </c>
    </row>
    <row r="584" customFormat="false" ht="15" hidden="false" customHeight="false" outlineLevel="0" collapsed="false">
      <c r="A584" s="36" t="n">
        <v>504</v>
      </c>
      <c r="B584" s="37" t="n">
        <f aca="false">1+IF($G$6=$E$6,$F$6,IF(P584&lt;($F$6-$E$6)/($G$6-$E$6),$E$6+SQRT(P584*($G$6-$E$6)*($F$6-$E$6)),$G$6-SQRT((1-P584)*($G$6-$E$6)*($G$6-$F$6))))</f>
        <v>1.00310713018425</v>
      </c>
      <c r="C584" s="37" t="n">
        <f aca="false">1+IF($G$7=$E$7,$F$7,IF(Q584&lt;($F$7-$E$7)/($G$7-$E$7),$E$7+SQRT(Q584*($G$7-$E$7)*($F$7-$E$7)),$G$7-SQRT((1-Q584)*($G$7-$E$7)*($G$7-$F$7))))</f>
        <v>1.00577210237919</v>
      </c>
      <c r="D584" s="37" t="n">
        <f aca="false">1+IF($G$8=$E$8,$F$8,IF(R584&lt;($F$8-$E$8)/($G$8-$E$8),$E$8+SQRT(R584*($G$8-$E$8)*($F$8-$E$8)),$G$8-SQRT((1-R584)*($G$8-$E$8)*($G$8-$F$8))))</f>
        <v>1.00823244201194</v>
      </c>
      <c r="E584" s="37" t="n">
        <f aca="false">1+IF($G$9=$E$9,$F$9,IF(S584&lt;($F$9-$E$9)/($G$9-$E$9),$E$9+SQRT(S584*($G$9-$E$9)*($F$9-$E$9)),$G$9-SQRT((1-S584)*($G$9-$E$9)*($G$9-$F$9))))</f>
        <v>1.01413189711895</v>
      </c>
      <c r="F584" s="37" t="n">
        <f aca="false">1+IF($G$10=$E$10,$F$10,IF(T584&lt;($F$10-$E$10)/($G$10-$E$10),$E$10+SQRT(T584*($G$10-$E$10)*($F$10-$E$10)),$G$10-SQRT((1-T584)*($G$10-$E$10)*($G$10-$F$10))))</f>
        <v>1.02655766257999</v>
      </c>
      <c r="G584" s="38" t="n">
        <f aca="false">IF($G$11=$E$11,$F$11,IF(U584&lt;($F$11-$E$11)/($G$11-$E$11),$E$11+SQRT(U584*($G$11-$E$11)*($F$11-$E$11)),$G$11-SQRT((1-U584)*($G$11-$E$11)*($G$11-$F$11))))</f>
        <v>0.0900202054997235</v>
      </c>
      <c r="H584" s="39" t="n">
        <f aca="false">(('Business Case'!B11*$C584*'Business Case'!B12*$B584)-'Business Case'!B11*$C584*'Business Case'!B13*$D584-'Business Case'!B14*$E584)-MAX(0,(('Business Case'!B11*$C584*'Business Case'!B12*$B584)-'Business Case'!B11*$C584*'Business Case'!B13*$D584-'Business Case'!B14*$E584))*'Business Case'!$B$7-'Business Case'!$B$8*('Business Case'!B11*$C584*'Business Case'!B12*$B584)-'Business Case'!B15*$F584</f>
        <v>-2053115325.15998</v>
      </c>
      <c r="I584" s="39" t="n">
        <f aca="false">(('Business Case'!C11*$C584*'Business Case'!C12*$B584)-'Business Case'!C11*$C584*'Business Case'!C13*$D584-'Business Case'!C14*$E584)-MAX(0,(('Business Case'!C11*$C584*'Business Case'!C12*$B584)-'Business Case'!C11*$C584*'Business Case'!C13*$D584-'Business Case'!C14*$E584))*'Business Case'!$B$7-'Business Case'!$B$8*(('Business Case'!C11*$C584*'Business Case'!C12*$B584)-('Business Case'!B11*$C584*'Business Case'!B12*$B584))-'Business Case'!C15*$F584</f>
        <v>8079337.35097447</v>
      </c>
      <c r="J584" s="39" t="n">
        <f aca="false">(('Business Case'!D11*$C584*'Business Case'!D12*$B584)-'Business Case'!D11*$C584*'Business Case'!D13*$D584-'Business Case'!D14*$E584)-MAX(0,(('Business Case'!D11*$C584*'Business Case'!D12*$B584)-'Business Case'!D11*$C584*'Business Case'!D13*$D584-'Business Case'!D14*$E584))*'Business Case'!$B$7-'Business Case'!$B$8*(('Business Case'!D11*$C584*'Business Case'!D12*$B584)-('Business Case'!C11*$C584*'Business Case'!C12*$B584))-'Business Case'!D15*$F584</f>
        <v>315325225.879827</v>
      </c>
      <c r="K584" s="39" t="n">
        <f aca="false">(('Business Case'!E11*$C584*'Business Case'!E12*$B584)-'Business Case'!E11*$C584*'Business Case'!E13*$D584-'Business Case'!E14*$E584)-MAX(0,(('Business Case'!E11*$C584*'Business Case'!E12*$B584)-'Business Case'!E11*$C584*'Business Case'!E13*$D584-'Business Case'!E14*$E584))*'Business Case'!$B$7-'Business Case'!$B$8*(('Business Case'!E11*$C584*'Business Case'!E12*$B584)-('Business Case'!D11*$C584*'Business Case'!D12*$B584))-'Business Case'!E15*$F584</f>
        <v>673898997.537678</v>
      </c>
      <c r="L584" s="39" t="n">
        <f aca="false">(('Business Case'!F11*$C584*'Business Case'!F12*$B584)-'Business Case'!F11*$C584*'Business Case'!F13*$D584-'Business Case'!F14*$E584)-MAX(0,(('Business Case'!F11*$C584*'Business Case'!F12*$B584)-'Business Case'!F11*$C584*'Business Case'!F13*$D584-'Business Case'!F14*$E584))*'Business Case'!$B$7-'Business Case'!$B$8*(('Business Case'!F11*$C584*'Business Case'!F12*$B584)-('Business Case'!E11*$C584*'Business Case'!E12*$B584))-'Business Case'!F15*$F584</f>
        <v>811181779.813671</v>
      </c>
      <c r="M584" s="39" t="n">
        <f aca="false">(('Business Case'!G11*$C584*'Business Case'!G12*$B584)-'Business Case'!G11*$C584*'Business Case'!G13*$D584-'Business Case'!G14*$E584)-MAX(0,(('Business Case'!G11*$C584*'Business Case'!G12*$B584)-'Business Case'!G11*$C584*'Business Case'!G13*$D584-'Business Case'!G14*$E584))*'Business Case'!$B$7-'Business Case'!$B$8*(('Business Case'!G11*$C584*'Business Case'!G12*$B584)-('Business Case'!F11*$C584*'Business Case'!F12*$B584))-'Business Case'!G15*$F584+'Business Case'!$B$8*('Business Case'!G11*$C584*'Business Case'!G12*$B584)</f>
        <v>1002952953.36207</v>
      </c>
      <c r="N584" s="39" t="n">
        <f aca="false">IF(COUNT('Business Case'!B11:G11)=0,"",H584+NPV(G584,I584:M584))</f>
        <v>-33556191.728698</v>
      </c>
      <c r="P584" s="40" t="n">
        <f aca="true">RAND()</f>
        <v>0.70680783472576</v>
      </c>
      <c r="Q584" s="40" t="n">
        <f aca="true">RAND()</f>
        <v>0.691826867376011</v>
      </c>
      <c r="R584" s="40" t="n">
        <f aca="true">RAND()</f>
        <v>0.438581020060542</v>
      </c>
      <c r="S584" s="40" t="n">
        <f aca="true">RAND()</f>
        <v>0.507729563186768</v>
      </c>
      <c r="T584" s="40" t="n">
        <f aca="true">RAND()</f>
        <v>0.334313624643753</v>
      </c>
      <c r="U584" s="40" t="n">
        <f aca="true">RAND()</f>
        <v>0.10040451825669</v>
      </c>
    </row>
    <row r="585" customFormat="false" ht="15" hidden="false" customHeight="false" outlineLevel="0" collapsed="false">
      <c r="A585" s="36" t="n">
        <v>505</v>
      </c>
      <c r="B585" s="37" t="n">
        <f aca="false">1+IF($G$6=$E$6,$F$6,IF(P585&lt;($F$6-$E$6)/($G$6-$E$6),$E$6+SQRT(P585*($G$6-$E$6)*($F$6-$E$6)),$G$6-SQRT((1-P585)*($G$6-$E$6)*($G$6-$F$6))))</f>
        <v>0.94395233573922</v>
      </c>
      <c r="C585" s="37" t="n">
        <f aca="false">1+IF($G$7=$E$7,$F$7,IF(Q585&lt;($F$7-$E$7)/($G$7-$E$7),$E$7+SQRT(Q585*($G$7-$E$7)*($F$7-$E$7)),$G$7-SQRT((1-Q585)*($G$7-$E$7)*($G$7-$F$7))))</f>
        <v>0.89113177069407</v>
      </c>
      <c r="D585" s="37" t="n">
        <f aca="false">1+IF($G$8=$E$8,$F$8,IF(R585&lt;($F$8-$E$8)/($G$8-$E$8),$E$8+SQRT(R585*($G$8-$E$8)*($F$8-$E$8)),$G$8-SQRT((1-R585)*($G$8-$E$8)*($G$8-$F$8))))</f>
        <v>1.03002867467674</v>
      </c>
      <c r="E585" s="37" t="n">
        <f aca="false">1+IF($G$9=$E$9,$F$9,IF(S585&lt;($F$9-$E$9)/($G$9-$E$9),$E$9+SQRT(S585*($G$9-$E$9)*($F$9-$E$9)),$G$9-SQRT((1-S585)*($G$9-$E$9)*($G$9-$F$9))))</f>
        <v>1.12991983555706</v>
      </c>
      <c r="F585" s="37" t="n">
        <f aca="false">1+IF($G$10=$E$10,$F$10,IF(T585&lt;($F$10-$E$10)/($G$10-$E$10),$E$10+SQRT(T585*($G$10-$E$10)*($F$10-$E$10)),$G$10-SQRT((1-T585)*($G$10-$E$10)*($G$10-$F$10))))</f>
        <v>0.995468351342089</v>
      </c>
      <c r="G585" s="38" t="n">
        <f aca="false">IF($G$11=$E$11,$F$11,IF(U585&lt;($F$11-$E$11)/($G$11-$E$11),$E$11+SQRT(U585*($G$11-$E$11)*($F$11-$E$11)),$G$11-SQRT((1-U585)*($G$11-$E$11)*($G$11-$F$11))))</f>
        <v>0.104237900629452</v>
      </c>
      <c r="H585" s="39" t="n">
        <f aca="false">(('Business Case'!B11*$C585*'Business Case'!B12*$B585)-'Business Case'!B11*$C585*'Business Case'!B13*$D585-'Business Case'!B14*$E585)-MAX(0,(('Business Case'!B11*$C585*'Business Case'!B12*$B585)-'Business Case'!B11*$C585*'Business Case'!B13*$D585-'Business Case'!B14*$E585))*'Business Case'!$B$7-'Business Case'!$B$8*('Business Case'!B11*$C585*'Business Case'!B12*$B585)-'Business Case'!B15*$F585</f>
        <v>-1990936702.68418</v>
      </c>
      <c r="I585" s="39" t="n">
        <f aca="false">(('Business Case'!C11*$C585*'Business Case'!C12*$B585)-'Business Case'!C11*$C585*'Business Case'!C13*$D585-'Business Case'!C14*$E585)-MAX(0,(('Business Case'!C11*$C585*'Business Case'!C12*$B585)-'Business Case'!C11*$C585*'Business Case'!C13*$D585-'Business Case'!C14*$E585))*'Business Case'!$B$7-'Business Case'!$B$8*(('Business Case'!C11*$C585*'Business Case'!C12*$B585)-('Business Case'!B11*$C585*'Business Case'!B12*$B585))-'Business Case'!C15*$F585</f>
        <v>-84723585.1242823</v>
      </c>
      <c r="J585" s="39" t="n">
        <f aca="false">(('Business Case'!D11*$C585*'Business Case'!D12*$B585)-'Business Case'!D11*$C585*'Business Case'!D13*$D585-'Business Case'!D14*$E585)-MAX(0,(('Business Case'!D11*$C585*'Business Case'!D12*$B585)-'Business Case'!D11*$C585*'Business Case'!D13*$D585-'Business Case'!D14*$E585))*'Business Case'!$B$7-'Business Case'!$B$8*(('Business Case'!D11*$C585*'Business Case'!D12*$B585)-('Business Case'!C11*$C585*'Business Case'!C12*$B585))-'Business Case'!D15*$F585</f>
        <v>134381343.407936</v>
      </c>
      <c r="K585" s="39" t="n">
        <f aca="false">(('Business Case'!E11*$C585*'Business Case'!E12*$B585)-'Business Case'!E11*$C585*'Business Case'!E13*$D585-'Business Case'!E14*$E585)-MAX(0,(('Business Case'!E11*$C585*'Business Case'!E12*$B585)-'Business Case'!E11*$C585*'Business Case'!E13*$D585-'Business Case'!E14*$E585))*'Business Case'!$B$7-'Business Case'!$B$8*(('Business Case'!E11*$C585*'Business Case'!E12*$B585)-('Business Case'!D11*$C585*'Business Case'!D12*$B585))-'Business Case'!E15*$F585</f>
        <v>403259689.507258</v>
      </c>
      <c r="L585" s="39" t="n">
        <f aca="false">(('Business Case'!F11*$C585*'Business Case'!F12*$B585)-'Business Case'!F11*$C585*'Business Case'!F13*$D585-'Business Case'!F14*$E585)-MAX(0,(('Business Case'!F11*$C585*'Business Case'!F12*$B585)-'Business Case'!F11*$C585*'Business Case'!F13*$D585-'Business Case'!F14*$E585))*'Business Case'!$B$7-'Business Case'!$B$8*(('Business Case'!F11*$C585*'Business Case'!F12*$B585)-('Business Case'!E11*$C585*'Business Case'!E12*$B585))-'Business Case'!F15*$F585</f>
        <v>505366050.955383</v>
      </c>
      <c r="M585" s="39" t="n">
        <f aca="false">(('Business Case'!G11*$C585*'Business Case'!G12*$B585)-'Business Case'!G11*$C585*'Business Case'!G13*$D585-'Business Case'!G14*$E585)-MAX(0,(('Business Case'!G11*$C585*'Business Case'!G12*$B585)-'Business Case'!G11*$C585*'Business Case'!G13*$D585-'Business Case'!G14*$E585))*'Business Case'!$B$7-'Business Case'!$B$8*(('Business Case'!G11*$C585*'Business Case'!G12*$B585)-('Business Case'!F11*$C585*'Business Case'!F12*$B585))-'Business Case'!G15*$F585+'Business Case'!$B$8*('Business Case'!G11*$C585*'Business Case'!G12*$B585)</f>
        <v>665258669.944332</v>
      </c>
      <c r="N585" s="39" t="n">
        <f aca="false">IF(COUNT('Business Case'!B11:G11)=0,"",H585+NPV(G585,I585:M585))</f>
        <v>-912843679.176797</v>
      </c>
      <c r="P585" s="40" t="n">
        <f aca="true">RAND()</f>
        <v>0.12878718779554</v>
      </c>
      <c r="Q585" s="40" t="n">
        <f aca="true">RAND()</f>
        <v>0.270602620508522</v>
      </c>
      <c r="R585" s="40" t="n">
        <f aca="true">RAND()</f>
        <v>0.673600908833788</v>
      </c>
      <c r="S585" s="40" t="n">
        <f aca="true">RAND()</f>
        <v>0.989247653225192</v>
      </c>
      <c r="T585" s="40" t="n">
        <f aca="true">RAND()</f>
        <v>0.137824731584508</v>
      </c>
      <c r="U585" s="40" t="n">
        <f aca="true">RAND()</f>
        <v>0.557542824014677</v>
      </c>
    </row>
    <row r="586" customFormat="false" ht="15" hidden="false" customHeight="false" outlineLevel="0" collapsed="false">
      <c r="A586" s="36" t="n">
        <v>506</v>
      </c>
      <c r="B586" s="37" t="n">
        <f aca="false">1+IF($G$6=$E$6,$F$6,IF(P586&lt;($F$6-$E$6)/($G$6-$E$6),$E$6+SQRT(P586*($G$6-$E$6)*($F$6-$E$6)),$G$6-SQRT((1-P586)*($G$6-$E$6)*($G$6-$F$6))))</f>
        <v>0.954931139244112</v>
      </c>
      <c r="C586" s="37" t="n">
        <f aca="false">1+IF($G$7=$E$7,$F$7,IF(Q586&lt;($F$7-$E$7)/($G$7-$E$7),$E$7+SQRT(Q586*($G$7-$E$7)*($F$7-$E$7)),$G$7-SQRT((1-Q586)*($G$7-$E$7)*($G$7-$F$7))))</f>
        <v>1.01246094975814</v>
      </c>
      <c r="D586" s="37" t="n">
        <f aca="false">1+IF($G$8=$E$8,$F$8,IF(R586&lt;($F$8-$E$8)/($G$8-$E$8),$E$8+SQRT(R586*($G$8-$E$8)*($F$8-$E$8)),$G$8-SQRT((1-R586)*($G$8-$E$8)*($G$8-$F$8))))</f>
        <v>0.976559524806577</v>
      </c>
      <c r="E586" s="37" t="n">
        <f aca="false">1+IF($G$9=$E$9,$F$9,IF(S586&lt;($F$9-$E$9)/($G$9-$E$9),$E$9+SQRT(S586*($G$9-$E$9)*($F$9-$E$9)),$G$9-SQRT((1-S586)*($G$9-$E$9)*($G$9-$F$9))))</f>
        <v>1.11230976455314</v>
      </c>
      <c r="F586" s="37" t="n">
        <f aca="false">1+IF($G$10=$E$10,$F$10,IF(T586&lt;($F$10-$E$10)/($G$10-$E$10),$E$10+SQRT(T586*($G$10-$E$10)*($F$10-$E$10)),$G$10-SQRT((1-T586)*($G$10-$E$10)*($G$10-$F$10))))</f>
        <v>1.10309969226357</v>
      </c>
      <c r="G586" s="38" t="n">
        <f aca="false">IF($G$11=$E$11,$F$11,IF(U586&lt;($F$11-$E$11)/($G$11-$E$11),$E$11+SQRT(U586*($G$11-$E$11)*($F$11-$E$11)),$G$11-SQRT((1-U586)*($G$11-$E$11)*($G$11-$F$11))))</f>
        <v>0.103985231880228</v>
      </c>
      <c r="H586" s="39" t="n">
        <f aca="false">(('Business Case'!B11*$C586*'Business Case'!B12*$B586)-'Business Case'!B11*$C586*'Business Case'!B13*$D586-'Business Case'!B14*$E586)-MAX(0,(('Business Case'!B11*$C586*'Business Case'!B12*$B586)-'Business Case'!B11*$C586*'Business Case'!B13*$D586-'Business Case'!B14*$E586))*'Business Case'!$B$7-'Business Case'!$B$8*('Business Case'!B11*$C586*'Business Case'!B12*$B586)-'Business Case'!B15*$F586</f>
        <v>-2206199384.52714</v>
      </c>
      <c r="I586" s="39" t="n">
        <f aca="false">(('Business Case'!C11*$C586*'Business Case'!C12*$B586)-'Business Case'!C11*$C586*'Business Case'!C13*$D586-'Business Case'!C14*$E586)-MAX(0,(('Business Case'!C11*$C586*'Business Case'!C12*$B586)-'Business Case'!C11*$C586*'Business Case'!C13*$D586-'Business Case'!C14*$E586))*'Business Case'!$B$7-'Business Case'!$B$8*(('Business Case'!C11*$C586*'Business Case'!C12*$B586)-('Business Case'!B11*$C586*'Business Case'!B12*$B586))-'Business Case'!C15*$F586</f>
        <v>-32846962.9563061</v>
      </c>
      <c r="J586" s="39" t="n">
        <f aca="false">(('Business Case'!D11*$C586*'Business Case'!D12*$B586)-'Business Case'!D11*$C586*'Business Case'!D13*$D586-'Business Case'!D14*$E586)-MAX(0,(('Business Case'!D11*$C586*'Business Case'!D12*$B586)-'Business Case'!D11*$C586*'Business Case'!D13*$D586-'Business Case'!D14*$E586))*'Business Case'!$B$7-'Business Case'!$B$8*(('Business Case'!D11*$C586*'Business Case'!D12*$B586)-('Business Case'!C11*$C586*'Business Case'!C12*$B586))-'Business Case'!D15*$F586</f>
        <v>252906984.341111</v>
      </c>
      <c r="K586" s="39" t="n">
        <f aca="false">(('Business Case'!E11*$C586*'Business Case'!E12*$B586)-'Business Case'!E11*$C586*'Business Case'!E13*$D586-'Business Case'!E14*$E586)-MAX(0,(('Business Case'!E11*$C586*'Business Case'!E12*$B586)-'Business Case'!E11*$C586*'Business Case'!E13*$D586-'Business Case'!E14*$E586))*'Business Case'!$B$7-'Business Case'!$B$8*(('Business Case'!E11*$C586*'Business Case'!E12*$B586)-('Business Case'!D11*$C586*'Business Case'!D12*$B586))-'Business Case'!E15*$F586</f>
        <v>593815916.251707</v>
      </c>
      <c r="L586" s="39" t="n">
        <f aca="false">(('Business Case'!F11*$C586*'Business Case'!F12*$B586)-'Business Case'!F11*$C586*'Business Case'!F13*$D586-'Business Case'!F14*$E586)-MAX(0,(('Business Case'!F11*$C586*'Business Case'!F12*$B586)-'Business Case'!F11*$C586*'Business Case'!F13*$D586-'Business Case'!F14*$E586))*'Business Case'!$B$7-'Business Case'!$B$8*(('Business Case'!F11*$C586*'Business Case'!F12*$B586)-('Business Case'!E11*$C586*'Business Case'!E12*$B586))-'Business Case'!F15*$F586</f>
        <v>722480893.689453</v>
      </c>
      <c r="M586" s="39" t="n">
        <f aca="false">(('Business Case'!G11*$C586*'Business Case'!G12*$B586)-'Business Case'!G11*$C586*'Business Case'!G13*$D586-'Business Case'!G14*$E586)-MAX(0,(('Business Case'!G11*$C586*'Business Case'!G12*$B586)-'Business Case'!G11*$C586*'Business Case'!G13*$D586-'Business Case'!G14*$E586))*'Business Case'!$B$7-'Business Case'!$B$8*(('Business Case'!G11*$C586*'Business Case'!G12*$B586)-('Business Case'!F11*$C586*'Business Case'!F12*$B586))-'Business Case'!G15*$F586+'Business Case'!$B$8*('Business Case'!G11*$C586*'Business Case'!G12*$B586)</f>
        <v>906256032.885124</v>
      </c>
      <c r="N586" s="39" t="n">
        <f aca="false">IF(COUNT('Business Case'!B11:G11)=0,"",H586+NPV(G586,I586:M586))</f>
        <v>-548108673.248661</v>
      </c>
      <c r="P586" s="40" t="n">
        <f aca="true">RAND()</f>
        <v>0.201162003910399</v>
      </c>
      <c r="Q586" s="40" t="n">
        <f aca="true">RAND()</f>
        <v>0.719748291238024</v>
      </c>
      <c r="R586" s="40" t="n">
        <f aca="true">RAND()</f>
        <v>0.094054447726826</v>
      </c>
      <c r="S586" s="40" t="n">
        <f aca="true">RAND()</f>
        <v>0.96211856405227</v>
      </c>
      <c r="T586" s="40" t="n">
        <f aca="true">RAND()</f>
        <v>0.712270661159224</v>
      </c>
      <c r="U586" s="40" t="n">
        <f aca="true">RAND()</f>
        <v>0.548821226449661</v>
      </c>
    </row>
    <row r="587" customFormat="false" ht="15" hidden="false" customHeight="false" outlineLevel="0" collapsed="false">
      <c r="A587" s="36" t="n">
        <v>507</v>
      </c>
      <c r="B587" s="37" t="n">
        <f aca="false">1+IF($G$6=$E$6,$F$6,IF(P587&lt;($F$6-$E$6)/($G$6-$E$6),$E$6+SQRT(P587*($G$6-$E$6)*($F$6-$E$6)),$G$6-SQRT((1-P587)*($G$6-$E$6)*($G$6-$F$6))))</f>
        <v>0.989640454783328</v>
      </c>
      <c r="C587" s="37" t="n">
        <f aca="false">1+IF($G$7=$E$7,$F$7,IF(Q587&lt;($F$7-$E$7)/($G$7-$E$7),$E$7+SQRT(Q587*($G$7-$E$7)*($F$7-$E$7)),$G$7-SQRT((1-Q587)*($G$7-$E$7)*($G$7-$F$7))))</f>
        <v>0.996486107717997</v>
      </c>
      <c r="D587" s="37" t="n">
        <f aca="false">1+IF($G$8=$E$8,$F$8,IF(R587&lt;($F$8-$E$8)/($G$8-$E$8),$E$8+SQRT(R587*($G$8-$E$8)*($F$8-$E$8)),$G$8-SQRT((1-R587)*($G$8-$E$8)*($G$8-$F$8))))</f>
        <v>0.995222863194873</v>
      </c>
      <c r="E587" s="37" t="n">
        <f aca="false">1+IF($G$9=$E$9,$F$9,IF(S587&lt;($F$9-$E$9)/($G$9-$E$9),$E$9+SQRT(S587*($G$9-$E$9)*($F$9-$E$9)),$G$9-SQRT((1-S587)*($G$9-$E$9)*($G$9-$F$9))))</f>
        <v>1.00309647994711</v>
      </c>
      <c r="F587" s="37" t="n">
        <f aca="false">1+IF($G$10=$E$10,$F$10,IF(T587&lt;($F$10-$E$10)/($G$10-$E$10),$E$10+SQRT(T587*($G$10-$E$10)*($F$10-$E$10)),$G$10-SQRT((1-T587)*($G$10-$E$10)*($G$10-$F$10))))</f>
        <v>1.0134429623484</v>
      </c>
      <c r="G587" s="38" t="n">
        <f aca="false">IF($G$11=$E$11,$F$11,IF(U587&lt;($F$11-$E$11)/($G$11-$E$11),$E$11+SQRT(U587*($G$11-$E$11)*($F$11-$E$11)),$G$11-SQRT((1-U587)*($G$11-$E$11)*($G$11-$F$11))))</f>
        <v>0.090257978561954</v>
      </c>
      <c r="H587" s="39" t="n">
        <f aca="false">(('Business Case'!B11*$C587*'Business Case'!B12*$B587)-'Business Case'!B11*$C587*'Business Case'!B13*$D587-'Business Case'!B14*$E587)-MAX(0,(('Business Case'!B11*$C587*'Business Case'!B12*$B587)-'Business Case'!B11*$C587*'Business Case'!B13*$D587-'Business Case'!B14*$E587))*'Business Case'!$B$7-'Business Case'!$B$8*('Business Case'!B11*$C587*'Business Case'!B12*$B587)-'Business Case'!B15*$F587</f>
        <v>-2026885924.69681</v>
      </c>
      <c r="I587" s="39" t="n">
        <f aca="false">(('Business Case'!C11*$C587*'Business Case'!C12*$B587)-'Business Case'!C11*$C587*'Business Case'!C13*$D587-'Business Case'!C14*$E587)-MAX(0,(('Business Case'!C11*$C587*'Business Case'!C12*$B587)-'Business Case'!C11*$C587*'Business Case'!C13*$D587-'Business Case'!C14*$E587))*'Business Case'!$B$7-'Business Case'!$B$8*(('Business Case'!C11*$C587*'Business Case'!C12*$B587)-('Business Case'!B11*$C587*'Business Case'!B12*$B587))-'Business Case'!C15*$F587</f>
        <v>4946918.49205096</v>
      </c>
      <c r="J587" s="39" t="n">
        <f aca="false">(('Business Case'!D11*$C587*'Business Case'!D12*$B587)-'Business Case'!D11*$C587*'Business Case'!D13*$D587-'Business Case'!D14*$E587)-MAX(0,(('Business Case'!D11*$C587*'Business Case'!D12*$B587)-'Business Case'!D11*$C587*'Business Case'!D13*$D587-'Business Case'!D14*$E587))*'Business Case'!$B$7-'Business Case'!$B$8*(('Business Case'!D11*$C587*'Business Case'!D12*$B587)-('Business Case'!C11*$C587*'Business Case'!C12*$B587))-'Business Case'!D15*$F587</f>
        <v>305001140.76407</v>
      </c>
      <c r="K587" s="39" t="n">
        <f aca="false">(('Business Case'!E11*$C587*'Business Case'!E12*$B587)-'Business Case'!E11*$C587*'Business Case'!E13*$D587-'Business Case'!E14*$E587)-MAX(0,(('Business Case'!E11*$C587*'Business Case'!E12*$B587)-'Business Case'!E11*$C587*'Business Case'!E13*$D587-'Business Case'!E14*$E587))*'Business Case'!$B$7-'Business Case'!$B$8*(('Business Case'!E11*$C587*'Business Case'!E12*$B587)-('Business Case'!D11*$C587*'Business Case'!D12*$B587))-'Business Case'!E15*$F587</f>
        <v>655727511.153508</v>
      </c>
      <c r="L587" s="39" t="n">
        <f aca="false">(('Business Case'!F11*$C587*'Business Case'!F12*$B587)-'Business Case'!F11*$C587*'Business Case'!F13*$D587-'Business Case'!F14*$E587)-MAX(0,(('Business Case'!F11*$C587*'Business Case'!F12*$B587)-'Business Case'!F11*$C587*'Business Case'!F13*$D587-'Business Case'!F14*$E587))*'Business Case'!$B$7-'Business Case'!$B$8*(('Business Case'!F11*$C587*'Business Case'!F12*$B587)-('Business Case'!E11*$C587*'Business Case'!E12*$B587))-'Business Case'!F15*$F587</f>
        <v>789827377.308614</v>
      </c>
      <c r="M587" s="39" t="n">
        <f aca="false">(('Business Case'!G11*$C587*'Business Case'!G12*$B587)-'Business Case'!G11*$C587*'Business Case'!G13*$D587-'Business Case'!G14*$E587)-MAX(0,(('Business Case'!G11*$C587*'Business Case'!G12*$B587)-'Business Case'!G11*$C587*'Business Case'!G13*$D587-'Business Case'!G14*$E587))*'Business Case'!$B$7-'Business Case'!$B$8*(('Business Case'!G11*$C587*'Business Case'!G12*$B587)-('Business Case'!F11*$C587*'Business Case'!F12*$B587))-'Business Case'!G15*$F587+'Business Case'!$B$8*('Business Case'!G11*$C587*'Business Case'!G12*$B587)</f>
        <v>977277233.662988</v>
      </c>
      <c r="N587" s="39" t="n">
        <f aca="false">IF(COUNT('Business Case'!B11:G11)=0,"",H587+NPV(G587,I587:M587))</f>
        <v>-66357794.5520477</v>
      </c>
      <c r="P587" s="40" t="n">
        <f aca="true">RAND()</f>
        <v>0.535694075584126</v>
      </c>
      <c r="Q587" s="40" t="n">
        <f aca="true">RAND()</f>
        <v>0.651140830146428</v>
      </c>
      <c r="R587" s="40" t="n">
        <f aca="true">RAND()</f>
        <v>0.272680980738957</v>
      </c>
      <c r="S587" s="40" t="n">
        <f aca="true">RAND()</f>
        <v>0.424516154561906</v>
      </c>
      <c r="T587" s="40" t="n">
        <f aca="true">RAND()</f>
        <v>0.253876905833351</v>
      </c>
      <c r="U587" s="40" t="n">
        <f aca="true">RAND()</f>
        <v>0.105226124177508</v>
      </c>
    </row>
    <row r="588" customFormat="false" ht="15" hidden="false" customHeight="false" outlineLevel="0" collapsed="false">
      <c r="A588" s="36" t="n">
        <v>508</v>
      </c>
      <c r="B588" s="37" t="n">
        <f aca="false">1+IF($G$6=$E$6,$F$6,IF(P588&lt;($F$6-$E$6)/($G$6-$E$6),$E$6+SQRT(P588*($G$6-$E$6)*($F$6-$E$6)),$G$6-SQRT((1-P588)*($G$6-$E$6)*($G$6-$F$6))))</f>
        <v>0.990677254371217</v>
      </c>
      <c r="C588" s="37" t="n">
        <f aca="false">1+IF($G$7=$E$7,$F$7,IF(Q588&lt;($F$7-$E$7)/($G$7-$E$7),$E$7+SQRT(Q588*($G$7-$E$7)*($F$7-$E$7)),$G$7-SQRT((1-Q588)*($G$7-$E$7)*($G$7-$F$7))))</f>
        <v>0.851712298046394</v>
      </c>
      <c r="D588" s="37" t="n">
        <f aca="false">1+IF($G$8=$E$8,$F$8,IF(R588&lt;($F$8-$E$8)/($G$8-$E$8),$E$8+SQRT(R588*($G$8-$E$8)*($F$8-$E$8)),$G$8-SQRT((1-R588)*($G$8-$E$8)*($G$8-$F$8))))</f>
        <v>1.02337158432531</v>
      </c>
      <c r="E588" s="37" t="n">
        <f aca="false">1+IF($G$9=$E$9,$F$9,IF(S588&lt;($F$9-$E$9)/($G$9-$E$9),$E$9+SQRT(S588*($G$9-$E$9)*($F$9-$E$9)),$G$9-SQRT((1-S588)*($G$9-$E$9)*($G$9-$F$9))))</f>
        <v>1.02140410520223</v>
      </c>
      <c r="F588" s="37" t="n">
        <f aca="false">1+IF($G$10=$E$10,$F$10,IF(T588&lt;($F$10-$E$10)/($G$10-$E$10),$E$10+SQRT(T588*($G$10-$E$10)*($F$10-$E$10)),$G$10-SQRT((1-T588)*($G$10-$E$10)*($G$10-$F$10))))</f>
        <v>0.990590721757486</v>
      </c>
      <c r="G588" s="38" t="n">
        <f aca="false">IF($G$11=$E$11,$F$11,IF(U588&lt;($F$11-$E$11)/($G$11-$E$11),$E$11+SQRT(U588*($G$11-$E$11)*($F$11-$E$11)),$G$11-SQRT((1-U588)*($G$11-$E$11)*($G$11-$F$11))))</f>
        <v>0.0969402141040559</v>
      </c>
      <c r="H588" s="39" t="n">
        <f aca="false">(('Business Case'!B11*$C588*'Business Case'!B12*$B588)-'Business Case'!B11*$C588*'Business Case'!B13*$D588-'Business Case'!B14*$E588)-MAX(0,(('Business Case'!B11*$C588*'Business Case'!B12*$B588)-'Business Case'!B11*$C588*'Business Case'!B13*$D588-'Business Case'!B14*$E588))*'Business Case'!$B$7-'Business Case'!$B$8*('Business Case'!B11*$C588*'Business Case'!B12*$B588)-'Business Case'!B15*$F588</f>
        <v>-1981181443.51497</v>
      </c>
      <c r="I588" s="39" t="n">
        <f aca="false">(('Business Case'!C11*$C588*'Business Case'!C12*$B588)-'Business Case'!C11*$C588*'Business Case'!C13*$D588-'Business Case'!C14*$E588)-MAX(0,(('Business Case'!C11*$C588*'Business Case'!C12*$B588)-'Business Case'!C11*$C588*'Business Case'!C13*$D588-'Business Case'!C14*$E588))*'Business Case'!$B$7-'Business Case'!$B$8*(('Business Case'!C11*$C588*'Business Case'!C12*$B588)-('Business Case'!B11*$C588*'Business Case'!B12*$B588))-'Business Case'!C15*$F588</f>
        <v>-43132626.541691</v>
      </c>
      <c r="J588" s="39" t="n">
        <f aca="false">(('Business Case'!D11*$C588*'Business Case'!D12*$B588)-'Business Case'!D11*$C588*'Business Case'!D13*$D588-'Business Case'!D14*$E588)-MAX(0,(('Business Case'!D11*$C588*'Business Case'!D12*$B588)-'Business Case'!D11*$C588*'Business Case'!D13*$D588-'Business Case'!D14*$E588))*'Business Case'!$B$7-'Business Case'!$B$8*(('Business Case'!D11*$C588*'Business Case'!D12*$B588)-('Business Case'!C11*$C588*'Business Case'!C12*$B588))-'Business Case'!D15*$F588</f>
        <v>201778623.380999</v>
      </c>
      <c r="K588" s="39" t="n">
        <f aca="false">(('Business Case'!E11*$C588*'Business Case'!E12*$B588)-'Business Case'!E11*$C588*'Business Case'!E13*$D588-'Business Case'!E14*$E588)-MAX(0,(('Business Case'!E11*$C588*'Business Case'!E12*$B588)-'Business Case'!E11*$C588*'Business Case'!E13*$D588-'Business Case'!E14*$E588))*'Business Case'!$B$7-'Business Case'!$B$8*(('Business Case'!E11*$C588*'Business Case'!E12*$B588)-('Business Case'!D11*$C588*'Business Case'!D12*$B588))-'Business Case'!E15*$F588</f>
        <v>496219409.391563</v>
      </c>
      <c r="L588" s="39" t="n">
        <f aca="false">(('Business Case'!F11*$C588*'Business Case'!F12*$B588)-'Business Case'!F11*$C588*'Business Case'!F13*$D588-'Business Case'!F14*$E588)-MAX(0,(('Business Case'!F11*$C588*'Business Case'!F12*$B588)-'Business Case'!F11*$C588*'Business Case'!F13*$D588-'Business Case'!F14*$E588))*'Business Case'!$B$7-'Business Case'!$B$8*(('Business Case'!F11*$C588*'Business Case'!F12*$B588)-('Business Case'!E11*$C588*'Business Case'!E12*$B588))-'Business Case'!F15*$F588</f>
        <v>607017253.051709</v>
      </c>
      <c r="M588" s="39" t="n">
        <f aca="false">(('Business Case'!G11*$C588*'Business Case'!G12*$B588)-'Business Case'!G11*$C588*'Business Case'!G13*$D588-'Business Case'!G14*$E588)-MAX(0,(('Business Case'!G11*$C588*'Business Case'!G12*$B588)-'Business Case'!G11*$C588*'Business Case'!G13*$D588-'Business Case'!G14*$E588))*'Business Case'!$B$7-'Business Case'!$B$8*(('Business Case'!G11*$C588*'Business Case'!G12*$B588)-('Business Case'!F11*$C588*'Business Case'!F12*$B588))-'Business Case'!G15*$F588+'Business Case'!$B$8*('Business Case'!G11*$C588*'Business Case'!G12*$B588)</f>
        <v>767401434.990917</v>
      </c>
      <c r="N588" s="39" t="n">
        <f aca="false">IF(COUNT('Business Case'!B11:G11)=0,"",H588+NPV(G588,I588:M588))</f>
        <v>-574441007.842131</v>
      </c>
      <c r="P588" s="40" t="n">
        <f aca="true">RAND()</f>
        <v>0.548157630686821</v>
      </c>
      <c r="Q588" s="40" t="n">
        <f aca="true">RAND()</f>
        <v>0.170493491692724</v>
      </c>
      <c r="R588" s="40" t="n">
        <f aca="true">RAND()</f>
        <v>0.608539060745832</v>
      </c>
      <c r="S588" s="40" t="n">
        <f aca="true">RAND()</f>
        <v>0.559015889097635</v>
      </c>
      <c r="T588" s="40" t="n">
        <f aca="true">RAND()</f>
        <v>0.109840446186245</v>
      </c>
      <c r="U588" s="40" t="n">
        <f aca="true">RAND()</f>
        <v>0.286970853891255</v>
      </c>
    </row>
    <row r="589" customFormat="false" ht="15" hidden="false" customHeight="false" outlineLevel="0" collapsed="false">
      <c r="A589" s="36" t="n">
        <v>509</v>
      </c>
      <c r="B589" s="37" t="n">
        <f aca="false">1+IF($G$6=$E$6,$F$6,IF(P589&lt;($F$6-$E$6)/($G$6-$E$6),$E$6+SQRT(P589*($G$6-$E$6)*($F$6-$E$6)),$G$6-SQRT((1-P589)*($G$6-$E$6)*($G$6-$F$6))))</f>
        <v>0.925785936686127</v>
      </c>
      <c r="C589" s="37" t="n">
        <f aca="false">1+IF($G$7=$E$7,$F$7,IF(Q589&lt;($F$7-$E$7)/($G$7-$E$7),$E$7+SQRT(Q589*($G$7-$E$7)*($F$7-$E$7)),$G$7-SQRT((1-Q589)*($G$7-$E$7)*($G$7-$F$7))))</f>
        <v>0.858043245619272</v>
      </c>
      <c r="D589" s="37" t="n">
        <f aca="false">1+IF($G$8=$E$8,$F$8,IF(R589&lt;($F$8-$E$8)/($G$8-$E$8),$E$8+SQRT(R589*($G$8-$E$8)*($F$8-$E$8)),$G$8-SQRT((1-R589)*($G$8-$E$8)*($G$8-$F$8))))</f>
        <v>1.00395412999245</v>
      </c>
      <c r="E589" s="37" t="n">
        <f aca="false">1+IF($G$9=$E$9,$F$9,IF(S589&lt;($F$9-$E$9)/($G$9-$E$9),$E$9+SQRT(S589*($G$9-$E$9)*($F$9-$E$9)),$G$9-SQRT((1-S589)*($G$9-$E$9)*($G$9-$F$9))))</f>
        <v>1.10888463835604</v>
      </c>
      <c r="F589" s="37" t="n">
        <f aca="false">1+IF($G$10=$E$10,$F$10,IF(T589&lt;($F$10-$E$10)/($G$10-$E$10),$E$10+SQRT(T589*($G$10-$E$10)*($F$10-$E$10)),$G$10-SQRT((1-T589)*($G$10-$E$10)*($G$10-$F$10))))</f>
        <v>1.02789726736561</v>
      </c>
      <c r="G589" s="38" t="n">
        <f aca="false">IF($G$11=$E$11,$F$11,IF(U589&lt;($F$11-$E$11)/($G$11-$E$11),$E$11+SQRT(U589*($G$11-$E$11)*($F$11-$E$11)),$G$11-SQRT((1-U589)*($G$11-$E$11)*($G$11-$F$11))))</f>
        <v>0.106871420544496</v>
      </c>
      <c r="H589" s="39" t="n">
        <f aca="false">(('Business Case'!B11*$C589*'Business Case'!B12*$B589)-'Business Case'!B11*$C589*'Business Case'!B13*$D589-'Business Case'!B14*$E589)-MAX(0,(('Business Case'!B11*$C589*'Business Case'!B12*$B589)-'Business Case'!B11*$C589*'Business Case'!B13*$D589-'Business Case'!B14*$E589))*'Business Case'!$B$7-'Business Case'!$B$8*('Business Case'!B11*$C589*'Business Case'!B12*$B589)-'Business Case'!B15*$F589</f>
        <v>-2055794534.73122</v>
      </c>
      <c r="I589" s="39" t="n">
        <f aca="false">(('Business Case'!C11*$C589*'Business Case'!C12*$B589)-'Business Case'!C11*$C589*'Business Case'!C13*$D589-'Business Case'!C14*$E589)-MAX(0,(('Business Case'!C11*$C589*'Business Case'!C12*$B589)-'Business Case'!C11*$C589*'Business Case'!C13*$D589-'Business Case'!C14*$E589))*'Business Case'!$B$7-'Business Case'!$B$8*(('Business Case'!C11*$C589*'Business Case'!C12*$B589)-('Business Case'!B11*$C589*'Business Case'!B12*$B589))-'Business Case'!C15*$F589</f>
        <v>-91997706.0049835</v>
      </c>
      <c r="J589" s="39" t="n">
        <f aca="false">(('Business Case'!D11*$C589*'Business Case'!D12*$B589)-'Business Case'!D11*$C589*'Business Case'!D13*$D589-'Business Case'!D14*$E589)-MAX(0,(('Business Case'!D11*$C589*'Business Case'!D12*$B589)-'Business Case'!D11*$C589*'Business Case'!D13*$D589-'Business Case'!D14*$E589))*'Business Case'!$B$7-'Business Case'!$B$8*(('Business Case'!D11*$C589*'Business Case'!D12*$B589)-('Business Case'!C11*$C589*'Business Case'!C12*$B589))-'Business Case'!D15*$F589</f>
        <v>117657559.234512</v>
      </c>
      <c r="K589" s="39" t="n">
        <f aca="false">(('Business Case'!E11*$C589*'Business Case'!E12*$B589)-'Business Case'!E11*$C589*'Business Case'!E13*$D589-'Business Case'!E14*$E589)-MAX(0,(('Business Case'!E11*$C589*'Business Case'!E12*$B589)-'Business Case'!E11*$C589*'Business Case'!E13*$D589-'Business Case'!E14*$E589))*'Business Case'!$B$7-'Business Case'!$B$8*(('Business Case'!E11*$C589*'Business Case'!E12*$B589)-('Business Case'!D11*$C589*'Business Case'!D12*$B589))-'Business Case'!E15*$F589</f>
        <v>378707687.842287</v>
      </c>
      <c r="L589" s="39" t="n">
        <f aca="false">(('Business Case'!F11*$C589*'Business Case'!F12*$B589)-'Business Case'!F11*$C589*'Business Case'!F13*$D589-'Business Case'!F14*$E589)-MAX(0,(('Business Case'!F11*$C589*'Business Case'!F12*$B589)-'Business Case'!F11*$C589*'Business Case'!F13*$D589-'Business Case'!F14*$E589))*'Business Case'!$B$7-'Business Case'!$B$8*(('Business Case'!F11*$C589*'Business Case'!F12*$B589)-('Business Case'!E11*$C589*'Business Case'!E12*$B589))-'Business Case'!F15*$F589</f>
        <v>476046008.877912</v>
      </c>
      <c r="M589" s="39" t="n">
        <f aca="false">(('Business Case'!G11*$C589*'Business Case'!G12*$B589)-'Business Case'!G11*$C589*'Business Case'!G13*$D589-'Business Case'!G14*$E589)-MAX(0,(('Business Case'!G11*$C589*'Business Case'!G12*$B589)-'Business Case'!G11*$C589*'Business Case'!G13*$D589-'Business Case'!G14*$E589))*'Business Case'!$B$7-'Business Case'!$B$8*(('Business Case'!G11*$C589*'Business Case'!G12*$B589)-('Business Case'!F11*$C589*'Business Case'!F12*$B589))-'Business Case'!G15*$F589+'Business Case'!$B$8*('Business Case'!G11*$C589*'Business Case'!G12*$B589)</f>
        <v>627038788.301441</v>
      </c>
      <c r="N589" s="39" t="n">
        <f aca="false">IF(COUNT('Business Case'!B11:G11)=0,"",H589+NPV(G589,I589:M589))</f>
        <v>-1069060528.54122</v>
      </c>
      <c r="P589" s="40" t="n">
        <f aca="true">RAND()</f>
        <v>0.0443276353853953</v>
      </c>
      <c r="Q589" s="40" t="n">
        <f aca="true">RAND()</f>
        <v>0.185019759154618</v>
      </c>
      <c r="R589" s="40" t="n">
        <f aca="true">RAND()</f>
        <v>0.385012723632805</v>
      </c>
      <c r="S589" s="40" t="n">
        <f aca="true">RAND()</f>
        <v>0.954920720983626</v>
      </c>
      <c r="T589" s="40" t="n">
        <f aca="true">RAND()</f>
        <v>0.342271682084475</v>
      </c>
      <c r="U589" s="40" t="n">
        <f aca="true">RAND()</f>
        <v>0.643379208246956</v>
      </c>
    </row>
    <row r="590" customFormat="false" ht="15" hidden="false" customHeight="false" outlineLevel="0" collapsed="false">
      <c r="A590" s="36" t="n">
        <v>510</v>
      </c>
      <c r="B590" s="37" t="n">
        <f aca="false">1+IF($G$6=$E$6,$F$6,IF(P590&lt;($F$6-$E$6)/($G$6-$E$6),$E$6+SQRT(P590*($G$6-$E$6)*($F$6-$E$6)),$G$6-SQRT((1-P590)*($G$6-$E$6)*($G$6-$F$6))))</f>
        <v>1.00973803911843</v>
      </c>
      <c r="C590" s="37" t="n">
        <f aca="false">1+IF($G$7=$E$7,$F$7,IF(Q590&lt;($F$7-$E$7)/($G$7-$E$7),$E$7+SQRT(Q590*($G$7-$E$7)*($F$7-$E$7)),$G$7-SQRT((1-Q590)*($G$7-$E$7)*($G$7-$F$7))))</f>
        <v>0.888627636555833</v>
      </c>
      <c r="D590" s="37" t="n">
        <f aca="false">1+IF($G$8=$E$8,$F$8,IF(R590&lt;($F$8-$E$8)/($G$8-$E$8),$E$8+SQRT(R590*($G$8-$E$8)*($F$8-$E$8)),$G$8-SQRT((1-R590)*($G$8-$E$8)*($G$8-$F$8))))</f>
        <v>0.996234312215676</v>
      </c>
      <c r="E590" s="37" t="n">
        <f aca="false">1+IF($G$9=$E$9,$F$9,IF(S590&lt;($F$9-$E$9)/($G$9-$E$9),$E$9+SQRT(S590*($G$9-$E$9)*($F$9-$E$9)),$G$9-SQRT((1-S590)*($G$9-$E$9)*($G$9-$F$9))))</f>
        <v>0.984223457831147</v>
      </c>
      <c r="F590" s="37" t="n">
        <f aca="false">1+IF($G$10=$E$10,$F$10,IF(T590&lt;($F$10-$E$10)/($G$10-$E$10),$E$10+SQRT(T590*($G$10-$E$10)*($F$10-$E$10)),$G$10-SQRT((1-T590)*($G$10-$E$10)*($G$10-$F$10))))</f>
        <v>1.01123613253918</v>
      </c>
      <c r="G590" s="38" t="n">
        <f aca="false">IF($G$11=$E$11,$F$11,IF(U590&lt;($F$11-$E$11)/($G$11-$E$11),$E$11+SQRT(U590*($G$11-$E$11)*($F$11-$E$11)),$G$11-SQRT((1-U590)*($G$11-$E$11)*($G$11-$F$11))))</f>
        <v>0.116761350174596</v>
      </c>
      <c r="H590" s="39" t="n">
        <f aca="false">(('Business Case'!B11*$C590*'Business Case'!B12*$B590)-'Business Case'!B11*$C590*'Business Case'!B13*$D590-'Business Case'!B14*$E590)-MAX(0,(('Business Case'!B11*$C590*'Business Case'!B12*$B590)-'Business Case'!B11*$C590*'Business Case'!B13*$D590-'Business Case'!B14*$E590))*'Business Case'!$B$7-'Business Case'!$B$8*('Business Case'!B11*$C590*'Business Case'!B12*$B590)-'Business Case'!B15*$F590</f>
        <v>-2022472265.07837</v>
      </c>
      <c r="I590" s="39" t="n">
        <f aca="false">(('Business Case'!C11*$C590*'Business Case'!C12*$B590)-'Business Case'!C11*$C590*'Business Case'!C13*$D590-'Business Case'!C14*$E590)-MAX(0,(('Business Case'!C11*$C590*'Business Case'!C12*$B590)-'Business Case'!C11*$C590*'Business Case'!C13*$D590-'Business Case'!C14*$E590))*'Business Case'!$B$7-'Business Case'!$B$8*(('Business Case'!C11*$C590*'Business Case'!C12*$B590)-('Business Case'!B11*$C590*'Business Case'!B12*$B590))-'Business Case'!C15*$F590</f>
        <v>-5850619.90159792</v>
      </c>
      <c r="J590" s="39" t="n">
        <f aca="false">(('Business Case'!D11*$C590*'Business Case'!D12*$B590)-'Business Case'!D11*$C590*'Business Case'!D13*$D590-'Business Case'!D14*$E590)-MAX(0,(('Business Case'!D11*$C590*'Business Case'!D12*$B590)-'Business Case'!D11*$C590*'Business Case'!D13*$D590-'Business Case'!D14*$E590))*'Business Case'!$B$7-'Business Case'!$B$8*(('Business Case'!D11*$C590*'Business Case'!D12*$B590)-('Business Case'!C11*$C590*'Business Case'!C12*$B590))-'Business Case'!D15*$F590</f>
        <v>275894002.790554</v>
      </c>
      <c r="K590" s="39" t="n">
        <f aca="false">(('Business Case'!E11*$C590*'Business Case'!E12*$B590)-'Business Case'!E11*$C590*'Business Case'!E13*$D590-'Business Case'!E14*$E590)-MAX(0,(('Business Case'!E11*$C590*'Business Case'!E12*$B590)-'Business Case'!E11*$C590*'Business Case'!E13*$D590-'Business Case'!E14*$E590))*'Business Case'!$B$7-'Business Case'!$B$8*(('Business Case'!E11*$C590*'Business Case'!E12*$B590)-('Business Case'!D11*$C590*'Business Case'!D12*$B590))-'Business Case'!E15*$F590</f>
        <v>608200432.109664</v>
      </c>
      <c r="L590" s="39" t="n">
        <f aca="false">(('Business Case'!F11*$C590*'Business Case'!F12*$B590)-'Business Case'!F11*$C590*'Business Case'!F13*$D590-'Business Case'!F14*$E590)-MAX(0,(('Business Case'!F11*$C590*'Business Case'!F12*$B590)-'Business Case'!F11*$C590*'Business Case'!F13*$D590-'Business Case'!F14*$E590))*'Business Case'!$B$7-'Business Case'!$B$8*(('Business Case'!F11*$C590*'Business Case'!F12*$B590)-('Business Case'!E11*$C590*'Business Case'!E12*$B590))-'Business Case'!F15*$F590</f>
        <v>733125342.097876</v>
      </c>
      <c r="M590" s="39" t="n">
        <f aca="false">(('Business Case'!G11*$C590*'Business Case'!G12*$B590)-'Business Case'!G11*$C590*'Business Case'!G13*$D590-'Business Case'!G14*$E590)-MAX(0,(('Business Case'!G11*$C590*'Business Case'!G12*$B590)-'Business Case'!G11*$C590*'Business Case'!G13*$D590-'Business Case'!G14*$E590))*'Business Case'!$B$7-'Business Case'!$B$8*(('Business Case'!G11*$C590*'Business Case'!G12*$B590)-('Business Case'!F11*$C590*'Business Case'!F12*$B590))-'Business Case'!G15*$F590+'Business Case'!$B$8*('Business Case'!G11*$C590*'Business Case'!G12*$B590)</f>
        <v>903680538.764098</v>
      </c>
      <c r="N590" s="39" t="n">
        <f aca="false">IF(COUNT('Business Case'!B11:G11)=0,"",H590+NPV(G590,I590:M590))</f>
        <v>-378216539.847863</v>
      </c>
      <c r="P590" s="40" t="n">
        <f aca="true">RAND()</f>
        <v>0.783863267462737</v>
      </c>
      <c r="Q590" s="40" t="n">
        <f aca="true">RAND()</f>
        <v>0.263558409426958</v>
      </c>
      <c r="R590" s="40" t="n">
        <f aca="true">RAND()</f>
        <v>0.285014883474209</v>
      </c>
      <c r="S590" s="40" t="n">
        <f aca="true">RAND()</f>
        <v>0.283743633961397</v>
      </c>
      <c r="T590" s="40" t="n">
        <f aca="true">RAND()</f>
        <v>0.239890874602044</v>
      </c>
      <c r="U590" s="40" t="n">
        <f aca="true">RAND()</f>
        <v>0.883158767200218</v>
      </c>
    </row>
    <row r="591" customFormat="false" ht="15" hidden="false" customHeight="false" outlineLevel="0" collapsed="false">
      <c r="A591" s="36" t="n">
        <v>511</v>
      </c>
      <c r="B591" s="37" t="n">
        <f aca="false">1+IF($G$6=$E$6,$F$6,IF(P591&lt;($F$6-$E$6)/($G$6-$E$6),$E$6+SQRT(P591*($G$6-$E$6)*($F$6-$E$6)),$G$6-SQRT((1-P591)*($G$6-$E$6)*($G$6-$F$6))))</f>
        <v>0.968212941278407</v>
      </c>
      <c r="C591" s="37" t="n">
        <f aca="false">1+IF($G$7=$E$7,$F$7,IF(Q591&lt;($F$7-$E$7)/($G$7-$E$7),$E$7+SQRT(Q591*($G$7-$E$7)*($F$7-$E$7)),$G$7-SQRT((1-Q591)*($G$7-$E$7)*($G$7-$F$7))))</f>
        <v>0.919615367292903</v>
      </c>
      <c r="D591" s="37" t="n">
        <f aca="false">1+IF($G$8=$E$8,$F$8,IF(R591&lt;($F$8-$E$8)/($G$8-$E$8),$E$8+SQRT(R591*($G$8-$E$8)*($F$8-$E$8)),$G$8-SQRT((1-R591)*($G$8-$E$8)*($G$8-$F$8))))</f>
        <v>1.0334718190731</v>
      </c>
      <c r="E591" s="37" t="n">
        <f aca="false">1+IF($G$9=$E$9,$F$9,IF(S591&lt;($F$9-$E$9)/($G$9-$E$9),$E$9+SQRT(S591*($G$9-$E$9)*($F$9-$E$9)),$G$9-SQRT((1-S591)*($G$9-$E$9)*($G$9-$F$9))))</f>
        <v>0.9743887170649</v>
      </c>
      <c r="F591" s="37" t="n">
        <f aca="false">1+IF($G$10=$E$10,$F$10,IF(T591&lt;($F$10-$E$10)/($G$10-$E$10),$E$10+SQRT(T591*($G$10-$E$10)*($F$10-$E$10)),$G$10-SQRT((1-T591)*($G$10-$E$10)*($G$10-$F$10))))</f>
        <v>1.17184213186387</v>
      </c>
      <c r="G591" s="38" t="n">
        <f aca="false">IF($G$11=$E$11,$F$11,IF(U591&lt;($F$11-$E$11)/($G$11-$E$11),$E$11+SQRT(U591*($G$11-$E$11)*($F$11-$E$11)),$G$11-SQRT((1-U591)*($G$11-$E$11)*($G$11-$F$11))))</f>
        <v>0.0942667871188313</v>
      </c>
      <c r="H591" s="39" t="n">
        <f aca="false">(('Business Case'!B11*$C591*'Business Case'!B12*$B591)-'Business Case'!B11*$C591*'Business Case'!B13*$D591-'Business Case'!B14*$E591)-MAX(0,(('Business Case'!B11*$C591*'Business Case'!B12*$B591)-'Business Case'!B11*$C591*'Business Case'!B13*$D591-'Business Case'!B14*$E591))*'Business Case'!$B$7-'Business Case'!$B$8*('Business Case'!B11*$C591*'Business Case'!B12*$B591)-'Business Case'!B15*$F591</f>
        <v>-2343684263.72773</v>
      </c>
      <c r="I591" s="39" t="n">
        <f aca="false">(('Business Case'!C11*$C591*'Business Case'!C12*$B591)-'Business Case'!C11*$C591*'Business Case'!C13*$D591-'Business Case'!C14*$E591)-MAX(0,(('Business Case'!C11*$C591*'Business Case'!C12*$B591)-'Business Case'!C11*$C591*'Business Case'!C13*$D591-'Business Case'!C14*$E591))*'Business Case'!$B$7-'Business Case'!$B$8*(('Business Case'!C11*$C591*'Business Case'!C12*$B591)-('Business Case'!B11*$C591*'Business Case'!B12*$B591))-'Business Case'!C15*$F591</f>
        <v>-59138585.8934704</v>
      </c>
      <c r="J591" s="39" t="n">
        <f aca="false">(('Business Case'!D11*$C591*'Business Case'!D12*$B591)-'Business Case'!D11*$C591*'Business Case'!D13*$D591-'Business Case'!D14*$E591)-MAX(0,(('Business Case'!D11*$C591*'Business Case'!D12*$B591)-'Business Case'!D11*$C591*'Business Case'!D13*$D591-'Business Case'!D14*$E591))*'Business Case'!$B$7-'Business Case'!$B$8*(('Business Case'!D11*$C591*'Business Case'!D12*$B591)-('Business Case'!C11*$C591*'Business Case'!C12*$B591))-'Business Case'!D15*$F591</f>
        <v>183622597.585934</v>
      </c>
      <c r="K591" s="39" t="n">
        <f aca="false">(('Business Case'!E11*$C591*'Business Case'!E12*$B591)-'Business Case'!E11*$C591*'Business Case'!E13*$D591-'Business Case'!E14*$E591)-MAX(0,(('Business Case'!E11*$C591*'Business Case'!E12*$B591)-'Business Case'!E11*$C591*'Business Case'!E13*$D591-'Business Case'!E14*$E591))*'Business Case'!$B$7-'Business Case'!$B$8*(('Business Case'!E11*$C591*'Business Case'!E12*$B591)-('Business Case'!D11*$C591*'Business Case'!D12*$B591))-'Business Case'!E15*$F591</f>
        <v>484975887.658531</v>
      </c>
      <c r="L591" s="39" t="n">
        <f aca="false">(('Business Case'!F11*$C591*'Business Case'!F12*$B591)-'Business Case'!F11*$C591*'Business Case'!F13*$D591-'Business Case'!F14*$E591)-MAX(0,(('Business Case'!F11*$C591*'Business Case'!F12*$B591)-'Business Case'!F11*$C591*'Business Case'!F13*$D591-'Business Case'!F14*$E591))*'Business Case'!$B$7-'Business Case'!$B$8*(('Business Case'!F11*$C591*'Business Case'!F12*$B591)-('Business Case'!E11*$C591*'Business Case'!E12*$B591))-'Business Case'!F15*$F591</f>
        <v>596667935.898238</v>
      </c>
      <c r="M591" s="39" t="n">
        <f aca="false">(('Business Case'!G11*$C591*'Business Case'!G12*$B591)-'Business Case'!G11*$C591*'Business Case'!G13*$D591-'Business Case'!G14*$E591)-MAX(0,(('Business Case'!G11*$C591*'Business Case'!G12*$B591)-'Business Case'!G11*$C591*'Business Case'!G13*$D591-'Business Case'!G14*$E591))*'Business Case'!$B$7-'Business Case'!$B$8*(('Business Case'!G11*$C591*'Business Case'!G12*$B591)-('Business Case'!F11*$C591*'Business Case'!F12*$B591))-'Business Case'!G15*$F591+'Business Case'!$B$8*('Business Case'!G11*$C591*'Business Case'!G12*$B591)</f>
        <v>765912031.504389</v>
      </c>
      <c r="N591" s="39" t="n">
        <f aca="false">IF(COUNT('Business Case'!B11:G11)=0,"",H591+NPV(G591,I591:M591))</f>
        <v>-969951931.234485</v>
      </c>
      <c r="P591" s="40" t="n">
        <f aca="true">RAND()</f>
        <v>0.310200357190095</v>
      </c>
      <c r="Q591" s="40" t="n">
        <f aca="true">RAND()</f>
        <v>0.357265996675531</v>
      </c>
      <c r="R591" s="40" t="n">
        <f aca="true">RAND()</f>
        <v>0.704933409503848</v>
      </c>
      <c r="S591" s="40" t="n">
        <f aca="true">RAND()</f>
        <v>0.221347249062472</v>
      </c>
      <c r="T591" s="40" t="n">
        <f aca="true">RAND()</f>
        <v>0.91855130197886</v>
      </c>
      <c r="U591" s="40" t="n">
        <f aca="true">RAND()</f>
        <v>0.203541214694049</v>
      </c>
    </row>
    <row r="592" customFormat="false" ht="15" hidden="false" customHeight="false" outlineLevel="0" collapsed="false">
      <c r="A592" s="36" t="n">
        <v>512</v>
      </c>
      <c r="B592" s="37" t="n">
        <f aca="false">1+IF($G$6=$E$6,$F$6,IF(P592&lt;($F$6-$E$6)/($G$6-$E$6),$E$6+SQRT(P592*($G$6-$E$6)*($F$6-$E$6)),$G$6-SQRT((1-P592)*($G$6-$E$6)*($G$6-$F$6))))</f>
        <v>0.969611735474974</v>
      </c>
      <c r="C592" s="37" t="n">
        <f aca="false">1+IF($G$7=$E$7,$F$7,IF(Q592&lt;($F$7-$E$7)/($G$7-$E$7),$E$7+SQRT(Q592*($G$7-$E$7)*($F$7-$E$7)),$G$7-SQRT((1-Q592)*($G$7-$E$7)*($G$7-$F$7))))</f>
        <v>1.01930657167439</v>
      </c>
      <c r="D592" s="37" t="n">
        <f aca="false">1+IF($G$8=$E$8,$F$8,IF(R592&lt;($F$8-$E$8)/($G$8-$E$8),$E$8+SQRT(R592*($G$8-$E$8)*($F$8-$E$8)),$G$8-SQRT((1-R592)*($G$8-$E$8)*($G$8-$F$8))))</f>
        <v>1.00895143968064</v>
      </c>
      <c r="E592" s="37" t="n">
        <f aca="false">1+IF($G$9=$E$9,$F$9,IF(S592&lt;($F$9-$E$9)/($G$9-$E$9),$E$9+SQRT(S592*($G$9-$E$9)*($F$9-$E$9)),$G$9-SQRT((1-S592)*($G$9-$E$9)*($G$9-$F$9))))</f>
        <v>1.08224518746963</v>
      </c>
      <c r="F592" s="37" t="n">
        <f aca="false">1+IF($G$10=$E$10,$F$10,IF(T592&lt;($F$10-$E$10)/($G$10-$E$10),$E$10+SQRT(T592*($G$10-$E$10)*($F$10-$E$10)),$G$10-SQRT((1-T592)*($G$10-$E$10)*($G$10-$F$10))))</f>
        <v>1.11979612218578</v>
      </c>
      <c r="G592" s="38" t="n">
        <f aca="false">IF($G$11=$E$11,$F$11,IF(U592&lt;($F$11-$E$11)/($G$11-$E$11),$E$11+SQRT(U592*($G$11-$E$11)*($F$11-$E$11)),$G$11-SQRT((1-U592)*($G$11-$E$11)*($G$11-$F$11))))</f>
        <v>0.110513137184576</v>
      </c>
      <c r="H592" s="39" t="n">
        <f aca="false">(('Business Case'!B11*$C592*'Business Case'!B12*$B592)-'Business Case'!B11*$C592*'Business Case'!B13*$D592-'Business Case'!B14*$E592)-MAX(0,(('Business Case'!B11*$C592*'Business Case'!B12*$B592)-'Business Case'!B11*$C592*'Business Case'!B13*$D592-'Business Case'!B14*$E592))*'Business Case'!$B$7-'Business Case'!$B$8*('Business Case'!B11*$C592*'Business Case'!B12*$B592)-'Business Case'!B15*$F592</f>
        <v>-2239592244.37157</v>
      </c>
      <c r="I592" s="39" t="n">
        <f aca="false">(('Business Case'!C11*$C592*'Business Case'!C12*$B592)-'Business Case'!C11*$C592*'Business Case'!C13*$D592-'Business Case'!C14*$E592)-MAX(0,(('Business Case'!C11*$C592*'Business Case'!C12*$B592)-'Business Case'!C11*$C592*'Business Case'!C13*$D592-'Business Case'!C14*$E592))*'Business Case'!$B$7-'Business Case'!$B$8*(('Business Case'!C11*$C592*'Business Case'!C12*$B592)-('Business Case'!B11*$C592*'Business Case'!B12*$B592))-'Business Case'!C15*$F592</f>
        <v>-34069549.0609902</v>
      </c>
      <c r="J592" s="39" t="n">
        <f aca="false">(('Business Case'!D11*$C592*'Business Case'!D12*$B592)-'Business Case'!D11*$C592*'Business Case'!D13*$D592-'Business Case'!D14*$E592)-MAX(0,(('Business Case'!D11*$C592*'Business Case'!D12*$B592)-'Business Case'!D11*$C592*'Business Case'!D13*$D592-'Business Case'!D14*$E592))*'Business Case'!$B$7-'Business Case'!$B$8*(('Business Case'!D11*$C592*'Business Case'!D12*$B592)-('Business Case'!C11*$C592*'Business Case'!C12*$B592))-'Business Case'!D15*$F592</f>
        <v>248970890.621546</v>
      </c>
      <c r="K592" s="39" t="n">
        <f aca="false">(('Business Case'!E11*$C592*'Business Case'!E12*$B592)-'Business Case'!E11*$C592*'Business Case'!E13*$D592-'Business Case'!E14*$E592)-MAX(0,(('Business Case'!E11*$C592*'Business Case'!E12*$B592)-'Business Case'!E11*$C592*'Business Case'!E13*$D592-'Business Case'!E14*$E592))*'Business Case'!$B$7-'Business Case'!$B$8*(('Business Case'!E11*$C592*'Business Case'!E12*$B592)-('Business Case'!D11*$C592*'Business Case'!D12*$B592))-'Business Case'!E15*$F592</f>
        <v>588001136.41337</v>
      </c>
      <c r="L592" s="39" t="n">
        <f aca="false">(('Business Case'!F11*$C592*'Business Case'!F12*$B592)-'Business Case'!F11*$C592*'Business Case'!F13*$D592-'Business Case'!F14*$E592)-MAX(0,(('Business Case'!F11*$C592*'Business Case'!F12*$B592)-'Business Case'!F11*$C592*'Business Case'!F13*$D592-'Business Case'!F14*$E592))*'Business Case'!$B$7-'Business Case'!$B$8*(('Business Case'!F11*$C592*'Business Case'!F12*$B592)-('Business Case'!E11*$C592*'Business Case'!E12*$B592))-'Business Case'!F15*$F592</f>
        <v>716504690.218727</v>
      </c>
      <c r="M592" s="39" t="n">
        <f aca="false">(('Business Case'!G11*$C592*'Business Case'!G12*$B592)-'Business Case'!G11*$C592*'Business Case'!G13*$D592-'Business Case'!G14*$E592)-MAX(0,(('Business Case'!G11*$C592*'Business Case'!G12*$B592)-'Business Case'!G11*$C592*'Business Case'!G13*$D592-'Business Case'!G14*$E592))*'Business Case'!$B$7-'Business Case'!$B$8*(('Business Case'!G11*$C592*'Business Case'!G12*$B592)-('Business Case'!F11*$C592*'Business Case'!F12*$B592))-'Business Case'!G15*$F592+'Business Case'!$B$8*('Business Case'!G11*$C592*'Business Case'!G12*$B592)</f>
        <v>904366763.39687</v>
      </c>
      <c r="N592" s="39" t="n">
        <f aca="false">IF(COUNT('Business Case'!B11:G11)=0,"",H592+NPV(G592,I592:M592))</f>
        <v>-632471129.87685</v>
      </c>
      <c r="P592" s="40" t="n">
        <f aca="true">RAND()</f>
        <v>0.323052914389185</v>
      </c>
      <c r="Q592" s="40" t="n">
        <f aca="true">RAND()</f>
        <v>0.746951522851833</v>
      </c>
      <c r="R592" s="40" t="n">
        <f aca="true">RAND()</f>
        <v>0.447343977584817</v>
      </c>
      <c r="S592" s="40" t="n">
        <f aca="true">RAND()</f>
        <v>0.877580943439313</v>
      </c>
      <c r="T592" s="40" t="n">
        <f aca="true">RAND()</f>
        <v>0.773959336028545</v>
      </c>
      <c r="U592" s="40" t="n">
        <f aca="true">RAND()</f>
        <v>0.746841451741897</v>
      </c>
    </row>
    <row r="593" customFormat="false" ht="15" hidden="false" customHeight="false" outlineLevel="0" collapsed="false">
      <c r="A593" s="36" t="n">
        <v>513</v>
      </c>
      <c r="B593" s="37" t="n">
        <f aca="false">1+IF($G$6=$E$6,$F$6,IF(P593&lt;($F$6-$E$6)/($G$6-$E$6),$E$6+SQRT(P593*($G$6-$E$6)*($F$6-$E$6)),$G$6-SQRT((1-P593)*($G$6-$E$6)*($G$6-$F$6))))</f>
        <v>0.909916495192053</v>
      </c>
      <c r="C593" s="37" t="n">
        <f aca="false">1+IF($G$7=$E$7,$F$7,IF(Q593&lt;($F$7-$E$7)/($G$7-$E$7),$E$7+SQRT(Q593*($G$7-$E$7)*($F$7-$E$7)),$G$7-SQRT((1-Q593)*($G$7-$E$7)*($G$7-$F$7))))</f>
        <v>0.985927085195129</v>
      </c>
      <c r="D593" s="37" t="n">
        <f aca="false">1+IF($G$8=$E$8,$F$8,IF(R593&lt;($F$8-$E$8)/($G$8-$E$8),$E$8+SQRT(R593*($G$8-$E$8)*($F$8-$E$8)),$G$8-SQRT((1-R593)*($G$8-$E$8)*($G$8-$F$8))))</f>
        <v>0.991541692975987</v>
      </c>
      <c r="E593" s="37" t="n">
        <f aca="false">1+IF($G$9=$E$9,$F$9,IF(S593&lt;($F$9-$E$9)/($G$9-$E$9),$E$9+SQRT(S593*($G$9-$E$9)*($F$9-$E$9)),$G$9-SQRT((1-S593)*($G$9-$E$9)*($G$9-$F$9))))</f>
        <v>0.984655661476465</v>
      </c>
      <c r="F593" s="37" t="n">
        <f aca="false">1+IF($G$10=$E$10,$F$10,IF(T593&lt;($F$10-$E$10)/($G$10-$E$10),$E$10+SQRT(T593*($G$10-$E$10)*($F$10-$E$10)),$G$10-SQRT((1-T593)*($G$10-$E$10)*($G$10-$F$10))))</f>
        <v>0.995889521307967</v>
      </c>
      <c r="G593" s="38" t="n">
        <f aca="false">IF($G$11=$E$11,$F$11,IF(U593&lt;($F$11-$E$11)/($G$11-$E$11),$E$11+SQRT(U593*($G$11-$E$11)*($F$11-$E$11)),$G$11-SQRT((1-U593)*($G$11-$E$11)*($G$11-$F$11))))</f>
        <v>0.0907101316861462</v>
      </c>
      <c r="H593" s="39" t="n">
        <f aca="false">(('Business Case'!B11*$C593*'Business Case'!B12*$B593)-'Business Case'!B11*$C593*'Business Case'!B13*$D593-'Business Case'!B14*$E593)-MAX(0,(('Business Case'!B11*$C593*'Business Case'!B12*$B593)-'Business Case'!B11*$C593*'Business Case'!B13*$D593-'Business Case'!B14*$E593))*'Business Case'!$B$7-'Business Case'!$B$8*('Business Case'!B11*$C593*'Business Case'!B12*$B593)-'Business Case'!B15*$F593</f>
        <v>-1991779042.61593</v>
      </c>
      <c r="I593" s="39" t="n">
        <f aca="false">(('Business Case'!C11*$C593*'Business Case'!C12*$B593)-'Business Case'!C11*$C593*'Business Case'!C13*$D593-'Business Case'!C14*$E593)-MAX(0,(('Business Case'!C11*$C593*'Business Case'!C12*$B593)-'Business Case'!C11*$C593*'Business Case'!C13*$D593-'Business Case'!C14*$E593))*'Business Case'!$B$7-'Business Case'!$B$8*(('Business Case'!C11*$C593*'Business Case'!C12*$B593)-('Business Case'!B11*$C593*'Business Case'!B12*$B593))-'Business Case'!C15*$F593</f>
        <v>-51761228.868561</v>
      </c>
      <c r="J593" s="39" t="n">
        <f aca="false">(('Business Case'!D11*$C593*'Business Case'!D12*$B593)-'Business Case'!D11*$C593*'Business Case'!D13*$D593-'Business Case'!D14*$E593)-MAX(0,(('Business Case'!D11*$C593*'Business Case'!D12*$B593)-'Business Case'!D11*$C593*'Business Case'!D13*$D593-'Business Case'!D14*$E593))*'Business Case'!$B$7-'Business Case'!$B$8*(('Business Case'!D11*$C593*'Business Case'!D12*$B593)-('Business Case'!C11*$C593*'Business Case'!C12*$B593))-'Business Case'!D15*$F593</f>
        <v>182590780.174303</v>
      </c>
      <c r="K593" s="39" t="n">
        <f aca="false">(('Business Case'!E11*$C593*'Business Case'!E12*$B593)-'Business Case'!E11*$C593*'Business Case'!E13*$D593-'Business Case'!E14*$E593)-MAX(0,(('Business Case'!E11*$C593*'Business Case'!E12*$B593)-'Business Case'!E11*$C593*'Business Case'!E13*$D593-'Business Case'!E14*$E593))*'Business Case'!$B$7-'Business Case'!$B$8*(('Business Case'!E11*$C593*'Business Case'!E12*$B593)-('Business Case'!D11*$C593*'Business Case'!D12*$B593))-'Business Case'!E15*$F593</f>
        <v>466737265.282564</v>
      </c>
      <c r="L593" s="39" t="n">
        <f aca="false">(('Business Case'!F11*$C593*'Business Case'!F12*$B593)-'Business Case'!F11*$C593*'Business Case'!F13*$D593-'Business Case'!F14*$E593)-MAX(0,(('Business Case'!F11*$C593*'Business Case'!F12*$B593)-'Business Case'!F11*$C593*'Business Case'!F13*$D593-'Business Case'!F14*$E593))*'Business Case'!$B$7-'Business Case'!$B$8*(('Business Case'!F11*$C593*'Business Case'!F12*$B593)-('Business Case'!E11*$C593*'Business Case'!E12*$B593))-'Business Case'!F15*$F593</f>
        <v>575858768.775969</v>
      </c>
      <c r="M593" s="39" t="n">
        <f aca="false">(('Business Case'!G11*$C593*'Business Case'!G12*$B593)-'Business Case'!G11*$C593*'Business Case'!G13*$D593-'Business Case'!G14*$E593)-MAX(0,(('Business Case'!G11*$C593*'Business Case'!G12*$B593)-'Business Case'!G11*$C593*'Business Case'!G13*$D593-'Business Case'!G14*$E593))*'Business Case'!$B$7-'Business Case'!$B$8*(('Business Case'!G11*$C593*'Business Case'!G12*$B593)-('Business Case'!F11*$C593*'Business Case'!F12*$B593))-'Business Case'!G15*$F593+'Business Case'!$B$8*('Business Case'!G11*$C593*'Business Case'!G12*$B593)</f>
        <v>746381688.077776</v>
      </c>
      <c r="N593" s="39" t="n">
        <f aca="false">IF(COUNT('Business Case'!B11:G11)=0,"",H593+NPV(G593,I593:M593))</f>
        <v>-635637973.687291</v>
      </c>
      <c r="P593" s="40" t="n">
        <f aca="true">RAND()</f>
        <v>0.0065557917929339</v>
      </c>
      <c r="Q593" s="40" t="n">
        <f aca="true">RAND()</f>
        <v>0.6055873929495</v>
      </c>
      <c r="R593" s="40" t="n">
        <f aca="true">RAND()</f>
        <v>0.230094967374818</v>
      </c>
      <c r="S593" s="40" t="n">
        <f aca="true">RAND()</f>
        <v>0.286663240800715</v>
      </c>
      <c r="T593" s="40" t="n">
        <f aca="true">RAND()</f>
        <v>0.140389877724955</v>
      </c>
      <c r="U593" s="40" t="n">
        <f aca="true">RAND()</f>
        <v>0.114706920734594</v>
      </c>
    </row>
    <row r="594" customFormat="false" ht="15" hidden="false" customHeight="false" outlineLevel="0" collapsed="false">
      <c r="A594" s="36" t="n">
        <v>514</v>
      </c>
      <c r="B594" s="37" t="n">
        <f aca="false">1+IF($G$6=$E$6,$F$6,IF(P594&lt;($F$6-$E$6)/($G$6-$E$6),$E$6+SQRT(P594*($G$6-$E$6)*($F$6-$E$6)),$G$6-SQRT((1-P594)*($G$6-$E$6)*($G$6-$F$6))))</f>
        <v>0.918481229676067</v>
      </c>
      <c r="C594" s="37" t="n">
        <f aca="false">1+IF($G$7=$E$7,$F$7,IF(Q594&lt;($F$7-$E$7)/($G$7-$E$7),$E$7+SQRT(Q594*($G$7-$E$7)*($F$7-$E$7)),$G$7-SQRT((1-Q594)*($G$7-$E$7)*($G$7-$F$7))))</f>
        <v>0.964169976395072</v>
      </c>
      <c r="D594" s="37" t="n">
        <f aca="false">1+IF($G$8=$E$8,$F$8,IF(R594&lt;($F$8-$E$8)/($G$8-$E$8),$E$8+SQRT(R594*($G$8-$E$8)*($F$8-$E$8)),$G$8-SQRT((1-R594)*($G$8-$E$8)*($G$8-$F$8))))</f>
        <v>1.01331723677622</v>
      </c>
      <c r="E594" s="37" t="n">
        <f aca="false">1+IF($G$9=$E$9,$F$9,IF(S594&lt;($F$9-$E$9)/($G$9-$E$9),$E$9+SQRT(S594*($G$9-$E$9)*($F$9-$E$9)),$G$9-SQRT((1-S594)*($G$9-$E$9)*($G$9-$F$9))))</f>
        <v>1.07893796911918</v>
      </c>
      <c r="F594" s="37" t="n">
        <f aca="false">1+IF($G$10=$E$10,$F$10,IF(T594&lt;($F$10-$E$10)/($G$10-$E$10),$E$10+SQRT(T594*($G$10-$E$10)*($F$10-$E$10)),$G$10-SQRT((1-T594)*($G$10-$E$10)*($G$10-$F$10))))</f>
        <v>1.05604103833179</v>
      </c>
      <c r="G594" s="38" t="n">
        <f aca="false">IF($G$11=$E$11,$F$11,IF(U594&lt;($F$11-$E$11)/($G$11-$E$11),$E$11+SQRT(U594*($G$11-$E$11)*($F$11-$E$11)),$G$11-SQRT((1-U594)*($G$11-$E$11)*($G$11-$F$11))))</f>
        <v>0.106862571422873</v>
      </c>
      <c r="H594" s="39" t="n">
        <f aca="false">(('Business Case'!B11*$C594*'Business Case'!B12*$B594)-'Business Case'!B11*$C594*'Business Case'!B13*$D594-'Business Case'!B14*$E594)-MAX(0,(('Business Case'!B11*$C594*'Business Case'!B12*$B594)-'Business Case'!B11*$C594*'Business Case'!B13*$D594-'Business Case'!B14*$E594))*'Business Case'!$B$7-'Business Case'!$B$8*('Business Case'!B11*$C594*'Business Case'!B12*$B594)-'Business Case'!B15*$F594</f>
        <v>-2112082076.66358</v>
      </c>
      <c r="I594" s="39" t="n">
        <f aca="false">(('Business Case'!C11*$C594*'Business Case'!C12*$B594)-'Business Case'!C11*$C594*'Business Case'!C13*$D594-'Business Case'!C14*$E594)-MAX(0,(('Business Case'!C11*$C594*'Business Case'!C12*$B594)-'Business Case'!C11*$C594*'Business Case'!C13*$D594-'Business Case'!C14*$E594))*'Business Case'!$B$7-'Business Case'!$B$8*(('Business Case'!C11*$C594*'Business Case'!C12*$B594)-('Business Case'!B11*$C594*'Business Case'!B12*$B594))-'Business Case'!C15*$F594</f>
        <v>-79740874.7481033</v>
      </c>
      <c r="J594" s="39" t="n">
        <f aca="false">(('Business Case'!D11*$C594*'Business Case'!D12*$B594)-'Business Case'!D11*$C594*'Business Case'!D13*$D594-'Business Case'!D14*$E594)-MAX(0,(('Business Case'!D11*$C594*'Business Case'!D12*$B594)-'Business Case'!D11*$C594*'Business Case'!D13*$D594-'Business Case'!D14*$E594))*'Business Case'!$B$7-'Business Case'!$B$8*(('Business Case'!D11*$C594*'Business Case'!D12*$B594)-('Business Case'!C11*$C594*'Business Case'!C12*$B594))-'Business Case'!D15*$F594</f>
        <v>145455387.349512</v>
      </c>
      <c r="K594" s="39" t="n">
        <f aca="false">(('Business Case'!E11*$C594*'Business Case'!E12*$B594)-'Business Case'!E11*$C594*'Business Case'!E13*$D594-'Business Case'!E14*$E594)-MAX(0,(('Business Case'!E11*$C594*'Business Case'!E12*$B594)-'Business Case'!E11*$C594*'Business Case'!E13*$D594-'Business Case'!E14*$E594))*'Business Case'!$B$7-'Business Case'!$B$8*(('Business Case'!E11*$C594*'Business Case'!E12*$B594)-('Business Case'!D11*$C594*'Business Case'!D12*$B594))-'Business Case'!E15*$F594</f>
        <v>423453701.363716</v>
      </c>
      <c r="L594" s="39" t="n">
        <f aca="false">(('Business Case'!F11*$C594*'Business Case'!F12*$B594)-'Business Case'!F11*$C594*'Business Case'!F13*$D594-'Business Case'!F14*$E594)-MAX(0,(('Business Case'!F11*$C594*'Business Case'!F12*$B594)-'Business Case'!F11*$C594*'Business Case'!F13*$D594-'Business Case'!F14*$E594))*'Business Case'!$B$7-'Business Case'!$B$8*(('Business Case'!F11*$C594*'Business Case'!F12*$B594)-('Business Case'!E11*$C594*'Business Case'!E12*$B594))-'Business Case'!F15*$F594</f>
        <v>529124491.265448</v>
      </c>
      <c r="M594" s="39" t="n">
        <f aca="false">(('Business Case'!G11*$C594*'Business Case'!G12*$B594)-'Business Case'!G11*$C594*'Business Case'!G13*$D594-'Business Case'!G14*$E594)-MAX(0,(('Business Case'!G11*$C594*'Business Case'!G12*$B594)-'Business Case'!G11*$C594*'Business Case'!G13*$D594-'Business Case'!G14*$E594))*'Business Case'!$B$7-'Business Case'!$B$8*(('Business Case'!G11*$C594*'Business Case'!G12*$B594)-('Business Case'!F11*$C594*'Business Case'!F12*$B594))-'Business Case'!G15*$F594+'Business Case'!$B$8*('Business Case'!G11*$C594*'Business Case'!G12*$B594)</f>
        <v>697454021.879348</v>
      </c>
      <c r="N594" s="39" t="n">
        <f aca="false">IF(COUNT('Business Case'!B11:G11)=0,"",H594+NPV(G594,I594:M594))</f>
        <v>-980809265.781982</v>
      </c>
      <c r="P594" s="40" t="n">
        <f aca="true">RAND()</f>
        <v>0.0227703900226354</v>
      </c>
      <c r="Q594" s="40" t="n">
        <f aca="true">RAND()</f>
        <v>0.516931677248689</v>
      </c>
      <c r="R594" s="40" t="n">
        <f aca="true">RAND()</f>
        <v>0.499073237326001</v>
      </c>
      <c r="S594" s="40" t="n">
        <f aca="true">RAND()</f>
        <v>0.865338340455841</v>
      </c>
      <c r="T594" s="40" t="n">
        <f aca="true">RAND()</f>
        <v>0.498398949181202</v>
      </c>
      <c r="U594" s="40" t="n">
        <f aca="true">RAND()</f>
        <v>0.643106265892221</v>
      </c>
    </row>
    <row r="595" customFormat="false" ht="15" hidden="false" customHeight="false" outlineLevel="0" collapsed="false">
      <c r="A595" s="36" t="n">
        <v>515</v>
      </c>
      <c r="B595" s="37" t="n">
        <f aca="false">1+IF($G$6=$E$6,$F$6,IF(P595&lt;($F$6-$E$6)/($G$6-$E$6),$E$6+SQRT(P595*($G$6-$E$6)*($F$6-$E$6)),$G$6-SQRT((1-P595)*($G$6-$E$6)*($G$6-$F$6))))</f>
        <v>1.00071198516196</v>
      </c>
      <c r="C595" s="37" t="n">
        <f aca="false">1+IF($G$7=$E$7,$F$7,IF(Q595&lt;($F$7-$E$7)/($G$7-$E$7),$E$7+SQRT(Q595*($G$7-$E$7)*($F$7-$E$7)),$G$7-SQRT((1-Q595)*($G$7-$E$7)*($G$7-$F$7))))</f>
        <v>0.880893533318504</v>
      </c>
      <c r="D595" s="37" t="n">
        <f aca="false">1+IF($G$8=$E$8,$F$8,IF(R595&lt;($F$8-$E$8)/($G$8-$E$8),$E$8+SQRT(R595*($G$8-$E$8)*($F$8-$E$8)),$G$8-SQRT((1-R595)*($G$8-$E$8)*($G$8-$F$8))))</f>
        <v>1.06151644013733</v>
      </c>
      <c r="E595" s="37" t="n">
        <f aca="false">1+IF($G$9=$E$9,$F$9,IF(S595&lt;($F$9-$E$9)/($G$9-$E$9),$E$9+SQRT(S595*($G$9-$E$9)*($F$9-$E$9)),$G$9-SQRT((1-S595)*($G$9-$E$9)*($G$9-$F$9))))</f>
        <v>1.1117394876655</v>
      </c>
      <c r="F595" s="37" t="n">
        <f aca="false">1+IF($G$10=$E$10,$F$10,IF(T595&lt;($F$10-$E$10)/($G$10-$E$10),$E$10+SQRT(T595*($G$10-$E$10)*($F$10-$E$10)),$G$10-SQRT((1-T595)*($G$10-$E$10)*($G$10-$F$10))))</f>
        <v>0.98809774065509</v>
      </c>
      <c r="G595" s="38" t="n">
        <f aca="false">IF($G$11=$E$11,$F$11,IF(U595&lt;($F$11-$E$11)/($G$11-$E$11),$E$11+SQRT(U595*($G$11-$E$11)*($F$11-$E$11)),$G$11-SQRT((1-U595)*($G$11-$E$11)*($G$11-$F$11))))</f>
        <v>0.101992509441973</v>
      </c>
      <c r="H595" s="39" t="n">
        <f aca="false">(('Business Case'!B11*$C595*'Business Case'!B12*$B595)-'Business Case'!B11*$C595*'Business Case'!B13*$D595-'Business Case'!B14*$E595)-MAX(0,(('Business Case'!B11*$C595*'Business Case'!B12*$B595)-'Business Case'!B11*$C595*'Business Case'!B13*$D595-'Business Case'!B14*$E595))*'Business Case'!$B$7-'Business Case'!$B$8*('Business Case'!B11*$C595*'Business Case'!B12*$B595)-'Business Case'!B15*$F595</f>
        <v>-1976195481.31018</v>
      </c>
      <c r="I595" s="39" t="n">
        <f aca="false">(('Business Case'!C11*$C595*'Business Case'!C12*$B595)-'Business Case'!C11*$C595*'Business Case'!C13*$D595-'Business Case'!C14*$E595)-MAX(0,(('Business Case'!C11*$C595*'Business Case'!C12*$B595)-'Business Case'!C11*$C595*'Business Case'!C13*$D595-'Business Case'!C14*$E595))*'Business Case'!$B$7-'Business Case'!$B$8*(('Business Case'!C11*$C595*'Business Case'!C12*$B595)-('Business Case'!B11*$C595*'Business Case'!B12*$B595))-'Business Case'!C15*$F595</f>
        <v>-59255899.6814257</v>
      </c>
      <c r="J595" s="39" t="n">
        <f aca="false">(('Business Case'!D11*$C595*'Business Case'!D12*$B595)-'Business Case'!D11*$C595*'Business Case'!D13*$D595-'Business Case'!D14*$E595)-MAX(0,(('Business Case'!D11*$C595*'Business Case'!D12*$B595)-'Business Case'!D11*$C595*'Business Case'!D13*$D595-'Business Case'!D14*$E595))*'Business Case'!$B$7-'Business Case'!$B$8*(('Business Case'!D11*$C595*'Business Case'!D12*$B595)-('Business Case'!C11*$C595*'Business Case'!C12*$B595))-'Business Case'!D15*$F595</f>
        <v>184085363.789122</v>
      </c>
      <c r="K595" s="39" t="n">
        <f aca="false">(('Business Case'!E11*$C595*'Business Case'!E12*$B595)-'Business Case'!E11*$C595*'Business Case'!E13*$D595-'Business Case'!E14*$E595)-MAX(0,(('Business Case'!E11*$C595*'Business Case'!E12*$B595)-'Business Case'!E11*$C595*'Business Case'!E13*$D595-'Business Case'!E14*$E595))*'Business Case'!$B$7-'Business Case'!$B$8*(('Business Case'!E11*$C595*'Business Case'!E12*$B595)-('Business Case'!D11*$C595*'Business Case'!D12*$B595))-'Business Case'!E15*$F595</f>
        <v>476831514.292424</v>
      </c>
      <c r="L595" s="39" t="n">
        <f aca="false">(('Business Case'!F11*$C595*'Business Case'!F12*$B595)-'Business Case'!F11*$C595*'Business Case'!F13*$D595-'Business Case'!F14*$E595)-MAX(0,(('Business Case'!F11*$C595*'Business Case'!F12*$B595)-'Business Case'!F11*$C595*'Business Case'!F13*$D595-'Business Case'!F14*$E595))*'Business Case'!$B$7-'Business Case'!$B$8*(('Business Case'!F11*$C595*'Business Case'!F12*$B595)-('Business Case'!E11*$C595*'Business Case'!E12*$B595))-'Business Case'!F15*$F595</f>
        <v>588410624.742893</v>
      </c>
      <c r="M595" s="39" t="n">
        <f aca="false">(('Business Case'!G11*$C595*'Business Case'!G12*$B595)-'Business Case'!G11*$C595*'Business Case'!G13*$D595-'Business Case'!G14*$E595)-MAX(0,(('Business Case'!G11*$C595*'Business Case'!G12*$B595)-'Business Case'!G11*$C595*'Business Case'!G13*$D595-'Business Case'!G14*$E595))*'Business Case'!$B$7-'Business Case'!$B$8*(('Business Case'!G11*$C595*'Business Case'!G12*$B595)-('Business Case'!F11*$C595*'Business Case'!F12*$B595))-'Business Case'!G15*$F595+'Business Case'!$B$8*('Business Case'!G11*$C595*'Business Case'!G12*$B595)</f>
        <v>755970082.524471</v>
      </c>
      <c r="N595" s="39" t="n">
        <f aca="false">IF(COUNT('Business Case'!B11:G11)=0,"",H595+NPV(G595,I595:M595))</f>
        <v>-657905961.979071</v>
      </c>
      <c r="P595" s="40" t="n">
        <f aca="true">RAND()</f>
        <v>0.676092212443289</v>
      </c>
      <c r="Q595" s="40" t="n">
        <f aca="true">RAND()</f>
        <v>0.242388669603353</v>
      </c>
      <c r="R595" s="40" t="n">
        <f aca="true">RAND()</f>
        <v>0.901267708019738</v>
      </c>
      <c r="S595" s="40" t="n">
        <f aca="true">RAND()</f>
        <v>0.960963551890703</v>
      </c>
      <c r="T595" s="40" t="n">
        <f aca="true">RAND()</f>
        <v>0.0967625228681637</v>
      </c>
      <c r="U595" s="40" t="n">
        <f aca="true">RAND()</f>
        <v>0.477053648428003</v>
      </c>
    </row>
    <row r="596" customFormat="false" ht="15" hidden="false" customHeight="false" outlineLevel="0" collapsed="false">
      <c r="A596" s="36" t="n">
        <v>516</v>
      </c>
      <c r="B596" s="37" t="n">
        <f aca="false">1+IF($G$6=$E$6,$F$6,IF(P596&lt;($F$6-$E$6)/($G$6-$E$6),$E$6+SQRT(P596*($G$6-$E$6)*($F$6-$E$6)),$G$6-SQRT((1-P596)*($G$6-$E$6)*($G$6-$F$6))))</f>
        <v>1.00998811193238</v>
      </c>
      <c r="C596" s="37" t="n">
        <f aca="false">1+IF($G$7=$E$7,$F$7,IF(Q596&lt;($F$7-$E$7)/($G$7-$E$7),$E$7+SQRT(Q596*($G$7-$E$7)*($F$7-$E$7)),$G$7-SQRT((1-Q596)*($G$7-$E$7)*($G$7-$F$7))))</f>
        <v>0.994468563914541</v>
      </c>
      <c r="D596" s="37" t="n">
        <f aca="false">1+IF($G$8=$E$8,$F$8,IF(R596&lt;($F$8-$E$8)/($G$8-$E$8),$E$8+SQRT(R596*($G$8-$E$8)*($F$8-$E$8)),$G$8-SQRT((1-R596)*($G$8-$E$8)*($G$8-$F$8))))</f>
        <v>1.00824713895615</v>
      </c>
      <c r="E596" s="37" t="n">
        <f aca="false">1+IF($G$9=$E$9,$F$9,IF(S596&lt;($F$9-$E$9)/($G$9-$E$9),$E$9+SQRT(S596*($G$9-$E$9)*($F$9-$E$9)),$G$9-SQRT((1-S596)*($G$9-$E$9)*($G$9-$F$9))))</f>
        <v>0.993016281773172</v>
      </c>
      <c r="F596" s="37" t="n">
        <f aca="false">1+IF($G$10=$E$10,$F$10,IF(T596&lt;($F$10-$E$10)/($G$10-$E$10),$E$10+SQRT(T596*($G$10-$E$10)*($F$10-$E$10)),$G$10-SQRT((1-T596)*($G$10-$E$10)*($G$10-$F$10))))</f>
        <v>1.01947470012816</v>
      </c>
      <c r="G596" s="38" t="n">
        <f aca="false">IF($G$11=$E$11,$F$11,IF(U596&lt;($F$11-$E$11)/($G$11-$E$11),$E$11+SQRT(U596*($G$11-$E$11)*($F$11-$E$11)),$G$11-SQRT((1-U596)*($G$11-$E$11)*($G$11-$F$11))))</f>
        <v>0.106366352013603</v>
      </c>
      <c r="H596" s="39" t="n">
        <f aca="false">(('Business Case'!B11*$C596*'Business Case'!B12*$B596)-'Business Case'!B11*$C596*'Business Case'!B13*$D596-'Business Case'!B14*$E596)-MAX(0,(('Business Case'!B11*$C596*'Business Case'!B12*$B596)-'Business Case'!B11*$C596*'Business Case'!B13*$D596-'Business Case'!B14*$E596))*'Business Case'!$B$7-'Business Case'!$B$8*('Business Case'!B11*$C596*'Business Case'!B12*$B596)-'Business Case'!B15*$F596</f>
        <v>-2038949400.25631</v>
      </c>
      <c r="I596" s="39" t="n">
        <f aca="false">(('Business Case'!C11*$C596*'Business Case'!C12*$B596)-'Business Case'!C11*$C596*'Business Case'!C13*$D596-'Business Case'!C14*$E596)-MAX(0,(('Business Case'!C11*$C596*'Business Case'!C12*$B596)-'Business Case'!C11*$C596*'Business Case'!C13*$D596-'Business Case'!C14*$E596))*'Business Case'!$B$7-'Business Case'!$B$8*(('Business Case'!C11*$C596*'Business Case'!C12*$B596)-('Business Case'!B11*$C596*'Business Case'!B12*$B596))-'Business Case'!C15*$F596</f>
        <v>14167660.9666547</v>
      </c>
      <c r="J596" s="39" t="n">
        <f aca="false">(('Business Case'!D11*$C596*'Business Case'!D12*$B596)-'Business Case'!D11*$C596*'Business Case'!D13*$D596-'Business Case'!D14*$E596)-MAX(0,(('Business Case'!D11*$C596*'Business Case'!D12*$B596)-'Business Case'!D11*$C596*'Business Case'!D13*$D596-'Business Case'!D14*$E596))*'Business Case'!$B$7-'Business Case'!$B$8*(('Business Case'!D11*$C596*'Business Case'!D12*$B596)-('Business Case'!C11*$C596*'Business Case'!C12*$B596))-'Business Case'!D15*$F596</f>
        <v>323557877.202607</v>
      </c>
      <c r="K596" s="39" t="n">
        <f aca="false">(('Business Case'!E11*$C596*'Business Case'!E12*$B596)-'Business Case'!E11*$C596*'Business Case'!E13*$D596-'Business Case'!E14*$E596)-MAX(0,(('Business Case'!E11*$C596*'Business Case'!E12*$B596)-'Business Case'!E11*$C596*'Business Case'!E13*$D596-'Business Case'!E14*$E596))*'Business Case'!$B$7-'Business Case'!$B$8*(('Business Case'!E11*$C596*'Business Case'!E12*$B596)-('Business Case'!D11*$C596*'Business Case'!D12*$B596))-'Business Case'!E15*$F596</f>
        <v>683921828.444968</v>
      </c>
      <c r="L596" s="39" t="n">
        <f aca="false">(('Business Case'!F11*$C596*'Business Case'!F12*$B596)-'Business Case'!F11*$C596*'Business Case'!F13*$D596-'Business Case'!F14*$E596)-MAX(0,(('Business Case'!F11*$C596*'Business Case'!F12*$B596)-'Business Case'!F11*$C596*'Business Case'!F13*$D596-'Business Case'!F14*$E596))*'Business Case'!$B$7-'Business Case'!$B$8*(('Business Case'!F11*$C596*'Business Case'!F12*$B596)-('Business Case'!E11*$C596*'Business Case'!E12*$B596))-'Business Case'!F15*$F596</f>
        <v>821764013.849176</v>
      </c>
      <c r="M596" s="39" t="n">
        <f aca="false">(('Business Case'!G11*$C596*'Business Case'!G12*$B596)-'Business Case'!G11*$C596*'Business Case'!G13*$D596-'Business Case'!G14*$E596)-MAX(0,(('Business Case'!G11*$C596*'Business Case'!G12*$B596)-'Business Case'!G11*$C596*'Business Case'!G13*$D596-'Business Case'!G14*$E596))*'Business Case'!$B$7-'Business Case'!$B$8*(('Business Case'!G11*$C596*'Business Case'!G12*$B596)-('Business Case'!F11*$C596*'Business Case'!F12*$B596))-'Business Case'!G15*$F596+'Business Case'!$B$8*('Business Case'!G11*$C596*'Business Case'!G12*$B596)</f>
        <v>1012680637.13974</v>
      </c>
      <c r="N596" s="39" t="n">
        <f aca="false">IF(COUNT('Business Case'!B11:G11)=0,"",H596+NPV(G596,I596:M596))</f>
        <v>-97409363.1758142</v>
      </c>
      <c r="P596" s="40" t="n">
        <f aca="true">RAND()</f>
        <v>0.786539841768541</v>
      </c>
      <c r="Q596" s="40" t="n">
        <f aca="true">RAND()</f>
        <v>0.642309149139943</v>
      </c>
      <c r="R596" s="40" t="n">
        <f aca="true">RAND()</f>
        <v>0.438760832684498</v>
      </c>
      <c r="S596" s="40" t="n">
        <f aca="true">RAND()</f>
        <v>0.346081146996244</v>
      </c>
      <c r="T596" s="40" t="n">
        <f aca="true">RAND()</f>
        <v>0.291441148253293</v>
      </c>
      <c r="U596" s="40" t="n">
        <f aca="true">RAND()</f>
        <v>0.62763378857005</v>
      </c>
    </row>
    <row r="597" customFormat="false" ht="15" hidden="false" customHeight="false" outlineLevel="0" collapsed="false">
      <c r="A597" s="36" t="n">
        <v>517</v>
      </c>
      <c r="B597" s="37" t="n">
        <f aca="false">1+IF($G$6=$E$6,$F$6,IF(P597&lt;($F$6-$E$6)/($G$6-$E$6),$E$6+SQRT(P597*($G$6-$E$6)*($F$6-$E$6)),$G$6-SQRT((1-P597)*($G$6-$E$6)*($G$6-$F$6))))</f>
        <v>0.987040160440734</v>
      </c>
      <c r="C597" s="37" t="n">
        <f aca="false">1+IF($G$7=$E$7,$F$7,IF(Q597&lt;($F$7-$E$7)/($G$7-$E$7),$E$7+SQRT(Q597*($G$7-$E$7)*($F$7-$E$7)),$G$7-SQRT((1-Q597)*($G$7-$E$7)*($G$7-$F$7))))</f>
        <v>0.892515379103112</v>
      </c>
      <c r="D597" s="37" t="n">
        <f aca="false">1+IF($G$8=$E$8,$F$8,IF(R597&lt;($F$8-$E$8)/($G$8-$E$8),$E$8+SQRT(R597*($G$8-$E$8)*($F$8-$E$8)),$G$8-SQRT((1-R597)*($G$8-$E$8)*($G$8-$F$8))))</f>
        <v>1.07030832517386</v>
      </c>
      <c r="E597" s="37" t="n">
        <f aca="false">1+IF($G$9=$E$9,$F$9,IF(S597&lt;($F$9-$E$9)/($G$9-$E$9),$E$9+SQRT(S597*($G$9-$E$9)*($F$9-$E$9)),$G$9-SQRT((1-S597)*($G$9-$E$9)*($G$9-$F$9))))</f>
        <v>1.04806800807289</v>
      </c>
      <c r="F597" s="37" t="n">
        <f aca="false">1+IF($G$10=$E$10,$F$10,IF(T597&lt;($F$10-$E$10)/($G$10-$E$10),$E$10+SQRT(T597*($G$10-$E$10)*($F$10-$E$10)),$G$10-SQRT((1-T597)*($G$10-$E$10)*($G$10-$F$10))))</f>
        <v>1.10829646680153</v>
      </c>
      <c r="G597" s="38" t="n">
        <f aca="false">IF($G$11=$E$11,$F$11,IF(U597&lt;($F$11-$E$11)/($G$11-$E$11),$E$11+SQRT(U597*($G$11-$E$11)*($F$11-$E$11)),$G$11-SQRT((1-U597)*($G$11-$E$11)*($G$11-$F$11))))</f>
        <v>0.113775858381509</v>
      </c>
      <c r="H597" s="39" t="n">
        <f aca="false">(('Business Case'!B11*$C597*'Business Case'!B12*$B597)-'Business Case'!B11*$C597*'Business Case'!B13*$D597-'Business Case'!B14*$E597)-MAX(0,(('Business Case'!B11*$C597*'Business Case'!B12*$B597)-'Business Case'!B11*$C597*'Business Case'!B13*$D597-'Business Case'!B14*$E597))*'Business Case'!$B$7-'Business Case'!$B$8*('Business Case'!B11*$C597*'Business Case'!B12*$B597)-'Business Case'!B15*$F597</f>
        <v>-2216592933.60305</v>
      </c>
      <c r="I597" s="39" t="n">
        <f aca="false">(('Business Case'!C11*$C597*'Business Case'!C12*$B597)-'Business Case'!C11*$C597*'Business Case'!C13*$D597-'Business Case'!C14*$E597)-MAX(0,(('Business Case'!C11*$C597*'Business Case'!C12*$B597)-'Business Case'!C11*$C597*'Business Case'!C13*$D597-'Business Case'!C14*$E597))*'Business Case'!$B$7-'Business Case'!$B$8*(('Business Case'!C11*$C597*'Business Case'!C12*$B597)-('Business Case'!B11*$C597*'Business Case'!B12*$B597))-'Business Case'!C15*$F597</f>
        <v>-72993118.8965394</v>
      </c>
      <c r="J597" s="39" t="n">
        <f aca="false">(('Business Case'!D11*$C597*'Business Case'!D12*$B597)-'Business Case'!D11*$C597*'Business Case'!D13*$D597-'Business Case'!D14*$E597)-MAX(0,(('Business Case'!D11*$C597*'Business Case'!D12*$B597)-'Business Case'!D11*$C597*'Business Case'!D13*$D597-'Business Case'!D14*$E597))*'Business Case'!$B$7-'Business Case'!$B$8*(('Business Case'!D11*$C597*'Business Case'!D12*$B597)-('Business Case'!C11*$C597*'Business Case'!C12*$B597))-'Business Case'!D15*$F597</f>
        <v>159547051.06662</v>
      </c>
      <c r="K597" s="39" t="n">
        <f aca="false">(('Business Case'!E11*$C597*'Business Case'!E12*$B597)-'Business Case'!E11*$C597*'Business Case'!E13*$D597-'Business Case'!E14*$E597)-MAX(0,(('Business Case'!E11*$C597*'Business Case'!E12*$B597)-'Business Case'!E11*$C597*'Business Case'!E13*$D597-'Business Case'!E14*$E597))*'Business Case'!$B$7-'Business Case'!$B$8*(('Business Case'!E11*$C597*'Business Case'!E12*$B597)-('Business Case'!D11*$C597*'Business Case'!D12*$B597))-'Business Case'!E15*$F597</f>
        <v>447502044.369856</v>
      </c>
      <c r="L597" s="39" t="n">
        <f aca="false">(('Business Case'!F11*$C597*'Business Case'!F12*$B597)-'Business Case'!F11*$C597*'Business Case'!F13*$D597-'Business Case'!F14*$E597)-MAX(0,(('Business Case'!F11*$C597*'Business Case'!F12*$B597)-'Business Case'!F11*$C597*'Business Case'!F13*$D597-'Business Case'!F14*$E597))*'Business Case'!$B$7-'Business Case'!$B$8*(('Business Case'!F11*$C597*'Business Case'!F12*$B597)-('Business Case'!E11*$C597*'Business Case'!E12*$B597))-'Business Case'!F15*$F597</f>
        <v>555461015.311964</v>
      </c>
      <c r="M597" s="39" t="n">
        <f aca="false">(('Business Case'!G11*$C597*'Business Case'!G12*$B597)-'Business Case'!G11*$C597*'Business Case'!G13*$D597-'Business Case'!G14*$E597)-MAX(0,(('Business Case'!G11*$C597*'Business Case'!G12*$B597)-'Business Case'!G11*$C597*'Business Case'!G13*$D597-'Business Case'!G14*$E597))*'Business Case'!$B$7-'Business Case'!$B$8*(('Business Case'!G11*$C597*'Business Case'!G12*$B597)-('Business Case'!F11*$C597*'Business Case'!F12*$B597))-'Business Case'!G15*$F597+'Business Case'!$B$8*('Business Case'!G11*$C597*'Business Case'!G12*$B597)</f>
        <v>722911710.561097</v>
      </c>
      <c r="N597" s="39" t="n">
        <f aca="false">IF(COUNT('Business Case'!B11:G11)=0,"",H597+NPV(G597,I597:M597))</f>
        <v>-1046868330.45718</v>
      </c>
      <c r="P597" s="40" t="n">
        <f aca="true">RAND()</f>
        <v>0.505065968636581</v>
      </c>
      <c r="Q597" s="40" t="n">
        <f aca="true">RAND()</f>
        <v>0.274534601416408</v>
      </c>
      <c r="R597" s="40" t="n">
        <f aca="true">RAND()</f>
        <v>0.941226963067915</v>
      </c>
      <c r="S597" s="40" t="n">
        <f aca="true">RAND()</f>
        <v>0.722929840580577</v>
      </c>
      <c r="T597" s="40" t="n">
        <f aca="true">RAND()</f>
        <v>0.732268115720917</v>
      </c>
      <c r="U597" s="40" t="n">
        <f aca="true">RAND()</f>
        <v>0.824518152495431</v>
      </c>
    </row>
    <row r="598" customFormat="false" ht="15" hidden="false" customHeight="false" outlineLevel="0" collapsed="false">
      <c r="A598" s="36" t="n">
        <v>518</v>
      </c>
      <c r="B598" s="37" t="n">
        <f aca="false">1+IF($G$6=$E$6,$F$6,IF(P598&lt;($F$6-$E$6)/($G$6-$E$6),$E$6+SQRT(P598*($G$6-$E$6)*($F$6-$E$6)),$G$6-SQRT((1-P598)*($G$6-$E$6)*($G$6-$F$6))))</f>
        <v>0.991459988432199</v>
      </c>
      <c r="C598" s="37" t="n">
        <f aca="false">1+IF($G$7=$E$7,$F$7,IF(Q598&lt;($F$7-$E$7)/($G$7-$E$7),$E$7+SQRT(Q598*($G$7-$E$7)*($F$7-$E$7)),$G$7-SQRT((1-Q598)*($G$7-$E$7)*($G$7-$F$7))))</f>
        <v>0.989776950585661</v>
      </c>
      <c r="D598" s="37" t="n">
        <f aca="false">1+IF($G$8=$E$8,$F$8,IF(R598&lt;($F$8-$E$8)/($G$8-$E$8),$E$8+SQRT(R598*($G$8-$E$8)*($F$8-$E$8)),$G$8-SQRT((1-R598)*($G$8-$E$8)*($G$8-$F$8))))</f>
        <v>0.977064149144057</v>
      </c>
      <c r="E598" s="37" t="n">
        <f aca="false">1+IF($G$9=$E$9,$F$9,IF(S598&lt;($F$9-$E$9)/($G$9-$E$9),$E$9+SQRT(S598*($G$9-$E$9)*($F$9-$E$9)),$G$9-SQRT((1-S598)*($G$9-$E$9)*($G$9-$F$9))))</f>
        <v>0.943197716938351</v>
      </c>
      <c r="F598" s="37" t="n">
        <f aca="false">1+IF($G$10=$E$10,$F$10,IF(T598&lt;($F$10-$E$10)/($G$10-$E$10),$E$10+SQRT(T598*($G$10-$E$10)*($F$10-$E$10)),$G$10-SQRT((1-T598)*($G$10-$E$10)*($G$10-$F$10))))</f>
        <v>1.00683039674688</v>
      </c>
      <c r="G598" s="38" t="n">
        <f aca="false">IF($G$11=$E$11,$F$11,IF(U598&lt;($F$11-$E$11)/($G$11-$E$11),$E$11+SQRT(U598*($G$11-$E$11)*($F$11-$E$11)),$G$11-SQRT((1-U598)*($G$11-$E$11)*($G$11-$F$11))))</f>
        <v>0.116499414094416</v>
      </c>
      <c r="H598" s="39" t="n">
        <f aca="false">(('Business Case'!B11*$C598*'Business Case'!B12*$B598)-'Business Case'!B11*$C598*'Business Case'!B13*$D598-'Business Case'!B14*$E598)-MAX(0,(('Business Case'!B11*$C598*'Business Case'!B12*$B598)-'Business Case'!B11*$C598*'Business Case'!B13*$D598-'Business Case'!B14*$E598))*'Business Case'!$B$7-'Business Case'!$B$8*('Business Case'!B11*$C598*'Business Case'!B12*$B598)-'Business Case'!B15*$F598</f>
        <v>-2013660793.49376</v>
      </c>
      <c r="I598" s="39" t="n">
        <f aca="false">(('Business Case'!C11*$C598*'Business Case'!C12*$B598)-'Business Case'!C11*$C598*'Business Case'!C13*$D598-'Business Case'!C14*$E598)-MAX(0,(('Business Case'!C11*$C598*'Business Case'!C12*$B598)-'Business Case'!C11*$C598*'Business Case'!C13*$D598-'Business Case'!C14*$E598))*'Business Case'!$B$7-'Business Case'!$B$8*(('Business Case'!C11*$C598*'Business Case'!C12*$B598)-('Business Case'!B11*$C598*'Business Case'!B12*$B598))-'Business Case'!C15*$F598</f>
        <v>23032279.4564371</v>
      </c>
      <c r="J598" s="39" t="n">
        <f aca="false">(('Business Case'!D11*$C598*'Business Case'!D12*$B598)-'Business Case'!D11*$C598*'Business Case'!D13*$D598-'Business Case'!D14*$E598)-MAX(0,(('Business Case'!D11*$C598*'Business Case'!D12*$B598)-'Business Case'!D11*$C598*'Business Case'!D13*$D598-'Business Case'!D14*$E598))*'Business Case'!$B$7-'Business Case'!$B$8*(('Business Case'!D11*$C598*'Business Case'!D12*$B598)-('Business Case'!C11*$C598*'Business Case'!C12*$B598))-'Business Case'!D15*$F598</f>
        <v>331742162.744021</v>
      </c>
      <c r="K598" s="39" t="n">
        <f aca="false">(('Business Case'!E11*$C598*'Business Case'!E12*$B598)-'Business Case'!E11*$C598*'Business Case'!E13*$D598-'Business Case'!E14*$E598)-MAX(0,(('Business Case'!E11*$C598*'Business Case'!E12*$B598)-'Business Case'!E11*$C598*'Business Case'!E13*$D598-'Business Case'!E14*$E598))*'Business Case'!$B$7-'Business Case'!$B$8*(('Business Case'!E11*$C598*'Business Case'!E12*$B598)-('Business Case'!D11*$C598*'Business Case'!D12*$B598))-'Business Case'!E15*$F598</f>
        <v>690793565.868949</v>
      </c>
      <c r="L598" s="39" t="n">
        <f aca="false">(('Business Case'!F11*$C598*'Business Case'!F12*$B598)-'Business Case'!F11*$C598*'Business Case'!F13*$D598-'Business Case'!F14*$E598)-MAX(0,(('Business Case'!F11*$C598*'Business Case'!F12*$B598)-'Business Case'!F11*$C598*'Business Case'!F13*$D598-'Business Case'!F14*$E598))*'Business Case'!$B$7-'Business Case'!$B$8*(('Business Case'!F11*$C598*'Business Case'!F12*$B598)-('Business Case'!E11*$C598*'Business Case'!E12*$B598))-'Business Case'!F15*$F598</f>
        <v>827611426.170028</v>
      </c>
      <c r="M598" s="39" t="n">
        <f aca="false">(('Business Case'!G11*$C598*'Business Case'!G12*$B598)-'Business Case'!G11*$C598*'Business Case'!G13*$D598-'Business Case'!G14*$E598)-MAX(0,(('Business Case'!G11*$C598*'Business Case'!G12*$B598)-'Business Case'!G11*$C598*'Business Case'!G13*$D598-'Business Case'!G14*$E598))*'Business Case'!$B$7-'Business Case'!$B$8*(('Business Case'!G11*$C598*'Business Case'!G12*$B598)-('Business Case'!F11*$C598*'Business Case'!F12*$B598))-'Business Case'!G15*$F598+'Business Case'!$B$8*('Business Case'!G11*$C598*'Business Case'!G12*$B598)</f>
        <v>1014141538.46539</v>
      </c>
      <c r="N598" s="39" t="n">
        <f aca="false">IF(COUNT('Business Case'!B11:G11)=0,"",H598+NPV(G598,I598:M598))</f>
        <v>-113457058.665602</v>
      </c>
      <c r="P598" s="40" t="n">
        <f aca="true">RAND()</f>
        <v>0.557661965601204</v>
      </c>
      <c r="Q598" s="40" t="n">
        <f aca="true">RAND()</f>
        <v>0.622005045116477</v>
      </c>
      <c r="R598" s="40" t="n">
        <f aca="true">RAND()</f>
        <v>0.0976624225188979</v>
      </c>
      <c r="S598" s="40" t="n">
        <f aca="true">RAND()</f>
        <v>0.0746417099474366</v>
      </c>
      <c r="T598" s="40" t="n">
        <f aca="true">RAND()</f>
        <v>0.211580587382926</v>
      </c>
      <c r="U598" s="40" t="n">
        <f aca="true">RAND()</f>
        <v>0.87848945347063</v>
      </c>
    </row>
    <row r="599" customFormat="false" ht="15" hidden="false" customHeight="false" outlineLevel="0" collapsed="false">
      <c r="A599" s="36" t="n">
        <v>519</v>
      </c>
      <c r="B599" s="37" t="n">
        <f aca="false">1+IF($G$6=$E$6,$F$6,IF(P599&lt;($F$6-$E$6)/($G$6-$E$6),$E$6+SQRT(P599*($G$6-$E$6)*($F$6-$E$6)),$G$6-SQRT((1-P599)*($G$6-$E$6)*($G$6-$F$6))))</f>
        <v>0.956941450946723</v>
      </c>
      <c r="C599" s="37" t="n">
        <f aca="false">1+IF($G$7=$E$7,$F$7,IF(Q599&lt;($F$7-$E$7)/($G$7-$E$7),$E$7+SQRT(Q599*($G$7-$E$7)*($F$7-$E$7)),$G$7-SQRT((1-Q599)*($G$7-$E$7)*($G$7-$F$7))))</f>
        <v>1.13156186276339</v>
      </c>
      <c r="D599" s="37" t="n">
        <f aca="false">1+IF($G$8=$E$8,$F$8,IF(R599&lt;($F$8-$E$8)/($G$8-$E$8),$E$8+SQRT(R599*($G$8-$E$8)*($F$8-$E$8)),$G$8-SQRT((1-R599)*($G$8-$E$8)*($G$8-$F$8))))</f>
        <v>1.07094255708945</v>
      </c>
      <c r="E599" s="37" t="n">
        <f aca="false">1+IF($G$9=$E$9,$F$9,IF(S599&lt;($F$9-$E$9)/($G$9-$E$9),$E$9+SQRT(S599*($G$9-$E$9)*($F$9-$E$9)),$G$9-SQRT((1-S599)*($G$9-$E$9)*($G$9-$F$9))))</f>
        <v>0.997713793514661</v>
      </c>
      <c r="F599" s="37" t="n">
        <f aca="false">1+IF($G$10=$E$10,$F$10,IF(T599&lt;($F$10-$E$10)/($G$10-$E$10),$E$10+SQRT(T599*($G$10-$E$10)*($F$10-$E$10)),$G$10-SQRT((1-T599)*($G$10-$E$10)*($G$10-$F$10))))</f>
        <v>0.973716596061215</v>
      </c>
      <c r="G599" s="38" t="n">
        <f aca="false">IF($G$11=$E$11,$F$11,IF(U599&lt;($F$11-$E$11)/($G$11-$E$11),$E$11+SQRT(U599*($G$11-$E$11)*($F$11-$E$11)),$G$11-SQRT((1-U599)*($G$11-$E$11)*($G$11-$F$11))))</f>
        <v>0.106096907264932</v>
      </c>
      <c r="H599" s="39" t="n">
        <f aca="false">(('Business Case'!B11*$C599*'Business Case'!B12*$B599)-'Business Case'!B11*$C599*'Business Case'!B13*$D599-'Business Case'!B14*$E599)-MAX(0,(('Business Case'!B11*$C599*'Business Case'!B12*$B599)-'Business Case'!B11*$C599*'Business Case'!B13*$D599-'Business Case'!B14*$E599))*'Business Case'!$B$7-'Business Case'!$B$8*('Business Case'!B11*$C599*'Business Case'!B12*$B599)-'Business Case'!B15*$F599</f>
        <v>-1947433192.12243</v>
      </c>
      <c r="I599" s="39" t="n">
        <f aca="false">(('Business Case'!C11*$C599*'Business Case'!C12*$B599)-'Business Case'!C11*$C599*'Business Case'!C13*$D599-'Business Case'!C14*$E599)-MAX(0,(('Business Case'!C11*$C599*'Business Case'!C12*$B599)-'Business Case'!C11*$C599*'Business Case'!C13*$D599-'Business Case'!C14*$E599))*'Business Case'!$B$7-'Business Case'!$B$8*(('Business Case'!C11*$C599*'Business Case'!C12*$B599)-('Business Case'!B11*$C599*'Business Case'!B12*$B599))-'Business Case'!C15*$F599</f>
        <v>-28822234.2120615</v>
      </c>
      <c r="J599" s="39" t="n">
        <f aca="false">(('Business Case'!D11*$C599*'Business Case'!D12*$B599)-'Business Case'!D11*$C599*'Business Case'!D13*$D599-'Business Case'!D14*$E599)-MAX(0,(('Business Case'!D11*$C599*'Business Case'!D12*$B599)-'Business Case'!D11*$C599*'Business Case'!D13*$D599-'Business Case'!D14*$E599))*'Business Case'!$B$7-'Business Case'!$B$8*(('Business Case'!D11*$C599*'Business Case'!D12*$B599)-('Business Case'!C11*$C599*'Business Case'!C12*$B599))-'Business Case'!D15*$F599</f>
        <v>237736437.908674</v>
      </c>
      <c r="K599" s="39" t="n">
        <f aca="false">(('Business Case'!E11*$C599*'Business Case'!E12*$B599)-'Business Case'!E11*$C599*'Business Case'!E13*$D599-'Business Case'!E14*$E599)-MAX(0,(('Business Case'!E11*$C599*'Business Case'!E12*$B599)-'Business Case'!E11*$C599*'Business Case'!E13*$D599-'Business Case'!E14*$E599))*'Business Case'!$B$7-'Business Case'!$B$8*(('Business Case'!E11*$C599*'Business Case'!E12*$B599)-('Business Case'!D11*$C599*'Business Case'!D12*$B599))-'Business Case'!E15*$F599</f>
        <v>552980939.83247</v>
      </c>
      <c r="L599" s="39" t="n">
        <f aca="false">(('Business Case'!F11*$C599*'Business Case'!F12*$B599)-'Business Case'!F11*$C599*'Business Case'!F13*$D599-'Business Case'!F14*$E599)-MAX(0,(('Business Case'!F11*$C599*'Business Case'!F12*$B599)-'Business Case'!F11*$C599*'Business Case'!F13*$D599-'Business Case'!F14*$E599))*'Business Case'!$B$7-'Business Case'!$B$8*(('Business Case'!F11*$C599*'Business Case'!F12*$B599)-('Business Case'!E11*$C599*'Business Case'!E12*$B599))-'Business Case'!F15*$F599</f>
        <v>679256727.398642</v>
      </c>
      <c r="M599" s="39" t="n">
        <f aca="false">(('Business Case'!G11*$C599*'Business Case'!G12*$B599)-'Business Case'!G11*$C599*'Business Case'!G13*$D599-'Business Case'!G14*$E599)-MAX(0,(('Business Case'!G11*$C599*'Business Case'!G12*$B599)-'Business Case'!G11*$C599*'Business Case'!G13*$D599-'Business Case'!G14*$E599))*'Business Case'!$B$7-'Business Case'!$B$8*(('Business Case'!G11*$C599*'Business Case'!G12*$B599)-('Business Case'!F11*$C599*'Business Case'!F12*$B599))-'Business Case'!G15*$F599+'Business Case'!$B$8*('Business Case'!G11*$C599*'Business Case'!G12*$B599)</f>
        <v>885082660.124573</v>
      </c>
      <c r="N599" s="39" t="n">
        <f aca="false">IF(COUNT('Business Case'!B11:G11)=0,"",H599+NPV(G599,I599:M599))</f>
        <v>-382161020.807054</v>
      </c>
      <c r="P599" s="40" t="n">
        <f aca="true">RAND()</f>
        <v>0.216155255727872</v>
      </c>
      <c r="Q599" s="40" t="n">
        <f aca="true">RAND()</f>
        <v>0.994963482892504</v>
      </c>
      <c r="R599" s="40" t="n">
        <f aca="true">RAND()</f>
        <v>0.943711000766664</v>
      </c>
      <c r="S599" s="40" t="n">
        <f aca="true">RAND()</f>
        <v>0.381919417721028</v>
      </c>
      <c r="T599" s="40" t="n">
        <f aca="true">RAND()</f>
        <v>0.0374984619153907</v>
      </c>
      <c r="U599" s="40" t="n">
        <f aca="true">RAND()</f>
        <v>0.619094771799163</v>
      </c>
    </row>
    <row r="600" customFormat="false" ht="15" hidden="false" customHeight="false" outlineLevel="0" collapsed="false">
      <c r="A600" s="36" t="n">
        <v>520</v>
      </c>
      <c r="B600" s="37" t="n">
        <f aca="false">1+IF($G$6=$E$6,$F$6,IF(P600&lt;($F$6-$E$6)/($G$6-$E$6),$E$6+SQRT(P600*($G$6-$E$6)*($F$6-$E$6)),$G$6-SQRT((1-P600)*($G$6-$E$6)*($G$6-$F$6))))</f>
        <v>1.02437007982001</v>
      </c>
      <c r="C600" s="37" t="n">
        <f aca="false">1+IF($G$7=$E$7,$F$7,IF(Q600&lt;($F$7-$E$7)/($G$7-$E$7),$E$7+SQRT(Q600*($G$7-$E$7)*($F$7-$E$7)),$G$7-SQRT((1-Q600)*($G$7-$E$7)*($G$7-$F$7))))</f>
        <v>1.01834827974025</v>
      </c>
      <c r="D600" s="37" t="n">
        <f aca="false">1+IF($G$8=$E$8,$F$8,IF(R600&lt;($F$8-$E$8)/($G$8-$E$8),$E$8+SQRT(R600*($G$8-$E$8)*($F$8-$E$8)),$G$8-SQRT((1-R600)*($G$8-$E$8)*($G$8-$F$8))))</f>
        <v>0.993068780704424</v>
      </c>
      <c r="E600" s="37" t="n">
        <f aca="false">1+IF($G$9=$E$9,$F$9,IF(S600&lt;($F$9-$E$9)/($G$9-$E$9),$E$9+SQRT(S600*($G$9-$E$9)*($F$9-$E$9)),$G$9-SQRT((1-S600)*($G$9-$E$9)*($G$9-$F$9))))</f>
        <v>1.05024736710872</v>
      </c>
      <c r="F600" s="37" t="n">
        <f aca="false">1+IF($G$10=$E$10,$F$10,IF(T600&lt;($F$10-$E$10)/($G$10-$E$10),$E$10+SQRT(T600*($G$10-$E$10)*($F$10-$E$10)),$G$10-SQRT((1-T600)*($G$10-$E$10)*($G$10-$F$10))))</f>
        <v>1.03219809411367</v>
      </c>
      <c r="G600" s="38" t="n">
        <f aca="false">IF($G$11=$E$11,$F$11,IF(U600&lt;($F$11-$E$11)/($G$11-$E$11),$E$11+SQRT(U600*($G$11-$E$11)*($F$11-$E$11)),$G$11-SQRT((1-U600)*($G$11-$E$11)*($G$11-$F$11))))</f>
        <v>0.115401166556412</v>
      </c>
      <c r="H600" s="39" t="n">
        <f aca="false">(('Business Case'!B11*$C600*'Business Case'!B12*$B600)-'Business Case'!B11*$C600*'Business Case'!B13*$D600-'Business Case'!B14*$E600)-MAX(0,(('Business Case'!B11*$C600*'Business Case'!B12*$B600)-'Business Case'!B11*$C600*'Business Case'!B13*$D600-'Business Case'!B14*$E600))*'Business Case'!$B$7-'Business Case'!$B$8*('Business Case'!B11*$C600*'Business Case'!B12*$B600)-'Business Case'!B15*$F600</f>
        <v>-2064396188.22735</v>
      </c>
      <c r="I600" s="39" t="n">
        <f aca="false">(('Business Case'!C11*$C600*'Business Case'!C12*$B600)-'Business Case'!C11*$C600*'Business Case'!C13*$D600-'Business Case'!C14*$E600)-MAX(0,(('Business Case'!C11*$C600*'Business Case'!C12*$B600)-'Business Case'!C11*$C600*'Business Case'!C13*$D600-'Business Case'!C14*$E600))*'Business Case'!$B$7-'Business Case'!$B$8*(('Business Case'!C11*$C600*'Business Case'!C12*$B600)-('Business Case'!B11*$C600*'Business Case'!B12*$B600))-'Business Case'!C15*$F600</f>
        <v>30085456.8113519</v>
      </c>
      <c r="J600" s="39" t="n">
        <f aca="false">(('Business Case'!D11*$C600*'Business Case'!D12*$B600)-'Business Case'!D11*$C600*'Business Case'!D13*$D600-'Business Case'!D14*$E600)-MAX(0,(('Business Case'!D11*$C600*'Business Case'!D12*$B600)-'Business Case'!D11*$C600*'Business Case'!D13*$D600-'Business Case'!D14*$E600))*'Business Case'!$B$7-'Business Case'!$B$8*(('Business Case'!D11*$C600*'Business Case'!D12*$B600)-('Business Case'!C11*$C600*'Business Case'!C12*$B600))-'Business Case'!D15*$F600</f>
        <v>366813598.602864</v>
      </c>
      <c r="K600" s="39" t="n">
        <f aca="false">(('Business Case'!E11*$C600*'Business Case'!E12*$B600)-'Business Case'!E11*$C600*'Business Case'!E13*$D600-'Business Case'!E14*$E600)-MAX(0,(('Business Case'!E11*$C600*'Business Case'!E12*$B600)-'Business Case'!E11*$C600*'Business Case'!E13*$D600-'Business Case'!E14*$E600))*'Business Case'!$B$7-'Business Case'!$B$8*(('Business Case'!E11*$C600*'Business Case'!E12*$B600)-('Business Case'!D11*$C600*'Business Case'!D12*$B600))-'Business Case'!E15*$F600</f>
        <v>755151645.10006</v>
      </c>
      <c r="L600" s="39" t="n">
        <f aca="false">(('Business Case'!F11*$C600*'Business Case'!F12*$B600)-'Business Case'!F11*$C600*'Business Case'!F13*$D600-'Business Case'!F14*$E600)-MAX(0,(('Business Case'!F11*$C600*'Business Case'!F12*$B600)-'Business Case'!F11*$C600*'Business Case'!F13*$D600-'Business Case'!F14*$E600))*'Business Case'!$B$7-'Business Case'!$B$8*(('Business Case'!F11*$C600*'Business Case'!F12*$B600)-('Business Case'!E11*$C600*'Business Case'!E12*$B600))-'Business Case'!F15*$F600</f>
        <v>903446159.007851</v>
      </c>
      <c r="M600" s="39" t="n">
        <f aca="false">(('Business Case'!G11*$C600*'Business Case'!G12*$B600)-'Business Case'!G11*$C600*'Business Case'!G13*$D600-'Business Case'!G14*$E600)-MAX(0,(('Business Case'!G11*$C600*'Business Case'!G12*$B600)-'Business Case'!G11*$C600*'Business Case'!G13*$D600-'Business Case'!G14*$E600))*'Business Case'!$B$7-'Business Case'!$B$8*(('Business Case'!G11*$C600*'Business Case'!G12*$B600)-('Business Case'!F11*$C600*'Business Case'!F12*$B600))-'Business Case'!G15*$F600+'Business Case'!$B$8*('Business Case'!G11*$C600*'Business Case'!G12*$B600)</f>
        <v>1101731058.88294</v>
      </c>
      <c r="N600" s="39" t="n">
        <f aca="false">IF(COUNT('Business Case'!B11:G11)=0,"",H600+NPV(G600,I600:M600))</f>
        <v>23422568.4327114</v>
      </c>
      <c r="P600" s="40" t="n">
        <f aca="true">RAND()</f>
        <v>0.912414292208975</v>
      </c>
      <c r="Q600" s="40" t="n">
        <f aca="true">RAND()</f>
        <v>0.743227030409606</v>
      </c>
      <c r="R600" s="40" t="n">
        <f aca="true">RAND()</f>
        <v>0.247322649515433</v>
      </c>
      <c r="S600" s="40" t="n">
        <f aca="true">RAND()</f>
        <v>0.734650992833555</v>
      </c>
      <c r="T600" s="40" t="n">
        <f aca="true">RAND()</f>
        <v>0.367497730563778</v>
      </c>
      <c r="U600" s="40" t="n">
        <f aca="true">RAND()</f>
        <v>0.857916041390915</v>
      </c>
    </row>
    <row r="601" customFormat="false" ht="15" hidden="false" customHeight="false" outlineLevel="0" collapsed="false">
      <c r="A601" s="36" t="n">
        <v>521</v>
      </c>
      <c r="B601" s="37" t="n">
        <f aca="false">1+IF($G$6=$E$6,$F$6,IF(P601&lt;($F$6-$E$6)/($G$6-$E$6),$E$6+SQRT(P601*($G$6-$E$6)*($F$6-$E$6)),$G$6-SQRT((1-P601)*($G$6-$E$6)*($G$6-$F$6))))</f>
        <v>0.957078403529202</v>
      </c>
      <c r="C601" s="37" t="n">
        <f aca="false">1+IF($G$7=$E$7,$F$7,IF(Q601&lt;($F$7-$E$7)/($G$7-$E$7),$E$7+SQRT(Q601*($G$7-$E$7)*($F$7-$E$7)),$G$7-SQRT((1-Q601)*($G$7-$E$7)*($G$7-$F$7))))</f>
        <v>1.03462712873471</v>
      </c>
      <c r="D601" s="37" t="n">
        <f aca="false">1+IF($G$8=$E$8,$F$8,IF(R601&lt;($F$8-$E$8)/($G$8-$E$8),$E$8+SQRT(R601*($G$8-$E$8)*($F$8-$E$8)),$G$8-SQRT((1-R601)*($G$8-$E$8)*($G$8-$F$8))))</f>
        <v>1.02311615891494</v>
      </c>
      <c r="E601" s="37" t="n">
        <f aca="false">1+IF($G$9=$E$9,$F$9,IF(S601&lt;($F$9-$E$9)/($G$9-$E$9),$E$9+SQRT(S601*($G$9-$E$9)*($F$9-$E$9)),$G$9-SQRT((1-S601)*($G$9-$E$9)*($G$9-$F$9))))</f>
        <v>1.13270781180475</v>
      </c>
      <c r="F601" s="37" t="n">
        <f aca="false">1+IF($G$10=$E$10,$F$10,IF(T601&lt;($F$10-$E$10)/($G$10-$E$10),$E$10+SQRT(T601*($G$10-$E$10)*($F$10-$E$10)),$G$10-SQRT((1-T601)*($G$10-$E$10)*($G$10-$F$10))))</f>
        <v>0.995135260690442</v>
      </c>
      <c r="G601" s="38" t="n">
        <f aca="false">IF($G$11=$E$11,$F$11,IF(U601&lt;($F$11-$E$11)/($G$11-$E$11),$E$11+SQRT(U601*($G$11-$E$11)*($F$11-$E$11)),$G$11-SQRT((1-U601)*($G$11-$E$11)*($G$11-$F$11))))</f>
        <v>0.0858904557118742</v>
      </c>
      <c r="H601" s="39" t="n">
        <f aca="false">(('Business Case'!B11*$C601*'Business Case'!B12*$B601)-'Business Case'!B11*$C601*'Business Case'!B13*$D601-'Business Case'!B14*$E601)-MAX(0,(('Business Case'!B11*$C601*'Business Case'!B12*$B601)-'Business Case'!B11*$C601*'Business Case'!B13*$D601-'Business Case'!B14*$E601))*'Business Case'!$B$7-'Business Case'!$B$8*('Business Case'!B11*$C601*'Business Case'!B12*$B601)-'Business Case'!B15*$F601</f>
        <v>-1990270521.38088</v>
      </c>
      <c r="I601" s="39" t="n">
        <f aca="false">(('Business Case'!C11*$C601*'Business Case'!C12*$B601)-'Business Case'!C11*$C601*'Business Case'!C13*$D601-'Business Case'!C14*$E601)-MAX(0,(('Business Case'!C11*$C601*'Business Case'!C12*$B601)-'Business Case'!C11*$C601*'Business Case'!C13*$D601-'Business Case'!C14*$E601))*'Business Case'!$B$7-'Business Case'!$B$8*(('Business Case'!C11*$C601*'Business Case'!C12*$B601)-('Business Case'!B11*$C601*'Business Case'!B12*$B601))-'Business Case'!C15*$F601</f>
        <v>-42746366.0387555</v>
      </c>
      <c r="J601" s="39" t="n">
        <f aca="false">(('Business Case'!D11*$C601*'Business Case'!D12*$B601)-'Business Case'!D11*$C601*'Business Case'!D13*$D601-'Business Case'!D14*$E601)-MAX(0,(('Business Case'!D11*$C601*'Business Case'!D12*$B601)-'Business Case'!D11*$C601*'Business Case'!D13*$D601-'Business Case'!D14*$E601))*'Business Case'!$B$7-'Business Case'!$B$8*(('Business Case'!D11*$C601*'Business Case'!D12*$B601)-('Business Case'!C11*$C601*'Business Case'!C12*$B601))-'Business Case'!D15*$F601</f>
        <v>226424812.337375</v>
      </c>
      <c r="K601" s="39" t="n">
        <f aca="false">(('Business Case'!E11*$C601*'Business Case'!E12*$B601)-'Business Case'!E11*$C601*'Business Case'!E13*$D601-'Business Case'!E14*$E601)-MAX(0,(('Business Case'!E11*$C601*'Business Case'!E12*$B601)-'Business Case'!E11*$C601*'Business Case'!E13*$D601-'Business Case'!E14*$E601))*'Business Case'!$B$7-'Business Case'!$B$8*(('Business Case'!E11*$C601*'Business Case'!E12*$B601)-('Business Case'!D11*$C601*'Business Case'!D12*$B601))-'Business Case'!E15*$F601</f>
        <v>545352753.748028</v>
      </c>
      <c r="L601" s="39" t="n">
        <f aca="false">(('Business Case'!F11*$C601*'Business Case'!F12*$B601)-'Business Case'!F11*$C601*'Business Case'!F13*$D601-'Business Case'!F14*$E601)-MAX(0,(('Business Case'!F11*$C601*'Business Case'!F12*$B601)-'Business Case'!F11*$C601*'Business Case'!F13*$D601-'Business Case'!F14*$E601))*'Business Case'!$B$7-'Business Case'!$B$8*(('Business Case'!F11*$C601*'Business Case'!F12*$B601)-('Business Case'!E11*$C601*'Business Case'!E12*$B601))-'Business Case'!F15*$F601</f>
        <v>669298458.211544</v>
      </c>
      <c r="M601" s="39" t="n">
        <f aca="false">(('Business Case'!G11*$C601*'Business Case'!G12*$B601)-'Business Case'!G11*$C601*'Business Case'!G13*$D601-'Business Case'!G14*$E601)-MAX(0,(('Business Case'!G11*$C601*'Business Case'!G12*$B601)-'Business Case'!G11*$C601*'Business Case'!G13*$D601-'Business Case'!G14*$E601))*'Business Case'!$B$7-'Business Case'!$B$8*(('Business Case'!G11*$C601*'Business Case'!G12*$B601)-('Business Case'!F11*$C601*'Business Case'!F12*$B601))-'Business Case'!G15*$F601+'Business Case'!$B$8*('Business Case'!G11*$C601*'Business Case'!G12*$B601)</f>
        <v>857519339.071302</v>
      </c>
      <c r="N601" s="39" t="n">
        <f aca="false">IF(COUNT('Business Case'!B11:G11)=0,"",H601+NPV(G601,I601:M601))</f>
        <v>-362380475.46774</v>
      </c>
      <c r="P601" s="40" t="n">
        <f aca="true">RAND()</f>
        <v>0.217196276629497</v>
      </c>
      <c r="Q601" s="40" t="n">
        <f aca="true">RAND()</f>
        <v>0.802801490014849</v>
      </c>
      <c r="R601" s="40" t="n">
        <f aca="true">RAND()</f>
        <v>0.605924998667147</v>
      </c>
      <c r="S601" s="40" t="n">
        <f aca="true">RAND()</f>
        <v>0.992026139397868</v>
      </c>
      <c r="T601" s="40" t="n">
        <f aca="true">RAND()</f>
        <v>0.135812783839611</v>
      </c>
      <c r="U601" s="40" t="n">
        <f aca="true">RAND()</f>
        <v>0.034697468493551</v>
      </c>
    </row>
    <row r="602" customFormat="false" ht="15" hidden="false" customHeight="false" outlineLevel="0" collapsed="false">
      <c r="A602" s="36" t="n">
        <v>522</v>
      </c>
      <c r="B602" s="37" t="n">
        <f aca="false">1+IF($G$6=$E$6,$F$6,IF(P602&lt;($F$6-$E$6)/($G$6-$E$6),$E$6+SQRT(P602*($G$6-$E$6)*($F$6-$E$6)),$G$6-SQRT((1-P602)*($G$6-$E$6)*($G$6-$F$6))))</f>
        <v>0.97854606701203</v>
      </c>
      <c r="C602" s="37" t="n">
        <f aca="false">1+IF($G$7=$E$7,$F$7,IF(Q602&lt;($F$7-$E$7)/($G$7-$E$7),$E$7+SQRT(Q602*($G$7-$E$7)*($F$7-$E$7)),$G$7-SQRT((1-Q602)*($G$7-$E$7)*($G$7-$F$7))))</f>
        <v>1.01272181232491</v>
      </c>
      <c r="D602" s="37" t="n">
        <f aca="false">1+IF($G$8=$E$8,$F$8,IF(R602&lt;($F$8-$E$8)/($G$8-$E$8),$E$8+SQRT(R602*($G$8-$E$8)*($F$8-$E$8)),$G$8-SQRT((1-R602)*($G$8-$E$8)*($G$8-$F$8))))</f>
        <v>0.974718694151068</v>
      </c>
      <c r="E602" s="37" t="n">
        <f aca="false">1+IF($G$9=$E$9,$F$9,IF(S602&lt;($F$9-$E$9)/($G$9-$E$9),$E$9+SQRT(S602*($G$9-$E$9)*($F$9-$E$9)),$G$9-SQRT((1-S602)*($G$9-$E$9)*($G$9-$F$9))))</f>
        <v>0.967495690434363</v>
      </c>
      <c r="F602" s="37" t="n">
        <f aca="false">1+IF($G$10=$E$10,$F$10,IF(T602&lt;($F$10-$E$10)/($G$10-$E$10),$E$10+SQRT(T602*($G$10-$E$10)*($F$10-$E$10)),$G$10-SQRT((1-T602)*($G$10-$E$10)*($G$10-$F$10))))</f>
        <v>1.13034470138464</v>
      </c>
      <c r="G602" s="38" t="n">
        <f aca="false">IF($G$11=$E$11,$F$11,IF(U602&lt;($F$11-$E$11)/($G$11-$E$11),$E$11+SQRT(U602*($G$11-$E$11)*($F$11-$E$11)),$G$11-SQRT((1-U602)*($G$11-$E$11)*($G$11-$F$11))))</f>
        <v>0.102253398031161</v>
      </c>
      <c r="H602" s="39" t="n">
        <f aca="false">(('Business Case'!B11*$C602*'Business Case'!B12*$B602)-'Business Case'!B11*$C602*'Business Case'!B13*$D602-'Business Case'!B14*$E602)-MAX(0,(('Business Case'!B11*$C602*'Business Case'!B12*$B602)-'Business Case'!B11*$C602*'Business Case'!B13*$D602-'Business Case'!B14*$E602))*'Business Case'!$B$7-'Business Case'!$B$8*('Business Case'!B11*$C602*'Business Case'!B12*$B602)-'Business Case'!B15*$F602</f>
        <v>-2260689402.76928</v>
      </c>
      <c r="I602" s="39" t="n">
        <f aca="false">(('Business Case'!C11*$C602*'Business Case'!C12*$B602)-'Business Case'!C11*$C602*'Business Case'!C13*$D602-'Business Case'!C14*$E602)-MAX(0,(('Business Case'!C11*$C602*'Business Case'!C12*$B602)-'Business Case'!C11*$C602*'Business Case'!C13*$D602-'Business Case'!C14*$E602))*'Business Case'!$B$7-'Business Case'!$B$8*(('Business Case'!C11*$C602*'Business Case'!C12*$B602)-('Business Case'!B11*$C602*'Business Case'!B12*$B602))-'Business Case'!C15*$F602</f>
        <v>4384779.11689535</v>
      </c>
      <c r="J602" s="39" t="n">
        <f aca="false">(('Business Case'!D11*$C602*'Business Case'!D12*$B602)-'Business Case'!D11*$C602*'Business Case'!D13*$D602-'Business Case'!D14*$E602)-MAX(0,(('Business Case'!D11*$C602*'Business Case'!D12*$B602)-'Business Case'!D11*$C602*'Business Case'!D13*$D602-'Business Case'!D14*$E602))*'Business Case'!$B$7-'Business Case'!$B$8*(('Business Case'!D11*$C602*'Business Case'!D12*$B602)-('Business Case'!C11*$C602*'Business Case'!C12*$B602))-'Business Case'!D15*$F602</f>
        <v>310755093.57484</v>
      </c>
      <c r="K602" s="39" t="n">
        <f aca="false">(('Business Case'!E11*$C602*'Business Case'!E12*$B602)-'Business Case'!E11*$C602*'Business Case'!E13*$D602-'Business Case'!E14*$E602)-MAX(0,(('Business Case'!E11*$C602*'Business Case'!E12*$B602)-'Business Case'!E11*$C602*'Business Case'!E13*$D602-'Business Case'!E14*$E602))*'Business Case'!$B$7-'Business Case'!$B$8*(('Business Case'!E11*$C602*'Business Case'!E12*$B602)-('Business Case'!D11*$C602*'Business Case'!D12*$B602))-'Business Case'!E15*$F602</f>
        <v>673642643.102016</v>
      </c>
      <c r="L602" s="39" t="n">
        <f aca="false">(('Business Case'!F11*$C602*'Business Case'!F12*$B602)-'Business Case'!F11*$C602*'Business Case'!F13*$D602-'Business Case'!F14*$E602)-MAX(0,(('Business Case'!F11*$C602*'Business Case'!F12*$B602)-'Business Case'!F11*$C602*'Business Case'!F13*$D602-'Business Case'!F14*$E602))*'Business Case'!$B$7-'Business Case'!$B$8*(('Business Case'!F11*$C602*'Business Case'!F12*$B602)-('Business Case'!E11*$C602*'Business Case'!E12*$B602))-'Business Case'!F15*$F602</f>
        <v>810014866.60321</v>
      </c>
      <c r="M602" s="39" t="n">
        <f aca="false">(('Business Case'!G11*$C602*'Business Case'!G12*$B602)-'Business Case'!G11*$C602*'Business Case'!G13*$D602-'Business Case'!G14*$E602)-MAX(0,(('Business Case'!G11*$C602*'Business Case'!G12*$B602)-'Business Case'!G11*$C602*'Business Case'!G13*$D602-'Business Case'!G14*$E602))*'Business Case'!$B$7-'Business Case'!$B$8*(('Business Case'!G11*$C602*'Business Case'!G12*$B602)-('Business Case'!F11*$C602*'Business Case'!F12*$B602))-'Business Case'!G15*$F602+'Business Case'!$B$8*('Business Case'!G11*$C602*'Business Case'!G12*$B602)</f>
        <v>998383186.020212</v>
      </c>
      <c r="N602" s="39" t="n">
        <f aca="false">IF(COUNT('Business Case'!B11:G11)=0,"",H602+NPV(G602,I602:M602))</f>
        <v>-335570675.081126</v>
      </c>
      <c r="P602" s="40" t="n">
        <f aca="true">RAND()</f>
        <v>0.411298976203888</v>
      </c>
      <c r="Q602" s="40" t="n">
        <f aca="true">RAND()</f>
        <v>0.720810358350251</v>
      </c>
      <c r="R602" s="40" t="n">
        <f aca="true">RAND()</f>
        <v>0.081468512071202</v>
      </c>
      <c r="S602" s="40" t="n">
        <f aca="true">RAND()</f>
        <v>0.182226729088452</v>
      </c>
      <c r="T602" s="40" t="n">
        <f aca="true">RAND()</f>
        <v>0.809101460176917</v>
      </c>
      <c r="U602" s="40" t="n">
        <f aca="true">RAND()</f>
        <v>0.486750719455215</v>
      </c>
    </row>
    <row r="603" customFormat="false" ht="15" hidden="false" customHeight="false" outlineLevel="0" collapsed="false">
      <c r="A603" s="36" t="n">
        <v>523</v>
      </c>
      <c r="B603" s="37" t="n">
        <f aca="false">1+IF($G$6=$E$6,$F$6,IF(P603&lt;($F$6-$E$6)/($G$6-$E$6),$E$6+SQRT(P603*($G$6-$E$6)*($F$6-$E$6)),$G$6-SQRT((1-P603)*($G$6-$E$6)*($G$6-$F$6))))</f>
        <v>1.00739040072654</v>
      </c>
      <c r="C603" s="37" t="n">
        <f aca="false">1+IF($G$7=$E$7,$F$7,IF(Q603&lt;($F$7-$E$7)/($G$7-$E$7),$E$7+SQRT(Q603*($G$7-$E$7)*($F$7-$E$7)),$G$7-SQRT((1-Q603)*($G$7-$E$7)*($G$7-$F$7))))</f>
        <v>0.875803465593281</v>
      </c>
      <c r="D603" s="37" t="n">
        <f aca="false">1+IF($G$8=$E$8,$F$8,IF(R603&lt;($F$8-$E$8)/($G$8-$E$8),$E$8+SQRT(R603*($G$8-$E$8)*($F$8-$E$8)),$G$8-SQRT((1-R603)*($G$8-$E$8)*($G$8-$F$8))))</f>
        <v>0.974702631198001</v>
      </c>
      <c r="E603" s="37" t="n">
        <f aca="false">1+IF($G$9=$E$9,$F$9,IF(S603&lt;($F$9-$E$9)/($G$9-$E$9),$E$9+SQRT(S603*($G$9-$E$9)*($F$9-$E$9)),$G$9-SQRT((1-S603)*($G$9-$E$9)*($G$9-$F$9))))</f>
        <v>0.986885027157959</v>
      </c>
      <c r="F603" s="37" t="n">
        <f aca="false">1+IF($G$10=$E$10,$F$10,IF(T603&lt;($F$10-$E$10)/($G$10-$E$10),$E$10+SQRT(T603*($G$10-$E$10)*($F$10-$E$10)),$G$10-SQRT((1-T603)*($G$10-$E$10)*($G$10-$F$10))))</f>
        <v>0.990029343489123</v>
      </c>
      <c r="G603" s="38" t="n">
        <f aca="false">IF($G$11=$E$11,$F$11,IF(U603&lt;($F$11-$E$11)/($G$11-$E$11),$E$11+SQRT(U603*($G$11-$E$11)*($F$11-$E$11)),$G$11-SQRT((1-U603)*($G$11-$E$11)*($G$11-$F$11))))</f>
        <v>0.117581993118086</v>
      </c>
      <c r="H603" s="39" t="n">
        <f aca="false">(('Business Case'!B11*$C603*'Business Case'!B12*$B603)-'Business Case'!B11*$C603*'Business Case'!B13*$D603-'Business Case'!B14*$E603)-MAX(0,(('Business Case'!B11*$C603*'Business Case'!B12*$B603)-'Business Case'!B11*$C603*'Business Case'!B13*$D603-'Business Case'!B14*$E603))*'Business Case'!$B$7-'Business Case'!$B$8*('Business Case'!B11*$C603*'Business Case'!B12*$B603)-'Business Case'!B15*$F603</f>
        <v>-1980058686.97825</v>
      </c>
      <c r="I603" s="39" t="n">
        <f aca="false">(('Business Case'!C11*$C603*'Business Case'!C12*$B603)-'Business Case'!C11*$C603*'Business Case'!C13*$D603-'Business Case'!C14*$E603)-MAX(0,(('Business Case'!C11*$C603*'Business Case'!C12*$B603)-'Business Case'!C11*$C603*'Business Case'!C13*$D603-'Business Case'!C14*$E603))*'Business Case'!$B$7-'Business Case'!$B$8*(('Business Case'!C11*$C603*'Business Case'!C12*$B603)-('Business Case'!B11*$C603*'Business Case'!B12*$B603))-'Business Case'!C15*$F603</f>
        <v>572943.378643349</v>
      </c>
      <c r="J603" s="39" t="n">
        <f aca="false">(('Business Case'!D11*$C603*'Business Case'!D12*$B603)-'Business Case'!D11*$C603*'Business Case'!D13*$D603-'Business Case'!D14*$E603)-MAX(0,(('Business Case'!D11*$C603*'Business Case'!D12*$B603)-'Business Case'!D11*$C603*'Business Case'!D13*$D603-'Business Case'!D14*$E603))*'Business Case'!$B$7-'Business Case'!$B$8*(('Business Case'!D11*$C603*'Business Case'!D12*$B603)-('Business Case'!C11*$C603*'Business Case'!C12*$B603))-'Business Case'!D15*$F603</f>
        <v>286221060.023804</v>
      </c>
      <c r="K603" s="39" t="n">
        <f aca="false">(('Business Case'!E11*$C603*'Business Case'!E12*$B603)-'Business Case'!E11*$C603*'Business Case'!E13*$D603-'Business Case'!E14*$E603)-MAX(0,(('Business Case'!E11*$C603*'Business Case'!E12*$B603)-'Business Case'!E11*$C603*'Business Case'!E13*$D603-'Business Case'!E14*$E603))*'Business Case'!$B$7-'Business Case'!$B$8*(('Business Case'!E11*$C603*'Business Case'!E12*$B603)-('Business Case'!D11*$C603*'Business Case'!D12*$B603))-'Business Case'!E15*$F603</f>
        <v>621370643.84342</v>
      </c>
      <c r="L603" s="39" t="n">
        <f aca="false">(('Business Case'!F11*$C603*'Business Case'!F12*$B603)-'Business Case'!F11*$C603*'Business Case'!F13*$D603-'Business Case'!F14*$E603)-MAX(0,(('Business Case'!F11*$C603*'Business Case'!F12*$B603)-'Business Case'!F11*$C603*'Business Case'!F13*$D603-'Business Case'!F14*$E603))*'Business Case'!$B$7-'Business Case'!$B$8*(('Business Case'!F11*$C603*'Business Case'!F12*$B603)-('Business Case'!E11*$C603*'Business Case'!E12*$B603))-'Business Case'!F15*$F603</f>
        <v>747078141.428968</v>
      </c>
      <c r="M603" s="39" t="n">
        <f aca="false">(('Business Case'!G11*$C603*'Business Case'!G12*$B603)-'Business Case'!G11*$C603*'Business Case'!G13*$D603-'Business Case'!G14*$E603)-MAX(0,(('Business Case'!G11*$C603*'Business Case'!G12*$B603)-'Business Case'!G11*$C603*'Business Case'!G13*$D603-'Business Case'!G14*$E603))*'Business Case'!$B$7-'Business Case'!$B$8*(('Business Case'!G11*$C603*'Business Case'!G12*$B603)-('Business Case'!F11*$C603*'Business Case'!F12*$B603))-'Business Case'!G15*$F603+'Business Case'!$B$8*('Business Case'!G11*$C603*'Business Case'!G12*$B603)</f>
        <v>914781164.300025</v>
      </c>
      <c r="N603" s="39" t="n">
        <f aca="false">IF(COUNT('Business Case'!B11:G11)=0,"",H603+NPV(G603,I603:M603))</f>
        <v>-301612540.625597</v>
      </c>
      <c r="P603" s="40" t="n">
        <f aca="true">RAND()</f>
        <v>0.757922939967323</v>
      </c>
      <c r="Q603" s="40" t="n">
        <f aca="true">RAND()</f>
        <v>0.2289396927008</v>
      </c>
      <c r="R603" s="40" t="n">
        <f aca="true">RAND()</f>
        <v>0.0813626650805909</v>
      </c>
      <c r="S603" s="40" t="n">
        <f aca="true">RAND()</f>
        <v>0.301960317769568</v>
      </c>
      <c r="T603" s="40" t="n">
        <f aca="true">RAND()</f>
        <v>0.106823222678013</v>
      </c>
      <c r="U603" s="40" t="n">
        <f aca="true">RAND()</f>
        <v>0.897195403387159</v>
      </c>
    </row>
    <row r="604" customFormat="false" ht="15" hidden="false" customHeight="false" outlineLevel="0" collapsed="false">
      <c r="A604" s="36" t="n">
        <v>524</v>
      </c>
      <c r="B604" s="37" t="n">
        <f aca="false">1+IF($G$6=$E$6,$F$6,IF(P604&lt;($F$6-$E$6)/($G$6-$E$6),$E$6+SQRT(P604*($G$6-$E$6)*($F$6-$E$6)),$G$6-SQRT((1-P604)*($G$6-$E$6)*($G$6-$F$6))))</f>
        <v>0.963303473428434</v>
      </c>
      <c r="C604" s="37" t="n">
        <f aca="false">1+IF($G$7=$E$7,$F$7,IF(Q604&lt;($F$7-$E$7)/($G$7-$E$7),$E$7+SQRT(Q604*($G$7-$E$7)*($F$7-$E$7)),$G$7-SQRT((1-Q604)*($G$7-$E$7)*($G$7-$F$7))))</f>
        <v>0.970378915268373</v>
      </c>
      <c r="D604" s="37" t="n">
        <f aca="false">1+IF($G$8=$E$8,$F$8,IF(R604&lt;($F$8-$E$8)/($G$8-$E$8),$E$8+SQRT(R604*($G$8-$E$8)*($F$8-$E$8)),$G$8-SQRT((1-R604)*($G$8-$E$8)*($G$8-$F$8))))</f>
        <v>1.02138065153323</v>
      </c>
      <c r="E604" s="37" t="n">
        <f aca="false">1+IF($G$9=$E$9,$F$9,IF(S604&lt;($F$9-$E$9)/($G$9-$E$9),$E$9+SQRT(S604*($G$9-$E$9)*($F$9-$E$9)),$G$9-SQRT((1-S604)*($G$9-$E$9)*($G$9-$F$9))))</f>
        <v>1.06513013285017</v>
      </c>
      <c r="F604" s="37" t="n">
        <f aca="false">1+IF($G$10=$E$10,$F$10,IF(T604&lt;($F$10-$E$10)/($G$10-$E$10),$E$10+SQRT(T604*($G$10-$E$10)*($F$10-$E$10)),$G$10-SQRT((1-T604)*($G$10-$E$10)*($G$10-$F$10))))</f>
        <v>0.9952302494382</v>
      </c>
      <c r="G604" s="38" t="n">
        <f aca="false">IF($G$11=$E$11,$F$11,IF(U604&lt;($F$11-$E$11)/($G$11-$E$11),$E$11+SQRT(U604*($G$11-$E$11)*($F$11-$E$11)),$G$11-SQRT((1-U604)*($G$11-$E$11)*($G$11-$F$11))))</f>
        <v>0.0937833668277856</v>
      </c>
      <c r="H604" s="39" t="n">
        <f aca="false">(('Business Case'!B11*$C604*'Business Case'!B12*$B604)-'Business Case'!B11*$C604*'Business Case'!B13*$D604-'Business Case'!B14*$E604)-MAX(0,(('Business Case'!B11*$C604*'Business Case'!B12*$B604)-'Business Case'!B11*$C604*'Business Case'!B13*$D604-'Business Case'!B14*$E604))*'Business Case'!$B$7-'Business Case'!$B$8*('Business Case'!B11*$C604*'Business Case'!B12*$B604)-'Business Case'!B15*$F604</f>
        <v>-1990460498.8764</v>
      </c>
      <c r="I604" s="39" t="n">
        <f aca="false">(('Business Case'!C11*$C604*'Business Case'!C12*$B604)-'Business Case'!C11*$C604*'Business Case'!C13*$D604-'Business Case'!C14*$E604)-MAX(0,(('Business Case'!C11*$C604*'Business Case'!C12*$B604)-'Business Case'!C11*$C604*'Business Case'!C13*$D604-'Business Case'!C14*$E604))*'Business Case'!$B$7-'Business Case'!$B$8*(('Business Case'!C11*$C604*'Business Case'!C12*$B604)-('Business Case'!B11*$C604*'Business Case'!B12*$B604))-'Business Case'!C15*$F604</f>
        <v>-41176898.4107952</v>
      </c>
      <c r="J604" s="39" t="n">
        <f aca="false">(('Business Case'!D11*$C604*'Business Case'!D12*$B604)-'Business Case'!D11*$C604*'Business Case'!D13*$D604-'Business Case'!D14*$E604)-MAX(0,(('Business Case'!D11*$C604*'Business Case'!D12*$B604)-'Business Case'!D11*$C604*'Business Case'!D13*$D604-'Business Case'!D14*$E604))*'Business Case'!$B$7-'Business Case'!$B$8*(('Business Case'!D11*$C604*'Business Case'!D12*$B604)-('Business Case'!C11*$C604*'Business Case'!C12*$B604))-'Business Case'!D15*$F604</f>
        <v>217089177.653012</v>
      </c>
      <c r="K604" s="39" t="n">
        <f aca="false">(('Business Case'!E11*$C604*'Business Case'!E12*$B604)-'Business Case'!E11*$C604*'Business Case'!E13*$D604-'Business Case'!E14*$E604)-MAX(0,(('Business Case'!E11*$C604*'Business Case'!E12*$B604)-'Business Case'!E11*$C604*'Business Case'!E13*$D604-'Business Case'!E14*$E604))*'Business Case'!$B$7-'Business Case'!$B$8*(('Business Case'!E11*$C604*'Business Case'!E12*$B604)-('Business Case'!D11*$C604*'Business Case'!D12*$B604))-'Business Case'!E15*$F604</f>
        <v>525116766.188728</v>
      </c>
      <c r="L604" s="39" t="n">
        <f aca="false">(('Business Case'!F11*$C604*'Business Case'!F12*$B604)-'Business Case'!F11*$C604*'Business Case'!F13*$D604-'Business Case'!F14*$E604)-MAX(0,(('Business Case'!F11*$C604*'Business Case'!F12*$B604)-'Business Case'!F11*$C604*'Business Case'!F13*$D604-'Business Case'!F14*$E604))*'Business Case'!$B$7-'Business Case'!$B$8*(('Business Case'!F11*$C604*'Business Case'!F12*$B604)-('Business Case'!E11*$C604*'Business Case'!E12*$B604))-'Business Case'!F15*$F604</f>
        <v>643511087.969656</v>
      </c>
      <c r="M604" s="39" t="n">
        <f aca="false">(('Business Case'!G11*$C604*'Business Case'!G12*$B604)-'Business Case'!G11*$C604*'Business Case'!G13*$D604-'Business Case'!G14*$E604)-MAX(0,(('Business Case'!G11*$C604*'Business Case'!G12*$B604)-'Business Case'!G11*$C604*'Business Case'!G13*$D604-'Business Case'!G14*$E604))*'Business Case'!$B$7-'Business Case'!$B$8*(('Business Case'!G11*$C604*'Business Case'!G12*$B604)-('Business Case'!F11*$C604*'Business Case'!F12*$B604))-'Business Case'!G15*$F604+'Business Case'!$B$8*('Business Case'!G11*$C604*'Business Case'!G12*$B604)</f>
        <v>821192051.647776</v>
      </c>
      <c r="N604" s="39" t="n">
        <f aca="false">IF(COUNT('Business Case'!B11:G11)=0,"",H604+NPV(G604,I604:M604))</f>
        <v>-471199544.952264</v>
      </c>
      <c r="P604" s="40" t="n">
        <f aca="true">RAND()</f>
        <v>0.267155316540293</v>
      </c>
      <c r="Q604" s="40" t="n">
        <f aca="true">RAND()</f>
        <v>0.5415167246052</v>
      </c>
      <c r="R604" s="40" t="n">
        <f aca="true">RAND()</f>
        <v>0.587933203110667</v>
      </c>
      <c r="S604" s="40" t="n">
        <f aca="true">RAND()</f>
        <v>0.807922817332558</v>
      </c>
      <c r="T604" s="40" t="n">
        <f aca="true">RAND()</f>
        <v>0.136385030949453</v>
      </c>
      <c r="U604" s="40" t="n">
        <f aca="true">RAND()</f>
        <v>0.1899812011093</v>
      </c>
    </row>
    <row r="605" customFormat="false" ht="15" hidden="false" customHeight="false" outlineLevel="0" collapsed="false">
      <c r="A605" s="36" t="n">
        <v>525</v>
      </c>
      <c r="B605" s="37" t="n">
        <f aca="false">1+IF($G$6=$E$6,$F$6,IF(P605&lt;($F$6-$E$6)/($G$6-$E$6),$E$6+SQRT(P605*($G$6-$E$6)*($F$6-$E$6)),$G$6-SQRT((1-P605)*($G$6-$E$6)*($G$6-$F$6))))</f>
        <v>1.01700386263233</v>
      </c>
      <c r="C605" s="37" t="n">
        <f aca="false">1+IF($G$7=$E$7,$F$7,IF(Q605&lt;($F$7-$E$7)/($G$7-$E$7),$E$7+SQRT(Q605*($G$7-$E$7)*($F$7-$E$7)),$G$7-SQRT((1-Q605)*($G$7-$E$7)*($G$7-$F$7))))</f>
        <v>0.794271849116481</v>
      </c>
      <c r="D605" s="37" t="n">
        <f aca="false">1+IF($G$8=$E$8,$F$8,IF(R605&lt;($F$8-$E$8)/($G$8-$E$8),$E$8+SQRT(R605*($G$8-$E$8)*($F$8-$E$8)),$G$8-SQRT((1-R605)*($G$8-$E$8)*($G$8-$F$8))))</f>
        <v>1.01582341063323</v>
      </c>
      <c r="E605" s="37" t="n">
        <f aca="false">1+IF($G$9=$E$9,$F$9,IF(S605&lt;($F$9-$E$9)/($G$9-$E$9),$E$9+SQRT(S605*($G$9-$E$9)*($F$9-$E$9)),$G$9-SQRT((1-S605)*($G$9-$E$9)*($G$9-$F$9))))</f>
        <v>1.01929793128165</v>
      </c>
      <c r="F605" s="37" t="n">
        <f aca="false">1+IF($G$10=$E$10,$F$10,IF(T605&lt;($F$10-$E$10)/($G$10-$E$10),$E$10+SQRT(T605*($G$10-$E$10)*($F$10-$E$10)),$G$10-SQRT((1-T605)*($G$10-$E$10)*($G$10-$F$10))))</f>
        <v>0.980413033046265</v>
      </c>
      <c r="G605" s="38" t="n">
        <f aca="false">IF($G$11=$E$11,$F$11,IF(U605&lt;($F$11-$E$11)/($G$11-$E$11),$E$11+SQRT(U605*($G$11-$E$11)*($F$11-$E$11)),$G$11-SQRT((1-U605)*($G$11-$E$11)*($G$11-$F$11))))</f>
        <v>0.107002541084518</v>
      </c>
      <c r="H605" s="39" t="n">
        <f aca="false">(('Business Case'!B11*$C605*'Business Case'!B12*$B605)-'Business Case'!B11*$C605*'Business Case'!B13*$D605-'Business Case'!B14*$E605)-MAX(0,(('Business Case'!B11*$C605*'Business Case'!B12*$B605)-'Business Case'!B11*$C605*'Business Case'!B13*$D605-'Business Case'!B14*$E605))*'Business Case'!$B$7-'Business Case'!$B$8*('Business Case'!B11*$C605*'Business Case'!B12*$B605)-'Business Case'!B15*$F605</f>
        <v>-1960826066.09253</v>
      </c>
      <c r="I605" s="39" t="n">
        <f aca="false">(('Business Case'!C11*$C605*'Business Case'!C12*$B605)-'Business Case'!C11*$C605*'Business Case'!C13*$D605-'Business Case'!C14*$E605)-MAX(0,(('Business Case'!C11*$C605*'Business Case'!C12*$B605)-'Business Case'!C11*$C605*'Business Case'!C13*$D605-'Business Case'!C14*$E605))*'Business Case'!$B$7-'Business Case'!$B$8*(('Business Case'!C11*$C605*'Business Case'!C12*$B605)-('Business Case'!B11*$C605*'Business Case'!B12*$B605))-'Business Case'!C15*$F605</f>
        <v>-36270194.1297191</v>
      </c>
      <c r="J605" s="39" t="n">
        <f aca="false">(('Business Case'!D11*$C605*'Business Case'!D12*$B605)-'Business Case'!D11*$C605*'Business Case'!D13*$D605-'Business Case'!D14*$E605)-MAX(0,(('Business Case'!D11*$C605*'Business Case'!D12*$B605)-'Business Case'!D11*$C605*'Business Case'!D13*$D605-'Business Case'!D14*$E605))*'Business Case'!$B$7-'Business Case'!$B$8*(('Business Case'!D11*$C605*'Business Case'!D12*$B605)-('Business Case'!C11*$C605*'Business Case'!C12*$B605))-'Business Case'!D15*$F605</f>
        <v>212320268.470916</v>
      </c>
      <c r="K605" s="39" t="n">
        <f aca="false">(('Business Case'!E11*$C605*'Business Case'!E12*$B605)-'Business Case'!E11*$C605*'Business Case'!E13*$D605-'Business Case'!E14*$E605)-MAX(0,(('Business Case'!E11*$C605*'Business Case'!E12*$B605)-'Business Case'!E11*$C605*'Business Case'!E13*$D605-'Business Case'!E14*$E605))*'Business Case'!$B$7-'Business Case'!$B$8*(('Business Case'!E11*$C605*'Business Case'!E12*$B605)-('Business Case'!D11*$C605*'Business Case'!D12*$B605))-'Business Case'!E15*$F605</f>
        <v>509931382.723864</v>
      </c>
      <c r="L605" s="39" t="n">
        <f aca="false">(('Business Case'!F11*$C605*'Business Case'!F12*$B605)-'Business Case'!F11*$C605*'Business Case'!F13*$D605-'Business Case'!F14*$E605)-MAX(0,(('Business Case'!F11*$C605*'Business Case'!F12*$B605)-'Business Case'!F11*$C605*'Business Case'!F13*$D605-'Business Case'!F14*$E605))*'Business Case'!$B$7-'Business Case'!$B$8*(('Business Case'!F11*$C605*'Business Case'!F12*$B605)-('Business Case'!E11*$C605*'Business Case'!E12*$B605))-'Business Case'!F15*$F605</f>
        <v>620711661.98906</v>
      </c>
      <c r="M605" s="39" t="n">
        <f aca="false">(('Business Case'!G11*$C605*'Business Case'!G12*$B605)-'Business Case'!G11*$C605*'Business Case'!G13*$D605-'Business Case'!G14*$E605)-MAX(0,(('Business Case'!G11*$C605*'Business Case'!G12*$B605)-'Business Case'!G11*$C605*'Business Case'!G13*$D605-'Business Case'!G14*$E605))*'Business Case'!$B$7-'Business Case'!$B$8*(('Business Case'!G11*$C605*'Business Case'!G12*$B605)-('Business Case'!F11*$C605*'Business Case'!F12*$B605))-'Business Case'!G15*$F605+'Business Case'!$B$8*('Business Case'!G11*$C605*'Business Case'!G12*$B605)</f>
        <v>774254016.513143</v>
      </c>
      <c r="N605" s="39" t="n">
        <f aca="false">IF(COUNT('Business Case'!B11:G11)=0,"",H605+NPV(G605,I605:M605))</f>
        <v>-565372410.389475</v>
      </c>
      <c r="P605" s="40" t="n">
        <f aca="true">RAND()</f>
        <v>0.854833989175169</v>
      </c>
      <c r="Q605" s="40" t="n">
        <f aca="true">RAND()</f>
        <v>0.0658309743395596</v>
      </c>
      <c r="R605" s="40" t="n">
        <f aca="true">RAND()</f>
        <v>0.52762012017185</v>
      </c>
      <c r="S605" s="40" t="n">
        <f aca="true">RAND()</f>
        <v>0.544452512873138</v>
      </c>
      <c r="T605" s="40" t="n">
        <f aca="true">RAND()</f>
        <v>0.0616635052715484</v>
      </c>
      <c r="U605" s="40" t="n">
        <f aca="true">RAND()</f>
        <v>0.647411255620486</v>
      </c>
    </row>
    <row r="606" customFormat="false" ht="15" hidden="false" customHeight="false" outlineLevel="0" collapsed="false">
      <c r="A606" s="36" t="n">
        <v>526</v>
      </c>
      <c r="B606" s="37" t="n">
        <f aca="false">1+IF($G$6=$E$6,$F$6,IF(P606&lt;($F$6-$E$6)/($G$6-$E$6),$E$6+SQRT(P606*($G$6-$E$6)*($F$6-$E$6)),$G$6-SQRT((1-P606)*($G$6-$E$6)*($G$6-$F$6))))</f>
        <v>0.964839193687247</v>
      </c>
      <c r="C606" s="37" t="n">
        <f aca="false">1+IF($G$7=$E$7,$F$7,IF(Q606&lt;($F$7-$E$7)/($G$7-$E$7),$E$7+SQRT(Q606*($G$7-$E$7)*($F$7-$E$7)),$G$7-SQRT((1-Q606)*($G$7-$E$7)*($G$7-$F$7))))</f>
        <v>0.986601951158011</v>
      </c>
      <c r="D606" s="37" t="n">
        <f aca="false">1+IF($G$8=$E$8,$F$8,IF(R606&lt;($F$8-$E$8)/($G$8-$E$8),$E$8+SQRT(R606*($G$8-$E$8)*($F$8-$E$8)),$G$8-SQRT((1-R606)*($G$8-$E$8)*($G$8-$F$8))))</f>
        <v>0.996475494573647</v>
      </c>
      <c r="E606" s="37" t="n">
        <f aca="false">1+IF($G$9=$E$9,$F$9,IF(S606&lt;($F$9-$E$9)/($G$9-$E$9),$E$9+SQRT(S606*($G$9-$E$9)*($F$9-$E$9)),$G$9-SQRT((1-S606)*($G$9-$E$9)*($G$9-$F$9))))</f>
        <v>1.09665800251574</v>
      </c>
      <c r="F606" s="37" t="n">
        <f aca="false">1+IF($G$10=$E$10,$F$10,IF(T606&lt;($F$10-$E$10)/($G$10-$E$10),$E$10+SQRT(T606*($G$10-$E$10)*($F$10-$E$10)),$G$10-SQRT((1-T606)*($G$10-$E$10)*($G$10-$F$10))))</f>
        <v>1.03325137399538</v>
      </c>
      <c r="G606" s="38" t="n">
        <f aca="false">IF($G$11=$E$11,$F$11,IF(U606&lt;($F$11-$E$11)/($G$11-$E$11),$E$11+SQRT(U606*($G$11-$E$11)*($F$11-$E$11)),$G$11-SQRT((1-U606)*($G$11-$E$11)*($G$11-$F$11))))</f>
        <v>0.0924702719431754</v>
      </c>
      <c r="H606" s="39" t="n">
        <f aca="false">(('Business Case'!B11*$C606*'Business Case'!B12*$B606)-'Business Case'!B11*$C606*'Business Case'!B13*$D606-'Business Case'!B14*$E606)-MAX(0,(('Business Case'!B11*$C606*'Business Case'!B12*$B606)-'Business Case'!B11*$C606*'Business Case'!B13*$D606-'Business Case'!B14*$E606))*'Business Case'!$B$7-'Business Case'!$B$8*('Business Case'!B11*$C606*'Business Case'!B12*$B606)-'Business Case'!B15*$F606</f>
        <v>-2066502747.99075</v>
      </c>
      <c r="I606" s="39" t="n">
        <f aca="false">(('Business Case'!C11*$C606*'Business Case'!C12*$B606)-'Business Case'!C11*$C606*'Business Case'!C13*$D606-'Business Case'!C14*$E606)-MAX(0,(('Business Case'!C11*$C606*'Business Case'!C12*$B606)-'Business Case'!C11*$C606*'Business Case'!C13*$D606-'Business Case'!C14*$E606))*'Business Case'!$B$7-'Business Case'!$B$8*(('Business Case'!C11*$C606*'Business Case'!C12*$B606)-('Business Case'!B11*$C606*'Business Case'!B12*$B606))-'Business Case'!C15*$F606</f>
        <v>-32213560.1548324</v>
      </c>
      <c r="J606" s="39" t="n">
        <f aca="false">(('Business Case'!D11*$C606*'Business Case'!D12*$B606)-'Business Case'!D11*$C606*'Business Case'!D13*$D606-'Business Case'!D14*$E606)-MAX(0,(('Business Case'!D11*$C606*'Business Case'!D12*$B606)-'Business Case'!D11*$C606*'Business Case'!D13*$D606-'Business Case'!D14*$E606))*'Business Case'!$B$7-'Business Case'!$B$8*(('Business Case'!D11*$C606*'Business Case'!D12*$B606)-('Business Case'!C11*$C606*'Business Case'!C12*$B606))-'Business Case'!D15*$F606</f>
        <v>244189915.105013</v>
      </c>
      <c r="K606" s="39" t="n">
        <f aca="false">(('Business Case'!E11*$C606*'Business Case'!E12*$B606)-'Business Case'!E11*$C606*'Business Case'!E13*$D606-'Business Case'!E14*$E606)-MAX(0,(('Business Case'!E11*$C606*'Business Case'!E12*$B606)-'Business Case'!E11*$C606*'Business Case'!E13*$D606-'Business Case'!E14*$E606))*'Business Case'!$B$7-'Business Case'!$B$8*(('Business Case'!E11*$C606*'Business Case'!E12*$B606)-('Business Case'!D11*$C606*'Business Case'!D12*$B606))-'Business Case'!E15*$F606</f>
        <v>572255959.064627</v>
      </c>
      <c r="L606" s="39" t="n">
        <f aca="false">(('Business Case'!F11*$C606*'Business Case'!F12*$B606)-'Business Case'!F11*$C606*'Business Case'!F13*$D606-'Business Case'!F14*$E606)-MAX(0,(('Business Case'!F11*$C606*'Business Case'!F12*$B606)-'Business Case'!F11*$C606*'Business Case'!F13*$D606-'Business Case'!F14*$E606))*'Business Case'!$B$7-'Business Case'!$B$8*(('Business Case'!F11*$C606*'Business Case'!F12*$B606)-('Business Case'!E11*$C606*'Business Case'!E12*$B606))-'Business Case'!F15*$F606</f>
        <v>697288537.522844</v>
      </c>
      <c r="M606" s="39" t="n">
        <f aca="false">(('Business Case'!G11*$C606*'Business Case'!G12*$B606)-'Business Case'!G11*$C606*'Business Case'!G13*$D606-'Business Case'!G14*$E606)-MAX(0,(('Business Case'!G11*$C606*'Business Case'!G12*$B606)-'Business Case'!G11*$C606*'Business Case'!G13*$D606-'Business Case'!G14*$E606))*'Business Case'!$B$7-'Business Case'!$B$8*(('Business Case'!G11*$C606*'Business Case'!G12*$B606)-('Business Case'!F11*$C606*'Business Case'!F12*$B606))-'Business Case'!G15*$F606+'Business Case'!$B$8*('Business Case'!G11*$C606*'Business Case'!G12*$B606)</f>
        <v>878228014.399984</v>
      </c>
      <c r="N606" s="39" t="n">
        <f aca="false">IF(COUNT('Business Case'!B11:G11)=0,"",H606+NPV(G606,I606:M606))</f>
        <v>-398604667.47697</v>
      </c>
      <c r="P606" s="40" t="n">
        <f aca="true">RAND()</f>
        <v>0.280274735867491</v>
      </c>
      <c r="Q606" s="40" t="n">
        <f aca="true">RAND()</f>
        <v>0.608449469685771</v>
      </c>
      <c r="R606" s="40" t="n">
        <f aca="true">RAND()</f>
        <v>0.287996212782011</v>
      </c>
      <c r="S606" s="40" t="n">
        <f aca="true">RAND()</f>
        <v>0.924123501450379</v>
      </c>
      <c r="T606" s="40" t="n">
        <f aca="true">RAND()</f>
        <v>0.373600441668103</v>
      </c>
      <c r="U606" s="40" t="n">
        <f aca="true">RAND()</f>
        <v>0.155507682336748</v>
      </c>
    </row>
    <row r="607" customFormat="false" ht="15" hidden="false" customHeight="false" outlineLevel="0" collapsed="false">
      <c r="A607" s="36" t="n">
        <v>527</v>
      </c>
      <c r="B607" s="37" t="n">
        <f aca="false">1+IF($G$6=$E$6,$F$6,IF(P607&lt;($F$6-$E$6)/($G$6-$E$6),$E$6+SQRT(P607*($G$6-$E$6)*($F$6-$E$6)),$G$6-SQRT((1-P607)*($G$6-$E$6)*($G$6-$F$6))))</f>
        <v>1.03559163257478</v>
      </c>
      <c r="C607" s="37" t="n">
        <f aca="false">1+IF($G$7=$E$7,$F$7,IF(Q607&lt;($F$7-$E$7)/($G$7-$E$7),$E$7+SQRT(Q607*($G$7-$E$7)*($F$7-$E$7)),$G$7-SQRT((1-Q607)*($G$7-$E$7)*($G$7-$F$7))))</f>
        <v>0.900595399662597</v>
      </c>
      <c r="D607" s="37" t="n">
        <f aca="false">1+IF($G$8=$E$8,$F$8,IF(R607&lt;($F$8-$E$8)/($G$8-$E$8),$E$8+SQRT(R607*($G$8-$E$8)*($F$8-$E$8)),$G$8-SQRT((1-R607)*($G$8-$E$8)*($G$8-$F$8))))</f>
        <v>1.00761168262802</v>
      </c>
      <c r="E607" s="37" t="n">
        <f aca="false">1+IF($G$9=$E$9,$F$9,IF(S607&lt;($F$9-$E$9)/($G$9-$E$9),$E$9+SQRT(S607*($G$9-$E$9)*($F$9-$E$9)),$G$9-SQRT((1-S607)*($G$9-$E$9)*($G$9-$F$9))))</f>
        <v>0.943673760425143</v>
      </c>
      <c r="F607" s="37" t="n">
        <f aca="false">1+IF($G$10=$E$10,$F$10,IF(T607&lt;($F$10-$E$10)/($G$10-$E$10),$E$10+SQRT(T607*($G$10-$E$10)*($F$10-$E$10)),$G$10-SQRT((1-T607)*($G$10-$E$10)*($G$10-$F$10))))</f>
        <v>0.975102724180354</v>
      </c>
      <c r="G607" s="38" t="n">
        <f aca="false">IF($G$11=$E$11,$F$11,IF(U607&lt;($F$11-$E$11)/($G$11-$E$11),$E$11+SQRT(U607*($G$11-$E$11)*($F$11-$E$11)),$G$11-SQRT((1-U607)*($G$11-$E$11)*($G$11-$F$11))))</f>
        <v>0.107100233471671</v>
      </c>
      <c r="H607" s="39" t="n">
        <f aca="false">(('Business Case'!B11*$C607*'Business Case'!B12*$B607)-'Business Case'!B11*$C607*'Business Case'!B13*$D607-'Business Case'!B14*$E607)-MAX(0,(('Business Case'!B11*$C607*'Business Case'!B12*$B607)-'Business Case'!B11*$C607*'Business Case'!B13*$D607-'Business Case'!B14*$E607))*'Business Case'!$B$7-'Business Case'!$B$8*('Business Case'!B11*$C607*'Business Case'!B12*$B607)-'Business Case'!B15*$F607</f>
        <v>-1950205448.36071</v>
      </c>
      <c r="I607" s="39" t="n">
        <f aca="false">(('Business Case'!C11*$C607*'Business Case'!C12*$B607)-'Business Case'!C11*$C607*'Business Case'!C13*$D607-'Business Case'!C14*$E607)-MAX(0,(('Business Case'!C11*$C607*'Business Case'!C12*$B607)-'Business Case'!C11*$C607*'Business Case'!C13*$D607-'Business Case'!C14*$E607))*'Business Case'!$B$7-'Business Case'!$B$8*(('Business Case'!C11*$C607*'Business Case'!C12*$B607)-('Business Case'!B11*$C607*'Business Case'!B12*$B607))-'Business Case'!C15*$F607</f>
        <v>19315490.2976522</v>
      </c>
      <c r="J607" s="39" t="n">
        <f aca="false">(('Business Case'!D11*$C607*'Business Case'!D12*$B607)-'Business Case'!D11*$C607*'Business Case'!D13*$D607-'Business Case'!D14*$E607)-MAX(0,(('Business Case'!D11*$C607*'Business Case'!D12*$B607)-'Business Case'!D11*$C607*'Business Case'!D13*$D607-'Business Case'!D14*$E607))*'Business Case'!$B$7-'Business Case'!$B$8*(('Business Case'!D11*$C607*'Business Case'!D12*$B607)-('Business Case'!C11*$C607*'Business Case'!C12*$B607))-'Business Case'!D15*$F607</f>
        <v>318680189.027907</v>
      </c>
      <c r="K607" s="39" t="n">
        <f aca="false">(('Business Case'!E11*$C607*'Business Case'!E12*$B607)-'Business Case'!E11*$C607*'Business Case'!E13*$D607-'Business Case'!E14*$E607)-MAX(0,(('Business Case'!E11*$C607*'Business Case'!E12*$B607)-'Business Case'!E11*$C607*'Business Case'!E13*$D607-'Business Case'!E14*$E607))*'Business Case'!$B$7-'Business Case'!$B$8*(('Business Case'!E11*$C607*'Business Case'!E12*$B607)-('Business Case'!D11*$C607*'Business Case'!D12*$B607))-'Business Case'!E15*$F607</f>
        <v>666800023.96718</v>
      </c>
      <c r="L607" s="39" t="n">
        <f aca="false">(('Business Case'!F11*$C607*'Business Case'!F12*$B607)-'Business Case'!F11*$C607*'Business Case'!F13*$D607-'Business Case'!F14*$E607)-MAX(0,(('Business Case'!F11*$C607*'Business Case'!F12*$B607)-'Business Case'!F11*$C607*'Business Case'!F13*$D607-'Business Case'!F14*$E607))*'Business Case'!$B$7-'Business Case'!$B$8*(('Business Case'!F11*$C607*'Business Case'!F12*$B607)-('Business Case'!E11*$C607*'Business Case'!E12*$B607))-'Business Case'!F15*$F607</f>
        <v>798820608.398672</v>
      </c>
      <c r="M607" s="39" t="n">
        <f aca="false">(('Business Case'!G11*$C607*'Business Case'!G12*$B607)-'Business Case'!G11*$C607*'Business Case'!G13*$D607-'Business Case'!G14*$E607)-MAX(0,(('Business Case'!G11*$C607*'Business Case'!G12*$B607)-'Business Case'!G11*$C607*'Business Case'!G13*$D607-'Business Case'!G14*$E607))*'Business Case'!$B$7-'Business Case'!$B$8*(('Business Case'!G11*$C607*'Business Case'!G12*$B607)-('Business Case'!F11*$C607*'Business Case'!F12*$B607))-'Business Case'!G15*$F607+'Business Case'!$B$8*('Business Case'!G11*$C607*'Business Case'!G12*$B607)</f>
        <v>976098541.766416</v>
      </c>
      <c r="N607" s="39" t="n">
        <f aca="false">IF(COUNT('Business Case'!B11:G11)=0,"",H607+NPV(G607,I607:M607))</f>
        <v>-62718584.1022761</v>
      </c>
      <c r="P607" s="40" t="n">
        <f aca="true">RAND()</f>
        <v>0.972319859751981</v>
      </c>
      <c r="Q607" s="40" t="n">
        <f aca="true">RAND()</f>
        <v>0.298063069376274</v>
      </c>
      <c r="R607" s="40" t="n">
        <f aca="true">RAND()</f>
        <v>0.430959920878315</v>
      </c>
      <c r="S607" s="40" t="n">
        <f aca="true">RAND()</f>
        <v>0.0762958939869129</v>
      </c>
      <c r="T607" s="40" t="n">
        <f aca="true">RAND()</f>
        <v>0.0420097840849955</v>
      </c>
      <c r="U607" s="40" t="n">
        <f aca="true">RAND()</f>
        <v>0.650400461965358</v>
      </c>
    </row>
    <row r="608" customFormat="false" ht="15" hidden="false" customHeight="false" outlineLevel="0" collapsed="false">
      <c r="A608" s="36" t="n">
        <v>528</v>
      </c>
      <c r="B608" s="37" t="n">
        <f aca="false">1+IF($G$6=$E$6,$F$6,IF(P608&lt;($F$6-$E$6)/($G$6-$E$6),$E$6+SQRT(P608*($G$6-$E$6)*($F$6-$E$6)),$G$6-SQRT((1-P608)*($G$6-$E$6)*($G$6-$F$6))))</f>
        <v>0.953338244773055</v>
      </c>
      <c r="C608" s="37" t="n">
        <f aca="false">1+IF($G$7=$E$7,$F$7,IF(Q608&lt;($F$7-$E$7)/($G$7-$E$7),$E$7+SQRT(Q608*($G$7-$E$7)*($F$7-$E$7)),$G$7-SQRT((1-Q608)*($G$7-$E$7)*($G$7-$F$7))))</f>
        <v>0.881614013190513</v>
      </c>
      <c r="D608" s="37" t="n">
        <f aca="false">1+IF($G$8=$E$8,$F$8,IF(R608&lt;($F$8-$E$8)/($G$8-$E$8),$E$8+SQRT(R608*($G$8-$E$8)*($F$8-$E$8)),$G$8-SQRT((1-R608)*($G$8-$E$8)*($G$8-$F$8))))</f>
        <v>1.00225378898162</v>
      </c>
      <c r="E608" s="37" t="n">
        <f aca="false">1+IF($G$9=$E$9,$F$9,IF(S608&lt;($F$9-$E$9)/($G$9-$E$9),$E$9+SQRT(S608*($G$9-$E$9)*($F$9-$E$9)),$G$9-SQRT((1-S608)*($G$9-$E$9)*($G$9-$F$9))))</f>
        <v>1.07359381246616</v>
      </c>
      <c r="F608" s="37" t="n">
        <f aca="false">1+IF($G$10=$E$10,$F$10,IF(T608&lt;($F$10-$E$10)/($G$10-$E$10),$E$10+SQRT(T608*($G$10-$E$10)*($F$10-$E$10)),$G$10-SQRT((1-T608)*($G$10-$E$10)*($G$10-$F$10))))</f>
        <v>1.17156176685666</v>
      </c>
      <c r="G608" s="38" t="n">
        <f aca="false">IF($G$11=$E$11,$F$11,IF(U608&lt;($F$11-$E$11)/($G$11-$E$11),$E$11+SQRT(U608*($G$11-$E$11)*($F$11-$E$11)),$G$11-SQRT((1-U608)*($G$11-$E$11)*($G$11-$F$11))))</f>
        <v>0.126396964166511</v>
      </c>
      <c r="H608" s="39" t="n">
        <f aca="false">(('Business Case'!B11*$C608*'Business Case'!B12*$B608)-'Business Case'!B11*$C608*'Business Case'!B13*$D608-'Business Case'!B14*$E608)-MAX(0,(('Business Case'!B11*$C608*'Business Case'!B12*$B608)-'Business Case'!B11*$C608*'Business Case'!B13*$D608-'Business Case'!B14*$E608))*'Business Case'!$B$7-'Business Case'!$B$8*('Business Case'!B11*$C608*'Business Case'!B12*$B608)-'Business Case'!B15*$F608</f>
        <v>-2343123533.71333</v>
      </c>
      <c r="I608" s="39" t="n">
        <f aca="false">(('Business Case'!C11*$C608*'Business Case'!C12*$B608)-'Business Case'!C11*$C608*'Business Case'!C13*$D608-'Business Case'!C14*$E608)-MAX(0,(('Business Case'!C11*$C608*'Business Case'!C12*$B608)-'Business Case'!C11*$C608*'Business Case'!C13*$D608-'Business Case'!C14*$E608))*'Business Case'!$B$7-'Business Case'!$B$8*(('Business Case'!C11*$C608*'Business Case'!C12*$B608)-('Business Case'!B11*$C608*'Business Case'!B12*$B608))-'Business Case'!C15*$F608</f>
        <v>-77313877.63927</v>
      </c>
      <c r="J608" s="39" t="n">
        <f aca="false">(('Business Case'!D11*$C608*'Business Case'!D12*$B608)-'Business Case'!D11*$C608*'Business Case'!D13*$D608-'Business Case'!D14*$E608)-MAX(0,(('Business Case'!D11*$C608*'Business Case'!D12*$B608)-'Business Case'!D11*$C608*'Business Case'!D13*$D608-'Business Case'!D14*$E608))*'Business Case'!$B$7-'Business Case'!$B$8*(('Business Case'!D11*$C608*'Business Case'!D12*$B608)-('Business Case'!C11*$C608*'Business Case'!C12*$B608))-'Business Case'!D15*$F608</f>
        <v>158763755.829793</v>
      </c>
      <c r="K608" s="39" t="n">
        <f aca="false">(('Business Case'!E11*$C608*'Business Case'!E12*$B608)-'Business Case'!E11*$C608*'Business Case'!E13*$D608-'Business Case'!E14*$E608)-MAX(0,(('Business Case'!E11*$C608*'Business Case'!E12*$B608)-'Business Case'!E11*$C608*'Business Case'!E13*$D608-'Business Case'!E14*$E608))*'Business Case'!$B$7-'Business Case'!$B$8*(('Business Case'!E11*$C608*'Business Case'!E12*$B608)-('Business Case'!D11*$C608*'Business Case'!D12*$B608))-'Business Case'!E15*$F608</f>
        <v>453419477.64169</v>
      </c>
      <c r="L608" s="39" t="n">
        <f aca="false">(('Business Case'!F11*$C608*'Business Case'!F12*$B608)-'Business Case'!F11*$C608*'Business Case'!F13*$D608-'Business Case'!F14*$E608)-MAX(0,(('Business Case'!F11*$C608*'Business Case'!F12*$B608)-'Business Case'!F11*$C608*'Business Case'!F13*$D608-'Business Case'!F14*$E608))*'Business Case'!$B$7-'Business Case'!$B$8*(('Business Case'!F11*$C608*'Business Case'!F12*$B608)-('Business Case'!E11*$C608*'Business Case'!E12*$B608))-'Business Case'!F15*$F608</f>
        <v>561158884.991364</v>
      </c>
      <c r="M608" s="39" t="n">
        <f aca="false">(('Business Case'!G11*$C608*'Business Case'!G12*$B608)-'Business Case'!G11*$C608*'Business Case'!G13*$D608-'Business Case'!G14*$E608)-MAX(0,(('Business Case'!G11*$C608*'Business Case'!G12*$B608)-'Business Case'!G11*$C608*'Business Case'!G13*$D608-'Business Case'!G14*$E608))*'Business Case'!$B$7-'Business Case'!$B$8*(('Business Case'!G11*$C608*'Business Case'!G12*$B608)-('Business Case'!F11*$C608*'Business Case'!F12*$B608))-'Business Case'!G15*$F608+'Business Case'!$B$8*('Business Case'!G11*$C608*'Business Case'!G12*$B608)</f>
        <v>720916630.721287</v>
      </c>
      <c r="N608" s="39" t="n">
        <f aca="false">IF(COUNT('Business Case'!B11:G11)=0,"",H608+NPV(G608,I608:M608))</f>
        <v>-1223185181.30439</v>
      </c>
      <c r="P608" s="40" t="n">
        <f aca="true">RAND()</f>
        <v>0.189664557031354</v>
      </c>
      <c r="Q608" s="40" t="n">
        <f aca="true">RAND()</f>
        <v>0.24432333175677</v>
      </c>
      <c r="R608" s="40" t="n">
        <f aca="true">RAND()</f>
        <v>0.363045215436698</v>
      </c>
      <c r="S608" s="40" t="n">
        <f aca="true">RAND()</f>
        <v>0.844322520174495</v>
      </c>
      <c r="T608" s="40" t="n">
        <f aca="true">RAND()</f>
        <v>0.917965914418023</v>
      </c>
      <c r="U608" s="40" t="n">
        <f aca="true">RAND()</f>
        <v>0.991345421855062</v>
      </c>
    </row>
    <row r="609" customFormat="false" ht="15" hidden="false" customHeight="false" outlineLevel="0" collapsed="false">
      <c r="A609" s="36" t="n">
        <v>529</v>
      </c>
      <c r="B609" s="37" t="n">
        <f aca="false">1+IF($G$6=$E$6,$F$6,IF(P609&lt;($F$6-$E$6)/($G$6-$E$6),$E$6+SQRT(P609*($G$6-$E$6)*($F$6-$E$6)),$G$6-SQRT((1-P609)*($G$6-$E$6)*($G$6-$F$6))))</f>
        <v>0.988829359132177</v>
      </c>
      <c r="C609" s="37" t="n">
        <f aca="false">1+IF($G$7=$E$7,$F$7,IF(Q609&lt;($F$7-$E$7)/($G$7-$E$7),$E$7+SQRT(Q609*($G$7-$E$7)*($F$7-$E$7)),$G$7-SQRT((1-Q609)*($G$7-$E$7)*($G$7-$F$7))))</f>
        <v>1.0446250968074</v>
      </c>
      <c r="D609" s="37" t="n">
        <f aca="false">1+IF($G$8=$E$8,$F$8,IF(R609&lt;($F$8-$E$8)/($G$8-$E$8),$E$8+SQRT(R609*($G$8-$E$8)*($F$8-$E$8)),$G$8-SQRT((1-R609)*($G$8-$E$8)*($G$8-$F$8))))</f>
        <v>1.00534010028271</v>
      </c>
      <c r="E609" s="37" t="n">
        <f aca="false">1+IF($G$9=$E$9,$F$9,IF(S609&lt;($F$9-$E$9)/($G$9-$E$9),$E$9+SQRT(S609*($G$9-$E$9)*($F$9-$E$9)),$G$9-SQRT((1-S609)*($G$9-$E$9)*($G$9-$F$9))))</f>
        <v>1.05668528678364</v>
      </c>
      <c r="F609" s="37" t="n">
        <f aca="false">1+IF($G$10=$E$10,$F$10,IF(T609&lt;($F$10-$E$10)/($G$10-$E$10),$E$10+SQRT(T609*($G$10-$E$10)*($F$10-$E$10)),$G$10-SQRT((1-T609)*($G$10-$E$10)*($G$10-$F$10))))</f>
        <v>1.02399828089648</v>
      </c>
      <c r="G609" s="38" t="n">
        <f aca="false">IF($G$11=$E$11,$F$11,IF(U609&lt;($F$11-$E$11)/($G$11-$E$11),$E$11+SQRT(U609*($G$11-$E$11)*($F$11-$E$11)),$G$11-SQRT((1-U609)*($G$11-$E$11)*($G$11-$F$11))))</f>
        <v>0.0937549170930293</v>
      </c>
      <c r="H609" s="39" t="n">
        <f aca="false">(('Business Case'!B11*$C609*'Business Case'!B12*$B609)-'Business Case'!B11*$C609*'Business Case'!B13*$D609-'Business Case'!B14*$E609)-MAX(0,(('Business Case'!B11*$C609*'Business Case'!B12*$B609)-'Business Case'!B11*$C609*'Business Case'!B13*$D609-'Business Case'!B14*$E609))*'Business Case'!$B$7-'Business Case'!$B$8*('Business Case'!B11*$C609*'Business Case'!B12*$B609)-'Business Case'!B15*$F609</f>
        <v>-2047996561.79295</v>
      </c>
      <c r="I609" s="39" t="n">
        <f aca="false">(('Business Case'!C11*$C609*'Business Case'!C12*$B609)-'Business Case'!C11*$C609*'Business Case'!C13*$D609-'Business Case'!C14*$E609)-MAX(0,(('Business Case'!C11*$C609*'Business Case'!C12*$B609)-'Business Case'!C11*$C609*'Business Case'!C13*$D609-'Business Case'!C14*$E609))*'Business Case'!$B$7-'Business Case'!$B$8*(('Business Case'!C11*$C609*'Business Case'!C12*$B609)-('Business Case'!B11*$C609*'Business Case'!B12*$B609))-'Business Case'!C15*$F609</f>
        <v>2236219.56973527</v>
      </c>
      <c r="J609" s="39" t="n">
        <f aca="false">(('Business Case'!D11*$C609*'Business Case'!D12*$B609)-'Business Case'!D11*$C609*'Business Case'!D13*$D609-'Business Case'!D14*$E609)-MAX(0,(('Business Case'!D11*$C609*'Business Case'!D12*$B609)-'Business Case'!D11*$C609*'Business Case'!D13*$D609-'Business Case'!D14*$E609))*'Business Case'!$B$7-'Business Case'!$B$8*(('Business Case'!D11*$C609*'Business Case'!D12*$B609)-('Business Case'!C11*$C609*'Business Case'!C12*$B609))-'Business Case'!D15*$F609</f>
        <v>310681352.235841</v>
      </c>
      <c r="K609" s="39" t="n">
        <f aca="false">(('Business Case'!E11*$C609*'Business Case'!E12*$B609)-'Business Case'!E11*$C609*'Business Case'!E13*$D609-'Business Case'!E14*$E609)-MAX(0,(('Business Case'!E11*$C609*'Business Case'!E12*$B609)-'Business Case'!E11*$C609*'Business Case'!E13*$D609-'Business Case'!E14*$E609))*'Business Case'!$B$7-'Business Case'!$B$8*(('Business Case'!E11*$C609*'Business Case'!E12*$B609)-('Business Case'!D11*$C609*'Business Case'!D12*$B609))-'Business Case'!E15*$F609</f>
        <v>670326398.946771</v>
      </c>
      <c r="L609" s="39" t="n">
        <f aca="false">(('Business Case'!F11*$C609*'Business Case'!F12*$B609)-'Business Case'!F11*$C609*'Business Case'!F13*$D609-'Business Case'!F14*$E609)-MAX(0,(('Business Case'!F11*$C609*'Business Case'!F12*$B609)-'Business Case'!F11*$C609*'Business Case'!F13*$D609-'Business Case'!F14*$E609))*'Business Case'!$B$7-'Business Case'!$B$8*(('Business Case'!F11*$C609*'Business Case'!F12*$B609)-('Business Case'!E11*$C609*'Business Case'!E12*$B609))-'Business Case'!F15*$F609</f>
        <v>808840401.319533</v>
      </c>
      <c r="M609" s="39" t="n">
        <f aca="false">(('Business Case'!G11*$C609*'Business Case'!G12*$B609)-'Business Case'!G11*$C609*'Business Case'!G13*$D609-'Business Case'!G14*$E609)-MAX(0,(('Business Case'!G11*$C609*'Business Case'!G12*$B609)-'Business Case'!G11*$C609*'Business Case'!G13*$D609-'Business Case'!G14*$E609))*'Business Case'!$B$7-'Business Case'!$B$8*(('Business Case'!G11*$C609*'Business Case'!G12*$B609)-('Business Case'!F11*$C609*'Business Case'!F12*$B609))-'Business Case'!G15*$F609+'Business Case'!$B$8*('Business Case'!G11*$C609*'Business Case'!G12*$B609)</f>
        <v>1005184671.14853</v>
      </c>
      <c r="N609" s="39" t="n">
        <f aca="false">IF(COUNT('Business Case'!B11:G11)=0,"",H609+NPV(G609,I609:M609))</f>
        <v>-66609375.0516641</v>
      </c>
      <c r="P609" s="40" t="n">
        <f aca="true">RAND()</f>
        <v>0.526043669588889</v>
      </c>
      <c r="Q609" s="40" t="n">
        <f aca="true">RAND()</f>
        <v>0.835498218920758</v>
      </c>
      <c r="R609" s="40" t="n">
        <f aca="true">RAND()</f>
        <v>0.40263355903423</v>
      </c>
      <c r="S609" s="40" t="n">
        <f aca="true">RAND()</f>
        <v>0.767796381262609</v>
      </c>
      <c r="T609" s="40" t="n">
        <f aca="true">RAND()</f>
        <v>0.318976306163351</v>
      </c>
      <c r="U609" s="40" t="n">
        <f aca="true">RAND()</f>
        <v>0.18919774423611</v>
      </c>
    </row>
    <row r="610" customFormat="false" ht="15" hidden="false" customHeight="false" outlineLevel="0" collapsed="false">
      <c r="A610" s="36" t="n">
        <v>530</v>
      </c>
      <c r="B610" s="37" t="n">
        <f aca="false">1+IF($G$6=$E$6,$F$6,IF(P610&lt;($F$6-$E$6)/($G$6-$E$6),$E$6+SQRT(P610*($G$6-$E$6)*($F$6-$E$6)),$G$6-SQRT((1-P610)*($G$6-$E$6)*($G$6-$F$6))))</f>
        <v>1.00340328250933</v>
      </c>
      <c r="C610" s="37" t="n">
        <f aca="false">1+IF($G$7=$E$7,$F$7,IF(Q610&lt;($F$7-$E$7)/($G$7-$E$7),$E$7+SQRT(Q610*($G$7-$E$7)*($F$7-$E$7)),$G$7-SQRT((1-Q610)*($G$7-$E$7)*($G$7-$F$7))))</f>
        <v>0.948624372245925</v>
      </c>
      <c r="D610" s="37" t="n">
        <f aca="false">1+IF($G$8=$E$8,$F$8,IF(R610&lt;($F$8-$E$8)/($G$8-$E$8),$E$8+SQRT(R610*($G$8-$E$8)*($F$8-$E$8)),$G$8-SQRT((1-R610)*($G$8-$E$8)*($G$8-$F$8))))</f>
        <v>1.01440797835317</v>
      </c>
      <c r="E610" s="37" t="n">
        <f aca="false">1+IF($G$9=$E$9,$F$9,IF(S610&lt;($F$9-$E$9)/($G$9-$E$9),$E$9+SQRT(S610*($G$9-$E$9)*($F$9-$E$9)),$G$9-SQRT((1-S610)*($G$9-$E$9)*($G$9-$F$9))))</f>
        <v>1.1183949049784</v>
      </c>
      <c r="F610" s="37" t="n">
        <f aca="false">1+IF($G$10=$E$10,$F$10,IF(T610&lt;($F$10-$E$10)/($G$10-$E$10),$E$10+SQRT(T610*($G$10-$E$10)*($F$10-$E$10)),$G$10-SQRT((1-T610)*($G$10-$E$10)*($G$10-$F$10))))</f>
        <v>1.07337120294158</v>
      </c>
      <c r="G610" s="38" t="n">
        <f aca="false">IF($G$11=$E$11,$F$11,IF(U610&lt;($F$11-$E$11)/($G$11-$E$11),$E$11+SQRT(U610*($G$11-$E$11)*($F$11-$E$11)),$G$11-SQRT((1-U610)*($G$11-$E$11)*($G$11-$F$11))))</f>
        <v>0.0828948479718188</v>
      </c>
      <c r="H610" s="39" t="n">
        <f aca="false">(('Business Case'!B11*$C610*'Business Case'!B12*$B610)-'Business Case'!B11*$C610*'Business Case'!B13*$D610-'Business Case'!B14*$E610)-MAX(0,(('Business Case'!B11*$C610*'Business Case'!B12*$B610)-'Business Case'!B11*$C610*'Business Case'!B13*$D610-'Business Case'!B14*$E610))*'Business Case'!$B$7-'Business Case'!$B$8*('Business Case'!B11*$C610*'Business Case'!B12*$B610)-'Business Case'!B15*$F610</f>
        <v>-2146742405.88316</v>
      </c>
      <c r="I610" s="39" t="n">
        <f aca="false">(('Business Case'!C11*$C610*'Business Case'!C12*$B610)-'Business Case'!C11*$C610*'Business Case'!C13*$D610-'Business Case'!C14*$E610)-MAX(0,(('Business Case'!C11*$C610*'Business Case'!C12*$B610)-'Business Case'!C11*$C610*'Business Case'!C13*$D610-'Business Case'!C14*$E610))*'Business Case'!$B$7-'Business Case'!$B$8*(('Business Case'!C11*$C610*'Business Case'!C12*$B610)-('Business Case'!B11*$C610*'Business Case'!B12*$B610))-'Business Case'!C15*$F610</f>
        <v>-28697529.4855359</v>
      </c>
      <c r="J610" s="39" t="n">
        <f aca="false">(('Business Case'!D11*$C610*'Business Case'!D12*$B610)-'Business Case'!D11*$C610*'Business Case'!D13*$D610-'Business Case'!D14*$E610)-MAX(0,(('Business Case'!D11*$C610*'Business Case'!D12*$B610)-'Business Case'!D11*$C610*'Business Case'!D13*$D610-'Business Case'!D14*$E610))*'Business Case'!$B$7-'Business Case'!$B$8*(('Business Case'!D11*$C610*'Business Case'!D12*$B610)-('Business Case'!C11*$C610*'Business Case'!C12*$B610))-'Business Case'!D15*$F610</f>
        <v>258321866.428533</v>
      </c>
      <c r="K610" s="39" t="n">
        <f aca="false">(('Business Case'!E11*$C610*'Business Case'!E12*$B610)-'Business Case'!E11*$C610*'Business Case'!E13*$D610-'Business Case'!E14*$E610)-MAX(0,(('Business Case'!E11*$C610*'Business Case'!E12*$B610)-'Business Case'!E11*$C610*'Business Case'!E13*$D610-'Business Case'!E14*$E610))*'Business Case'!$B$7-'Business Case'!$B$8*(('Business Case'!E11*$C610*'Business Case'!E12*$B610)-('Business Case'!D11*$C610*'Business Case'!D12*$B610))-'Business Case'!E15*$F610</f>
        <v>599009822.489681</v>
      </c>
      <c r="L610" s="39" t="n">
        <f aca="false">(('Business Case'!F11*$C610*'Business Case'!F12*$B610)-'Business Case'!F11*$C610*'Business Case'!F13*$D610-'Business Case'!F14*$E610)-MAX(0,(('Business Case'!F11*$C610*'Business Case'!F12*$B610)-'Business Case'!F11*$C610*'Business Case'!F13*$D610-'Business Case'!F14*$E610))*'Business Case'!$B$7-'Business Case'!$B$8*(('Business Case'!F11*$C610*'Business Case'!F12*$B610)-('Business Case'!E11*$C610*'Business Case'!E12*$B610))-'Business Case'!F15*$F610</f>
        <v>727578987.539383</v>
      </c>
      <c r="M610" s="39" t="n">
        <f aca="false">(('Business Case'!G11*$C610*'Business Case'!G12*$B610)-'Business Case'!G11*$C610*'Business Case'!G13*$D610-'Business Case'!G14*$E610)-MAX(0,(('Business Case'!G11*$C610*'Business Case'!G12*$B610)-'Business Case'!G11*$C610*'Business Case'!G13*$D610-'Business Case'!G14*$E610))*'Business Case'!$B$7-'Business Case'!$B$8*(('Business Case'!G11*$C610*'Business Case'!G12*$B610)-('Business Case'!F11*$C610*'Business Case'!F12*$B610))-'Business Case'!G15*$F610+'Business Case'!$B$8*('Business Case'!G11*$C610*'Business Case'!G12*$B610)</f>
        <v>908507169.470286</v>
      </c>
      <c r="N610" s="39" t="n">
        <f aca="false">IF(COUNT('Business Case'!B11:G11)=0,"",H610+NPV(G610,I610:M610))</f>
        <v>-342055431.402545</v>
      </c>
      <c r="P610" s="40" t="n">
        <f aca="true">RAND()</f>
        <v>0.710499455879339</v>
      </c>
      <c r="Q610" s="40" t="n">
        <f aca="true">RAND()</f>
        <v>0.457882062775409</v>
      </c>
      <c r="R610" s="40" t="n">
        <f aca="true">RAND()</f>
        <v>0.511600388693859</v>
      </c>
      <c r="S610" s="40" t="n">
        <f aca="true">RAND()</f>
        <v>0.973363145831346</v>
      </c>
      <c r="T610" s="40" t="n">
        <f aca="true">RAND()</f>
        <v>0.584030240662595</v>
      </c>
      <c r="U610" s="40" t="n">
        <f aca="true">RAND()</f>
        <v>0.0083801447799435</v>
      </c>
    </row>
    <row r="611" customFormat="false" ht="15" hidden="false" customHeight="false" outlineLevel="0" collapsed="false">
      <c r="A611" s="36" t="n">
        <v>531</v>
      </c>
      <c r="B611" s="37" t="n">
        <f aca="false">1+IF($G$6=$E$6,$F$6,IF(P611&lt;($F$6-$E$6)/($G$6-$E$6),$E$6+SQRT(P611*($G$6-$E$6)*($F$6-$E$6)),$G$6-SQRT((1-P611)*($G$6-$E$6)*($G$6-$F$6))))</f>
        <v>0.929158242623832</v>
      </c>
      <c r="C611" s="37" t="n">
        <f aca="false">1+IF($G$7=$E$7,$F$7,IF(Q611&lt;($F$7-$E$7)/($G$7-$E$7),$E$7+SQRT(Q611*($G$7-$E$7)*($F$7-$E$7)),$G$7-SQRT((1-Q611)*($G$7-$E$7)*($G$7-$F$7))))</f>
        <v>1.11547596176521</v>
      </c>
      <c r="D611" s="37" t="n">
        <f aca="false">1+IF($G$8=$E$8,$F$8,IF(R611&lt;($F$8-$E$8)/($G$8-$E$8),$E$8+SQRT(R611*($G$8-$E$8)*($F$8-$E$8)),$G$8-SQRT((1-R611)*($G$8-$E$8)*($G$8-$F$8))))</f>
        <v>0.992212952371575</v>
      </c>
      <c r="E611" s="37" t="n">
        <f aca="false">1+IF($G$9=$E$9,$F$9,IF(S611&lt;($F$9-$E$9)/($G$9-$E$9),$E$9+SQRT(S611*($G$9-$E$9)*($F$9-$E$9)),$G$9-SQRT((1-S611)*($G$9-$E$9)*($G$9-$F$9))))</f>
        <v>0.967589684575675</v>
      </c>
      <c r="F611" s="37" t="n">
        <f aca="false">1+IF($G$10=$E$10,$F$10,IF(T611&lt;($F$10-$E$10)/($G$10-$E$10),$E$10+SQRT(T611*($G$10-$E$10)*($F$10-$E$10)),$G$10-SQRT((1-T611)*($G$10-$E$10)*($G$10-$F$10))))</f>
        <v>1.0062502440691</v>
      </c>
      <c r="G611" s="38" t="n">
        <f aca="false">IF($G$11=$E$11,$F$11,IF(U611&lt;($F$11-$E$11)/($G$11-$E$11),$E$11+SQRT(U611*($G$11-$E$11)*($F$11-$E$11)),$G$11-SQRT((1-U611)*($G$11-$E$11)*($G$11-$F$11))))</f>
        <v>0.109700776130286</v>
      </c>
      <c r="H611" s="39" t="n">
        <f aca="false">(('Business Case'!B11*$C611*'Business Case'!B12*$B611)-'Business Case'!B11*$C611*'Business Case'!B13*$D611-'Business Case'!B14*$E611)-MAX(0,(('Business Case'!B11*$C611*'Business Case'!B12*$B611)-'Business Case'!B11*$C611*'Business Case'!B13*$D611-'Business Case'!B14*$E611))*'Business Case'!$B$7-'Business Case'!$B$8*('Business Case'!B11*$C611*'Business Case'!B12*$B611)-'Business Case'!B15*$F611</f>
        <v>-2012500488.1382</v>
      </c>
      <c r="I611" s="39" t="n">
        <f aca="false">(('Business Case'!C11*$C611*'Business Case'!C12*$B611)-'Business Case'!C11*$C611*'Business Case'!C13*$D611-'Business Case'!C14*$E611)-MAX(0,(('Business Case'!C11*$C611*'Business Case'!C12*$B611)-'Business Case'!C11*$C611*'Business Case'!C13*$D611-'Business Case'!C14*$E611))*'Business Case'!$B$7-'Business Case'!$B$8*(('Business Case'!C11*$C611*'Business Case'!C12*$B611)-('Business Case'!B11*$C611*'Business Case'!B12*$B611))-'Business Case'!C15*$F611</f>
        <v>-9603626.27652568</v>
      </c>
      <c r="J611" s="39" t="n">
        <f aca="false">(('Business Case'!D11*$C611*'Business Case'!D12*$B611)-'Business Case'!D11*$C611*'Business Case'!D13*$D611-'Business Case'!D14*$E611)-MAX(0,(('Business Case'!D11*$C611*'Business Case'!D12*$B611)-'Business Case'!D11*$C611*'Business Case'!D13*$D611-'Business Case'!D14*$E611))*'Business Case'!$B$7-'Business Case'!$B$8*(('Business Case'!D11*$C611*'Business Case'!D12*$B611)-('Business Case'!C11*$C611*'Business Case'!C12*$B611))-'Business Case'!D15*$F611</f>
        <v>272738783.995818</v>
      </c>
      <c r="K611" s="39" t="n">
        <f aca="false">(('Business Case'!E11*$C611*'Business Case'!E12*$B611)-'Business Case'!E11*$C611*'Business Case'!E13*$D611-'Business Case'!E14*$E611)-MAX(0,(('Business Case'!E11*$C611*'Business Case'!E12*$B611)-'Business Case'!E11*$C611*'Business Case'!E13*$D611-'Business Case'!E14*$E611))*'Business Case'!$B$7-'Business Case'!$B$8*(('Business Case'!E11*$C611*'Business Case'!E12*$B611)-('Business Case'!D11*$C611*'Business Case'!D12*$B611))-'Business Case'!E15*$F611</f>
        <v>605393706.471617</v>
      </c>
      <c r="L611" s="39" t="n">
        <f aca="false">(('Business Case'!F11*$C611*'Business Case'!F12*$B611)-'Business Case'!F11*$C611*'Business Case'!F13*$D611-'Business Case'!F14*$E611)-MAX(0,(('Business Case'!F11*$C611*'Business Case'!F12*$B611)-'Business Case'!F11*$C611*'Business Case'!F13*$D611-'Business Case'!F14*$E611))*'Business Case'!$B$7-'Business Case'!$B$8*(('Business Case'!F11*$C611*'Business Case'!F12*$B611)-('Business Case'!E11*$C611*'Business Case'!E12*$B611))-'Business Case'!F15*$F611</f>
        <v>735327682.559264</v>
      </c>
      <c r="M611" s="39" t="n">
        <f aca="false">(('Business Case'!G11*$C611*'Business Case'!G12*$B611)-'Business Case'!G11*$C611*'Business Case'!G13*$D611-'Business Case'!G14*$E611)-MAX(0,(('Business Case'!G11*$C611*'Business Case'!G12*$B611)-'Business Case'!G11*$C611*'Business Case'!G13*$D611-'Business Case'!G14*$E611))*'Business Case'!$B$7-'Business Case'!$B$8*(('Business Case'!G11*$C611*'Business Case'!G12*$B611)-('Business Case'!F11*$C611*'Business Case'!F12*$B611))-'Business Case'!G15*$F611+'Business Case'!$B$8*('Business Case'!G11*$C611*'Business Case'!G12*$B611)</f>
        <v>932336798.87536</v>
      </c>
      <c r="N611" s="39" t="n">
        <f aca="false">IF(COUNT('Business Case'!B11:G11)=0,"",H611+NPV(G611,I611:M611))</f>
        <v>-317708936.321067</v>
      </c>
      <c r="P611" s="40" t="n">
        <f aca="true">RAND()</f>
        <v>0.0566802075273501</v>
      </c>
      <c r="Q611" s="40" t="n">
        <f aca="true">RAND()</f>
        <v>0.982342085688339</v>
      </c>
      <c r="R611" s="40" t="n">
        <f aca="true">RAND()</f>
        <v>0.237591113056647</v>
      </c>
      <c r="S611" s="40" t="n">
        <f aca="true">RAND()</f>
        <v>0.182734618441567</v>
      </c>
      <c r="T611" s="40" t="n">
        <f aca="true">RAND()</f>
        <v>0.207814086448355</v>
      </c>
      <c r="U611" s="40" t="n">
        <f aca="true">RAND()</f>
        <v>0.72529434019149</v>
      </c>
    </row>
    <row r="612" customFormat="false" ht="15" hidden="false" customHeight="false" outlineLevel="0" collapsed="false">
      <c r="A612" s="36" t="n">
        <v>532</v>
      </c>
      <c r="B612" s="37" t="n">
        <f aca="false">1+IF($G$6=$E$6,$F$6,IF(P612&lt;($F$6-$E$6)/($G$6-$E$6),$E$6+SQRT(P612*($G$6-$E$6)*($F$6-$E$6)),$G$6-SQRT((1-P612)*($G$6-$E$6)*($G$6-$F$6))))</f>
        <v>0.984391984266295</v>
      </c>
      <c r="C612" s="37" t="n">
        <f aca="false">1+IF($G$7=$E$7,$F$7,IF(Q612&lt;($F$7-$E$7)/($G$7-$E$7),$E$7+SQRT(Q612*($G$7-$E$7)*($F$7-$E$7)),$G$7-SQRT((1-Q612)*($G$7-$E$7)*($G$7-$F$7))))</f>
        <v>0.980911703083384</v>
      </c>
      <c r="D612" s="37" t="n">
        <f aca="false">1+IF($G$8=$E$8,$F$8,IF(R612&lt;($F$8-$E$8)/($G$8-$E$8),$E$8+SQRT(R612*($G$8-$E$8)*($F$8-$E$8)),$G$8-SQRT((1-R612)*($G$8-$E$8)*($G$8-$F$8))))</f>
        <v>1.03978918146512</v>
      </c>
      <c r="E612" s="37" t="n">
        <f aca="false">1+IF($G$9=$E$9,$F$9,IF(S612&lt;($F$9-$E$9)/($G$9-$E$9),$E$9+SQRT(S612*($G$9-$E$9)*($F$9-$E$9)),$G$9-SQRT((1-S612)*($G$9-$E$9)*($G$9-$F$9))))</f>
        <v>1.09074498161881</v>
      </c>
      <c r="F612" s="37" t="n">
        <f aca="false">1+IF($G$10=$E$10,$F$10,IF(T612&lt;($F$10-$E$10)/($G$10-$E$10),$E$10+SQRT(T612*($G$10-$E$10)*($F$10-$E$10)),$G$10-SQRT((1-T612)*($G$10-$E$10)*($G$10-$F$10))))</f>
        <v>1.03506120063666</v>
      </c>
      <c r="G612" s="38" t="n">
        <f aca="false">IF($G$11=$E$11,$F$11,IF(U612&lt;($F$11-$E$11)/($G$11-$E$11),$E$11+SQRT(U612*($G$11-$E$11)*($F$11-$E$11)),$G$11-SQRT((1-U612)*($G$11-$E$11)*($G$11-$F$11))))</f>
        <v>0.0878598089037636</v>
      </c>
      <c r="H612" s="39" t="n">
        <f aca="false">(('Business Case'!B11*$C612*'Business Case'!B12*$B612)-'Business Case'!B11*$C612*'Business Case'!B13*$D612-'Business Case'!B14*$E612)-MAX(0,(('Business Case'!B11*$C612*'Business Case'!B12*$B612)-'Business Case'!B11*$C612*'Business Case'!B13*$D612-'Business Case'!B14*$E612))*'Business Case'!$B$7-'Business Case'!$B$8*('Business Case'!B11*$C612*'Business Case'!B12*$B612)-'Business Case'!B15*$F612</f>
        <v>-2070122401.27332</v>
      </c>
      <c r="I612" s="39" t="n">
        <f aca="false">(('Business Case'!C11*$C612*'Business Case'!C12*$B612)-'Business Case'!C11*$C612*'Business Case'!C13*$D612-'Business Case'!C14*$E612)-MAX(0,(('Business Case'!C11*$C612*'Business Case'!C12*$B612)-'Business Case'!C11*$C612*'Business Case'!C13*$D612-'Business Case'!C14*$E612))*'Business Case'!$B$7-'Business Case'!$B$8*(('Business Case'!C11*$C612*'Business Case'!C12*$B612)-('Business Case'!B11*$C612*'Business Case'!B12*$B612))-'Business Case'!C15*$F612</f>
        <v>-39897985.662153</v>
      </c>
      <c r="J612" s="39" t="n">
        <f aca="false">(('Business Case'!D11*$C612*'Business Case'!D12*$B612)-'Business Case'!D11*$C612*'Business Case'!D13*$D612-'Business Case'!D14*$E612)-MAX(0,(('Business Case'!D11*$C612*'Business Case'!D12*$B612)-'Business Case'!D11*$C612*'Business Case'!D13*$D612-'Business Case'!D14*$E612))*'Business Case'!$B$7-'Business Case'!$B$8*(('Business Case'!D11*$C612*'Business Case'!D12*$B612)-('Business Case'!C11*$C612*'Business Case'!C12*$B612))-'Business Case'!D15*$F612</f>
        <v>228870872.991699</v>
      </c>
      <c r="K612" s="39" t="n">
        <f aca="false">(('Business Case'!E11*$C612*'Business Case'!E12*$B612)-'Business Case'!E11*$C612*'Business Case'!E13*$D612-'Business Case'!E14*$E612)-MAX(0,(('Business Case'!E11*$C612*'Business Case'!E12*$B612)-'Business Case'!E11*$C612*'Business Case'!E13*$D612-'Business Case'!E14*$E612))*'Business Case'!$B$7-'Business Case'!$B$8*(('Business Case'!E11*$C612*'Business Case'!E12*$B612)-('Business Case'!D11*$C612*'Business Case'!D12*$B612))-'Business Case'!E15*$F612</f>
        <v>549392791.677384</v>
      </c>
      <c r="L612" s="39" t="n">
        <f aca="false">(('Business Case'!F11*$C612*'Business Case'!F12*$B612)-'Business Case'!F11*$C612*'Business Case'!F13*$D612-'Business Case'!F14*$E612)-MAX(0,(('Business Case'!F11*$C612*'Business Case'!F12*$B612)-'Business Case'!F11*$C612*'Business Case'!F13*$D612-'Business Case'!F14*$E612))*'Business Case'!$B$7-'Business Case'!$B$8*(('Business Case'!F11*$C612*'Business Case'!F12*$B612)-('Business Case'!E11*$C612*'Business Case'!E12*$B612))-'Business Case'!F15*$F612</f>
        <v>672353603.139431</v>
      </c>
      <c r="M612" s="39" t="n">
        <f aca="false">(('Business Case'!G11*$C612*'Business Case'!G12*$B612)-'Business Case'!G11*$C612*'Business Case'!G13*$D612-'Business Case'!G14*$E612)-MAX(0,(('Business Case'!G11*$C612*'Business Case'!G12*$B612)-'Business Case'!G11*$C612*'Business Case'!G13*$D612-'Business Case'!G14*$E612))*'Business Case'!$B$7-'Business Case'!$B$8*(('Business Case'!G11*$C612*'Business Case'!G12*$B612)-('Business Case'!F11*$C612*'Business Case'!F12*$B612))-'Business Case'!G15*$F612+'Business Case'!$B$8*('Business Case'!G11*$C612*'Business Case'!G12*$B612)</f>
        <v>855895158.648628</v>
      </c>
      <c r="N612" s="39" t="n">
        <f aca="false">IF(COUNT('Business Case'!B11:G11)=0,"",H612+NPV(G612,I612:M612))</f>
        <v>-444824346.682663</v>
      </c>
      <c r="P612" s="40" t="n">
        <f aca="true">RAND()</f>
        <v>0.474800467226837</v>
      </c>
      <c r="Q612" s="40" t="n">
        <f aca="true">RAND()</f>
        <v>0.584528777253389</v>
      </c>
      <c r="R612" s="40" t="n">
        <f aca="true">RAND()</f>
        <v>0.758310488757346</v>
      </c>
      <c r="S612" s="40" t="n">
        <f aca="true">RAND()</f>
        <v>0.90636914124385</v>
      </c>
      <c r="T612" s="40" t="n">
        <f aca="true">RAND()</f>
        <v>0.384017500376623</v>
      </c>
      <c r="U612" s="40" t="n">
        <f aca="true">RAND()</f>
        <v>0.0617765960036822</v>
      </c>
    </row>
    <row r="613" customFormat="false" ht="15" hidden="false" customHeight="false" outlineLevel="0" collapsed="false">
      <c r="A613" s="36" t="n">
        <v>533</v>
      </c>
      <c r="B613" s="37" t="n">
        <f aca="false">1+IF($G$6=$E$6,$F$6,IF(P613&lt;($F$6-$E$6)/($G$6-$E$6),$E$6+SQRT(P613*($G$6-$E$6)*($F$6-$E$6)),$G$6-SQRT((1-P613)*($G$6-$E$6)*($G$6-$F$6))))</f>
        <v>0.977183464446357</v>
      </c>
      <c r="C613" s="37" t="n">
        <f aca="false">1+IF($G$7=$E$7,$F$7,IF(Q613&lt;($F$7-$E$7)/($G$7-$E$7),$E$7+SQRT(Q613*($G$7-$E$7)*($F$7-$E$7)),$G$7-SQRT((1-Q613)*($G$7-$E$7)*($G$7-$F$7))))</f>
        <v>0.956319450380659</v>
      </c>
      <c r="D613" s="37" t="n">
        <f aca="false">1+IF($G$8=$E$8,$F$8,IF(R613&lt;($F$8-$E$8)/($G$8-$E$8),$E$8+SQRT(R613*($G$8-$E$8)*($F$8-$E$8)),$G$8-SQRT((1-R613)*($G$8-$E$8)*($G$8-$F$8))))</f>
        <v>0.998579676613902</v>
      </c>
      <c r="E613" s="37" t="n">
        <f aca="false">1+IF($G$9=$E$9,$F$9,IF(S613&lt;($F$9-$E$9)/($G$9-$E$9),$E$9+SQRT(S613*($G$9-$E$9)*($F$9-$E$9)),$G$9-SQRT((1-S613)*($G$9-$E$9)*($G$9-$F$9))))</f>
        <v>0.970296627860756</v>
      </c>
      <c r="F613" s="37" t="n">
        <f aca="false">1+IF($G$10=$E$10,$F$10,IF(T613&lt;($F$10-$E$10)/($G$10-$E$10),$E$10+SQRT(T613*($G$10-$E$10)*($F$10-$E$10)),$G$10-SQRT((1-T613)*($G$10-$E$10)*($G$10-$F$10))))</f>
        <v>1.01167767869794</v>
      </c>
      <c r="G613" s="38" t="n">
        <f aca="false">IF($G$11=$E$11,$F$11,IF(U613&lt;($F$11-$E$11)/($G$11-$E$11),$E$11+SQRT(U613*($G$11-$E$11)*($F$11-$E$11)),$G$11-SQRT((1-U613)*($G$11-$E$11)*($G$11-$F$11))))</f>
        <v>0.100353895191257</v>
      </c>
      <c r="H613" s="39" t="n">
        <f aca="false">(('Business Case'!B11*$C613*'Business Case'!B12*$B613)-'Business Case'!B11*$C613*'Business Case'!B13*$D613-'Business Case'!B14*$E613)-MAX(0,(('Business Case'!B11*$C613*'Business Case'!B12*$B613)-'Business Case'!B11*$C613*'Business Case'!B13*$D613-'Business Case'!B14*$E613))*'Business Case'!$B$7-'Business Case'!$B$8*('Business Case'!B11*$C613*'Business Case'!B12*$B613)-'Business Case'!B15*$F613</f>
        <v>-2023355357.39588</v>
      </c>
      <c r="I613" s="39" t="n">
        <f aca="false">(('Business Case'!C11*$C613*'Business Case'!C12*$B613)-'Business Case'!C11*$C613*'Business Case'!C13*$D613-'Business Case'!C14*$E613)-MAX(0,(('Business Case'!C11*$C613*'Business Case'!C12*$B613)-'Business Case'!C11*$C613*'Business Case'!C13*$D613-'Business Case'!C14*$E613))*'Business Case'!$B$7-'Business Case'!$B$8*(('Business Case'!C11*$C613*'Business Case'!C12*$B613)-('Business Case'!B11*$C613*'Business Case'!B12*$B613))-'Business Case'!C15*$F613</f>
        <v>-11029707.6799156</v>
      </c>
      <c r="J613" s="39" t="n">
        <f aca="false">(('Business Case'!D11*$C613*'Business Case'!D12*$B613)-'Business Case'!D11*$C613*'Business Case'!D13*$D613-'Business Case'!D14*$E613)-MAX(0,(('Business Case'!D11*$C613*'Business Case'!D12*$B613)-'Business Case'!D11*$C613*'Business Case'!D13*$D613-'Business Case'!D14*$E613))*'Business Case'!$B$7-'Business Case'!$B$8*(('Business Case'!D11*$C613*'Business Case'!D12*$B613)-('Business Case'!C11*$C613*'Business Case'!C12*$B613))-'Business Case'!D15*$F613</f>
        <v>265528989.852481</v>
      </c>
      <c r="K613" s="39" t="n">
        <f aca="false">(('Business Case'!E11*$C613*'Business Case'!E12*$B613)-'Business Case'!E11*$C613*'Business Case'!E13*$D613-'Business Case'!E14*$E613)-MAX(0,(('Business Case'!E11*$C613*'Business Case'!E12*$B613)-'Business Case'!E11*$C613*'Business Case'!E13*$D613-'Business Case'!E14*$E613))*'Business Case'!$B$7-'Business Case'!$B$8*(('Business Case'!E11*$C613*'Business Case'!E12*$B613)-('Business Case'!D11*$C613*'Business Case'!D12*$B613))-'Business Case'!E15*$F613</f>
        <v>592671571.319775</v>
      </c>
      <c r="L613" s="39" t="n">
        <f aca="false">(('Business Case'!F11*$C613*'Business Case'!F12*$B613)-'Business Case'!F11*$C613*'Business Case'!F13*$D613-'Business Case'!F14*$E613)-MAX(0,(('Business Case'!F11*$C613*'Business Case'!F12*$B613)-'Business Case'!F11*$C613*'Business Case'!F13*$D613-'Business Case'!F14*$E613))*'Business Case'!$B$7-'Business Case'!$B$8*(('Business Case'!F11*$C613*'Business Case'!F12*$B613)-('Business Case'!E11*$C613*'Business Case'!E12*$B613))-'Business Case'!F15*$F613</f>
        <v>717154108.404386</v>
      </c>
      <c r="M613" s="39" t="n">
        <f aca="false">(('Business Case'!G11*$C613*'Business Case'!G12*$B613)-'Business Case'!G11*$C613*'Business Case'!G13*$D613-'Business Case'!G14*$E613)-MAX(0,(('Business Case'!G11*$C613*'Business Case'!G12*$B613)-'Business Case'!G11*$C613*'Business Case'!G13*$D613-'Business Case'!G14*$E613))*'Business Case'!$B$7-'Business Case'!$B$8*(('Business Case'!G11*$C613*'Business Case'!G12*$B613)-('Business Case'!F11*$C613*'Business Case'!F12*$B613))-'Business Case'!G15*$F613+'Business Case'!$B$8*('Business Case'!G11*$C613*'Business Case'!G12*$B613)</f>
        <v>894783783.560355</v>
      </c>
      <c r="N613" s="39" t="n">
        <f aca="false">IF(COUNT('Business Case'!B11:G11)=0,"",H613+NPV(G613,I613:M613))</f>
        <v>-325327878.160653</v>
      </c>
      <c r="P613" s="40" t="n">
        <f aca="true">RAND()</f>
        <v>0.397152478929471</v>
      </c>
      <c r="Q613" s="40" t="n">
        <f aca="true">RAND()</f>
        <v>0.486664152914392</v>
      </c>
      <c r="R613" s="40" t="n">
        <f aca="true">RAND()</f>
        <v>0.314664663988172</v>
      </c>
      <c r="S613" s="40" t="n">
        <f aca="true">RAND()</f>
        <v>0.197664635543743</v>
      </c>
      <c r="T613" s="40" t="n">
        <f aca="true">RAND()</f>
        <v>0.24269961558931</v>
      </c>
      <c r="U613" s="40" t="n">
        <f aca="true">RAND()</f>
        <v>0.414072313112669</v>
      </c>
    </row>
    <row r="614" customFormat="false" ht="15" hidden="false" customHeight="false" outlineLevel="0" collapsed="false">
      <c r="A614" s="36" t="n">
        <v>534</v>
      </c>
      <c r="B614" s="37" t="n">
        <f aca="false">1+IF($G$6=$E$6,$F$6,IF(P614&lt;($F$6-$E$6)/($G$6-$E$6),$E$6+SQRT(P614*($G$6-$E$6)*($F$6-$E$6)),$G$6-SQRT((1-P614)*($G$6-$E$6)*($G$6-$F$6))))</f>
        <v>0.998559606829653</v>
      </c>
      <c r="C614" s="37" t="n">
        <f aca="false">1+IF($G$7=$E$7,$F$7,IF(Q614&lt;($F$7-$E$7)/($G$7-$E$7),$E$7+SQRT(Q614*($G$7-$E$7)*($F$7-$E$7)),$G$7-SQRT((1-Q614)*($G$7-$E$7)*($G$7-$F$7))))</f>
        <v>0.859110558530975</v>
      </c>
      <c r="D614" s="37" t="n">
        <f aca="false">1+IF($G$8=$E$8,$F$8,IF(R614&lt;($F$8-$E$8)/($G$8-$E$8),$E$8+SQRT(R614*($G$8-$E$8)*($F$8-$E$8)),$G$8-SQRT((1-R614)*($G$8-$E$8)*($G$8-$F$8))))</f>
        <v>1.00723031039465</v>
      </c>
      <c r="E614" s="37" t="n">
        <f aca="false">1+IF($G$9=$E$9,$F$9,IF(S614&lt;($F$9-$E$9)/($G$9-$E$9),$E$9+SQRT(S614*($G$9-$E$9)*($F$9-$E$9)),$G$9-SQRT((1-S614)*($G$9-$E$9)*($G$9-$F$9))))</f>
        <v>1.1322444040285</v>
      </c>
      <c r="F614" s="37" t="n">
        <f aca="false">1+IF($G$10=$E$10,$F$10,IF(T614&lt;($F$10-$E$10)/($G$10-$E$10),$E$10+SQRT(T614*($G$10-$E$10)*($F$10-$E$10)),$G$10-SQRT((1-T614)*($G$10-$E$10)*($G$10-$F$10))))</f>
        <v>1.01607329566222</v>
      </c>
      <c r="G614" s="38" t="n">
        <f aca="false">IF($G$11=$E$11,$F$11,IF(U614&lt;($F$11-$E$11)/($G$11-$E$11),$E$11+SQRT(U614*($G$11-$E$11)*($F$11-$E$11)),$G$11-SQRT((1-U614)*($G$11-$E$11)*($G$11-$F$11))))</f>
        <v>0.124846683632407</v>
      </c>
      <c r="H614" s="39" t="n">
        <f aca="false">(('Business Case'!B11*$C614*'Business Case'!B12*$B614)-'Business Case'!B11*$C614*'Business Case'!B13*$D614-'Business Case'!B14*$E614)-MAX(0,(('Business Case'!B11*$C614*'Business Case'!B12*$B614)-'Business Case'!B11*$C614*'Business Case'!B13*$D614-'Business Case'!B14*$E614))*'Business Case'!$B$7-'Business Case'!$B$8*('Business Case'!B11*$C614*'Business Case'!B12*$B614)-'Business Case'!B15*$F614</f>
        <v>-2032146591.32445</v>
      </c>
      <c r="I614" s="39" t="n">
        <f aca="false">(('Business Case'!C11*$C614*'Business Case'!C12*$B614)-'Business Case'!C11*$C614*'Business Case'!C13*$D614-'Business Case'!C14*$E614)-MAX(0,(('Business Case'!C11*$C614*'Business Case'!C12*$B614)-'Business Case'!C11*$C614*'Business Case'!C13*$D614-'Business Case'!C14*$E614))*'Business Case'!$B$7-'Business Case'!$B$8*(('Business Case'!C11*$C614*'Business Case'!C12*$B614)-('Business Case'!B11*$C614*'Business Case'!B12*$B614))-'Business Case'!C15*$F614</f>
        <v>-47400526.1958129</v>
      </c>
      <c r="J614" s="39" t="n">
        <f aca="false">(('Business Case'!D11*$C614*'Business Case'!D12*$B614)-'Business Case'!D11*$C614*'Business Case'!D13*$D614-'Business Case'!D14*$E614)-MAX(0,(('Business Case'!D11*$C614*'Business Case'!D12*$B614)-'Business Case'!D11*$C614*'Business Case'!D13*$D614-'Business Case'!D14*$E614))*'Business Case'!$B$7-'Business Case'!$B$8*(('Business Case'!D11*$C614*'Business Case'!D12*$B614)-('Business Case'!C11*$C614*'Business Case'!C12*$B614))-'Business Case'!D15*$F614</f>
        <v>212283573.011796</v>
      </c>
      <c r="K614" s="39" t="n">
        <f aca="false">(('Business Case'!E11*$C614*'Business Case'!E12*$B614)-'Business Case'!E11*$C614*'Business Case'!E13*$D614-'Business Case'!E14*$E614)-MAX(0,(('Business Case'!E11*$C614*'Business Case'!E12*$B614)-'Business Case'!E11*$C614*'Business Case'!E13*$D614-'Business Case'!E14*$E614))*'Business Case'!$B$7-'Business Case'!$B$8*(('Business Case'!E11*$C614*'Business Case'!E12*$B614)-('Business Case'!D11*$C614*'Business Case'!D12*$B614))-'Business Case'!E15*$F614</f>
        <v>522771337.002517</v>
      </c>
      <c r="L614" s="39" t="n">
        <f aca="false">(('Business Case'!F11*$C614*'Business Case'!F12*$B614)-'Business Case'!F11*$C614*'Business Case'!F13*$D614-'Business Case'!F14*$E614)-MAX(0,(('Business Case'!F11*$C614*'Business Case'!F12*$B614)-'Business Case'!F11*$C614*'Business Case'!F13*$D614-'Business Case'!F14*$E614))*'Business Case'!$B$7-'Business Case'!$B$8*(('Business Case'!F11*$C614*'Business Case'!F12*$B614)-('Business Case'!E11*$C614*'Business Case'!E12*$B614))-'Business Case'!F15*$F614</f>
        <v>638980797.794618</v>
      </c>
      <c r="M614" s="39" t="n">
        <f aca="false">(('Business Case'!G11*$C614*'Business Case'!G12*$B614)-'Business Case'!G11*$C614*'Business Case'!G13*$D614-'Business Case'!G14*$E614)-MAX(0,(('Business Case'!G11*$C614*'Business Case'!G12*$B614)-'Business Case'!G11*$C614*'Business Case'!G13*$D614-'Business Case'!G14*$E614))*'Business Case'!$B$7-'Business Case'!$B$8*(('Business Case'!G11*$C614*'Business Case'!G12*$B614)-('Business Case'!F11*$C614*'Business Case'!F12*$B614))-'Business Case'!G15*$F614+'Business Case'!$B$8*('Business Case'!G11*$C614*'Business Case'!G12*$B614)</f>
        <v>802045316.937222</v>
      </c>
      <c r="N614" s="39" t="n">
        <f aca="false">IF(COUNT('Business Case'!B11:G11)=0,"",H614+NPV(G614,I614:M614))</f>
        <v>-694689336.191544</v>
      </c>
      <c r="P614" s="40" t="n">
        <f aca="true">RAND()</f>
        <v>0.647599739894387</v>
      </c>
      <c r="Q614" s="40" t="n">
        <f aca="true">RAND()</f>
        <v>0.187527183970658</v>
      </c>
      <c r="R614" s="40" t="n">
        <f aca="true">RAND()</f>
        <v>0.42625231270183</v>
      </c>
      <c r="S614" s="40" t="n">
        <f aca="true">RAND()</f>
        <v>0.991593034978586</v>
      </c>
      <c r="T614" s="40" t="n">
        <f aca="true">RAND()</f>
        <v>0.270377293302226</v>
      </c>
      <c r="U614" s="40" t="n">
        <f aca="true">RAND()</f>
        <v>0.982295553610335</v>
      </c>
    </row>
    <row r="615" customFormat="false" ht="15" hidden="false" customHeight="false" outlineLevel="0" collapsed="false">
      <c r="A615" s="36" t="n">
        <v>535</v>
      </c>
      <c r="B615" s="37" t="n">
        <f aca="false">1+IF($G$6=$E$6,$F$6,IF(P615&lt;($F$6-$E$6)/($G$6-$E$6),$E$6+SQRT(P615*($G$6-$E$6)*($F$6-$E$6)),$G$6-SQRT((1-P615)*($G$6-$E$6)*($G$6-$F$6))))</f>
        <v>0.979361474851583</v>
      </c>
      <c r="C615" s="37" t="n">
        <f aca="false">1+IF($G$7=$E$7,$F$7,IF(Q615&lt;($F$7-$E$7)/($G$7-$E$7),$E$7+SQRT(Q615*($G$7-$E$7)*($F$7-$E$7)),$G$7-SQRT((1-Q615)*($G$7-$E$7)*($G$7-$F$7))))</f>
        <v>0.825824104483503</v>
      </c>
      <c r="D615" s="37" t="n">
        <f aca="false">1+IF($G$8=$E$8,$F$8,IF(R615&lt;($F$8-$E$8)/($G$8-$E$8),$E$8+SQRT(R615*($G$8-$E$8)*($F$8-$E$8)),$G$8-SQRT((1-R615)*($G$8-$E$8)*($G$8-$F$8))))</f>
        <v>0.985209330863939</v>
      </c>
      <c r="E615" s="37" t="n">
        <f aca="false">1+IF($G$9=$E$9,$F$9,IF(S615&lt;($F$9-$E$9)/($G$9-$E$9),$E$9+SQRT(S615*($G$9-$E$9)*($F$9-$E$9)),$G$9-SQRT((1-S615)*($G$9-$E$9)*($G$9-$F$9))))</f>
        <v>0.96240592231737</v>
      </c>
      <c r="F615" s="37" t="n">
        <f aca="false">1+IF($G$10=$E$10,$F$10,IF(T615&lt;($F$10-$E$10)/($G$10-$E$10),$E$10+SQRT(T615*($G$10-$E$10)*($F$10-$E$10)),$G$10-SQRT((1-T615)*($G$10-$E$10)*($G$10-$F$10))))</f>
        <v>1.08525669331699</v>
      </c>
      <c r="G615" s="38" t="n">
        <f aca="false">IF($G$11=$E$11,$F$11,IF(U615&lt;($F$11-$E$11)/($G$11-$E$11),$E$11+SQRT(U615*($G$11-$E$11)*($F$11-$E$11)),$G$11-SQRT((1-U615)*($G$11-$E$11)*($G$11-$F$11))))</f>
        <v>0.0912789910353733</v>
      </c>
      <c r="H615" s="39" t="n">
        <f aca="false">(('Business Case'!B11*$C615*'Business Case'!B12*$B615)-'Business Case'!B11*$C615*'Business Case'!B13*$D615-'Business Case'!B14*$E615)-MAX(0,(('Business Case'!B11*$C615*'Business Case'!B12*$B615)-'Business Case'!B11*$C615*'Business Case'!B13*$D615-'Business Case'!B14*$E615))*'Business Case'!$B$7-'Business Case'!$B$8*('Business Case'!B11*$C615*'Business Case'!B12*$B615)-'Business Case'!B15*$F615</f>
        <v>-2170513386.63399</v>
      </c>
      <c r="I615" s="39" t="n">
        <f aca="false">(('Business Case'!C11*$C615*'Business Case'!C12*$B615)-'Business Case'!C11*$C615*'Business Case'!C13*$D615-'Business Case'!C14*$E615)-MAX(0,(('Business Case'!C11*$C615*'Business Case'!C12*$B615)-'Business Case'!C11*$C615*'Business Case'!C13*$D615-'Business Case'!C14*$E615))*'Business Case'!$B$7-'Business Case'!$B$8*(('Business Case'!C11*$C615*'Business Case'!C12*$B615)-('Business Case'!B11*$C615*'Business Case'!B12*$B615))-'Business Case'!C15*$F615</f>
        <v>-41360687.7178755</v>
      </c>
      <c r="J615" s="39" t="n">
        <f aca="false">(('Business Case'!D11*$C615*'Business Case'!D12*$B615)-'Business Case'!D11*$C615*'Business Case'!D13*$D615-'Business Case'!D14*$E615)-MAX(0,(('Business Case'!D11*$C615*'Business Case'!D12*$B615)-'Business Case'!D11*$C615*'Business Case'!D13*$D615-'Business Case'!D14*$E615))*'Business Case'!$B$7-'Business Case'!$B$8*(('Business Case'!D11*$C615*'Business Case'!D12*$B615)-('Business Case'!C11*$C615*'Business Case'!C12*$B615))-'Business Case'!D15*$F615</f>
        <v>204585587.472026</v>
      </c>
      <c r="K615" s="39" t="n">
        <f aca="false">(('Business Case'!E11*$C615*'Business Case'!E12*$B615)-'Business Case'!E11*$C615*'Business Case'!E13*$D615-'Business Case'!E14*$E615)-MAX(0,(('Business Case'!E11*$C615*'Business Case'!E12*$B615)-'Business Case'!E11*$C615*'Business Case'!E13*$D615-'Business Case'!E14*$E615))*'Business Case'!$B$7-'Business Case'!$B$8*(('Business Case'!E11*$C615*'Business Case'!E12*$B615)-('Business Case'!D11*$C615*'Business Case'!D12*$B615))-'Business Case'!E15*$F615</f>
        <v>504794697.327778</v>
      </c>
      <c r="L615" s="39" t="n">
        <f aca="false">(('Business Case'!F11*$C615*'Business Case'!F12*$B615)-'Business Case'!F11*$C615*'Business Case'!F13*$D615-'Business Case'!F14*$E615)-MAX(0,(('Business Case'!F11*$C615*'Business Case'!F12*$B615)-'Business Case'!F11*$C615*'Business Case'!F13*$D615-'Business Case'!F14*$E615))*'Business Case'!$B$7-'Business Case'!$B$8*(('Business Case'!F11*$C615*'Business Case'!F12*$B615)-('Business Case'!E11*$C615*'Business Case'!E12*$B615))-'Business Case'!F15*$F615</f>
        <v>614728236.672777</v>
      </c>
      <c r="M615" s="39" t="n">
        <f aca="false">(('Business Case'!G11*$C615*'Business Case'!G12*$B615)-'Business Case'!G11*$C615*'Business Case'!G13*$D615-'Business Case'!G14*$E615)-MAX(0,(('Business Case'!G11*$C615*'Business Case'!G12*$B615)-'Business Case'!G11*$C615*'Business Case'!G13*$D615-'Business Case'!G14*$E615))*'Business Case'!$B$7-'Business Case'!$B$8*(('Business Case'!G11*$C615*'Business Case'!G12*$B615)-('Business Case'!F11*$C615*'Business Case'!F12*$B615))-'Business Case'!G15*$F615+'Business Case'!$B$8*('Business Case'!G11*$C615*'Business Case'!G12*$B615)</f>
        <v>768461198.555453</v>
      </c>
      <c r="N615" s="39" t="n">
        <f aca="false">IF(COUNT('Business Case'!B11:G11)=0,"",H615+NPV(G615,I615:M615))</f>
        <v>-718219001.473997</v>
      </c>
      <c r="P615" s="40" t="n">
        <f aca="true">RAND()</f>
        <v>0.419882912707893</v>
      </c>
      <c r="Q615" s="40" t="n">
        <f aca="true">RAND()</f>
        <v>0.117271890882041</v>
      </c>
      <c r="R615" s="40" t="n">
        <f aca="true">RAND()</f>
        <v>0.165292930651506</v>
      </c>
      <c r="S615" s="40" t="n">
        <f aca="true">RAND()</f>
        <v>0.155779965611266</v>
      </c>
      <c r="T615" s="40" t="n">
        <f aca="true">RAND()</f>
        <v>0.638128572041988</v>
      </c>
      <c r="U615" s="40" t="n">
        <f aca="true">RAND()</f>
        <v>0.127215638776031</v>
      </c>
    </row>
    <row r="616" customFormat="false" ht="15" hidden="false" customHeight="false" outlineLevel="0" collapsed="false">
      <c r="A616" s="36" t="n">
        <v>536</v>
      </c>
      <c r="B616" s="37" t="n">
        <f aca="false">1+IF($G$6=$E$6,$F$6,IF(P616&lt;($F$6-$E$6)/($G$6-$E$6),$E$6+SQRT(P616*($G$6-$E$6)*($F$6-$E$6)),$G$6-SQRT((1-P616)*($G$6-$E$6)*($G$6-$F$6))))</f>
        <v>0.985537682318822</v>
      </c>
      <c r="C616" s="37" t="n">
        <f aca="false">1+IF($G$7=$E$7,$F$7,IF(Q616&lt;($F$7-$E$7)/($G$7-$E$7),$E$7+SQRT(Q616*($G$7-$E$7)*($F$7-$E$7)),$G$7-SQRT((1-Q616)*($G$7-$E$7)*($G$7-$F$7))))</f>
        <v>1.09460024022757</v>
      </c>
      <c r="D616" s="37" t="n">
        <f aca="false">1+IF($G$8=$E$8,$F$8,IF(R616&lt;($F$8-$E$8)/($G$8-$E$8),$E$8+SQRT(R616*($G$8-$E$8)*($F$8-$E$8)),$G$8-SQRT((1-R616)*($G$8-$E$8)*($G$8-$F$8))))</f>
        <v>0.967656177800049</v>
      </c>
      <c r="E616" s="37" t="n">
        <f aca="false">1+IF($G$9=$E$9,$F$9,IF(S616&lt;($F$9-$E$9)/($G$9-$E$9),$E$9+SQRT(S616*($G$9-$E$9)*($F$9-$E$9)),$G$9-SQRT((1-S616)*($G$9-$E$9)*($G$9-$F$9))))</f>
        <v>1.02286463640862</v>
      </c>
      <c r="F616" s="37" t="n">
        <f aca="false">1+IF($G$10=$E$10,$F$10,IF(T616&lt;($F$10-$E$10)/($G$10-$E$10),$E$10+SQRT(T616*($G$10-$E$10)*($F$10-$E$10)),$G$10-SQRT((1-T616)*($G$10-$E$10)*($G$10-$F$10))))</f>
        <v>0.960120489457845</v>
      </c>
      <c r="G616" s="38" t="n">
        <f aca="false">IF($G$11=$E$11,$F$11,IF(U616&lt;($F$11-$E$11)/($G$11-$E$11),$E$11+SQRT(U616*($G$11-$E$11)*($F$11-$E$11)),$G$11-SQRT((1-U616)*($G$11-$E$11)*($G$11-$F$11))))</f>
        <v>0.125123560351906</v>
      </c>
      <c r="H616" s="39" t="n">
        <f aca="false">(('Business Case'!B11*$C616*'Business Case'!B12*$B616)-'Business Case'!B11*$C616*'Business Case'!B13*$D616-'Business Case'!B14*$E616)-MAX(0,(('Business Case'!B11*$C616*'Business Case'!B12*$B616)-'Business Case'!B11*$C616*'Business Case'!B13*$D616-'Business Case'!B14*$E616))*'Business Case'!$B$7-'Business Case'!$B$8*('Business Case'!B11*$C616*'Business Case'!B12*$B616)-'Business Case'!B15*$F616</f>
        <v>-1920240978.91569</v>
      </c>
      <c r="I616" s="39" t="n">
        <f aca="false">(('Business Case'!C11*$C616*'Business Case'!C12*$B616)-'Business Case'!C11*$C616*'Business Case'!C13*$D616-'Business Case'!C14*$E616)-MAX(0,(('Business Case'!C11*$C616*'Business Case'!C12*$B616)-'Business Case'!C11*$C616*'Business Case'!C13*$D616-'Business Case'!C14*$E616))*'Business Case'!$B$7-'Business Case'!$B$8*(('Business Case'!C11*$C616*'Business Case'!C12*$B616)-('Business Case'!B11*$C616*'Business Case'!B12*$B616))-'Business Case'!C15*$F616</f>
        <v>43979331.7161472</v>
      </c>
      <c r="J616" s="39" t="n">
        <f aca="false">(('Business Case'!D11*$C616*'Business Case'!D12*$B616)-'Business Case'!D11*$C616*'Business Case'!D13*$D616-'Business Case'!D14*$E616)-MAX(0,(('Business Case'!D11*$C616*'Business Case'!D12*$B616)-'Business Case'!D11*$C616*'Business Case'!D13*$D616-'Business Case'!D14*$E616))*'Business Case'!$B$7-'Business Case'!$B$8*(('Business Case'!D11*$C616*'Business Case'!D12*$B616)-('Business Case'!C11*$C616*'Business Case'!C12*$B616))-'Business Case'!D15*$F616</f>
        <v>385345489.268588</v>
      </c>
      <c r="K616" s="39" t="n">
        <f aca="false">(('Business Case'!E11*$C616*'Business Case'!E12*$B616)-'Business Case'!E11*$C616*'Business Case'!E13*$D616-'Business Case'!E14*$E616)-MAX(0,(('Business Case'!E11*$C616*'Business Case'!E12*$B616)-'Business Case'!E11*$C616*'Business Case'!E13*$D616-'Business Case'!E14*$E616))*'Business Case'!$B$7-'Business Case'!$B$8*(('Business Case'!E11*$C616*'Business Case'!E12*$B616)-('Business Case'!D11*$C616*'Business Case'!D12*$B616))-'Business Case'!E15*$F616</f>
        <v>774717671.293922</v>
      </c>
      <c r="L616" s="39" t="n">
        <f aca="false">(('Business Case'!F11*$C616*'Business Case'!F12*$B616)-'Business Case'!F11*$C616*'Business Case'!F13*$D616-'Business Case'!F14*$E616)-MAX(0,(('Business Case'!F11*$C616*'Business Case'!F12*$B616)-'Business Case'!F11*$C616*'Business Case'!F13*$D616-'Business Case'!F14*$E616))*'Business Case'!$B$7-'Business Case'!$B$8*(('Business Case'!F11*$C616*'Business Case'!F12*$B616)-('Business Case'!E11*$C616*'Business Case'!E12*$B616))-'Business Case'!F15*$F616</f>
        <v>925788674.206871</v>
      </c>
      <c r="M616" s="39" t="n">
        <f aca="false">(('Business Case'!G11*$C616*'Business Case'!G12*$B616)-'Business Case'!G11*$C616*'Business Case'!G13*$D616-'Business Case'!G14*$E616)-MAX(0,(('Business Case'!G11*$C616*'Business Case'!G12*$B616)-'Business Case'!G11*$C616*'Business Case'!G13*$D616-'Business Case'!G14*$E616))*'Business Case'!$B$7-'Business Case'!$B$8*(('Business Case'!G11*$C616*'Business Case'!G12*$B616)-('Business Case'!F11*$C616*'Business Case'!F12*$B616))-'Business Case'!G15*$F616+'Business Case'!$B$8*('Business Case'!G11*$C616*'Business Case'!G12*$B616)</f>
        <v>1130841234.71528</v>
      </c>
      <c r="N616" s="39" t="n">
        <f aca="false">IF(COUNT('Business Case'!B11:G11)=0,"",H616+NPV(G616,I616:M616))</f>
        <v>172084358.716159</v>
      </c>
      <c r="P616" s="40" t="n">
        <f aca="true">RAND()</f>
        <v>0.487779673098385</v>
      </c>
      <c r="Q616" s="40" t="n">
        <f aca="true">RAND()</f>
        <v>0.95453135729122</v>
      </c>
      <c r="R616" s="40" t="n">
        <f aca="true">RAND()</f>
        <v>0.0415654152675905</v>
      </c>
      <c r="S616" s="40" t="n">
        <f aca="true">RAND()</f>
        <v>0.568975981986353</v>
      </c>
      <c r="T616" s="40" t="n">
        <f aca="true">RAND()</f>
        <v>0.00682828712442319</v>
      </c>
      <c r="U616" s="40" t="n">
        <f aca="true">RAND()</f>
        <v>0.984146890905662</v>
      </c>
    </row>
    <row r="617" customFormat="false" ht="15" hidden="false" customHeight="false" outlineLevel="0" collapsed="false">
      <c r="A617" s="36" t="n">
        <v>537</v>
      </c>
      <c r="B617" s="37" t="n">
        <f aca="false">1+IF($G$6=$E$6,$F$6,IF(P617&lt;($F$6-$E$6)/($G$6-$E$6),$E$6+SQRT(P617*($G$6-$E$6)*($F$6-$E$6)),$G$6-SQRT((1-P617)*($G$6-$E$6)*($G$6-$F$6))))</f>
        <v>0.986664407239746</v>
      </c>
      <c r="C617" s="37" t="n">
        <f aca="false">1+IF($G$7=$E$7,$F$7,IF(Q617&lt;($F$7-$E$7)/($G$7-$E$7),$E$7+SQRT(Q617*($G$7-$E$7)*($F$7-$E$7)),$G$7-SQRT((1-Q617)*($G$7-$E$7)*($G$7-$F$7))))</f>
        <v>1.12585082458435</v>
      </c>
      <c r="D617" s="37" t="n">
        <f aca="false">1+IF($G$8=$E$8,$F$8,IF(R617&lt;($F$8-$E$8)/($G$8-$E$8),$E$8+SQRT(R617*($G$8-$E$8)*($F$8-$E$8)),$G$8-SQRT((1-R617)*($G$8-$E$8)*($G$8-$F$8))))</f>
        <v>0.987878194087943</v>
      </c>
      <c r="E617" s="37" t="n">
        <f aca="false">1+IF($G$9=$E$9,$F$9,IF(S617&lt;($F$9-$E$9)/($G$9-$E$9),$E$9+SQRT(S617*($G$9-$E$9)*($F$9-$E$9)),$G$9-SQRT((1-S617)*($G$9-$E$9)*($G$9-$F$9))))</f>
        <v>1.0859154139654</v>
      </c>
      <c r="F617" s="37" t="n">
        <f aca="false">1+IF($G$10=$E$10,$F$10,IF(T617&lt;($F$10-$E$10)/($G$10-$E$10),$E$10+SQRT(T617*($G$10-$E$10)*($F$10-$E$10)),$G$10-SQRT((1-T617)*($G$10-$E$10)*($G$10-$F$10))))</f>
        <v>0.977953046137965</v>
      </c>
      <c r="G617" s="38" t="n">
        <f aca="false">IF($G$11=$E$11,$F$11,IF(U617&lt;($F$11-$E$11)/($G$11-$E$11),$E$11+SQRT(U617*($G$11-$E$11)*($F$11-$E$11)),$G$11-SQRT((1-U617)*($G$11-$E$11)*($G$11-$F$11))))</f>
        <v>0.113086427165224</v>
      </c>
      <c r="H617" s="39" t="n">
        <f aca="false">(('Business Case'!B11*$C617*'Business Case'!B12*$B617)-'Business Case'!B11*$C617*'Business Case'!B13*$D617-'Business Case'!B14*$E617)-MAX(0,(('Business Case'!B11*$C617*'Business Case'!B12*$B617)-'Business Case'!B11*$C617*'Business Case'!B13*$D617-'Business Case'!B14*$E617))*'Business Case'!$B$7-'Business Case'!$B$8*('Business Case'!B11*$C617*'Business Case'!B12*$B617)-'Business Case'!B15*$F617</f>
        <v>-1955906092.27593</v>
      </c>
      <c r="I617" s="39" t="n">
        <f aca="false">(('Business Case'!C11*$C617*'Business Case'!C12*$B617)-'Business Case'!C11*$C617*'Business Case'!C13*$D617-'Business Case'!C14*$E617)-MAX(0,(('Business Case'!C11*$C617*'Business Case'!C12*$B617)-'Business Case'!C11*$C617*'Business Case'!C13*$D617-'Business Case'!C14*$E617))*'Business Case'!$B$7-'Business Case'!$B$8*(('Business Case'!C11*$C617*'Business Case'!C12*$B617)-('Business Case'!B11*$C617*'Business Case'!B12*$B617))-'Business Case'!C15*$F617</f>
        <v>30697962.7930154</v>
      </c>
      <c r="J617" s="39" t="n">
        <f aca="false">(('Business Case'!D11*$C617*'Business Case'!D12*$B617)-'Business Case'!D11*$C617*'Business Case'!D13*$D617-'Business Case'!D14*$E617)-MAX(0,(('Business Case'!D11*$C617*'Business Case'!D12*$B617)-'Business Case'!D11*$C617*'Business Case'!D13*$D617-'Business Case'!D14*$E617))*'Business Case'!$B$7-'Business Case'!$B$8*(('Business Case'!D11*$C617*'Business Case'!D12*$B617)-('Business Case'!C11*$C617*'Business Case'!C12*$B617))-'Business Case'!D15*$F617</f>
        <v>371194188.852773</v>
      </c>
      <c r="K617" s="39" t="n">
        <f aca="false">(('Business Case'!E11*$C617*'Business Case'!E12*$B617)-'Business Case'!E11*$C617*'Business Case'!E13*$D617-'Business Case'!E14*$E617)-MAX(0,(('Business Case'!E11*$C617*'Business Case'!E12*$B617)-'Business Case'!E11*$C617*'Business Case'!E13*$D617-'Business Case'!E14*$E617))*'Business Case'!$B$7-'Business Case'!$B$8*(('Business Case'!E11*$C617*'Business Case'!E12*$B617)-('Business Case'!D11*$C617*'Business Case'!D12*$B617))-'Business Case'!E15*$F617</f>
        <v>760588067.219428</v>
      </c>
      <c r="L617" s="39" t="n">
        <f aca="false">(('Business Case'!F11*$C617*'Business Case'!F12*$B617)-'Business Case'!F11*$C617*'Business Case'!F13*$D617-'Business Case'!F14*$E617)-MAX(0,(('Business Case'!F11*$C617*'Business Case'!F12*$B617)-'Business Case'!F11*$C617*'Business Case'!F13*$D617-'Business Case'!F14*$E617))*'Business Case'!$B$7-'Business Case'!$B$8*(('Business Case'!F11*$C617*'Business Case'!F12*$B617)-('Business Case'!E11*$C617*'Business Case'!E12*$B617))-'Business Case'!F15*$F617</f>
        <v>912477333.764058</v>
      </c>
      <c r="M617" s="39" t="n">
        <f aca="false">(('Business Case'!G11*$C617*'Business Case'!G12*$B617)-'Business Case'!G11*$C617*'Business Case'!G13*$D617-'Business Case'!G14*$E617)-MAX(0,(('Business Case'!G11*$C617*'Business Case'!G12*$B617)-'Business Case'!G11*$C617*'Business Case'!G13*$D617-'Business Case'!G14*$E617))*'Business Case'!$B$7-'Business Case'!$B$8*(('Business Case'!G11*$C617*'Business Case'!G12*$B617)-('Business Case'!F11*$C617*'Business Case'!F12*$B617))-'Business Case'!G15*$F617+'Business Case'!$B$8*('Business Case'!G11*$C617*'Business Case'!G12*$B617)</f>
        <v>1123625218.64997</v>
      </c>
      <c r="N617" s="39" t="n">
        <f aca="false">IF(COUNT('Business Case'!B11:G11)=0,"",H617+NPV(G617,I617:M617))</f>
        <v>174857181.482817</v>
      </c>
      <c r="P617" s="40" t="n">
        <f aca="true">RAND()</f>
        <v>0.500714632147774</v>
      </c>
      <c r="Q617" s="40" t="n">
        <f aca="true">RAND()</f>
        <v>0.991360256692506</v>
      </c>
      <c r="R617" s="40" t="n">
        <f aca="true">RAND()</f>
        <v>0.191301011648519</v>
      </c>
      <c r="S617" s="40" t="n">
        <f aca="true">RAND()</f>
        <v>0.890484422207291</v>
      </c>
      <c r="T617" s="40" t="n">
        <f aca="true">RAND()</f>
        <v>0.0520915192260783</v>
      </c>
      <c r="U617" s="40" t="n">
        <f aca="true">RAND()</f>
        <v>0.809287369308477</v>
      </c>
    </row>
    <row r="618" customFormat="false" ht="15" hidden="false" customHeight="false" outlineLevel="0" collapsed="false">
      <c r="A618" s="36" t="n">
        <v>538</v>
      </c>
      <c r="B618" s="37" t="n">
        <f aca="false">1+IF($G$6=$E$6,$F$6,IF(P618&lt;($F$6-$E$6)/($G$6-$E$6),$E$6+SQRT(P618*($G$6-$E$6)*($F$6-$E$6)),$G$6-SQRT((1-P618)*($G$6-$E$6)*($G$6-$F$6))))</f>
        <v>0.965939998159144</v>
      </c>
      <c r="C618" s="37" t="n">
        <f aca="false">1+IF($G$7=$E$7,$F$7,IF(Q618&lt;($F$7-$E$7)/($G$7-$E$7),$E$7+SQRT(Q618*($G$7-$E$7)*($F$7-$E$7)),$G$7-SQRT((1-Q618)*($G$7-$E$7)*($G$7-$F$7))))</f>
        <v>1.08883371401293</v>
      </c>
      <c r="D618" s="37" t="n">
        <f aca="false">1+IF($G$8=$E$8,$F$8,IF(R618&lt;($F$8-$E$8)/($G$8-$E$8),$E$8+SQRT(R618*($G$8-$E$8)*($F$8-$E$8)),$G$8-SQRT((1-R618)*($G$8-$E$8)*($G$8-$F$8))))</f>
        <v>0.987045267942431</v>
      </c>
      <c r="E618" s="37" t="n">
        <f aca="false">1+IF($G$9=$E$9,$F$9,IF(S618&lt;($F$9-$E$9)/($G$9-$E$9),$E$9+SQRT(S618*($G$9-$E$9)*($F$9-$E$9)),$G$9-SQRT((1-S618)*($G$9-$E$9)*($G$9-$F$9))))</f>
        <v>0.994904698811799</v>
      </c>
      <c r="F618" s="37" t="n">
        <f aca="false">1+IF($G$10=$E$10,$F$10,IF(T618&lt;($F$10-$E$10)/($G$10-$E$10),$E$10+SQRT(T618*($G$10-$E$10)*($F$10-$E$10)),$G$10-SQRT((1-T618)*($G$10-$E$10)*($G$10-$F$10))))</f>
        <v>1.03814890496309</v>
      </c>
      <c r="G618" s="38" t="n">
        <f aca="false">IF($G$11=$E$11,$F$11,IF(U618&lt;($F$11-$E$11)/($G$11-$E$11),$E$11+SQRT(U618*($G$11-$E$11)*($F$11-$E$11)),$G$11-SQRT((1-U618)*($G$11-$E$11)*($G$11-$F$11))))</f>
        <v>0.0970193164719566</v>
      </c>
      <c r="H618" s="39" t="n">
        <f aca="false">(('Business Case'!B11*$C618*'Business Case'!B12*$B618)-'Business Case'!B11*$C618*'Business Case'!B13*$D618-'Business Case'!B14*$E618)-MAX(0,(('Business Case'!B11*$C618*'Business Case'!B12*$B618)-'Business Case'!B11*$C618*'Business Case'!B13*$D618-'Business Case'!B14*$E618))*'Business Case'!$B$7-'Business Case'!$B$8*('Business Case'!B11*$C618*'Business Case'!B12*$B618)-'Business Case'!B15*$F618</f>
        <v>-2076297809.92617</v>
      </c>
      <c r="I618" s="39" t="n">
        <f aca="false">(('Business Case'!C11*$C618*'Business Case'!C12*$B618)-'Business Case'!C11*$C618*'Business Case'!C13*$D618-'Business Case'!C14*$E618)-MAX(0,(('Business Case'!C11*$C618*'Business Case'!C12*$B618)-'Business Case'!C11*$C618*'Business Case'!C13*$D618-'Business Case'!C14*$E618))*'Business Case'!$B$7-'Business Case'!$B$8*(('Business Case'!C11*$C618*'Business Case'!C12*$B618)-('Business Case'!B11*$C618*'Business Case'!B12*$B618))-'Business Case'!C15*$F618</f>
        <v>11469568.0429075</v>
      </c>
      <c r="J618" s="39" t="n">
        <f aca="false">(('Business Case'!D11*$C618*'Business Case'!D12*$B618)-'Business Case'!D11*$C618*'Business Case'!D13*$D618-'Business Case'!D14*$E618)-MAX(0,(('Business Case'!D11*$C618*'Business Case'!D12*$B618)-'Business Case'!D11*$C618*'Business Case'!D13*$D618-'Business Case'!D14*$E618))*'Business Case'!$B$7-'Business Case'!$B$8*(('Business Case'!D11*$C618*'Business Case'!D12*$B618)-('Business Case'!C11*$C618*'Business Case'!C12*$B618))-'Business Case'!D15*$F618</f>
        <v>322752092.92433</v>
      </c>
      <c r="K618" s="39" t="n">
        <f aca="false">(('Business Case'!E11*$C618*'Business Case'!E12*$B618)-'Business Case'!E11*$C618*'Business Case'!E13*$D618-'Business Case'!E14*$E618)-MAX(0,(('Business Case'!E11*$C618*'Business Case'!E12*$B618)-'Business Case'!E11*$C618*'Business Case'!E13*$D618-'Business Case'!E14*$E618))*'Business Case'!$B$7-'Business Case'!$B$8*(('Business Case'!E11*$C618*'Business Case'!E12*$B618)-('Business Case'!D11*$C618*'Business Case'!D12*$B618))-'Business Case'!E15*$F618</f>
        <v>685942063.053906</v>
      </c>
      <c r="L618" s="39" t="n">
        <f aca="false">(('Business Case'!F11*$C618*'Business Case'!F12*$B618)-'Business Case'!F11*$C618*'Business Case'!F13*$D618-'Business Case'!F14*$E618)-MAX(0,(('Business Case'!F11*$C618*'Business Case'!F12*$B618)-'Business Case'!F11*$C618*'Business Case'!F13*$D618-'Business Case'!F14*$E618))*'Business Case'!$B$7-'Business Case'!$B$8*(('Business Case'!F11*$C618*'Business Case'!F12*$B618)-('Business Case'!E11*$C618*'Business Case'!E12*$B618))-'Business Case'!F15*$F618</f>
        <v>826051316.795159</v>
      </c>
      <c r="M618" s="39" t="n">
        <f aca="false">(('Business Case'!G11*$C618*'Business Case'!G12*$B618)-'Business Case'!G11*$C618*'Business Case'!G13*$D618-'Business Case'!G14*$E618)-MAX(0,(('Business Case'!G11*$C618*'Business Case'!G12*$B618)-'Business Case'!G11*$C618*'Business Case'!G13*$D618-'Business Case'!G14*$E618))*'Business Case'!$B$7-'Business Case'!$B$8*(('Business Case'!G11*$C618*'Business Case'!G12*$B618)-('Business Case'!F11*$C618*'Business Case'!F12*$B618))-'Business Case'!G15*$F618+'Business Case'!$B$8*('Business Case'!G11*$C618*'Business Case'!G12*$B618)</f>
        <v>1025967583.42278</v>
      </c>
      <c r="N618" s="39" t="n">
        <f aca="false">IF(COUNT('Business Case'!B11:G11)=0,"",H618+NPV(G618,I618:M618))</f>
        <v>-61975277.8716404</v>
      </c>
      <c r="P618" s="40" t="n">
        <f aca="true">RAND()</f>
        <v>0.289872223815195</v>
      </c>
      <c r="Q618" s="40" t="n">
        <f aca="true">RAND()</f>
        <v>0.944573117904407</v>
      </c>
      <c r="R618" s="40" t="n">
        <f aca="true">RAND()</f>
        <v>0.182980250256867</v>
      </c>
      <c r="S618" s="40" t="n">
        <f aca="true">RAND()</f>
        <v>0.360276074262331</v>
      </c>
      <c r="T618" s="40" t="n">
        <f aca="true">RAND()</f>
        <v>0.401588180422145</v>
      </c>
      <c r="U618" s="40" t="n">
        <f aca="true">RAND()</f>
        <v>0.289657133172613</v>
      </c>
    </row>
    <row r="619" customFormat="false" ht="15" hidden="false" customHeight="false" outlineLevel="0" collapsed="false">
      <c r="A619" s="36" t="n">
        <v>539</v>
      </c>
      <c r="B619" s="37" t="n">
        <f aca="false">1+IF($G$6=$E$6,$F$6,IF(P619&lt;($F$6-$E$6)/($G$6-$E$6),$E$6+SQRT(P619*($G$6-$E$6)*($F$6-$E$6)),$G$6-SQRT((1-P619)*($G$6-$E$6)*($G$6-$F$6))))</f>
        <v>1.00107190874614</v>
      </c>
      <c r="C619" s="37" t="n">
        <f aca="false">1+IF($G$7=$E$7,$F$7,IF(Q619&lt;($F$7-$E$7)/($G$7-$E$7),$E$7+SQRT(Q619*($G$7-$E$7)*($F$7-$E$7)),$G$7-SQRT((1-Q619)*($G$7-$E$7)*($G$7-$F$7))))</f>
        <v>0.753171200679941</v>
      </c>
      <c r="D619" s="37" t="n">
        <f aca="false">1+IF($G$8=$E$8,$F$8,IF(R619&lt;($F$8-$E$8)/($G$8-$E$8),$E$8+SQRT(R619*($G$8-$E$8)*($F$8-$E$8)),$G$8-SQRT((1-R619)*($G$8-$E$8)*($G$8-$F$8))))</f>
        <v>1.02190394307937</v>
      </c>
      <c r="E619" s="37" t="n">
        <f aca="false">1+IF($G$9=$E$9,$F$9,IF(S619&lt;($F$9-$E$9)/($G$9-$E$9),$E$9+SQRT(S619*($G$9-$E$9)*($F$9-$E$9)),$G$9-SQRT((1-S619)*($G$9-$E$9)*($G$9-$F$9))))</f>
        <v>0.99902582863891</v>
      </c>
      <c r="F619" s="37" t="n">
        <f aca="false">1+IF($G$10=$E$10,$F$10,IF(T619&lt;($F$10-$E$10)/($G$10-$E$10),$E$10+SQRT(T619*($G$10-$E$10)*($F$10-$E$10)),$G$10-SQRT((1-T619)*($G$10-$E$10)*($G$10-$F$10))))</f>
        <v>1.05956999975588</v>
      </c>
      <c r="G619" s="38" t="n">
        <f aca="false">IF($G$11=$E$11,$F$11,IF(U619&lt;($F$11-$E$11)/($G$11-$E$11),$E$11+SQRT(U619*($G$11-$E$11)*($F$11-$E$11)),$G$11-SQRT((1-U619)*($G$11-$E$11)*($G$11-$F$11))))</f>
        <v>0.102256918095453</v>
      </c>
      <c r="H619" s="39" t="n">
        <f aca="false">(('Business Case'!B11*$C619*'Business Case'!B12*$B619)-'Business Case'!B11*$C619*'Business Case'!B13*$D619-'Business Case'!B14*$E619)-MAX(0,(('Business Case'!B11*$C619*'Business Case'!B12*$B619)-'Business Case'!B11*$C619*'Business Case'!B13*$D619-'Business Case'!B14*$E619))*'Business Case'!$B$7-'Business Case'!$B$8*('Business Case'!B11*$C619*'Business Case'!B12*$B619)-'Business Case'!B15*$F619</f>
        <v>-2119139999.51177</v>
      </c>
      <c r="I619" s="39" t="n">
        <f aca="false">(('Business Case'!C11*$C619*'Business Case'!C12*$B619)-'Business Case'!C11*$C619*'Business Case'!C13*$D619-'Business Case'!C14*$E619)-MAX(0,(('Business Case'!C11*$C619*'Business Case'!C12*$B619)-'Business Case'!C11*$C619*'Business Case'!C13*$D619-'Business Case'!C14*$E619))*'Business Case'!$B$7-'Business Case'!$B$8*(('Business Case'!C11*$C619*'Business Case'!C12*$B619)-('Business Case'!B11*$C619*'Business Case'!B12*$B619))-'Business Case'!C15*$F619</f>
        <v>-63550775.9878654</v>
      </c>
      <c r="J619" s="39" t="n">
        <f aca="false">(('Business Case'!D11*$C619*'Business Case'!D12*$B619)-'Business Case'!D11*$C619*'Business Case'!D13*$D619-'Business Case'!D14*$E619)-MAX(0,(('Business Case'!D11*$C619*'Business Case'!D12*$B619)-'Business Case'!D11*$C619*'Business Case'!D13*$D619-'Business Case'!D14*$E619))*'Business Case'!$B$7-'Business Case'!$B$8*(('Business Case'!D11*$C619*'Business Case'!D12*$B619)-('Business Case'!C11*$C619*'Business Case'!C12*$B619))-'Business Case'!D15*$F619</f>
        <v>160003167.904094</v>
      </c>
      <c r="K619" s="39" t="n">
        <f aca="false">(('Business Case'!E11*$C619*'Business Case'!E12*$B619)-'Business Case'!E11*$C619*'Business Case'!E13*$D619-'Business Case'!E14*$E619)-MAX(0,(('Business Case'!E11*$C619*'Business Case'!E12*$B619)-'Business Case'!E11*$C619*'Business Case'!E13*$D619-'Business Case'!E14*$E619))*'Business Case'!$B$7-'Business Case'!$B$8*(('Business Case'!E11*$C619*'Business Case'!E12*$B619)-('Business Case'!D11*$C619*'Business Case'!D12*$B619))-'Business Case'!E15*$F619</f>
        <v>436535611.783846</v>
      </c>
      <c r="L619" s="39" t="n">
        <f aca="false">(('Business Case'!F11*$C619*'Business Case'!F12*$B619)-'Business Case'!F11*$C619*'Business Case'!F13*$D619-'Business Case'!F14*$E619)-MAX(0,(('Business Case'!F11*$C619*'Business Case'!F12*$B619)-'Business Case'!F11*$C619*'Business Case'!F13*$D619-'Business Case'!F14*$E619))*'Business Case'!$B$7-'Business Case'!$B$8*(('Business Case'!F11*$C619*'Business Case'!F12*$B619)-('Business Case'!E11*$C619*'Business Case'!E12*$B619))-'Business Case'!F15*$F619</f>
        <v>537111091.129021</v>
      </c>
      <c r="M619" s="39" t="n">
        <f aca="false">(('Business Case'!G11*$C619*'Business Case'!G12*$B619)-'Business Case'!G11*$C619*'Business Case'!G13*$D619-'Business Case'!G14*$E619)-MAX(0,(('Business Case'!G11*$C619*'Business Case'!G12*$B619)-'Business Case'!G11*$C619*'Business Case'!G13*$D619-'Business Case'!G14*$E619))*'Business Case'!$B$7-'Business Case'!$B$8*(('Business Case'!G11*$C619*'Business Case'!G12*$B619)-('Business Case'!F11*$C619*'Business Case'!F12*$B619))-'Business Case'!G15*$F619+'Business Case'!$B$8*('Business Case'!G11*$C619*'Business Case'!G12*$B619)</f>
        <v>680427330.392225</v>
      </c>
      <c r="N619" s="39" t="n">
        <f aca="false">IF(COUNT('Business Case'!B11:G11)=0,"",H619+NPV(G619,I619:M619))</f>
        <v>-937094030.574922</v>
      </c>
      <c r="P619" s="40" t="n">
        <f aca="true">RAND()</f>
        <v>0.680805584833886</v>
      </c>
      <c r="Q619" s="40" t="n">
        <f aca="true">RAND()</f>
        <v>0.0209420487536782</v>
      </c>
      <c r="R619" s="40" t="n">
        <f aca="true">RAND()</f>
        <v>0.593400392896683</v>
      </c>
      <c r="S619" s="40" t="n">
        <f aca="true">RAND()</f>
        <v>0.392244589504914</v>
      </c>
      <c r="T619" s="40" t="n">
        <f aca="true">RAND()</f>
        <v>0.516485533427015</v>
      </c>
      <c r="U619" s="40" t="n">
        <f aca="true">RAND()</f>
        <v>0.48688093762508</v>
      </c>
    </row>
    <row r="620" customFormat="false" ht="15" hidden="false" customHeight="false" outlineLevel="0" collapsed="false">
      <c r="A620" s="36" t="n">
        <v>540</v>
      </c>
      <c r="B620" s="37" t="n">
        <f aca="false">1+IF($G$6=$E$6,$F$6,IF(P620&lt;($F$6-$E$6)/($G$6-$E$6),$E$6+SQRT(P620*($G$6-$E$6)*($F$6-$E$6)),$G$6-SQRT((1-P620)*($G$6-$E$6)*($G$6-$F$6))))</f>
        <v>1.03965016946999</v>
      </c>
      <c r="C620" s="37" t="n">
        <f aca="false">1+IF($G$7=$E$7,$F$7,IF(Q620&lt;($F$7-$E$7)/($G$7-$E$7),$E$7+SQRT(Q620*($G$7-$E$7)*($F$7-$E$7)),$G$7-SQRT((1-Q620)*($G$7-$E$7)*($G$7-$F$7))))</f>
        <v>0.848280690537021</v>
      </c>
      <c r="D620" s="37" t="n">
        <f aca="false">1+IF($G$8=$E$8,$F$8,IF(R620&lt;($F$8-$E$8)/($G$8-$E$8),$E$8+SQRT(R620*($G$8-$E$8)*($F$8-$E$8)),$G$8-SQRT((1-R620)*($G$8-$E$8)*($G$8-$F$8))))</f>
        <v>1.0267021488965</v>
      </c>
      <c r="E620" s="37" t="n">
        <f aca="false">1+IF($G$9=$E$9,$F$9,IF(S620&lt;($F$9-$E$9)/($G$9-$E$9),$E$9+SQRT(S620*($G$9-$E$9)*($F$9-$E$9)),$G$9-SQRT((1-S620)*($G$9-$E$9)*($G$9-$F$9))))</f>
        <v>1.06130520688706</v>
      </c>
      <c r="F620" s="37" t="n">
        <f aca="false">1+IF($G$10=$E$10,$F$10,IF(T620&lt;($F$10-$E$10)/($G$10-$E$10),$E$10+SQRT(T620*($G$10-$E$10)*($F$10-$E$10)),$G$10-SQRT((1-T620)*($G$10-$E$10)*($G$10-$F$10))))</f>
        <v>0.976163327988868</v>
      </c>
      <c r="G620" s="38" t="n">
        <f aca="false">IF($G$11=$E$11,$F$11,IF(U620&lt;($F$11-$E$11)/($G$11-$E$11),$E$11+SQRT(U620*($G$11-$E$11)*($F$11-$E$11)),$G$11-SQRT((1-U620)*($G$11-$E$11)*($G$11-$F$11))))</f>
        <v>0.104670407154239</v>
      </c>
      <c r="H620" s="39" t="n">
        <f aca="false">(('Business Case'!B11*$C620*'Business Case'!B12*$B620)-'Business Case'!B11*$C620*'Business Case'!B13*$D620-'Business Case'!B14*$E620)-MAX(0,(('Business Case'!B11*$C620*'Business Case'!B12*$B620)-'Business Case'!B11*$C620*'Business Case'!B13*$D620-'Business Case'!B14*$E620))*'Business Case'!$B$7-'Business Case'!$B$8*('Business Case'!B11*$C620*'Business Case'!B12*$B620)-'Business Case'!B15*$F620</f>
        <v>-1952326655.97774</v>
      </c>
      <c r="I620" s="39" t="n">
        <f aca="false">(('Business Case'!C11*$C620*'Business Case'!C12*$B620)-'Business Case'!C11*$C620*'Business Case'!C13*$D620-'Business Case'!C14*$E620)-MAX(0,(('Business Case'!C11*$C620*'Business Case'!C12*$B620)-'Business Case'!C11*$C620*'Business Case'!C13*$D620-'Business Case'!C14*$E620))*'Business Case'!$B$7-'Business Case'!$B$8*(('Business Case'!C11*$C620*'Business Case'!C12*$B620)-('Business Case'!B11*$C620*'Business Case'!B12*$B620))-'Business Case'!C15*$F620</f>
        <v>-17747707.0479336</v>
      </c>
      <c r="J620" s="39" t="n">
        <f aca="false">(('Business Case'!D11*$C620*'Business Case'!D12*$B620)-'Business Case'!D11*$C620*'Business Case'!D13*$D620-'Business Case'!D14*$E620)-MAX(0,(('Business Case'!D11*$C620*'Business Case'!D12*$B620)-'Business Case'!D11*$C620*'Business Case'!D13*$D620-'Business Case'!D14*$E620))*'Business Case'!$B$7-'Business Case'!$B$8*(('Business Case'!D11*$C620*'Business Case'!D12*$B620)-('Business Case'!C11*$C620*'Business Case'!C12*$B620))-'Business Case'!D15*$F620</f>
        <v>258757001.207268</v>
      </c>
      <c r="K620" s="39" t="n">
        <f aca="false">(('Business Case'!E11*$C620*'Business Case'!E12*$B620)-'Business Case'!E11*$C620*'Business Case'!E13*$D620-'Business Case'!E14*$E620)-MAX(0,(('Business Case'!E11*$C620*'Business Case'!E12*$B620)-'Business Case'!E11*$C620*'Business Case'!E13*$D620-'Business Case'!E14*$E620))*'Business Case'!$B$7-'Business Case'!$B$8*(('Business Case'!E11*$C620*'Business Case'!E12*$B620)-('Business Case'!D11*$C620*'Business Case'!D12*$B620))-'Business Case'!E15*$F620</f>
        <v>584069875.861912</v>
      </c>
      <c r="L620" s="39" t="n">
        <f aca="false">(('Business Case'!F11*$C620*'Business Case'!F12*$B620)-'Business Case'!F11*$C620*'Business Case'!F13*$D620-'Business Case'!F14*$E620)-MAX(0,(('Business Case'!F11*$C620*'Business Case'!F12*$B620)-'Business Case'!F11*$C620*'Business Case'!F13*$D620-'Business Case'!F14*$E620))*'Business Case'!$B$7-'Business Case'!$B$8*(('Business Case'!F11*$C620*'Business Case'!F12*$B620)-('Business Case'!E11*$C620*'Business Case'!E12*$B620))-'Business Case'!F15*$F620</f>
        <v>706717100.003585</v>
      </c>
      <c r="M620" s="39" t="n">
        <f aca="false">(('Business Case'!G11*$C620*'Business Case'!G12*$B620)-'Business Case'!G11*$C620*'Business Case'!G13*$D620-'Business Case'!G14*$E620)-MAX(0,(('Business Case'!G11*$C620*'Business Case'!G12*$B620)-'Business Case'!G11*$C620*'Business Case'!G13*$D620-'Business Case'!G14*$E620))*'Business Case'!$B$7-'Business Case'!$B$8*(('Business Case'!G11*$C620*'Business Case'!G12*$B620)-('Business Case'!F11*$C620*'Business Case'!F12*$B620))-'Business Case'!G15*$F620+'Business Case'!$B$8*('Business Case'!G11*$C620*'Business Case'!G12*$B620)</f>
        <v>874351534.314917</v>
      </c>
      <c r="N620" s="39" t="n">
        <f aca="false">IF(COUNT('Business Case'!B11:G11)=0,"",H620+NPV(G620,I620:M620))</f>
        <v>-316961092.480546</v>
      </c>
      <c r="P620" s="40" t="n">
        <f aca="true">RAND()</f>
        <v>0.985717467733348</v>
      </c>
      <c r="Q620" s="40" t="n">
        <f aca="true">RAND()</f>
        <v>0.162867875452857</v>
      </c>
      <c r="R620" s="40" t="n">
        <f aca="true">RAND()</f>
        <v>0.641828334907241</v>
      </c>
      <c r="S620" s="40" t="n">
        <f aca="true">RAND()</f>
        <v>0.790219564657387</v>
      </c>
      <c r="T620" s="40" t="n">
        <f aca="true">RAND()</f>
        <v>0.0456346487635397</v>
      </c>
      <c r="U620" s="40" t="n">
        <f aca="true">RAND()</f>
        <v>0.572274484178637</v>
      </c>
    </row>
    <row r="621" customFormat="false" ht="15" hidden="false" customHeight="false" outlineLevel="0" collapsed="false">
      <c r="A621" s="36" t="n">
        <v>541</v>
      </c>
      <c r="B621" s="37" t="n">
        <f aca="false">1+IF($G$6=$E$6,$F$6,IF(P621&lt;($F$6-$E$6)/($G$6-$E$6),$E$6+SQRT(P621*($G$6-$E$6)*($F$6-$E$6)),$G$6-SQRT((1-P621)*($G$6-$E$6)*($G$6-$F$6))))</f>
        <v>0.917962457064609</v>
      </c>
      <c r="C621" s="37" t="n">
        <f aca="false">1+IF($G$7=$E$7,$F$7,IF(Q621&lt;($F$7-$E$7)/($G$7-$E$7),$E$7+SQRT(Q621*($G$7-$E$7)*($F$7-$E$7)),$G$7-SQRT((1-Q621)*($G$7-$E$7)*($G$7-$F$7))))</f>
        <v>0.894241289975142</v>
      </c>
      <c r="D621" s="37" t="n">
        <f aca="false">1+IF($G$8=$E$8,$F$8,IF(R621&lt;($F$8-$E$8)/($G$8-$E$8),$E$8+SQRT(R621*($G$8-$E$8)*($F$8-$E$8)),$G$8-SQRT((1-R621)*($G$8-$E$8)*($G$8-$F$8))))</f>
        <v>0.997035762850509</v>
      </c>
      <c r="E621" s="37" t="n">
        <f aca="false">1+IF($G$9=$E$9,$F$9,IF(S621&lt;($F$9-$E$9)/($G$9-$E$9),$E$9+SQRT(S621*($G$9-$E$9)*($F$9-$E$9)),$G$9-SQRT((1-S621)*($G$9-$E$9)*($G$9-$F$9))))</f>
        <v>1.10626181449487</v>
      </c>
      <c r="F621" s="37" t="n">
        <f aca="false">1+IF($G$10=$E$10,$F$10,IF(T621&lt;($F$10-$E$10)/($G$10-$E$10),$E$10+SQRT(T621*($G$10-$E$10)*($F$10-$E$10)),$G$10-SQRT((1-T621)*($G$10-$E$10)*($G$10-$F$10))))</f>
        <v>1.16705979355017</v>
      </c>
      <c r="G621" s="38" t="n">
        <f aca="false">IF($G$11=$E$11,$F$11,IF(U621&lt;($F$11-$E$11)/($G$11-$E$11),$E$11+SQRT(U621*($G$11-$E$11)*($F$11-$E$11)),$G$11-SQRT((1-U621)*($G$11-$E$11)*($G$11-$F$11))))</f>
        <v>0.106343563612275</v>
      </c>
      <c r="H621" s="39" t="n">
        <f aca="false">(('Business Case'!B11*$C621*'Business Case'!B12*$B621)-'Business Case'!B11*$C621*'Business Case'!B13*$D621-'Business Case'!B14*$E621)-MAX(0,(('Business Case'!B11*$C621*'Business Case'!B12*$B621)-'Business Case'!B11*$C621*'Business Case'!B13*$D621-'Business Case'!B14*$E621))*'Business Case'!$B$7-'Business Case'!$B$8*('Business Case'!B11*$C621*'Business Case'!B12*$B621)-'Business Case'!B15*$F621</f>
        <v>-2334119587.10035</v>
      </c>
      <c r="I621" s="39" t="n">
        <f aca="false">(('Business Case'!C11*$C621*'Business Case'!C12*$B621)-'Business Case'!C11*$C621*'Business Case'!C13*$D621-'Business Case'!C14*$E621)-MAX(0,(('Business Case'!C11*$C621*'Business Case'!C12*$B621)-'Business Case'!C11*$C621*'Business Case'!C13*$D621-'Business Case'!C14*$E621))*'Business Case'!$B$7-'Business Case'!$B$8*(('Business Case'!C11*$C621*'Business Case'!C12*$B621)-('Business Case'!B11*$C621*'Business Case'!B12*$B621))-'Business Case'!C15*$F621</f>
        <v>-100634090.254875</v>
      </c>
      <c r="J621" s="39" t="n">
        <f aca="false">(('Business Case'!D11*$C621*'Business Case'!D12*$B621)-'Business Case'!D11*$C621*'Business Case'!D13*$D621-'Business Case'!D14*$E621)-MAX(0,(('Business Case'!D11*$C621*'Business Case'!D12*$B621)-'Business Case'!D11*$C621*'Business Case'!D13*$D621-'Business Case'!D14*$E621))*'Business Case'!$B$7-'Business Case'!$B$8*(('Business Case'!D11*$C621*'Business Case'!D12*$B621)-('Business Case'!C11*$C621*'Business Case'!C12*$B621))-'Business Case'!D15*$F621</f>
        <v>115302644.528576</v>
      </c>
      <c r="K621" s="39" t="n">
        <f aca="false">(('Business Case'!E11*$C621*'Business Case'!E12*$B621)-'Business Case'!E11*$C621*'Business Case'!E13*$D621-'Business Case'!E14*$E621)-MAX(0,(('Business Case'!E11*$C621*'Business Case'!E12*$B621)-'Business Case'!E11*$C621*'Business Case'!E13*$D621-'Business Case'!E14*$E621))*'Business Case'!$B$7-'Business Case'!$B$8*(('Business Case'!E11*$C621*'Business Case'!E12*$B621)-('Business Case'!D11*$C621*'Business Case'!D12*$B621))-'Business Case'!E15*$F621</f>
        <v>389592368.989536</v>
      </c>
      <c r="L621" s="39" t="n">
        <f aca="false">(('Business Case'!F11*$C621*'Business Case'!F12*$B621)-'Business Case'!F11*$C621*'Business Case'!F13*$D621-'Business Case'!F14*$E621)-MAX(0,(('Business Case'!F11*$C621*'Business Case'!F12*$B621)-'Business Case'!F11*$C621*'Business Case'!F13*$D621-'Business Case'!F14*$E621))*'Business Case'!$B$7-'Business Case'!$B$8*(('Business Case'!F11*$C621*'Business Case'!F12*$B621)-('Business Case'!E11*$C621*'Business Case'!E12*$B621))-'Business Case'!F15*$F621</f>
        <v>489940891.025445</v>
      </c>
      <c r="M621" s="39" t="n">
        <f aca="false">(('Business Case'!G11*$C621*'Business Case'!G12*$B621)-'Business Case'!G11*$C621*'Business Case'!G13*$D621-'Business Case'!G14*$E621)-MAX(0,(('Business Case'!G11*$C621*'Business Case'!G12*$B621)-'Business Case'!G11*$C621*'Business Case'!G13*$D621-'Business Case'!G14*$E621))*'Business Case'!$B$7-'Business Case'!$B$8*(('Business Case'!G11*$C621*'Business Case'!G12*$B621)-('Business Case'!F11*$C621*'Business Case'!F12*$B621))-'Business Case'!G15*$F621+'Business Case'!$B$8*('Business Case'!G11*$C621*'Business Case'!G12*$B621)</f>
        <v>645973748.453285</v>
      </c>
      <c r="N621" s="39" t="n">
        <f aca="false">IF(COUNT('Business Case'!B11:G11)=0,"",H621+NPV(G621,I621:M621))</f>
        <v>-1326420515.26713</v>
      </c>
      <c r="P621" s="40" t="n">
        <f aca="true">RAND()</f>
        <v>0.0215099909198609</v>
      </c>
      <c r="Q621" s="40" t="n">
        <f aca="true">RAND()</f>
        <v>0.279479101712645</v>
      </c>
      <c r="R621" s="40" t="n">
        <f aca="true">RAND()</f>
        <v>0.29498173159058</v>
      </c>
      <c r="S621" s="40" t="n">
        <f aca="true">RAND()</f>
        <v>0.948985896765843</v>
      </c>
      <c r="T621" s="40" t="n">
        <f aca="true">RAND()</f>
        <v>0.908278962054138</v>
      </c>
      <c r="U621" s="40" t="n">
        <f aca="true">RAND()</f>
        <v>0.626915344955666</v>
      </c>
    </row>
    <row r="622" customFormat="false" ht="15" hidden="false" customHeight="false" outlineLevel="0" collapsed="false">
      <c r="A622" s="36" t="n">
        <v>542</v>
      </c>
      <c r="B622" s="37" t="n">
        <f aca="false">1+IF($G$6=$E$6,$F$6,IF(P622&lt;($F$6-$E$6)/($G$6-$E$6),$E$6+SQRT(P622*($G$6-$E$6)*($F$6-$E$6)),$G$6-SQRT((1-P622)*($G$6-$E$6)*($G$6-$F$6))))</f>
        <v>0.998816836604316</v>
      </c>
      <c r="C622" s="37" t="n">
        <f aca="false">1+IF($G$7=$E$7,$F$7,IF(Q622&lt;($F$7-$E$7)/($G$7-$E$7),$E$7+SQRT(Q622*($G$7-$E$7)*($F$7-$E$7)),$G$7-SQRT((1-Q622)*($G$7-$E$7)*($G$7-$F$7))))</f>
        <v>0.859233796663897</v>
      </c>
      <c r="D622" s="37" t="n">
        <f aca="false">1+IF($G$8=$E$8,$F$8,IF(R622&lt;($F$8-$E$8)/($G$8-$E$8),$E$8+SQRT(R622*($G$8-$E$8)*($F$8-$E$8)),$G$8-SQRT((1-R622)*($G$8-$E$8)*($G$8-$F$8))))</f>
        <v>0.964918299299668</v>
      </c>
      <c r="E622" s="37" t="n">
        <f aca="false">1+IF($G$9=$E$9,$F$9,IF(S622&lt;($F$9-$E$9)/($G$9-$E$9),$E$9+SQRT(S622*($G$9-$E$9)*($F$9-$E$9)),$G$9-SQRT((1-S622)*($G$9-$E$9)*($G$9-$F$9))))</f>
        <v>1.0679498894411</v>
      </c>
      <c r="F622" s="37" t="n">
        <f aca="false">1+IF($G$10=$E$10,$F$10,IF(T622&lt;($F$10-$E$10)/($G$10-$E$10),$E$10+SQRT(T622*($G$10-$E$10)*($F$10-$E$10)),$G$10-SQRT((1-T622)*($G$10-$E$10)*($G$10-$F$10))))</f>
        <v>1.00051374291164</v>
      </c>
      <c r="G622" s="38" t="n">
        <f aca="false">IF($G$11=$E$11,$F$11,IF(U622&lt;($F$11-$E$11)/($G$11-$E$11),$E$11+SQRT(U622*($G$11-$E$11)*($F$11-$E$11)),$G$11-SQRT((1-U622)*($G$11-$E$11)*($G$11-$F$11))))</f>
        <v>0.0922789586730318</v>
      </c>
      <c r="H622" s="39" t="n">
        <f aca="false">(('Business Case'!B11*$C622*'Business Case'!B12*$B622)-'Business Case'!B11*$C622*'Business Case'!B13*$D622-'Business Case'!B14*$E622)-MAX(0,(('Business Case'!B11*$C622*'Business Case'!B12*$B622)-'Business Case'!B11*$C622*'Business Case'!B13*$D622-'Business Case'!B14*$E622))*'Business Case'!$B$7-'Business Case'!$B$8*('Business Case'!B11*$C622*'Business Case'!B12*$B622)-'Business Case'!B15*$F622</f>
        <v>-2001027485.82328</v>
      </c>
      <c r="I622" s="39" t="n">
        <f aca="false">(('Business Case'!C11*$C622*'Business Case'!C12*$B622)-'Business Case'!C11*$C622*'Business Case'!C13*$D622-'Business Case'!C14*$E622)-MAX(0,(('Business Case'!C11*$C622*'Business Case'!C12*$B622)-'Business Case'!C11*$C622*'Business Case'!C13*$D622-'Business Case'!C14*$E622))*'Business Case'!$B$7-'Business Case'!$B$8*(('Business Case'!C11*$C622*'Business Case'!C12*$B622)-('Business Case'!B11*$C622*'Business Case'!B12*$B622))-'Business Case'!C15*$F622</f>
        <v>-17890127.6832007</v>
      </c>
      <c r="J622" s="39" t="n">
        <f aca="false">(('Business Case'!D11*$C622*'Business Case'!D12*$B622)-'Business Case'!D11*$C622*'Business Case'!D13*$D622-'Business Case'!D14*$E622)-MAX(0,(('Business Case'!D11*$C622*'Business Case'!D12*$B622)-'Business Case'!D11*$C622*'Business Case'!D13*$D622-'Business Case'!D14*$E622))*'Business Case'!$B$7-'Business Case'!$B$8*(('Business Case'!D11*$C622*'Business Case'!D12*$B622)-('Business Case'!C11*$C622*'Business Case'!C12*$B622))-'Business Case'!D15*$F622</f>
        <v>260623571.9538</v>
      </c>
      <c r="K622" s="39" t="n">
        <f aca="false">(('Business Case'!E11*$C622*'Business Case'!E12*$B622)-'Business Case'!E11*$C622*'Business Case'!E13*$D622-'Business Case'!E14*$E622)-MAX(0,(('Business Case'!E11*$C622*'Business Case'!E12*$B622)-'Business Case'!E11*$C622*'Business Case'!E13*$D622-'Business Case'!E14*$E622))*'Business Case'!$B$7-'Business Case'!$B$8*(('Business Case'!E11*$C622*'Business Case'!E12*$B622)-('Business Case'!D11*$C622*'Business Case'!D12*$B622))-'Business Case'!E15*$F622</f>
        <v>589162958.736383</v>
      </c>
      <c r="L622" s="39" t="n">
        <f aca="false">(('Business Case'!F11*$C622*'Business Case'!F12*$B622)-'Business Case'!F11*$C622*'Business Case'!F13*$D622-'Business Case'!F14*$E622)-MAX(0,(('Business Case'!F11*$C622*'Business Case'!F12*$B622)-'Business Case'!F11*$C622*'Business Case'!F13*$D622-'Business Case'!F14*$E622))*'Business Case'!$B$7-'Business Case'!$B$8*(('Business Case'!F11*$C622*'Business Case'!F12*$B622)-('Business Case'!E11*$C622*'Business Case'!E12*$B622))-'Business Case'!F15*$F622</f>
        <v>711660844.449057</v>
      </c>
      <c r="M622" s="39" t="n">
        <f aca="false">(('Business Case'!G11*$C622*'Business Case'!G12*$B622)-'Business Case'!G11*$C622*'Business Case'!G13*$D622-'Business Case'!G14*$E622)-MAX(0,(('Business Case'!G11*$C622*'Business Case'!G12*$B622)-'Business Case'!G11*$C622*'Business Case'!G13*$D622-'Business Case'!G14*$E622))*'Business Case'!$B$7-'Business Case'!$B$8*(('Business Case'!G11*$C622*'Business Case'!G12*$B622)-('Business Case'!F11*$C622*'Business Case'!F12*$B622))-'Business Case'!G15*$F622+'Business Case'!$B$8*('Business Case'!G11*$C622*'Business Case'!G12*$B622)</f>
        <v>874790766.534269</v>
      </c>
      <c r="N622" s="39" t="n">
        <f aca="false">IF(COUNT('Business Case'!B11:G11)=0,"",H622+NPV(G622,I622:M622))</f>
        <v>-284247207.136406</v>
      </c>
      <c r="P622" s="40" t="n">
        <f aca="true">RAND()</f>
        <v>0.65098447976561</v>
      </c>
      <c r="Q622" s="40" t="n">
        <f aca="true">RAND()</f>
        <v>0.187817792592588</v>
      </c>
      <c r="R622" s="40" t="n">
        <f aca="true">RAND()</f>
        <v>0.0296740871992635</v>
      </c>
      <c r="S622" s="40" t="n">
        <f aca="true">RAND()</f>
        <v>0.820474116193945</v>
      </c>
      <c r="T622" s="40" t="n">
        <f aca="true">RAND()</f>
        <v>0.170088100320547</v>
      </c>
      <c r="U622" s="40" t="n">
        <f aca="true">RAND()</f>
        <v>0.150772826094023</v>
      </c>
    </row>
    <row r="623" customFormat="false" ht="15" hidden="false" customHeight="false" outlineLevel="0" collapsed="false">
      <c r="A623" s="36" t="n">
        <v>543</v>
      </c>
      <c r="B623" s="37" t="n">
        <f aca="false">1+IF($G$6=$E$6,$F$6,IF(P623&lt;($F$6-$E$6)/($G$6-$E$6),$E$6+SQRT(P623*($G$6-$E$6)*($F$6-$E$6)),$G$6-SQRT((1-P623)*($G$6-$E$6)*($G$6-$F$6))))</f>
        <v>0.975607819253644</v>
      </c>
      <c r="C623" s="37" t="n">
        <f aca="false">1+IF($G$7=$E$7,$F$7,IF(Q623&lt;($F$7-$E$7)/($G$7-$E$7),$E$7+SQRT(Q623*($G$7-$E$7)*($F$7-$E$7)),$G$7-SQRT((1-Q623)*($G$7-$E$7)*($G$7-$F$7))))</f>
        <v>0.878512736097463</v>
      </c>
      <c r="D623" s="37" t="n">
        <f aca="false">1+IF($G$8=$E$8,$F$8,IF(R623&lt;($F$8-$E$8)/($G$8-$E$8),$E$8+SQRT(R623*($G$8-$E$8)*($F$8-$E$8)),$G$8-SQRT((1-R623)*($G$8-$E$8)*($G$8-$F$8))))</f>
        <v>1.00953253570452</v>
      </c>
      <c r="E623" s="37" t="n">
        <f aca="false">1+IF($G$9=$E$9,$F$9,IF(S623&lt;($F$9-$E$9)/($G$9-$E$9),$E$9+SQRT(S623*($G$9-$E$9)*($F$9-$E$9)),$G$9-SQRT((1-S623)*($G$9-$E$9)*($G$9-$F$9))))</f>
        <v>0.969271150800146</v>
      </c>
      <c r="F623" s="37" t="n">
        <f aca="false">1+IF($G$10=$E$10,$F$10,IF(T623&lt;($F$10-$E$10)/($G$10-$E$10),$E$10+SQRT(T623*($G$10-$E$10)*($F$10-$E$10)),$G$10-SQRT((1-T623)*($G$10-$E$10)*($G$10-$F$10))))</f>
        <v>1.15011956250029</v>
      </c>
      <c r="G623" s="38" t="n">
        <f aca="false">IF($G$11=$E$11,$F$11,IF(U623&lt;($F$11-$E$11)/($G$11-$E$11),$E$11+SQRT(U623*($G$11-$E$11)*($F$11-$E$11)),$G$11-SQRT((1-U623)*($G$11-$E$11)*($G$11-$F$11))))</f>
        <v>0.121029334353778</v>
      </c>
      <c r="H623" s="39" t="n">
        <f aca="false">(('Business Case'!B11*$C623*'Business Case'!B12*$B623)-'Business Case'!B11*$C623*'Business Case'!B13*$D623-'Business Case'!B14*$E623)-MAX(0,(('Business Case'!B11*$C623*'Business Case'!B12*$B623)-'Business Case'!B11*$C623*'Business Case'!B13*$D623-'Business Case'!B14*$E623))*'Business Case'!$B$7-'Business Case'!$B$8*('Business Case'!B11*$C623*'Business Case'!B12*$B623)-'Business Case'!B15*$F623</f>
        <v>-2300239125.00059</v>
      </c>
      <c r="I623" s="39" t="n">
        <f aca="false">(('Business Case'!C11*$C623*'Business Case'!C12*$B623)-'Business Case'!C11*$C623*'Business Case'!C13*$D623-'Business Case'!C14*$E623)-MAX(0,(('Business Case'!C11*$C623*'Business Case'!C12*$B623)-'Business Case'!C11*$C623*'Business Case'!C13*$D623-'Business Case'!C14*$E623))*'Business Case'!$B$7-'Business Case'!$B$8*(('Business Case'!C11*$C623*'Business Case'!C12*$B623)-('Business Case'!B11*$C623*'Business Case'!B12*$B623))-'Business Case'!C15*$F623</f>
        <v>-49275413.6000807</v>
      </c>
      <c r="J623" s="39" t="n">
        <f aca="false">(('Business Case'!D11*$C623*'Business Case'!D12*$B623)-'Business Case'!D11*$C623*'Business Case'!D13*$D623-'Business Case'!D14*$E623)-MAX(0,(('Business Case'!D11*$C623*'Business Case'!D12*$B623)-'Business Case'!D11*$C623*'Business Case'!D13*$D623-'Business Case'!D14*$E623))*'Business Case'!$B$7-'Business Case'!$B$8*(('Business Case'!D11*$C623*'Business Case'!D12*$B623)-('Business Case'!C11*$C623*'Business Case'!C12*$B623))-'Business Case'!D15*$F623</f>
        <v>198722715.792336</v>
      </c>
      <c r="K623" s="39" t="n">
        <f aca="false">(('Business Case'!E11*$C623*'Business Case'!E12*$B623)-'Business Case'!E11*$C623*'Business Case'!E13*$D623-'Business Case'!E14*$E623)-MAX(0,(('Business Case'!E11*$C623*'Business Case'!E12*$B623)-'Business Case'!E11*$C623*'Business Case'!E13*$D623-'Business Case'!E14*$E623))*'Business Case'!$B$7-'Business Case'!$B$8*(('Business Case'!E11*$C623*'Business Case'!E12*$B623)-('Business Case'!D11*$C623*'Business Case'!D12*$B623))-'Business Case'!E15*$F623</f>
        <v>504226823.309767</v>
      </c>
      <c r="L623" s="39" t="n">
        <f aca="false">(('Business Case'!F11*$C623*'Business Case'!F12*$B623)-'Business Case'!F11*$C623*'Business Case'!F13*$D623-'Business Case'!F14*$E623)-MAX(0,(('Business Case'!F11*$C623*'Business Case'!F12*$B623)-'Business Case'!F11*$C623*'Business Case'!F13*$D623-'Business Case'!F14*$E623))*'Business Case'!$B$7-'Business Case'!$B$8*(('Business Case'!F11*$C623*'Business Case'!F12*$B623)-('Business Case'!E11*$C623*'Business Case'!E12*$B623))-'Business Case'!F15*$F623</f>
        <v>616513685.839697</v>
      </c>
      <c r="M623" s="39" t="n">
        <f aca="false">(('Business Case'!G11*$C623*'Business Case'!G12*$B623)-'Business Case'!G11*$C623*'Business Case'!G13*$D623-'Business Case'!G14*$E623)-MAX(0,(('Business Case'!G11*$C623*'Business Case'!G12*$B623)-'Business Case'!G11*$C623*'Business Case'!G13*$D623-'Business Case'!G14*$E623))*'Business Case'!$B$7-'Business Case'!$B$8*(('Business Case'!G11*$C623*'Business Case'!G12*$B623)-('Business Case'!F11*$C623*'Business Case'!F12*$B623))-'Business Case'!G15*$F623+'Business Case'!$B$8*('Business Case'!G11*$C623*'Business Case'!G12*$B623)</f>
        <v>779428192.534883</v>
      </c>
      <c r="N623" s="39" t="n">
        <f aca="false">IF(COUNT('Business Case'!B11:G11)=0,"",H623+NPV(G623,I623:M623))</f>
        <v>-997543626.594694</v>
      </c>
      <c r="P623" s="40" t="n">
        <f aca="true">RAND()</f>
        <v>0.381102822152776</v>
      </c>
      <c r="Q623" s="40" t="n">
        <f aca="true">RAND()</f>
        <v>0.236050347770388</v>
      </c>
      <c r="R623" s="40" t="n">
        <f aca="true">RAND()</f>
        <v>0.45437586026305</v>
      </c>
      <c r="S623" s="40" t="n">
        <f aca="true">RAND()</f>
        <v>0.191939693327064</v>
      </c>
      <c r="T623" s="40" t="n">
        <f aca="true">RAND()</f>
        <v>0.866985309398232</v>
      </c>
      <c r="U623" s="40" t="n">
        <f aca="true">RAND()</f>
        <v>0.946351438575798</v>
      </c>
    </row>
    <row r="624" customFormat="false" ht="15" hidden="false" customHeight="false" outlineLevel="0" collapsed="false">
      <c r="A624" s="36" t="n">
        <v>544</v>
      </c>
      <c r="B624" s="37" t="n">
        <f aca="false">1+IF($G$6=$E$6,$F$6,IF(P624&lt;($F$6-$E$6)/($G$6-$E$6),$E$6+SQRT(P624*($G$6-$E$6)*($F$6-$E$6)),$G$6-SQRT((1-P624)*($G$6-$E$6)*($G$6-$F$6))))</f>
        <v>0.978516744341303</v>
      </c>
      <c r="C624" s="37" t="n">
        <f aca="false">1+IF($G$7=$E$7,$F$7,IF(Q624&lt;($F$7-$E$7)/($G$7-$E$7),$E$7+SQRT(Q624*($G$7-$E$7)*($F$7-$E$7)),$G$7-SQRT((1-Q624)*($G$7-$E$7)*($G$7-$F$7))))</f>
        <v>0.871233909375131</v>
      </c>
      <c r="D624" s="37" t="n">
        <f aca="false">1+IF($G$8=$E$8,$F$8,IF(R624&lt;($F$8-$E$8)/($G$8-$E$8),$E$8+SQRT(R624*($G$8-$E$8)*($F$8-$E$8)),$G$8-SQRT((1-R624)*($G$8-$E$8)*($G$8-$F$8))))</f>
        <v>0.999273799077154</v>
      </c>
      <c r="E624" s="37" t="n">
        <f aca="false">1+IF($G$9=$E$9,$F$9,IF(S624&lt;($F$9-$E$9)/($G$9-$E$9),$E$9+SQRT(S624*($G$9-$E$9)*($F$9-$E$9)),$G$9-SQRT((1-S624)*($G$9-$E$9)*($G$9-$F$9))))</f>
        <v>1.0545740842064</v>
      </c>
      <c r="F624" s="37" t="n">
        <f aca="false">1+IF($G$10=$E$10,$F$10,IF(T624&lt;($F$10-$E$10)/($G$10-$E$10),$E$10+SQRT(T624*($G$10-$E$10)*($F$10-$E$10)),$G$10-SQRT((1-T624)*($G$10-$E$10)*($G$10-$F$10))))</f>
        <v>1.22653778072982</v>
      </c>
      <c r="G624" s="38" t="n">
        <f aca="false">IF($G$11=$E$11,$F$11,IF(U624&lt;($F$11-$E$11)/($G$11-$E$11),$E$11+SQRT(U624*($G$11-$E$11)*($F$11-$E$11)),$G$11-SQRT((1-U624)*($G$11-$E$11)*($G$11-$F$11))))</f>
        <v>0.124572047087257</v>
      </c>
      <c r="H624" s="39" t="n">
        <f aca="false">(('Business Case'!B11*$C624*'Business Case'!B12*$B624)-'Business Case'!B11*$C624*'Business Case'!B13*$D624-'Business Case'!B14*$E624)-MAX(0,(('Business Case'!B11*$C624*'Business Case'!B12*$B624)-'Business Case'!B11*$C624*'Business Case'!B13*$D624-'Business Case'!B14*$E624))*'Business Case'!$B$7-'Business Case'!$B$8*('Business Case'!B11*$C624*'Business Case'!B12*$B624)-'Business Case'!B15*$F624</f>
        <v>-2453075561.45965</v>
      </c>
      <c r="I624" s="39" t="n">
        <f aca="false">(('Business Case'!C11*$C624*'Business Case'!C12*$B624)-'Business Case'!C11*$C624*'Business Case'!C13*$D624-'Business Case'!C14*$E624)-MAX(0,(('Business Case'!C11*$C624*'Business Case'!C12*$B624)-'Business Case'!C11*$C624*'Business Case'!C13*$D624-'Business Case'!C14*$E624))*'Business Case'!$B$7-'Business Case'!$B$8*(('Business Case'!C11*$C624*'Business Case'!C12*$B624)-('Business Case'!B11*$C624*'Business Case'!B12*$B624))-'Business Case'!C15*$F624</f>
        <v>-64214089.8014135</v>
      </c>
      <c r="J624" s="39" t="n">
        <f aca="false">(('Business Case'!D11*$C624*'Business Case'!D12*$B624)-'Business Case'!D11*$C624*'Business Case'!D13*$D624-'Business Case'!D14*$E624)-MAX(0,(('Business Case'!D11*$C624*'Business Case'!D12*$B624)-'Business Case'!D11*$C624*'Business Case'!D13*$D624-'Business Case'!D14*$E624))*'Business Case'!$B$7-'Business Case'!$B$8*(('Business Case'!D11*$C624*'Business Case'!D12*$B624)-('Business Case'!C11*$C624*'Business Case'!C12*$B624))-'Business Case'!D15*$F624</f>
        <v>188380512.894533</v>
      </c>
      <c r="K624" s="39" t="n">
        <f aca="false">(('Business Case'!E11*$C624*'Business Case'!E12*$B624)-'Business Case'!E11*$C624*'Business Case'!E13*$D624-'Business Case'!E14*$E624)-MAX(0,(('Business Case'!E11*$C624*'Business Case'!E12*$B624)-'Business Case'!E11*$C624*'Business Case'!E13*$D624-'Business Case'!E14*$E624))*'Business Case'!$B$7-'Business Case'!$B$8*(('Business Case'!E11*$C624*'Business Case'!E12*$B624)-('Business Case'!D11*$C624*'Business Case'!D12*$B624))-'Business Case'!E15*$F624</f>
        <v>502302004.626971</v>
      </c>
      <c r="L624" s="39" t="n">
        <f aca="false">(('Business Case'!F11*$C624*'Business Case'!F12*$B624)-'Business Case'!F11*$C624*'Business Case'!F13*$D624-'Business Case'!F14*$E624)-MAX(0,(('Business Case'!F11*$C624*'Business Case'!F12*$B624)-'Business Case'!F11*$C624*'Business Case'!F13*$D624-'Business Case'!F14*$E624))*'Business Case'!$B$7-'Business Case'!$B$8*(('Business Case'!F11*$C624*'Business Case'!F12*$B624)-('Business Case'!E11*$C624*'Business Case'!E12*$B624))-'Business Case'!F15*$F624</f>
        <v>615963191.959106</v>
      </c>
      <c r="M624" s="39" t="n">
        <f aca="false">(('Business Case'!G11*$C624*'Business Case'!G12*$B624)-'Business Case'!G11*$C624*'Business Case'!G13*$D624-'Business Case'!G14*$E624)-MAX(0,(('Business Case'!G11*$C624*'Business Case'!G12*$B624)-'Business Case'!G11*$C624*'Business Case'!G13*$D624-'Business Case'!G14*$E624))*'Business Case'!$B$7-'Business Case'!$B$8*(('Business Case'!G11*$C624*'Business Case'!G12*$B624)-('Business Case'!F11*$C624*'Business Case'!F12*$B624))-'Business Case'!G15*$F624+'Business Case'!$B$8*('Business Case'!G11*$C624*'Business Case'!G12*$B624)</f>
        <v>778009617.343275</v>
      </c>
      <c r="N624" s="39" t="n">
        <f aca="false">IF(COUNT('Business Case'!B11:G11)=0,"",H624+NPV(G624,I624:M624))</f>
        <v>-1190343000.33868</v>
      </c>
      <c r="P624" s="40" t="n">
        <f aca="true">RAND()</f>
        <v>0.41099194279717</v>
      </c>
      <c r="Q624" s="40" t="n">
        <f aca="true">RAND()</f>
        <v>0.217192975702893</v>
      </c>
      <c r="R624" s="40" t="n">
        <f aca="true">RAND()</f>
        <v>0.323720970066103</v>
      </c>
      <c r="S624" s="40" t="n">
        <f aca="true">RAND()</f>
        <v>0.757170522532069</v>
      </c>
      <c r="T624" s="40" t="n">
        <f aca="true">RAND()</f>
        <v>0.992660323558909</v>
      </c>
      <c r="U624" s="40" t="n">
        <f aca="true">RAND()</f>
        <v>0.980358218118033</v>
      </c>
    </row>
    <row r="625" customFormat="false" ht="15" hidden="false" customHeight="false" outlineLevel="0" collapsed="false">
      <c r="A625" s="36" t="n">
        <v>545</v>
      </c>
      <c r="B625" s="37" t="n">
        <f aca="false">1+IF($G$6=$E$6,$F$6,IF(P625&lt;($F$6-$E$6)/($G$6-$E$6),$E$6+SQRT(P625*($G$6-$E$6)*($F$6-$E$6)),$G$6-SQRT((1-P625)*($G$6-$E$6)*($G$6-$F$6))))</f>
        <v>0.988768412834006</v>
      </c>
      <c r="C625" s="37" t="n">
        <f aca="false">1+IF($G$7=$E$7,$F$7,IF(Q625&lt;($F$7-$E$7)/($G$7-$E$7),$E$7+SQRT(Q625*($G$7-$E$7)*($F$7-$E$7)),$G$7-SQRT((1-Q625)*($G$7-$E$7)*($G$7-$F$7))))</f>
        <v>0.944317733769426</v>
      </c>
      <c r="D625" s="37" t="n">
        <f aca="false">1+IF($G$8=$E$8,$F$8,IF(R625&lt;($F$8-$E$8)/($G$8-$E$8),$E$8+SQRT(R625*($G$8-$E$8)*($F$8-$E$8)),$G$8-SQRT((1-R625)*($G$8-$E$8)*($G$8-$F$8))))</f>
        <v>1.02640262600178</v>
      </c>
      <c r="E625" s="37" t="n">
        <f aca="false">1+IF($G$9=$E$9,$F$9,IF(S625&lt;($F$9-$E$9)/($G$9-$E$9),$E$9+SQRT(S625*($G$9-$E$9)*($F$9-$E$9)),$G$9-SQRT((1-S625)*($G$9-$E$9)*($G$9-$F$9))))</f>
        <v>1.11362320726877</v>
      </c>
      <c r="F625" s="37" t="n">
        <f aca="false">1+IF($G$10=$E$10,$F$10,IF(T625&lt;($F$10-$E$10)/($G$10-$E$10),$E$10+SQRT(T625*($G$10-$E$10)*($F$10-$E$10)),$G$10-SQRT((1-T625)*($G$10-$E$10)*($G$10-$F$10))))</f>
        <v>1.04970076438581</v>
      </c>
      <c r="G625" s="38" t="n">
        <f aca="false">IF($G$11=$E$11,$F$11,IF(U625&lt;($F$11-$E$11)/($G$11-$E$11),$E$11+SQRT(U625*($G$11-$E$11)*($F$11-$E$11)),$G$11-SQRT((1-U625)*($G$11-$E$11)*($G$11-$F$11))))</f>
        <v>0.0936781071028498</v>
      </c>
      <c r="H625" s="39" t="n">
        <f aca="false">(('Business Case'!B11*$C625*'Business Case'!B12*$B625)-'Business Case'!B11*$C625*'Business Case'!B13*$D625-'Business Case'!B14*$E625)-MAX(0,(('Business Case'!B11*$C625*'Business Case'!B12*$B625)-'Business Case'!B11*$C625*'Business Case'!B13*$D625-'Business Case'!B14*$E625))*'Business Case'!$B$7-'Business Case'!$B$8*('Business Case'!B11*$C625*'Business Case'!B12*$B625)-'Business Case'!B15*$F625</f>
        <v>-2099401528.77163</v>
      </c>
      <c r="I625" s="39" t="n">
        <f aca="false">(('Business Case'!C11*$C625*'Business Case'!C12*$B625)-'Business Case'!C11*$C625*'Business Case'!C13*$D625-'Business Case'!C14*$E625)-MAX(0,(('Business Case'!C11*$C625*'Business Case'!C12*$B625)-'Business Case'!C11*$C625*'Business Case'!C13*$D625-'Business Case'!C14*$E625))*'Business Case'!$B$7-'Business Case'!$B$8*(('Business Case'!C11*$C625*'Business Case'!C12*$B625)-('Business Case'!B11*$C625*'Business Case'!B12*$B625))-'Business Case'!C15*$F625</f>
        <v>-43132482.2795803</v>
      </c>
      <c r="J625" s="39" t="n">
        <f aca="false">(('Business Case'!D11*$C625*'Business Case'!D12*$B625)-'Business Case'!D11*$C625*'Business Case'!D13*$D625-'Business Case'!D14*$E625)-MAX(0,(('Business Case'!D11*$C625*'Business Case'!D12*$B625)-'Business Case'!D11*$C625*'Business Case'!D13*$D625-'Business Case'!D14*$E625))*'Business Case'!$B$7-'Business Case'!$B$8*(('Business Case'!D11*$C625*'Business Case'!D12*$B625)-('Business Case'!C11*$C625*'Business Case'!C12*$B625))-'Business Case'!D15*$F625</f>
        <v>225465938.540718</v>
      </c>
      <c r="K625" s="39" t="n">
        <f aca="false">(('Business Case'!E11*$C625*'Business Case'!E12*$B625)-'Business Case'!E11*$C625*'Business Case'!E13*$D625-'Business Case'!E14*$E625)-MAX(0,(('Business Case'!E11*$C625*'Business Case'!E12*$B625)-'Business Case'!E11*$C625*'Business Case'!E13*$D625-'Business Case'!E14*$E625))*'Business Case'!$B$7-'Business Case'!$B$8*(('Business Case'!E11*$C625*'Business Case'!E12*$B625)-('Business Case'!D11*$C625*'Business Case'!D12*$B625))-'Business Case'!E15*$F625</f>
        <v>546549397.580306</v>
      </c>
      <c r="L625" s="39" t="n">
        <f aca="false">(('Business Case'!F11*$C625*'Business Case'!F12*$B625)-'Business Case'!F11*$C625*'Business Case'!F13*$D625-'Business Case'!F14*$E625)-MAX(0,(('Business Case'!F11*$C625*'Business Case'!F12*$B625)-'Business Case'!F11*$C625*'Business Case'!F13*$D625-'Business Case'!F14*$E625))*'Business Case'!$B$7-'Business Case'!$B$8*(('Business Case'!F11*$C625*'Business Case'!F12*$B625)-('Business Case'!E11*$C625*'Business Case'!E12*$B625))-'Business Case'!F15*$F625</f>
        <v>668351275.578857</v>
      </c>
      <c r="M625" s="39" t="n">
        <f aca="false">(('Business Case'!G11*$C625*'Business Case'!G12*$B625)-'Business Case'!G11*$C625*'Business Case'!G13*$D625-'Business Case'!G14*$E625)-MAX(0,(('Business Case'!G11*$C625*'Business Case'!G12*$B625)-'Business Case'!G11*$C625*'Business Case'!G13*$D625-'Business Case'!G14*$E625))*'Business Case'!$B$7-'Business Case'!$B$8*(('Business Case'!G11*$C625*'Business Case'!G12*$B625)-('Business Case'!F11*$C625*'Business Case'!F12*$B625))-'Business Case'!G15*$F625+'Business Case'!$B$8*('Business Case'!G11*$C625*'Business Case'!G12*$B625)</f>
        <v>845831166.400341</v>
      </c>
      <c r="N625" s="39" t="n">
        <f aca="false">IF(COUNT('Business Case'!B11:G11)=0,"",H625+NPV(G625,I625:M625))</f>
        <v>-524861022.933233</v>
      </c>
      <c r="P625" s="40" t="n">
        <f aca="true">RAND()</f>
        <v>0.525322074471231</v>
      </c>
      <c r="Q625" s="40" t="n">
        <f aca="true">RAND()</f>
        <v>0.442156703957244</v>
      </c>
      <c r="R625" s="40" t="n">
        <f aca="true">RAND()</f>
        <v>0.638895102704399</v>
      </c>
      <c r="S625" s="40" t="n">
        <f aca="true">RAND()</f>
        <v>0.964712772015712</v>
      </c>
      <c r="T625" s="40" t="n">
        <f aca="true">RAND()</f>
        <v>0.465069549498305</v>
      </c>
      <c r="U625" s="40" t="n">
        <f aca="true">RAND()</f>
        <v>0.187090613917031</v>
      </c>
    </row>
    <row r="626" customFormat="false" ht="15" hidden="false" customHeight="false" outlineLevel="0" collapsed="false">
      <c r="A626" s="36" t="n">
        <v>546</v>
      </c>
      <c r="B626" s="37" t="n">
        <f aca="false">1+IF($G$6=$E$6,$F$6,IF(P626&lt;($F$6-$E$6)/($G$6-$E$6),$E$6+SQRT(P626*($G$6-$E$6)*($F$6-$E$6)),$G$6-SQRT((1-P626)*($G$6-$E$6)*($G$6-$F$6))))</f>
        <v>1.01415710150532</v>
      </c>
      <c r="C626" s="37" t="n">
        <f aca="false">1+IF($G$7=$E$7,$F$7,IF(Q626&lt;($F$7-$E$7)/($G$7-$E$7),$E$7+SQRT(Q626*($G$7-$E$7)*($F$7-$E$7)),$G$7-SQRT((1-Q626)*($G$7-$E$7)*($G$7-$F$7))))</f>
        <v>0.924785572060655</v>
      </c>
      <c r="D626" s="37" t="n">
        <f aca="false">1+IF($G$8=$E$8,$F$8,IF(R626&lt;($F$8-$E$8)/($G$8-$E$8),$E$8+SQRT(R626*($G$8-$E$8)*($F$8-$E$8)),$G$8-SQRT((1-R626)*($G$8-$E$8)*($G$8-$F$8))))</f>
        <v>0.984344127763119</v>
      </c>
      <c r="E626" s="37" t="n">
        <f aca="false">1+IF($G$9=$E$9,$F$9,IF(S626&lt;($F$9-$E$9)/($G$9-$E$9),$E$9+SQRT(S626*($G$9-$E$9)*($F$9-$E$9)),$G$9-SQRT((1-S626)*($G$9-$E$9)*($G$9-$F$9))))</f>
        <v>0.952129490489228</v>
      </c>
      <c r="F626" s="37" t="n">
        <f aca="false">1+IF($G$10=$E$10,$F$10,IF(T626&lt;($F$10-$E$10)/($G$10-$E$10),$E$10+SQRT(T626*($G$10-$E$10)*($F$10-$E$10)),$G$10-SQRT((1-T626)*($G$10-$E$10)*($G$10-$F$10))))</f>
        <v>0.998291257890731</v>
      </c>
      <c r="G626" s="38" t="n">
        <f aca="false">IF($G$11=$E$11,$F$11,IF(U626&lt;($F$11-$E$11)/($G$11-$E$11),$E$11+SQRT(U626*($G$11-$E$11)*($F$11-$E$11)),$G$11-SQRT((1-U626)*($G$11-$E$11)*($G$11-$F$11))))</f>
        <v>0.103009660411762</v>
      </c>
      <c r="H626" s="39" t="n">
        <f aca="false">(('Business Case'!B11*$C626*'Business Case'!B12*$B626)-'Business Case'!B11*$C626*'Business Case'!B13*$D626-'Business Case'!B14*$E626)-MAX(0,(('Business Case'!B11*$C626*'Business Case'!B12*$B626)-'Business Case'!B11*$C626*'Business Case'!B13*$D626-'Business Case'!B14*$E626))*'Business Case'!$B$7-'Business Case'!$B$8*('Business Case'!B11*$C626*'Business Case'!B12*$B626)-'Business Case'!B15*$F626</f>
        <v>-1996582515.78146</v>
      </c>
      <c r="I626" s="39" t="n">
        <f aca="false">(('Business Case'!C11*$C626*'Business Case'!C12*$B626)-'Business Case'!C11*$C626*'Business Case'!C13*$D626-'Business Case'!C14*$E626)-MAX(0,(('Business Case'!C11*$C626*'Business Case'!C12*$B626)-'Business Case'!C11*$C626*'Business Case'!C13*$D626-'Business Case'!C14*$E626))*'Business Case'!$B$7-'Business Case'!$B$8*(('Business Case'!C11*$C626*'Business Case'!C12*$B626)-('Business Case'!B11*$C626*'Business Case'!B12*$B626))-'Business Case'!C15*$F626</f>
        <v>18343477.2849156</v>
      </c>
      <c r="J626" s="39" t="n">
        <f aca="false">(('Business Case'!D11*$C626*'Business Case'!D12*$B626)-'Business Case'!D11*$C626*'Business Case'!D13*$D626-'Business Case'!D14*$E626)-MAX(0,(('Business Case'!D11*$C626*'Business Case'!D12*$B626)-'Business Case'!D11*$C626*'Business Case'!D13*$D626-'Business Case'!D14*$E626))*'Business Case'!$B$7-'Business Case'!$B$8*(('Business Case'!D11*$C626*'Business Case'!D12*$B626)-('Business Case'!C11*$C626*'Business Case'!C12*$B626))-'Business Case'!D15*$F626</f>
        <v>320528481.923927</v>
      </c>
      <c r="K626" s="39" t="n">
        <f aca="false">(('Business Case'!E11*$C626*'Business Case'!E12*$B626)-'Business Case'!E11*$C626*'Business Case'!E13*$D626-'Business Case'!E14*$E626)-MAX(0,(('Business Case'!E11*$C626*'Business Case'!E12*$B626)-'Business Case'!E11*$C626*'Business Case'!E13*$D626-'Business Case'!E14*$E626))*'Business Case'!$B$7-'Business Case'!$B$8*(('Business Case'!E11*$C626*'Business Case'!E12*$B626)-('Business Case'!D11*$C626*'Business Case'!D12*$B626))-'Business Case'!E15*$F626</f>
        <v>672628049.457475</v>
      </c>
      <c r="L626" s="39" t="n">
        <f aca="false">(('Business Case'!F11*$C626*'Business Case'!F12*$B626)-'Business Case'!F11*$C626*'Business Case'!F13*$D626-'Business Case'!F14*$E626)-MAX(0,(('Business Case'!F11*$C626*'Business Case'!F12*$B626)-'Business Case'!F11*$C626*'Business Case'!F13*$D626-'Business Case'!F14*$E626))*'Business Case'!$B$7-'Business Case'!$B$8*(('Business Case'!F11*$C626*'Business Case'!F12*$B626)-('Business Case'!E11*$C626*'Business Case'!E12*$B626))-'Business Case'!F15*$F626</f>
        <v>805769443.01545</v>
      </c>
      <c r="M626" s="39" t="n">
        <f aca="false">(('Business Case'!G11*$C626*'Business Case'!G12*$B626)-'Business Case'!G11*$C626*'Business Case'!G13*$D626-'Business Case'!G14*$E626)-MAX(0,(('Business Case'!G11*$C626*'Business Case'!G12*$B626)-'Business Case'!G11*$C626*'Business Case'!G13*$D626-'Business Case'!G14*$E626))*'Business Case'!$B$7-'Business Case'!$B$8*(('Business Case'!G11*$C626*'Business Case'!G12*$B626)-('Business Case'!F11*$C626*'Business Case'!F12*$B626))-'Business Case'!G15*$F626+'Business Case'!$B$8*('Business Case'!G11*$C626*'Business Case'!G12*$B626)</f>
        <v>984041265.746117</v>
      </c>
      <c r="N626" s="39" t="n">
        <f aca="false">IF(COUNT('Business Case'!B11:G11)=0,"",H626+NPV(G626,I626:M626))</f>
        <v>-68175480.2491815</v>
      </c>
      <c r="P626" s="40" t="n">
        <f aca="true">RAND()</f>
        <v>0.828704883666701</v>
      </c>
      <c r="Q626" s="40" t="n">
        <f aca="true">RAND()</f>
        <v>0.374285580789895</v>
      </c>
      <c r="R626" s="40" t="n">
        <f aca="true">RAND()</f>
        <v>0.157269214907928</v>
      </c>
      <c r="S626" s="40" t="n">
        <f aca="true">RAND()</f>
        <v>0.10869935114666</v>
      </c>
      <c r="T626" s="40" t="n">
        <f aca="true">RAND()</f>
        <v>0.155469705911271</v>
      </c>
      <c r="U626" s="40" t="n">
        <f aca="true">RAND()</f>
        <v>0.514347712607734</v>
      </c>
    </row>
    <row r="627" customFormat="false" ht="15" hidden="false" customHeight="false" outlineLevel="0" collapsed="false">
      <c r="A627" s="36" t="n">
        <v>547</v>
      </c>
      <c r="B627" s="37" t="n">
        <f aca="false">1+IF($G$6=$E$6,$F$6,IF(P627&lt;($F$6-$E$6)/($G$6-$E$6),$E$6+SQRT(P627*($G$6-$E$6)*($F$6-$E$6)),$G$6-SQRT((1-P627)*($G$6-$E$6)*($G$6-$F$6))))</f>
        <v>1.01002843621225</v>
      </c>
      <c r="C627" s="37" t="n">
        <f aca="false">1+IF($G$7=$E$7,$F$7,IF(Q627&lt;($F$7-$E$7)/($G$7-$E$7),$E$7+SQRT(Q627*($G$7-$E$7)*($F$7-$E$7)),$G$7-SQRT((1-Q627)*($G$7-$E$7)*($G$7-$F$7))))</f>
        <v>0.810247166072431</v>
      </c>
      <c r="D627" s="37" t="n">
        <f aca="false">1+IF($G$8=$E$8,$F$8,IF(R627&lt;($F$8-$E$8)/($G$8-$E$8),$E$8+SQRT(R627*($G$8-$E$8)*($F$8-$E$8)),$G$8-SQRT((1-R627)*($G$8-$E$8)*($G$8-$F$8))))</f>
        <v>1.03983179329236</v>
      </c>
      <c r="E627" s="37" t="n">
        <f aca="false">1+IF($G$9=$E$9,$F$9,IF(S627&lt;($F$9-$E$9)/($G$9-$E$9),$E$9+SQRT(S627*($G$9-$E$9)*($F$9-$E$9)),$G$9-SQRT((1-S627)*($G$9-$E$9)*($G$9-$F$9))))</f>
        <v>1.10958770201593</v>
      </c>
      <c r="F627" s="37" t="n">
        <f aca="false">1+IF($G$10=$E$10,$F$10,IF(T627&lt;($F$10-$E$10)/($G$10-$E$10),$E$10+SQRT(T627*($G$10-$E$10)*($F$10-$E$10)),$G$10-SQRT((1-T627)*($G$10-$E$10)*($G$10-$F$10))))</f>
        <v>1.05703761988379</v>
      </c>
      <c r="G627" s="38" t="n">
        <f aca="false">IF($G$11=$E$11,$F$11,IF(U627&lt;($F$11-$E$11)/($G$11-$E$11),$E$11+SQRT(U627*($G$11-$E$11)*($F$11-$E$11)),$G$11-SQRT((1-U627)*($G$11-$E$11)*($G$11-$F$11))))</f>
        <v>0.112504133209895</v>
      </c>
      <c r="H627" s="39" t="n">
        <f aca="false">(('Business Case'!B11*$C627*'Business Case'!B12*$B627)-'Business Case'!B11*$C627*'Business Case'!B13*$D627-'Business Case'!B14*$E627)-MAX(0,(('Business Case'!B11*$C627*'Business Case'!B12*$B627)-'Business Case'!B11*$C627*'Business Case'!B13*$D627-'Business Case'!B14*$E627))*'Business Case'!$B$7-'Business Case'!$B$8*('Business Case'!B11*$C627*'Business Case'!B12*$B627)-'Business Case'!B15*$F627</f>
        <v>-2114075239.76759</v>
      </c>
      <c r="I627" s="39" t="n">
        <f aca="false">(('Business Case'!C11*$C627*'Business Case'!C12*$B627)-'Business Case'!C11*$C627*'Business Case'!C13*$D627-'Business Case'!C14*$E627)-MAX(0,(('Business Case'!C11*$C627*'Business Case'!C12*$B627)-'Business Case'!C11*$C627*'Business Case'!C13*$D627-'Business Case'!C14*$E627))*'Business Case'!$B$7-'Business Case'!$B$8*(('Business Case'!C11*$C627*'Business Case'!C12*$B627)-('Business Case'!B11*$C627*'Business Case'!B12*$B627))-'Business Case'!C15*$F627</f>
        <v>-66908656.0129409</v>
      </c>
      <c r="J627" s="39" t="n">
        <f aca="false">(('Business Case'!D11*$C627*'Business Case'!D12*$B627)-'Business Case'!D11*$C627*'Business Case'!D13*$D627-'Business Case'!D14*$E627)-MAX(0,(('Business Case'!D11*$C627*'Business Case'!D12*$B627)-'Business Case'!D11*$C627*'Business Case'!D13*$D627-'Business Case'!D14*$E627))*'Business Case'!$B$7-'Business Case'!$B$8*(('Business Case'!D11*$C627*'Business Case'!D12*$B627)-('Business Case'!C11*$C627*'Business Case'!C12*$B627))-'Business Case'!D15*$F627</f>
        <v>172094260.821532</v>
      </c>
      <c r="K627" s="39" t="n">
        <f aca="false">(('Business Case'!E11*$C627*'Business Case'!E12*$B627)-'Business Case'!E11*$C627*'Business Case'!E13*$D627-'Business Case'!E14*$E627)-MAX(0,(('Business Case'!E11*$C627*'Business Case'!E12*$B627)-'Business Case'!E11*$C627*'Business Case'!E13*$D627-'Business Case'!E14*$E627))*'Business Case'!$B$7-'Business Case'!$B$8*(('Business Case'!E11*$C627*'Business Case'!E12*$B627)-('Business Case'!D11*$C627*'Business Case'!D12*$B627))-'Business Case'!E15*$F627</f>
        <v>463949058.650195</v>
      </c>
      <c r="L627" s="39" t="n">
        <f aca="false">(('Business Case'!F11*$C627*'Business Case'!F12*$B627)-'Business Case'!F11*$C627*'Business Case'!F13*$D627-'Business Case'!F14*$E627)-MAX(0,(('Business Case'!F11*$C627*'Business Case'!F12*$B627)-'Business Case'!F11*$C627*'Business Case'!F13*$D627-'Business Case'!F14*$E627))*'Business Case'!$B$7-'Business Case'!$B$8*(('Business Case'!F11*$C627*'Business Case'!F12*$B627)-('Business Case'!E11*$C627*'Business Case'!E12*$B627))-'Business Case'!F15*$F627</f>
        <v>571899657.349932</v>
      </c>
      <c r="M627" s="39" t="n">
        <f aca="false">(('Business Case'!G11*$C627*'Business Case'!G12*$B627)-'Business Case'!G11*$C627*'Business Case'!G13*$D627-'Business Case'!G14*$E627)-MAX(0,(('Business Case'!G11*$C627*'Business Case'!G12*$B627)-'Business Case'!G11*$C627*'Business Case'!G13*$D627-'Business Case'!G14*$E627))*'Business Case'!$B$7-'Business Case'!$B$8*(('Business Case'!G11*$C627*'Business Case'!G12*$B627)-('Business Case'!F11*$C627*'Business Case'!F12*$B627))-'Business Case'!G15*$F627+'Business Case'!$B$8*('Business Case'!G11*$C627*'Business Case'!G12*$B627)</f>
        <v>727455936.001954</v>
      </c>
      <c r="N627" s="39" t="n">
        <f aca="false">IF(COUNT('Business Case'!B11:G11)=0,"",H627+NPV(G627,I627:M627))</f>
        <v>-897999806.303551</v>
      </c>
      <c r="P627" s="40" t="n">
        <f aca="true">RAND()</f>
        <v>0.786969878448284</v>
      </c>
      <c r="Q627" s="40" t="n">
        <f aca="true">RAND()</f>
        <v>0.0900328713111269</v>
      </c>
      <c r="R627" s="40" t="n">
        <f aca="true">RAND()</f>
        <v>0.758652460105812</v>
      </c>
      <c r="S627" s="40" t="n">
        <f aca="true">RAND()</f>
        <v>0.956449231243911</v>
      </c>
      <c r="T627" s="40" t="n">
        <f aca="true">RAND()</f>
        <v>0.503540264798519</v>
      </c>
      <c r="U627" s="40" t="n">
        <f aca="true">RAND()</f>
        <v>0.795929763508599</v>
      </c>
    </row>
    <row r="628" customFormat="false" ht="15" hidden="false" customHeight="false" outlineLevel="0" collapsed="false">
      <c r="A628" s="36" t="n">
        <v>548</v>
      </c>
      <c r="B628" s="37" t="n">
        <f aca="false">1+IF($G$6=$E$6,$F$6,IF(P628&lt;($F$6-$E$6)/($G$6-$E$6),$E$6+SQRT(P628*($G$6-$E$6)*($F$6-$E$6)),$G$6-SQRT((1-P628)*($G$6-$E$6)*($G$6-$F$6))))</f>
        <v>0.971931147398715</v>
      </c>
      <c r="C628" s="37" t="n">
        <f aca="false">1+IF($G$7=$E$7,$F$7,IF(Q628&lt;($F$7-$E$7)/($G$7-$E$7),$E$7+SQRT(Q628*($G$7-$E$7)*($F$7-$E$7)),$G$7-SQRT((1-Q628)*($G$7-$E$7)*($G$7-$F$7))))</f>
        <v>0.854719598624997</v>
      </c>
      <c r="D628" s="37" t="n">
        <f aca="false">1+IF($G$8=$E$8,$F$8,IF(R628&lt;($F$8-$E$8)/($G$8-$E$8),$E$8+SQRT(R628*($G$8-$E$8)*($F$8-$E$8)),$G$8-SQRT((1-R628)*($G$8-$E$8)*($G$8-$F$8))))</f>
        <v>0.957118081550317</v>
      </c>
      <c r="E628" s="37" t="n">
        <f aca="false">1+IF($G$9=$E$9,$F$9,IF(S628&lt;($F$9-$E$9)/($G$9-$E$9),$E$9+SQRT(S628*($G$9-$E$9)*($F$9-$E$9)),$G$9-SQRT((1-S628)*($G$9-$E$9)*($G$9-$F$9))))</f>
        <v>1.02610137347524</v>
      </c>
      <c r="F628" s="37" t="n">
        <f aca="false">1+IF($G$10=$E$10,$F$10,IF(T628&lt;($F$10-$E$10)/($G$10-$E$10),$E$10+SQRT(T628*($G$10-$E$10)*($F$10-$E$10)),$G$10-SQRT((1-T628)*($G$10-$E$10)*($G$10-$F$10))))</f>
        <v>1.17243009601274</v>
      </c>
      <c r="G628" s="38" t="n">
        <f aca="false">IF($G$11=$E$11,$F$11,IF(U628&lt;($F$11-$E$11)/($G$11-$E$11),$E$11+SQRT(U628*($G$11-$E$11)*($F$11-$E$11)),$G$11-SQRT((1-U628)*($G$11-$E$11)*($G$11-$F$11))))</f>
        <v>0.094132862545749</v>
      </c>
      <c r="H628" s="39" t="n">
        <f aca="false">(('Business Case'!B11*$C628*'Business Case'!B12*$B628)-'Business Case'!B11*$C628*'Business Case'!B13*$D628-'Business Case'!B14*$E628)-MAX(0,(('Business Case'!B11*$C628*'Business Case'!B12*$B628)-'Business Case'!B11*$C628*'Business Case'!B13*$D628-'Business Case'!B14*$E628))*'Business Case'!$B$7-'Business Case'!$B$8*('Business Case'!B11*$C628*'Business Case'!B12*$B628)-'Business Case'!B15*$F628</f>
        <v>-2344860192.02548</v>
      </c>
      <c r="I628" s="39" t="n">
        <f aca="false">(('Business Case'!C11*$C628*'Business Case'!C12*$B628)-'Business Case'!C11*$C628*'Business Case'!C13*$D628-'Business Case'!C14*$E628)-MAX(0,(('Business Case'!C11*$C628*'Business Case'!C12*$B628)-'Business Case'!C11*$C628*'Business Case'!C13*$D628-'Business Case'!C14*$E628))*'Business Case'!$B$7-'Business Case'!$B$8*(('Business Case'!C11*$C628*'Business Case'!C12*$B628)-('Business Case'!B11*$C628*'Business Case'!B12*$B628))-'Business Case'!C15*$F628</f>
        <v>-44578216.3571586</v>
      </c>
      <c r="J628" s="39" t="n">
        <f aca="false">(('Business Case'!D11*$C628*'Business Case'!D12*$B628)-'Business Case'!D11*$C628*'Business Case'!D13*$D628-'Business Case'!D14*$E628)-MAX(0,(('Business Case'!D11*$C628*'Business Case'!D12*$B628)-'Business Case'!D11*$C628*'Business Case'!D13*$D628-'Business Case'!D14*$E628))*'Business Case'!$B$7-'Business Case'!$B$8*(('Business Case'!D11*$C628*'Business Case'!D12*$B628)-('Business Case'!C11*$C628*'Business Case'!C12*$B628))-'Business Case'!D15*$F628</f>
        <v>217063162.829285</v>
      </c>
      <c r="K628" s="39" t="n">
        <f aca="false">(('Business Case'!E11*$C628*'Business Case'!E12*$B628)-'Business Case'!E11*$C628*'Business Case'!E13*$D628-'Business Case'!E14*$E628)-MAX(0,(('Business Case'!E11*$C628*'Business Case'!E12*$B628)-'Business Case'!E11*$C628*'Business Case'!E13*$D628-'Business Case'!E14*$E628))*'Business Case'!$B$7-'Business Case'!$B$8*(('Business Case'!E11*$C628*'Business Case'!E12*$B628)-('Business Case'!D11*$C628*'Business Case'!D12*$B628))-'Business Case'!E15*$F628</f>
        <v>537326046.816364</v>
      </c>
      <c r="L628" s="39" t="n">
        <f aca="false">(('Business Case'!F11*$C628*'Business Case'!F12*$B628)-'Business Case'!F11*$C628*'Business Case'!F13*$D628-'Business Case'!F14*$E628)-MAX(0,(('Business Case'!F11*$C628*'Business Case'!F12*$B628)-'Business Case'!F11*$C628*'Business Case'!F13*$D628-'Business Case'!F14*$E628))*'Business Case'!$B$7-'Business Case'!$B$8*(('Business Case'!F11*$C628*'Business Case'!F12*$B628)-('Business Case'!E11*$C628*'Business Case'!E12*$B628))-'Business Case'!F15*$F628</f>
        <v>653249820.301278</v>
      </c>
      <c r="M628" s="39" t="n">
        <f aca="false">(('Business Case'!G11*$C628*'Business Case'!G12*$B628)-'Business Case'!G11*$C628*'Business Case'!G13*$D628-'Business Case'!G14*$E628)-MAX(0,(('Business Case'!G11*$C628*'Business Case'!G12*$B628)-'Business Case'!G11*$C628*'Business Case'!G13*$D628-'Business Case'!G14*$E628))*'Business Case'!$B$7-'Business Case'!$B$8*(('Business Case'!G11*$C628*'Business Case'!G12*$B628)-('Business Case'!F11*$C628*'Business Case'!F12*$B628))-'Business Case'!G15*$F628+'Business Case'!$B$8*('Business Case'!G11*$C628*'Business Case'!G12*$B628)</f>
        <v>811154712.626488</v>
      </c>
      <c r="N628" s="39" t="n">
        <f aca="false">IF(COUNT('Business Case'!B11:G11)=0,"",H628+NPV(G628,I628:M628))</f>
        <v>-820913817.649879</v>
      </c>
      <c r="P628" s="40" t="n">
        <f aca="true">RAND()</f>
        <v>0.344939331073042</v>
      </c>
      <c r="Q628" s="40" t="n">
        <f aca="true">RAND()</f>
        <v>0.177319660730964</v>
      </c>
      <c r="R628" s="40" t="n">
        <f aca="true">RAND()</f>
        <v>0.00675561132759578</v>
      </c>
      <c r="S628" s="40" t="n">
        <f aca="true">RAND()</f>
        <v>0.590643475874098</v>
      </c>
      <c r="T628" s="40" t="n">
        <f aca="true">RAND()</f>
        <v>0.919772133272094</v>
      </c>
      <c r="U628" s="40" t="n">
        <f aca="true">RAND()</f>
        <v>0.199737803737034</v>
      </c>
    </row>
    <row r="629" customFormat="false" ht="15" hidden="false" customHeight="false" outlineLevel="0" collapsed="false">
      <c r="A629" s="36" t="n">
        <v>549</v>
      </c>
      <c r="B629" s="37" t="n">
        <f aca="false">1+IF($G$6=$E$6,$F$6,IF(P629&lt;($F$6-$E$6)/($G$6-$E$6),$E$6+SQRT(P629*($G$6-$E$6)*($F$6-$E$6)),$G$6-SQRT((1-P629)*($G$6-$E$6)*($G$6-$F$6))))</f>
        <v>0.987202495167865</v>
      </c>
      <c r="C629" s="37" t="n">
        <f aca="false">1+IF($G$7=$E$7,$F$7,IF(Q629&lt;($F$7-$E$7)/($G$7-$E$7),$E$7+SQRT(Q629*($G$7-$E$7)*($F$7-$E$7)),$G$7-SQRT((1-Q629)*($G$7-$E$7)*($G$7-$F$7))))</f>
        <v>0.968122969754319</v>
      </c>
      <c r="D629" s="37" t="n">
        <f aca="false">1+IF($G$8=$E$8,$F$8,IF(R629&lt;($F$8-$E$8)/($G$8-$E$8),$E$8+SQRT(R629*($G$8-$E$8)*($F$8-$E$8)),$G$8-SQRT((1-R629)*($G$8-$E$8)*($G$8-$F$8))))</f>
        <v>1.00390262562918</v>
      </c>
      <c r="E629" s="37" t="n">
        <f aca="false">1+IF($G$9=$E$9,$F$9,IF(S629&lt;($F$9-$E$9)/($G$9-$E$9),$E$9+SQRT(S629*($G$9-$E$9)*($F$9-$E$9)),$G$9-SQRT((1-S629)*($G$9-$E$9)*($G$9-$F$9))))</f>
        <v>0.991223659982296</v>
      </c>
      <c r="F629" s="37" t="n">
        <f aca="false">1+IF($G$10=$E$10,$F$10,IF(T629&lt;($F$10-$E$10)/($G$10-$E$10),$E$10+SQRT(T629*($G$10-$E$10)*($F$10-$E$10)),$G$10-SQRT((1-T629)*($G$10-$E$10)*($G$10-$F$10))))</f>
        <v>1.20067975304918</v>
      </c>
      <c r="G629" s="38" t="n">
        <f aca="false">IF($G$11=$E$11,$F$11,IF(U629&lt;($F$11-$E$11)/($G$11-$E$11),$E$11+SQRT(U629*($G$11-$E$11)*($F$11-$E$11)),$G$11-SQRT((1-U629)*($G$11-$E$11)*($G$11-$F$11))))</f>
        <v>0.11625655134388</v>
      </c>
      <c r="H629" s="39" t="n">
        <f aca="false">(('Business Case'!B11*$C629*'Business Case'!B12*$B629)-'Business Case'!B11*$C629*'Business Case'!B13*$D629-'Business Case'!B14*$E629)-MAX(0,(('Business Case'!B11*$C629*'Business Case'!B12*$B629)-'Business Case'!B11*$C629*'Business Case'!B13*$D629-'Business Case'!B14*$E629))*'Business Case'!$B$7-'Business Case'!$B$8*('Business Case'!B11*$C629*'Business Case'!B12*$B629)-'Business Case'!B15*$F629</f>
        <v>-2401359506.09837</v>
      </c>
      <c r="I629" s="39" t="n">
        <f aca="false">(('Business Case'!C11*$C629*'Business Case'!C12*$B629)-'Business Case'!C11*$C629*'Business Case'!C13*$D629-'Business Case'!C14*$E629)-MAX(0,(('Business Case'!C11*$C629*'Business Case'!C12*$B629)-'Business Case'!C11*$C629*'Business Case'!C13*$D629-'Business Case'!C14*$E629))*'Business Case'!$B$7-'Business Case'!$B$8*(('Business Case'!C11*$C629*'Business Case'!C12*$B629)-('Business Case'!B11*$C629*'Business Case'!B12*$B629))-'Business Case'!C15*$F629</f>
        <v>-25286380.9156248</v>
      </c>
      <c r="J629" s="39" t="n">
        <f aca="false">(('Business Case'!D11*$C629*'Business Case'!D12*$B629)-'Business Case'!D11*$C629*'Business Case'!D13*$D629-'Business Case'!D14*$E629)-MAX(0,(('Business Case'!D11*$C629*'Business Case'!D12*$B629)-'Business Case'!D11*$C629*'Business Case'!D13*$D629-'Business Case'!D14*$E629))*'Business Case'!$B$7-'Business Case'!$B$8*(('Business Case'!D11*$C629*'Business Case'!D12*$B629)-('Business Case'!C11*$C629*'Business Case'!C12*$B629))-'Business Case'!D15*$F629</f>
        <v>259992437.968613</v>
      </c>
      <c r="K629" s="39" t="n">
        <f aca="false">(('Business Case'!E11*$C629*'Business Case'!E12*$B629)-'Business Case'!E11*$C629*'Business Case'!E13*$D629-'Business Case'!E14*$E629)-MAX(0,(('Business Case'!E11*$C629*'Business Case'!E12*$B629)-'Business Case'!E11*$C629*'Business Case'!E13*$D629-'Business Case'!E14*$E629))*'Business Case'!$B$7-'Business Case'!$B$8*(('Business Case'!E11*$C629*'Business Case'!E12*$B629)-('Business Case'!D11*$C629*'Business Case'!D12*$B629))-'Business Case'!E15*$F629</f>
        <v>605305244.50531</v>
      </c>
      <c r="L629" s="39" t="n">
        <f aca="false">(('Business Case'!F11*$C629*'Business Case'!F12*$B629)-'Business Case'!F11*$C629*'Business Case'!F13*$D629-'Business Case'!F14*$E629)-MAX(0,(('Business Case'!F11*$C629*'Business Case'!F12*$B629)-'Business Case'!F11*$C629*'Business Case'!F13*$D629-'Business Case'!F14*$E629))*'Business Case'!$B$7-'Business Case'!$B$8*(('Business Case'!F11*$C629*'Business Case'!F12*$B629)-('Business Case'!E11*$C629*'Business Case'!E12*$B629))-'Business Case'!F15*$F629</f>
        <v>733428330.830363</v>
      </c>
      <c r="M629" s="39" t="n">
        <f aca="false">(('Business Case'!G11*$C629*'Business Case'!G12*$B629)-'Business Case'!G11*$C629*'Business Case'!G13*$D629-'Business Case'!G14*$E629)-MAX(0,(('Business Case'!G11*$C629*'Business Case'!G12*$B629)-'Business Case'!G11*$C629*'Business Case'!G13*$D629-'Business Case'!G14*$E629))*'Business Case'!$B$7-'Business Case'!$B$8*(('Business Case'!G11*$C629*'Business Case'!G12*$B629)-('Business Case'!F11*$C629*'Business Case'!F12*$B629))-'Business Case'!G15*$F629+'Business Case'!$B$8*('Business Case'!G11*$C629*'Business Case'!G12*$B629)</f>
        <v>915094137.663723</v>
      </c>
      <c r="N629" s="39" t="n">
        <f aca="false">IF(COUNT('Business Case'!B11:G11)=0,"",H629+NPV(G629,I629:M629))</f>
        <v>-779756744.49402</v>
      </c>
      <c r="P629" s="40" t="n">
        <f aca="true">RAND()</f>
        <v>0.506951677566766</v>
      </c>
      <c r="Q629" s="40" t="n">
        <f aca="true">RAND()</f>
        <v>0.53251797711019</v>
      </c>
      <c r="R629" s="40" t="n">
        <f aca="true">RAND()</f>
        <v>0.384352975935572</v>
      </c>
      <c r="S629" s="40" t="n">
        <f aca="true">RAND()</f>
        <v>0.332870245622625</v>
      </c>
      <c r="T629" s="40" t="n">
        <f aca="true">RAND()</f>
        <v>0.967566843209474</v>
      </c>
      <c r="U629" s="40" t="n">
        <f aca="true">RAND()</f>
        <v>0.874078412691054</v>
      </c>
    </row>
    <row r="630" customFormat="false" ht="15" hidden="false" customHeight="false" outlineLevel="0" collapsed="false">
      <c r="A630" s="36" t="n">
        <v>550</v>
      </c>
      <c r="B630" s="37" t="n">
        <f aca="false">1+IF($G$6=$E$6,$F$6,IF(P630&lt;($F$6-$E$6)/($G$6-$E$6),$E$6+SQRT(P630*($G$6-$E$6)*($F$6-$E$6)),$G$6-SQRT((1-P630)*($G$6-$E$6)*($G$6-$F$6))))</f>
        <v>0.98567702920323</v>
      </c>
      <c r="C630" s="37" t="n">
        <f aca="false">1+IF($G$7=$E$7,$F$7,IF(Q630&lt;($F$7-$E$7)/($G$7-$E$7),$E$7+SQRT(Q630*($G$7-$E$7)*($F$7-$E$7)),$G$7-SQRT((1-Q630)*($G$7-$E$7)*($G$7-$F$7))))</f>
        <v>0.839431578721083</v>
      </c>
      <c r="D630" s="37" t="n">
        <f aca="false">1+IF($G$8=$E$8,$F$8,IF(R630&lt;($F$8-$E$8)/($G$8-$E$8),$E$8+SQRT(R630*($G$8-$E$8)*($F$8-$E$8)),$G$8-SQRT((1-R630)*($G$8-$E$8)*($G$8-$F$8))))</f>
        <v>1.00623201034445</v>
      </c>
      <c r="E630" s="37" t="n">
        <f aca="false">1+IF($G$9=$E$9,$F$9,IF(S630&lt;($F$9-$E$9)/($G$9-$E$9),$E$9+SQRT(S630*($G$9-$E$9)*($F$9-$E$9)),$G$9-SQRT((1-S630)*($G$9-$E$9)*($G$9-$F$9))))</f>
        <v>0.929521936380326</v>
      </c>
      <c r="F630" s="37" t="n">
        <f aca="false">1+IF($G$10=$E$10,$F$10,IF(T630&lt;($F$10-$E$10)/($G$10-$E$10),$E$10+SQRT(T630*($G$10-$E$10)*($F$10-$E$10)),$G$10-SQRT((1-T630)*($G$10-$E$10)*($G$10-$F$10))))</f>
        <v>1.07436260130569</v>
      </c>
      <c r="G630" s="38" t="n">
        <f aca="false">IF($G$11=$E$11,$F$11,IF(U630&lt;($F$11-$E$11)/($G$11-$E$11),$E$11+SQRT(U630*($G$11-$E$11)*($F$11-$E$11)),$G$11-SQRT((1-U630)*($G$11-$E$11)*($G$11-$F$11))))</f>
        <v>0.103614960140886</v>
      </c>
      <c r="H630" s="39" t="n">
        <f aca="false">(('Business Case'!B11*$C630*'Business Case'!B12*$B630)-'Business Case'!B11*$C630*'Business Case'!B13*$D630-'Business Case'!B14*$E630)-MAX(0,(('Business Case'!B11*$C630*'Business Case'!B12*$B630)-'Business Case'!B11*$C630*'Business Case'!B13*$D630-'Business Case'!B14*$E630))*'Business Case'!$B$7-'Business Case'!$B$8*('Business Case'!B11*$C630*'Business Case'!B12*$B630)-'Business Case'!B15*$F630</f>
        <v>-2148725202.61137</v>
      </c>
      <c r="I630" s="39" t="n">
        <f aca="false">(('Business Case'!C11*$C630*'Business Case'!C12*$B630)-'Business Case'!C11*$C630*'Business Case'!C13*$D630-'Business Case'!C14*$E630)-MAX(0,(('Business Case'!C11*$C630*'Business Case'!C12*$B630)-'Business Case'!C11*$C630*'Business Case'!C13*$D630-'Business Case'!C14*$E630))*'Business Case'!$B$7-'Business Case'!$B$8*(('Business Case'!C11*$C630*'Business Case'!C12*$B630)-('Business Case'!B11*$C630*'Business Case'!B12*$B630))-'Business Case'!C15*$F630</f>
        <v>-37199903.5265705</v>
      </c>
      <c r="J630" s="39" t="n">
        <f aca="false">(('Business Case'!D11*$C630*'Business Case'!D12*$B630)-'Business Case'!D11*$C630*'Business Case'!D13*$D630-'Business Case'!D14*$E630)-MAX(0,(('Business Case'!D11*$C630*'Business Case'!D12*$B630)-'Business Case'!D11*$C630*'Business Case'!D13*$D630-'Business Case'!D14*$E630))*'Business Case'!$B$7-'Business Case'!$B$8*(('Business Case'!D11*$C630*'Business Case'!D12*$B630)-('Business Case'!C11*$C630*'Business Case'!C12*$B630))-'Business Case'!D15*$F630</f>
        <v>208107325.168878</v>
      </c>
      <c r="K630" s="39" t="n">
        <f aca="false">(('Business Case'!E11*$C630*'Business Case'!E12*$B630)-'Business Case'!E11*$C630*'Business Case'!E13*$D630-'Business Case'!E14*$E630)-MAX(0,(('Business Case'!E11*$C630*'Business Case'!E12*$B630)-'Business Case'!E11*$C630*'Business Case'!E13*$D630-'Business Case'!E14*$E630))*'Business Case'!$B$7-'Business Case'!$B$8*(('Business Case'!E11*$C630*'Business Case'!E12*$B630)-('Business Case'!D11*$C630*'Business Case'!D12*$B630))-'Business Case'!E15*$F630</f>
        <v>507132683.92961</v>
      </c>
      <c r="L630" s="39" t="n">
        <f aca="false">(('Business Case'!F11*$C630*'Business Case'!F12*$B630)-'Business Case'!F11*$C630*'Business Case'!F13*$D630-'Business Case'!F14*$E630)-MAX(0,(('Business Case'!F11*$C630*'Business Case'!F12*$B630)-'Business Case'!F11*$C630*'Business Case'!F13*$D630-'Business Case'!F14*$E630))*'Business Case'!$B$7-'Business Case'!$B$8*(('Business Case'!F11*$C630*'Business Case'!F12*$B630)-('Business Case'!E11*$C630*'Business Case'!E12*$B630))-'Business Case'!F15*$F630</f>
        <v>617496995.320205</v>
      </c>
      <c r="M630" s="39" t="n">
        <f aca="false">(('Business Case'!G11*$C630*'Business Case'!G12*$B630)-'Business Case'!G11*$C630*'Business Case'!G13*$D630-'Business Case'!G14*$E630)-MAX(0,(('Business Case'!G11*$C630*'Business Case'!G12*$B630)-'Business Case'!G11*$C630*'Business Case'!G13*$D630-'Business Case'!G14*$E630))*'Business Case'!$B$7-'Business Case'!$B$8*(('Business Case'!G11*$C630*'Business Case'!G12*$B630)-('Business Case'!F11*$C630*'Business Case'!F12*$B630))-'Business Case'!G15*$F630+'Business Case'!$B$8*('Business Case'!G11*$C630*'Business Case'!G12*$B630)</f>
        <v>774770788.693487</v>
      </c>
      <c r="N630" s="39" t="n">
        <f aca="false">IF(COUNT('Business Case'!B11:G11)=0,"",H630+NPV(G630,I630:M630))</f>
        <v>-744779358.168855</v>
      </c>
      <c r="P630" s="40" t="n">
        <f aca="true">RAND()</f>
        <v>0.489370222206072</v>
      </c>
      <c r="Q630" s="40" t="n">
        <f aca="true">RAND()</f>
        <v>0.144008630701137</v>
      </c>
      <c r="R630" s="40" t="n">
        <f aca="true">RAND()</f>
        <v>0.413837607730427</v>
      </c>
      <c r="S630" s="40" t="n">
        <f aca="true">RAND()</f>
        <v>0.0348617891057609</v>
      </c>
      <c r="T630" s="40" t="n">
        <f aca="true">RAND()</f>
        <v>0.58868672239859</v>
      </c>
      <c r="U630" s="40" t="n">
        <f aca="true">RAND()</f>
        <v>0.535886447755297</v>
      </c>
    </row>
    <row r="631" customFormat="false" ht="15" hidden="false" customHeight="false" outlineLevel="0" collapsed="false">
      <c r="A631" s="36" t="n">
        <v>551</v>
      </c>
      <c r="B631" s="37" t="n">
        <f aca="false">1+IF($G$6=$E$6,$F$6,IF(P631&lt;($F$6-$E$6)/($G$6-$E$6),$E$6+SQRT(P631*($G$6-$E$6)*($F$6-$E$6)),$G$6-SQRT((1-P631)*($G$6-$E$6)*($G$6-$F$6))))</f>
        <v>0.995864507841361</v>
      </c>
      <c r="C631" s="37" t="n">
        <f aca="false">1+IF($G$7=$E$7,$F$7,IF(Q631&lt;($F$7-$E$7)/($G$7-$E$7),$E$7+SQRT(Q631*($G$7-$E$7)*($F$7-$E$7)),$G$7-SQRT((1-Q631)*($G$7-$E$7)*($G$7-$F$7))))</f>
        <v>1.04586486843157</v>
      </c>
      <c r="D631" s="37" t="n">
        <f aca="false">1+IF($G$8=$E$8,$F$8,IF(R631&lt;($F$8-$E$8)/($G$8-$E$8),$E$8+SQRT(R631*($G$8-$E$8)*($F$8-$E$8)),$G$8-SQRT((1-R631)*($G$8-$E$8)*($G$8-$F$8))))</f>
        <v>0.987109825267485</v>
      </c>
      <c r="E631" s="37" t="n">
        <f aca="false">1+IF($G$9=$E$9,$F$9,IF(S631&lt;($F$9-$E$9)/($G$9-$E$9),$E$9+SQRT(S631*($G$9-$E$9)*($F$9-$E$9)),$G$9-SQRT((1-S631)*($G$9-$E$9)*($G$9-$F$9))))</f>
        <v>0.971598158562008</v>
      </c>
      <c r="F631" s="37" t="n">
        <f aca="false">1+IF($G$10=$E$10,$F$10,IF(T631&lt;($F$10-$E$10)/($G$10-$E$10),$E$10+SQRT(T631*($G$10-$E$10)*($F$10-$E$10)),$G$10-SQRT((1-T631)*($G$10-$E$10)*($G$10-$F$10))))</f>
        <v>1.23158065317424</v>
      </c>
      <c r="G631" s="38" t="n">
        <f aca="false">IF($G$11=$E$11,$F$11,IF(U631&lt;($F$11-$E$11)/($G$11-$E$11),$E$11+SQRT(U631*($G$11-$E$11)*($F$11-$E$11)),$G$11-SQRT((1-U631)*($G$11-$E$11)*($G$11-$F$11))))</f>
        <v>0.118810197529338</v>
      </c>
      <c r="H631" s="39" t="n">
        <f aca="false">(('Business Case'!B11*$C631*'Business Case'!B12*$B631)-'Business Case'!B11*$C631*'Business Case'!B13*$D631-'Business Case'!B14*$E631)-MAX(0,(('Business Case'!B11*$C631*'Business Case'!B12*$B631)-'Business Case'!B11*$C631*'Business Case'!B13*$D631-'Business Case'!B14*$E631))*'Business Case'!$B$7-'Business Case'!$B$8*('Business Case'!B11*$C631*'Business Case'!B12*$B631)-'Business Case'!B15*$F631</f>
        <v>-2463161306.34848</v>
      </c>
      <c r="I631" s="39" t="n">
        <f aca="false">(('Business Case'!C11*$C631*'Business Case'!C12*$B631)-'Business Case'!C11*$C631*'Business Case'!C13*$D631-'Business Case'!C14*$E631)-MAX(0,(('Business Case'!C11*$C631*'Business Case'!C12*$B631)-'Business Case'!C11*$C631*'Business Case'!C13*$D631-'Business Case'!C14*$E631))*'Business Case'!$B$7-'Business Case'!$B$8*(('Business Case'!C11*$C631*'Business Case'!C12*$B631)-('Business Case'!B11*$C631*'Business Case'!B12*$B631))-'Business Case'!C15*$F631</f>
        <v>9285510.60307573</v>
      </c>
      <c r="J631" s="39" t="n">
        <f aca="false">(('Business Case'!D11*$C631*'Business Case'!D12*$B631)-'Business Case'!D11*$C631*'Business Case'!D13*$D631-'Business Case'!D14*$E631)-MAX(0,(('Business Case'!D11*$C631*'Business Case'!D12*$B631)-'Business Case'!D11*$C631*'Business Case'!D13*$D631-'Business Case'!D14*$E631))*'Business Case'!$B$7-'Business Case'!$B$8*(('Business Case'!D11*$C631*'Business Case'!D12*$B631)-('Business Case'!C11*$C631*'Business Case'!C12*$B631))-'Business Case'!D15*$F631</f>
        <v>333883762.847095</v>
      </c>
      <c r="K631" s="39" t="n">
        <f aca="false">(('Business Case'!E11*$C631*'Business Case'!E12*$B631)-'Business Case'!E11*$C631*'Business Case'!E13*$D631-'Business Case'!E14*$E631)-MAX(0,(('Business Case'!E11*$C631*'Business Case'!E12*$B631)-'Business Case'!E11*$C631*'Business Case'!E13*$D631-'Business Case'!E14*$E631))*'Business Case'!$B$7-'Business Case'!$B$8*(('Business Case'!E11*$C631*'Business Case'!E12*$B631)-('Business Case'!D11*$C631*'Business Case'!D12*$B631))-'Business Case'!E15*$F631</f>
        <v>720061047.749826</v>
      </c>
      <c r="L631" s="39" t="n">
        <f aca="false">(('Business Case'!F11*$C631*'Business Case'!F12*$B631)-'Business Case'!F11*$C631*'Business Case'!F13*$D631-'Business Case'!F14*$E631)-MAX(0,(('Business Case'!F11*$C631*'Business Case'!F12*$B631)-'Business Case'!F11*$C631*'Business Case'!F13*$D631-'Business Case'!F14*$E631))*'Business Case'!$B$7-'Business Case'!$B$8*(('Business Case'!F11*$C631*'Business Case'!F12*$B631)-('Business Case'!E11*$C631*'Business Case'!E12*$B631))-'Business Case'!F15*$F631</f>
        <v>864256077.281833</v>
      </c>
      <c r="M631" s="39" t="n">
        <f aca="false">(('Business Case'!G11*$C631*'Business Case'!G12*$B631)-'Business Case'!G11*$C631*'Business Case'!G13*$D631-'Business Case'!G14*$E631)-MAX(0,(('Business Case'!G11*$C631*'Business Case'!G12*$B631)-'Business Case'!G11*$C631*'Business Case'!G13*$D631-'Business Case'!G14*$E631))*'Business Case'!$B$7-'Business Case'!$B$8*(('Business Case'!G11*$C631*'Business Case'!G12*$B631)-('Business Case'!F11*$C631*'Business Case'!F12*$B631))-'Business Case'!G15*$F631+'Business Case'!$B$8*('Business Case'!G11*$C631*'Business Case'!G12*$B631)</f>
        <v>1062231943.92717</v>
      </c>
      <c r="N631" s="39" t="n">
        <f aca="false">IF(COUNT('Business Case'!B11:G11)=0,"",H631+NPV(G631,I631:M631))</f>
        <v>-516422053.830098</v>
      </c>
      <c r="P631" s="40" t="n">
        <f aca="true">RAND()</f>
        <v>0.612666924244428</v>
      </c>
      <c r="Q631" s="40" t="n">
        <f aca="true">RAND()</f>
        <v>0.839346287010742</v>
      </c>
      <c r="R631" s="40" t="n">
        <f aca="true">RAND()</f>
        <v>0.183618550851105</v>
      </c>
      <c r="S631" s="40" t="n">
        <f aca="true">RAND()</f>
        <v>0.205051852378817</v>
      </c>
      <c r="T631" s="40" t="n">
        <f aca="true">RAND()</f>
        <v>0.995476368833497</v>
      </c>
      <c r="U631" s="40" t="n">
        <f aca="true">RAND()</f>
        <v>0.916525547111716</v>
      </c>
    </row>
    <row r="632" customFormat="false" ht="15" hidden="false" customHeight="false" outlineLevel="0" collapsed="false">
      <c r="A632" s="36" t="n">
        <v>552</v>
      </c>
      <c r="B632" s="37" t="n">
        <f aca="false">1+IF($G$6=$E$6,$F$6,IF(P632&lt;($F$6-$E$6)/($G$6-$E$6),$E$6+SQRT(P632*($G$6-$E$6)*($F$6-$E$6)),$G$6-SQRT((1-P632)*($G$6-$E$6)*($G$6-$F$6))))</f>
        <v>0.920787116787106</v>
      </c>
      <c r="C632" s="37" t="n">
        <f aca="false">1+IF($G$7=$E$7,$F$7,IF(Q632&lt;($F$7-$E$7)/($G$7-$E$7),$E$7+SQRT(Q632*($G$7-$E$7)*($F$7-$E$7)),$G$7-SQRT((1-Q632)*($G$7-$E$7)*($G$7-$F$7))))</f>
        <v>1.00961625176672</v>
      </c>
      <c r="D632" s="37" t="n">
        <f aca="false">1+IF($G$8=$E$8,$F$8,IF(R632&lt;($F$8-$E$8)/($G$8-$E$8),$E$8+SQRT(R632*($G$8-$E$8)*($F$8-$E$8)),$G$8-SQRT((1-R632)*($G$8-$E$8)*($G$8-$F$8))))</f>
        <v>1.02421265006888</v>
      </c>
      <c r="E632" s="37" t="n">
        <f aca="false">1+IF($G$9=$E$9,$F$9,IF(S632&lt;($F$9-$E$9)/($G$9-$E$9),$E$9+SQRT(S632*($G$9-$E$9)*($F$9-$E$9)),$G$9-SQRT((1-S632)*($G$9-$E$9)*($G$9-$F$9))))</f>
        <v>0.93784907415855</v>
      </c>
      <c r="F632" s="37" t="n">
        <f aca="false">1+IF($G$10=$E$10,$F$10,IF(T632&lt;($F$10-$E$10)/($G$10-$E$10),$E$10+SQRT(T632*($G$10-$E$10)*($F$10-$E$10)),$G$10-SQRT((1-T632)*($G$10-$E$10)*($G$10-$F$10))))</f>
        <v>1.09817678508778</v>
      </c>
      <c r="G632" s="38" t="n">
        <f aca="false">IF($G$11=$E$11,$F$11,IF(U632&lt;($F$11-$E$11)/($G$11-$E$11),$E$11+SQRT(U632*($G$11-$E$11)*($F$11-$E$11)),$G$11-SQRT((1-U632)*($G$11-$E$11)*($G$11-$F$11))))</f>
        <v>0.119078376007507</v>
      </c>
      <c r="H632" s="39" t="n">
        <f aca="false">(('Business Case'!B11*$C632*'Business Case'!B12*$B632)-'Business Case'!B11*$C632*'Business Case'!B13*$D632-'Business Case'!B14*$E632)-MAX(0,(('Business Case'!B11*$C632*'Business Case'!B12*$B632)-'Business Case'!B11*$C632*'Business Case'!B13*$D632-'Business Case'!B14*$E632))*'Business Case'!$B$7-'Business Case'!$B$8*('Business Case'!B11*$C632*'Business Case'!B12*$B632)-'Business Case'!B15*$F632</f>
        <v>-2196353570.17557</v>
      </c>
      <c r="I632" s="39" t="n">
        <f aca="false">(('Business Case'!C11*$C632*'Business Case'!C12*$B632)-'Business Case'!C11*$C632*'Business Case'!C13*$D632-'Business Case'!C14*$E632)-MAX(0,(('Business Case'!C11*$C632*'Business Case'!C12*$B632)-'Business Case'!C11*$C632*'Business Case'!C13*$D632-'Business Case'!C14*$E632))*'Business Case'!$B$7-'Business Case'!$B$8*(('Business Case'!C11*$C632*'Business Case'!C12*$B632)-('Business Case'!B11*$C632*'Business Case'!B12*$B632))-'Business Case'!C15*$F632</f>
        <v>-59285888.3016724</v>
      </c>
      <c r="J632" s="39" t="n">
        <f aca="false">(('Business Case'!D11*$C632*'Business Case'!D12*$B632)-'Business Case'!D11*$C632*'Business Case'!D13*$D632-'Business Case'!D14*$E632)-MAX(0,(('Business Case'!D11*$C632*'Business Case'!D12*$B632)-'Business Case'!D11*$C632*'Business Case'!D13*$D632-'Business Case'!D14*$E632))*'Business Case'!$B$7-'Business Case'!$B$8*(('Business Case'!D11*$C632*'Business Case'!D12*$B632)-('Business Case'!C11*$C632*'Business Case'!C12*$B632))-'Business Case'!D15*$F632</f>
        <v>172800662.740111</v>
      </c>
      <c r="K632" s="39" t="n">
        <f aca="false">(('Business Case'!E11*$C632*'Business Case'!E12*$B632)-'Business Case'!E11*$C632*'Business Case'!E13*$D632-'Business Case'!E14*$E632)-MAX(0,(('Business Case'!E11*$C632*'Business Case'!E12*$B632)-'Business Case'!E11*$C632*'Business Case'!E13*$D632-'Business Case'!E14*$E632))*'Business Case'!$B$7-'Business Case'!$B$8*(('Business Case'!E11*$C632*'Business Case'!E12*$B632)-('Business Case'!D11*$C632*'Business Case'!D12*$B632))-'Business Case'!E15*$F632</f>
        <v>459796053.036283</v>
      </c>
      <c r="L632" s="39" t="n">
        <f aca="false">(('Business Case'!F11*$C632*'Business Case'!F12*$B632)-'Business Case'!F11*$C632*'Business Case'!F13*$D632-'Business Case'!F14*$E632)-MAX(0,(('Business Case'!F11*$C632*'Business Case'!F12*$B632)-'Business Case'!F11*$C632*'Business Case'!F13*$D632-'Business Case'!F14*$E632))*'Business Case'!$B$7-'Business Case'!$B$8*(('Business Case'!F11*$C632*'Business Case'!F12*$B632)-('Business Case'!E11*$C632*'Business Case'!E12*$B632))-'Business Case'!F15*$F632</f>
        <v>569286651.709765</v>
      </c>
      <c r="M632" s="39" t="n">
        <f aca="false">(('Business Case'!G11*$C632*'Business Case'!G12*$B632)-'Business Case'!G11*$C632*'Business Case'!G13*$D632-'Business Case'!G14*$E632)-MAX(0,(('Business Case'!G11*$C632*'Business Case'!G12*$B632)-'Business Case'!G11*$C632*'Business Case'!G13*$D632-'Business Case'!G14*$E632))*'Business Case'!$B$7-'Business Case'!$B$8*(('Business Case'!G11*$C632*'Business Case'!G12*$B632)-('Business Case'!F11*$C632*'Business Case'!F12*$B632))-'Business Case'!G15*$F632+'Business Case'!$B$8*('Business Case'!G11*$C632*'Business Case'!G12*$B632)</f>
        <v>745992934.170648</v>
      </c>
      <c r="N632" s="39" t="n">
        <f aca="false">IF(COUNT('Business Case'!B11:G11)=0,"",H632+NPV(G632,I632:M632))</f>
        <v>-995237773.832975</v>
      </c>
      <c r="P632" s="40" t="n">
        <f aca="true">RAND()</f>
        <v>0.0288069482880511</v>
      </c>
      <c r="Q632" s="40" t="n">
        <f aca="true">RAND()</f>
        <v>0.708035603436685</v>
      </c>
      <c r="R632" s="40" t="n">
        <f aca="true">RAND()</f>
        <v>0.61708517269452</v>
      </c>
      <c r="S632" s="40" t="n">
        <f aca="true">RAND()</f>
        <v>0.0573020965863765</v>
      </c>
      <c r="T632" s="40" t="n">
        <f aca="true">RAND()</f>
        <v>0.692662818849583</v>
      </c>
      <c r="U632" s="40" t="n">
        <f aca="true">RAND()</f>
        <v>0.920478752911074</v>
      </c>
    </row>
    <row r="633" customFormat="false" ht="15" hidden="false" customHeight="false" outlineLevel="0" collapsed="false">
      <c r="A633" s="36" t="n">
        <v>553</v>
      </c>
      <c r="B633" s="37" t="n">
        <f aca="false">1+IF($G$6=$E$6,$F$6,IF(P633&lt;($F$6-$E$6)/($G$6-$E$6),$E$6+SQRT(P633*($G$6-$E$6)*($F$6-$E$6)),$G$6-SQRT((1-P633)*($G$6-$E$6)*($G$6-$F$6))))</f>
        <v>1.00833055407475</v>
      </c>
      <c r="C633" s="37" t="n">
        <f aca="false">1+IF($G$7=$E$7,$F$7,IF(Q633&lt;($F$7-$E$7)/($G$7-$E$7),$E$7+SQRT(Q633*($G$7-$E$7)*($F$7-$E$7)),$G$7-SQRT((1-Q633)*($G$7-$E$7)*($G$7-$F$7))))</f>
        <v>1.09956075197727</v>
      </c>
      <c r="D633" s="37" t="n">
        <f aca="false">1+IF($G$8=$E$8,$F$8,IF(R633&lt;($F$8-$E$8)/($G$8-$E$8),$E$8+SQRT(R633*($G$8-$E$8)*($F$8-$E$8)),$G$8-SQRT((1-R633)*($G$8-$E$8)*($G$8-$F$8))))</f>
        <v>1.01723126580528</v>
      </c>
      <c r="E633" s="37" t="n">
        <f aca="false">1+IF($G$9=$E$9,$F$9,IF(S633&lt;($F$9-$E$9)/($G$9-$E$9),$E$9+SQRT(S633*($G$9-$E$9)*($F$9-$E$9)),$G$9-SQRT((1-S633)*($G$9-$E$9)*($G$9-$F$9))))</f>
        <v>1.06451710917242</v>
      </c>
      <c r="F633" s="37" t="n">
        <f aca="false">1+IF($G$10=$E$10,$F$10,IF(T633&lt;($F$10-$E$10)/($G$10-$E$10),$E$10+SQRT(T633*($G$10-$E$10)*($F$10-$E$10)),$G$10-SQRT((1-T633)*($G$10-$E$10)*($G$10-$F$10))))</f>
        <v>1.01590589553726</v>
      </c>
      <c r="G633" s="38" t="n">
        <f aca="false">IF($G$11=$E$11,$F$11,IF(U633&lt;($F$11-$E$11)/($G$11-$E$11),$E$11+SQRT(U633*($G$11-$E$11)*($F$11-$E$11)),$G$11-SQRT((1-U633)*($G$11-$E$11)*($G$11-$F$11))))</f>
        <v>0.103689002246269</v>
      </c>
      <c r="H633" s="39" t="n">
        <f aca="false">(('Business Case'!B11*$C633*'Business Case'!B12*$B633)-'Business Case'!B11*$C633*'Business Case'!B13*$D633-'Business Case'!B14*$E633)-MAX(0,(('Business Case'!B11*$C633*'Business Case'!B12*$B633)-'Business Case'!B11*$C633*'Business Case'!B13*$D633-'Business Case'!B14*$E633))*'Business Case'!$B$7-'Business Case'!$B$8*('Business Case'!B11*$C633*'Business Case'!B12*$B633)-'Business Case'!B15*$F633</f>
        <v>-2031811791.07452</v>
      </c>
      <c r="I633" s="39" t="n">
        <f aca="false">(('Business Case'!C11*$C633*'Business Case'!C12*$B633)-'Business Case'!C11*$C633*'Business Case'!C13*$D633-'Business Case'!C14*$E633)-MAX(0,(('Business Case'!C11*$C633*'Business Case'!C12*$B633)-'Business Case'!C11*$C633*'Business Case'!C13*$D633-'Business Case'!C14*$E633))*'Business Case'!$B$7-'Business Case'!$B$8*(('Business Case'!C11*$C633*'Business Case'!C12*$B633)-('Business Case'!B11*$C633*'Business Case'!B12*$B633))-'Business Case'!C15*$F633</f>
        <v>25094681.2911786</v>
      </c>
      <c r="J633" s="39" t="n">
        <f aca="false">(('Business Case'!D11*$C633*'Business Case'!D12*$B633)-'Business Case'!D11*$C633*'Business Case'!D13*$D633-'Business Case'!D14*$E633)-MAX(0,(('Business Case'!D11*$C633*'Business Case'!D12*$B633)-'Business Case'!D11*$C633*'Business Case'!D13*$D633-'Business Case'!D14*$E633))*'Business Case'!$B$7-'Business Case'!$B$8*(('Business Case'!D11*$C633*'Business Case'!D12*$B633)-('Business Case'!C11*$C633*'Business Case'!C12*$B633))-'Business Case'!D15*$F633</f>
        <v>360630366.266602</v>
      </c>
      <c r="K633" s="39" t="n">
        <f aca="false">(('Business Case'!E11*$C633*'Business Case'!E12*$B633)-'Business Case'!E11*$C633*'Business Case'!E13*$D633-'Business Case'!E14*$E633)-MAX(0,(('Business Case'!E11*$C633*'Business Case'!E12*$B633)-'Business Case'!E11*$C633*'Business Case'!E13*$D633-'Business Case'!E14*$E633))*'Business Case'!$B$7-'Business Case'!$B$8*(('Business Case'!E11*$C633*'Business Case'!E12*$B633)-('Business Case'!D11*$C633*'Business Case'!D12*$B633))-'Business Case'!E15*$F633</f>
        <v>746961346.018888</v>
      </c>
      <c r="L633" s="39" t="n">
        <f aca="false">(('Business Case'!F11*$C633*'Business Case'!F12*$B633)-'Business Case'!F11*$C633*'Business Case'!F13*$D633-'Business Case'!F14*$E633)-MAX(0,(('Business Case'!F11*$C633*'Business Case'!F12*$B633)-'Business Case'!F11*$C633*'Business Case'!F13*$D633-'Business Case'!F14*$E633))*'Business Case'!$B$7-'Business Case'!$B$8*(('Business Case'!F11*$C633*'Business Case'!F12*$B633)-('Business Case'!E11*$C633*'Business Case'!E12*$B633))-'Business Case'!F15*$F633</f>
        <v>897123961.814829</v>
      </c>
      <c r="M633" s="39" t="n">
        <f aca="false">(('Business Case'!G11*$C633*'Business Case'!G12*$B633)-'Business Case'!G11*$C633*'Business Case'!G13*$D633-'Business Case'!G14*$E633)-MAX(0,(('Business Case'!G11*$C633*'Business Case'!G12*$B633)-'Business Case'!G11*$C633*'Business Case'!G13*$D633-'Business Case'!G14*$E633))*'Business Case'!$B$7-'Business Case'!$B$8*(('Business Case'!G11*$C633*'Business Case'!G12*$B633)-('Business Case'!F11*$C633*'Business Case'!F12*$B633))-'Business Case'!G15*$F633+'Business Case'!$B$8*('Business Case'!G11*$C633*'Business Case'!G12*$B633)</f>
        <v>1107869592.90423</v>
      </c>
      <c r="N633" s="39" t="n">
        <f aca="false">IF(COUNT('Business Case'!B11:G11)=0,"",H633+NPV(G633,I633:M633))</f>
        <v>123649071.095816</v>
      </c>
      <c r="P633" s="40" t="n">
        <f aca="true">RAND()</f>
        <v>0.768487636837738</v>
      </c>
      <c r="Q633" s="40" t="n">
        <f aca="true">RAND()</f>
        <v>0.962309366798547</v>
      </c>
      <c r="R633" s="40" t="n">
        <f aca="true">RAND()</f>
        <v>0.54328910932023</v>
      </c>
      <c r="S633" s="40" t="n">
        <f aca="true">RAND()</f>
        <v>0.805138010020263</v>
      </c>
      <c r="T633" s="40" t="n">
        <f aca="true">RAND()</f>
        <v>0.269332670077181</v>
      </c>
      <c r="U633" s="40" t="n">
        <f aca="true">RAND()</f>
        <v>0.538487598135445</v>
      </c>
    </row>
    <row r="634" customFormat="false" ht="15" hidden="false" customHeight="false" outlineLevel="0" collapsed="false">
      <c r="A634" s="36" t="n">
        <v>554</v>
      </c>
      <c r="B634" s="37" t="n">
        <f aca="false">1+IF($G$6=$E$6,$F$6,IF(P634&lt;($F$6-$E$6)/($G$6-$E$6),$E$6+SQRT(P634*($G$6-$E$6)*($F$6-$E$6)),$G$6-SQRT((1-P634)*($G$6-$E$6)*($G$6-$F$6))))</f>
        <v>1.00468135864851</v>
      </c>
      <c r="C634" s="37" t="n">
        <f aca="false">1+IF($G$7=$E$7,$F$7,IF(Q634&lt;($F$7-$E$7)/($G$7-$E$7),$E$7+SQRT(Q634*($G$7-$E$7)*($F$7-$E$7)),$G$7-SQRT((1-Q634)*($G$7-$E$7)*($G$7-$F$7))))</f>
        <v>1.12511894190561</v>
      </c>
      <c r="D634" s="37" t="n">
        <f aca="false">1+IF($G$8=$E$8,$F$8,IF(R634&lt;($F$8-$E$8)/($G$8-$E$8),$E$8+SQRT(R634*($G$8-$E$8)*($F$8-$E$8)),$G$8-SQRT((1-R634)*($G$8-$E$8)*($G$8-$F$8))))</f>
        <v>1.00612566766974</v>
      </c>
      <c r="E634" s="37" t="n">
        <f aca="false">1+IF($G$9=$E$9,$F$9,IF(S634&lt;($F$9-$E$9)/($G$9-$E$9),$E$9+SQRT(S634*($G$9-$E$9)*($F$9-$E$9)),$G$9-SQRT((1-S634)*($G$9-$E$9)*($G$9-$F$9))))</f>
        <v>1.10166686132792</v>
      </c>
      <c r="F634" s="37" t="n">
        <f aca="false">1+IF($G$10=$E$10,$F$10,IF(T634&lt;($F$10-$E$10)/($G$10-$E$10),$E$10+SQRT(T634*($G$10-$E$10)*($F$10-$E$10)),$G$10-SQRT((1-T634)*($G$10-$E$10)*($G$10-$F$10))))</f>
        <v>1.14392614314559</v>
      </c>
      <c r="G634" s="38" t="n">
        <f aca="false">IF($G$11=$E$11,$F$11,IF(U634&lt;($F$11-$E$11)/($G$11-$E$11),$E$11+SQRT(U634*($G$11-$E$11)*($F$11-$E$11)),$G$11-SQRT((1-U634)*($G$11-$E$11)*($G$11-$F$11))))</f>
        <v>0.109632230247948</v>
      </c>
      <c r="H634" s="39" t="n">
        <f aca="false">(('Business Case'!B11*$C634*'Business Case'!B12*$B634)-'Business Case'!B11*$C634*'Business Case'!B13*$D634-'Business Case'!B14*$E634)-MAX(0,(('Business Case'!B11*$C634*'Business Case'!B12*$B634)-'Business Case'!B11*$C634*'Business Case'!B13*$D634-'Business Case'!B14*$E634))*'Business Case'!$B$7-'Business Case'!$B$8*('Business Case'!B11*$C634*'Business Case'!B12*$B634)-'Business Case'!B15*$F634</f>
        <v>-2287852286.29118</v>
      </c>
      <c r="I634" s="39" t="n">
        <f aca="false">(('Business Case'!C11*$C634*'Business Case'!C12*$B634)-'Business Case'!C11*$C634*'Business Case'!C13*$D634-'Business Case'!C14*$E634)-MAX(0,(('Business Case'!C11*$C634*'Business Case'!C12*$B634)-'Business Case'!C11*$C634*'Business Case'!C13*$D634-'Business Case'!C14*$E634))*'Business Case'!$B$7-'Business Case'!$B$8*(('Business Case'!C11*$C634*'Business Case'!C12*$B634)-('Business Case'!B11*$C634*'Business Case'!B12*$B634))-'Business Case'!C15*$F634</f>
        <v>16719595.4292234</v>
      </c>
      <c r="J634" s="39" t="n">
        <f aca="false">(('Business Case'!D11*$C634*'Business Case'!D12*$B634)-'Business Case'!D11*$C634*'Business Case'!D13*$D634-'Business Case'!D14*$E634)-MAX(0,(('Business Case'!D11*$C634*'Business Case'!D12*$B634)-'Business Case'!D11*$C634*'Business Case'!D13*$D634-'Business Case'!D14*$E634))*'Business Case'!$B$7-'Business Case'!$B$8*(('Business Case'!D11*$C634*'Business Case'!D12*$B634)-('Business Case'!C11*$C634*'Business Case'!C12*$B634))-'Business Case'!D15*$F634</f>
        <v>363088044.50362</v>
      </c>
      <c r="K634" s="39" t="n">
        <f aca="false">(('Business Case'!E11*$C634*'Business Case'!E12*$B634)-'Business Case'!E11*$C634*'Business Case'!E13*$D634-'Business Case'!E14*$E634)-MAX(0,(('Business Case'!E11*$C634*'Business Case'!E12*$B634)-'Business Case'!E11*$C634*'Business Case'!E13*$D634-'Business Case'!E14*$E634))*'Business Case'!$B$7-'Business Case'!$B$8*(('Business Case'!E11*$C634*'Business Case'!E12*$B634)-('Business Case'!D11*$C634*'Business Case'!D12*$B634))-'Business Case'!E15*$F634</f>
        <v>766652800.735296</v>
      </c>
      <c r="L634" s="39" t="n">
        <f aca="false">(('Business Case'!F11*$C634*'Business Case'!F12*$B634)-'Business Case'!F11*$C634*'Business Case'!F13*$D634-'Business Case'!F14*$E634)-MAX(0,(('Business Case'!F11*$C634*'Business Case'!F12*$B634)-'Business Case'!F11*$C634*'Business Case'!F13*$D634-'Business Case'!F14*$E634))*'Business Case'!$B$7-'Business Case'!$B$8*(('Business Case'!F11*$C634*'Business Case'!F12*$B634)-('Business Case'!E11*$C634*'Business Case'!E12*$B634))-'Business Case'!F15*$F634</f>
        <v>921175091.526618</v>
      </c>
      <c r="M634" s="39" t="n">
        <f aca="false">(('Business Case'!G11*$C634*'Business Case'!G12*$B634)-'Business Case'!G11*$C634*'Business Case'!G13*$D634-'Business Case'!G14*$E634)-MAX(0,(('Business Case'!G11*$C634*'Business Case'!G12*$B634)-'Business Case'!G11*$C634*'Business Case'!G13*$D634-'Business Case'!G14*$E634))*'Business Case'!$B$7-'Business Case'!$B$8*(('Business Case'!G11*$C634*'Business Case'!G12*$B634)-('Business Case'!F11*$C634*'Business Case'!F12*$B634))-'Business Case'!G15*$F634+'Business Case'!$B$8*('Business Case'!G11*$C634*'Business Case'!G12*$B634)</f>
        <v>1136038867.57582</v>
      </c>
      <c r="N634" s="39" t="n">
        <f aca="false">IF(COUNT('Business Case'!B11:G11)=0,"",H634+NPV(G634,I634:M634))</f>
        <v>-133858156.476311</v>
      </c>
      <c r="P634" s="40" t="n">
        <f aca="true">RAND()</f>
        <v>0.726162766140714</v>
      </c>
      <c r="Q634" s="40" t="n">
        <f aca="true">RAND()</f>
        <v>0.990828636268199</v>
      </c>
      <c r="R634" s="40" t="n">
        <f aca="true">RAND()</f>
        <v>0.412507315303215</v>
      </c>
      <c r="S634" s="40" t="n">
        <f aca="true">RAND()</f>
        <v>0.937704205496153</v>
      </c>
      <c r="T634" s="40" t="n">
        <f aca="true">RAND()</f>
        <v>0.849977825227066</v>
      </c>
      <c r="U634" s="40" t="n">
        <f aca="true">RAND()</f>
        <v>0.723435970218266</v>
      </c>
    </row>
    <row r="635" customFormat="false" ht="15" hidden="false" customHeight="false" outlineLevel="0" collapsed="false">
      <c r="A635" s="36" t="n">
        <v>555</v>
      </c>
      <c r="B635" s="37" t="n">
        <f aca="false">1+IF($G$6=$E$6,$F$6,IF(P635&lt;($F$6-$E$6)/($G$6-$E$6),$E$6+SQRT(P635*($G$6-$E$6)*($F$6-$E$6)),$G$6-SQRT((1-P635)*($G$6-$E$6)*($G$6-$F$6))))</f>
        <v>1.04204183913719</v>
      </c>
      <c r="C635" s="37" t="n">
        <f aca="false">1+IF($G$7=$E$7,$F$7,IF(Q635&lt;($F$7-$E$7)/($G$7-$E$7),$E$7+SQRT(Q635*($G$7-$E$7)*($F$7-$E$7)),$G$7-SQRT((1-Q635)*($G$7-$E$7)*($G$7-$F$7))))</f>
        <v>0.786304099133244</v>
      </c>
      <c r="D635" s="37" t="n">
        <f aca="false">1+IF($G$8=$E$8,$F$8,IF(R635&lt;($F$8-$E$8)/($G$8-$E$8),$E$8+SQRT(R635*($G$8-$E$8)*($F$8-$E$8)),$G$8-SQRT((1-R635)*($G$8-$E$8)*($G$8-$F$8))))</f>
        <v>1.05376915673859</v>
      </c>
      <c r="E635" s="37" t="n">
        <f aca="false">1+IF($G$9=$E$9,$F$9,IF(S635&lt;($F$9-$E$9)/($G$9-$E$9),$E$9+SQRT(S635*($G$9-$E$9)*($F$9-$E$9)),$G$9-SQRT((1-S635)*($G$9-$E$9)*($G$9-$F$9))))</f>
        <v>1.00157206793049</v>
      </c>
      <c r="F635" s="37" t="n">
        <f aca="false">1+IF($G$10=$E$10,$F$10,IF(T635&lt;($F$10-$E$10)/($G$10-$E$10),$E$10+SQRT(T635*($G$10-$E$10)*($F$10-$E$10)),$G$10-SQRT((1-T635)*($G$10-$E$10)*($G$10-$F$10))))</f>
        <v>1.11205037117249</v>
      </c>
      <c r="G635" s="38" t="n">
        <f aca="false">IF($G$11=$E$11,$F$11,IF(U635&lt;($F$11-$E$11)/($G$11-$E$11),$E$11+SQRT(U635*($G$11-$E$11)*($F$11-$E$11)),$G$11-SQRT((1-U635)*($G$11-$E$11)*($G$11-$F$11))))</f>
        <v>0.103985310754499</v>
      </c>
      <c r="H635" s="39" t="n">
        <f aca="false">(('Business Case'!B11*$C635*'Business Case'!B12*$B635)-'Business Case'!B11*$C635*'Business Case'!B13*$D635-'Business Case'!B14*$E635)-MAX(0,(('Business Case'!B11*$C635*'Business Case'!B12*$B635)-'Business Case'!B11*$C635*'Business Case'!B13*$D635-'Business Case'!B14*$E635))*'Business Case'!$B$7-'Business Case'!$B$8*('Business Case'!B11*$C635*'Business Case'!B12*$B635)-'Business Case'!B15*$F635</f>
        <v>-2224100742.34497</v>
      </c>
      <c r="I635" s="39" t="n">
        <f aca="false">(('Business Case'!C11*$C635*'Business Case'!C12*$B635)-'Business Case'!C11*$C635*'Business Case'!C13*$D635-'Business Case'!C14*$E635)-MAX(0,(('Business Case'!C11*$C635*'Business Case'!C12*$B635)-'Business Case'!C11*$C635*'Business Case'!C13*$D635-'Business Case'!C14*$E635))*'Business Case'!$B$7-'Business Case'!$B$8*(('Business Case'!C11*$C635*'Business Case'!C12*$B635)-('Business Case'!B11*$C635*'Business Case'!B12*$B635))-'Business Case'!C15*$F635</f>
        <v>-49156229.1681629</v>
      </c>
      <c r="J635" s="39" t="n">
        <f aca="false">(('Business Case'!D11*$C635*'Business Case'!D12*$B635)-'Business Case'!D11*$C635*'Business Case'!D13*$D635-'Business Case'!D14*$E635)-MAX(0,(('Business Case'!D11*$C635*'Business Case'!D12*$B635)-'Business Case'!D11*$C635*'Business Case'!D13*$D635-'Business Case'!D14*$E635))*'Business Case'!$B$7-'Business Case'!$B$8*(('Business Case'!D11*$C635*'Business Case'!D12*$B635)-('Business Case'!C11*$C635*'Business Case'!C12*$B635))-'Business Case'!D15*$F635</f>
        <v>197791840.975765</v>
      </c>
      <c r="K635" s="39" t="n">
        <f aca="false">(('Business Case'!E11*$C635*'Business Case'!E12*$B635)-'Business Case'!E11*$C635*'Business Case'!E13*$D635-'Business Case'!E14*$E635)-MAX(0,(('Business Case'!E11*$C635*'Business Case'!E12*$B635)-'Business Case'!E11*$C635*'Business Case'!E13*$D635-'Business Case'!E14*$E635))*'Business Case'!$B$7-'Business Case'!$B$8*(('Business Case'!E11*$C635*'Business Case'!E12*$B635)-('Business Case'!D11*$C635*'Business Case'!D12*$B635))-'Business Case'!E15*$F635</f>
        <v>500342429.678319</v>
      </c>
      <c r="L635" s="39" t="n">
        <f aca="false">(('Business Case'!F11*$C635*'Business Case'!F12*$B635)-'Business Case'!F11*$C635*'Business Case'!F13*$D635-'Business Case'!F14*$E635)-MAX(0,(('Business Case'!F11*$C635*'Business Case'!F12*$B635)-'Business Case'!F11*$C635*'Business Case'!F13*$D635-'Business Case'!F14*$E635))*'Business Case'!$B$7-'Business Case'!$B$8*(('Business Case'!F11*$C635*'Business Case'!F12*$B635)-('Business Case'!E11*$C635*'Business Case'!E12*$B635))-'Business Case'!F15*$F635</f>
        <v>610975595.816379</v>
      </c>
      <c r="M635" s="39" t="n">
        <f aca="false">(('Business Case'!G11*$C635*'Business Case'!G12*$B635)-'Business Case'!G11*$C635*'Business Case'!G13*$D635-'Business Case'!G14*$E635)-MAX(0,(('Business Case'!G11*$C635*'Business Case'!G12*$B635)-'Business Case'!G11*$C635*'Business Case'!G13*$D635-'Business Case'!G14*$E635))*'Business Case'!$B$7-'Business Case'!$B$8*(('Business Case'!G11*$C635*'Business Case'!G12*$B635)-('Business Case'!F11*$C635*'Business Case'!F12*$B635))-'Business Case'!G15*$F635+'Business Case'!$B$8*('Business Case'!G11*$C635*'Business Case'!G12*$B635)</f>
        <v>766719880.97851</v>
      </c>
      <c r="N635" s="39" t="n">
        <f aca="false">IF(COUNT('Business Case'!B11:G11)=0,"",H635+NPV(G635,I635:M635))</f>
        <v>-855629427.777901</v>
      </c>
      <c r="P635" s="40" t="n">
        <f aca="true">RAND()</f>
        <v>0.991555690090892</v>
      </c>
      <c r="Q635" s="40" t="n">
        <f aca="true">RAND()</f>
        <v>0.0551733150163017</v>
      </c>
      <c r="R635" s="40" t="n">
        <f aca="true">RAND()</f>
        <v>0.857513942089258</v>
      </c>
      <c r="S635" s="40" t="n">
        <f aca="true">RAND()</f>
        <v>0.412510639508528</v>
      </c>
      <c r="T635" s="40" t="n">
        <f aca="true">RAND()</f>
        <v>0.746265332084681</v>
      </c>
      <c r="U635" s="40" t="n">
        <f aca="true">RAND()</f>
        <v>0.548823962306676</v>
      </c>
    </row>
    <row r="636" customFormat="false" ht="15" hidden="false" customHeight="false" outlineLevel="0" collapsed="false">
      <c r="A636" s="36" t="n">
        <v>556</v>
      </c>
      <c r="B636" s="37" t="n">
        <f aca="false">1+IF($G$6=$E$6,$F$6,IF(P636&lt;($F$6-$E$6)/($G$6-$E$6),$E$6+SQRT(P636*($G$6-$E$6)*($F$6-$E$6)),$G$6-SQRT((1-P636)*($G$6-$E$6)*($G$6-$F$6))))</f>
        <v>1.00376595342846</v>
      </c>
      <c r="C636" s="37" t="n">
        <f aca="false">1+IF($G$7=$E$7,$F$7,IF(Q636&lt;($F$7-$E$7)/($G$7-$E$7),$E$7+SQRT(Q636*($G$7-$E$7)*($F$7-$E$7)),$G$7-SQRT((1-Q636)*($G$7-$E$7)*($G$7-$F$7))))</f>
        <v>0.936036852540642</v>
      </c>
      <c r="D636" s="37" t="n">
        <f aca="false">1+IF($G$8=$E$8,$F$8,IF(R636&lt;($F$8-$E$8)/($G$8-$E$8),$E$8+SQRT(R636*($G$8-$E$8)*($F$8-$E$8)),$G$8-SQRT((1-R636)*($G$8-$E$8)*($G$8-$F$8))))</f>
        <v>1.04280738399075</v>
      </c>
      <c r="E636" s="37" t="n">
        <f aca="false">1+IF($G$9=$E$9,$F$9,IF(S636&lt;($F$9-$E$9)/($G$9-$E$9),$E$9+SQRT(S636*($G$9-$E$9)*($F$9-$E$9)),$G$9-SQRT((1-S636)*($G$9-$E$9)*($G$9-$F$9))))</f>
        <v>0.995849852654633</v>
      </c>
      <c r="F636" s="37" t="n">
        <f aca="false">1+IF($G$10=$E$10,$F$10,IF(T636&lt;($F$10-$E$10)/($G$10-$E$10),$E$10+SQRT(T636*($G$10-$E$10)*($F$10-$E$10)),$G$10-SQRT((1-T636)*($G$10-$E$10)*($G$10-$F$10))))</f>
        <v>1.00557767852471</v>
      </c>
      <c r="G636" s="38" t="n">
        <f aca="false">IF($G$11=$E$11,$F$11,IF(U636&lt;($F$11-$E$11)/($G$11-$E$11),$E$11+SQRT(U636*($G$11-$E$11)*($F$11-$E$11)),$G$11-SQRT((1-U636)*($G$11-$E$11)*($G$11-$F$11))))</f>
        <v>0.0961052859358796</v>
      </c>
      <c r="H636" s="39" t="n">
        <f aca="false">(('Business Case'!B11*$C636*'Business Case'!B12*$B636)-'Business Case'!B11*$C636*'Business Case'!B13*$D636-'Business Case'!B14*$E636)-MAX(0,(('Business Case'!B11*$C636*'Business Case'!B12*$B636)-'Business Case'!B11*$C636*'Business Case'!B13*$D636-'Business Case'!B14*$E636))*'Business Case'!$B$7-'Business Case'!$B$8*('Business Case'!B11*$C636*'Business Case'!B12*$B636)-'Business Case'!B15*$F636</f>
        <v>-2011155357.04942</v>
      </c>
      <c r="I636" s="39" t="n">
        <f aca="false">(('Business Case'!C11*$C636*'Business Case'!C12*$B636)-'Business Case'!C11*$C636*'Business Case'!C13*$D636-'Business Case'!C14*$E636)-MAX(0,(('Business Case'!C11*$C636*'Business Case'!C12*$B636)-'Business Case'!C11*$C636*'Business Case'!C13*$D636-'Business Case'!C14*$E636))*'Business Case'!$B$7-'Business Case'!$B$8*(('Business Case'!C11*$C636*'Business Case'!C12*$B636)-('Business Case'!B11*$C636*'Business Case'!B12*$B636))-'Business Case'!C15*$F636</f>
        <v>-20993898.9944972</v>
      </c>
      <c r="J636" s="39" t="n">
        <f aca="false">(('Business Case'!D11*$C636*'Business Case'!D12*$B636)-'Business Case'!D11*$C636*'Business Case'!D13*$D636-'Business Case'!D14*$E636)-MAX(0,(('Business Case'!D11*$C636*'Business Case'!D12*$B636)-'Business Case'!D11*$C636*'Business Case'!D13*$D636-'Business Case'!D14*$E636))*'Business Case'!$B$7-'Business Case'!$B$8*(('Business Case'!D11*$C636*'Business Case'!D12*$B636)-('Business Case'!C11*$C636*'Business Case'!C12*$B636))-'Business Case'!D15*$F636</f>
        <v>248886709.037369</v>
      </c>
      <c r="K636" s="39" t="n">
        <f aca="false">(('Business Case'!E11*$C636*'Business Case'!E12*$B636)-'Business Case'!E11*$C636*'Business Case'!E13*$D636-'Business Case'!E14*$E636)-MAX(0,(('Business Case'!E11*$C636*'Business Case'!E12*$B636)-'Business Case'!E11*$C636*'Business Case'!E13*$D636-'Business Case'!E14*$E636))*'Business Case'!$B$7-'Business Case'!$B$8*(('Business Case'!E11*$C636*'Business Case'!E12*$B636)-('Business Case'!D11*$C636*'Business Case'!D12*$B636))-'Business Case'!E15*$F636</f>
        <v>569046200.99547</v>
      </c>
      <c r="L636" s="39" t="n">
        <f aca="false">(('Business Case'!F11*$C636*'Business Case'!F12*$B636)-'Business Case'!F11*$C636*'Business Case'!F13*$D636-'Business Case'!F14*$E636)-MAX(0,(('Business Case'!F11*$C636*'Business Case'!F12*$B636)-'Business Case'!F11*$C636*'Business Case'!F13*$D636-'Business Case'!F14*$E636))*'Business Case'!$B$7-'Business Case'!$B$8*(('Business Case'!F11*$C636*'Business Case'!F12*$B636)-('Business Case'!E11*$C636*'Business Case'!E12*$B636))-'Business Case'!F15*$F636</f>
        <v>691477663.757027</v>
      </c>
      <c r="M636" s="39" t="n">
        <f aca="false">(('Business Case'!G11*$C636*'Business Case'!G12*$B636)-'Business Case'!G11*$C636*'Business Case'!G13*$D636-'Business Case'!G14*$E636)-MAX(0,(('Business Case'!G11*$C636*'Business Case'!G12*$B636)-'Business Case'!G11*$C636*'Business Case'!G13*$D636-'Business Case'!G14*$E636))*'Business Case'!$B$7-'Business Case'!$B$8*(('Business Case'!G11*$C636*'Business Case'!G12*$B636)-('Business Case'!F11*$C636*'Business Case'!F12*$B636))-'Business Case'!G15*$F636+'Business Case'!$B$8*('Business Case'!G11*$C636*'Business Case'!G12*$B636)</f>
        <v>870069594.220506</v>
      </c>
      <c r="N636" s="39" t="n">
        <f aca="false">IF(COUNT('Business Case'!B11:G11)=0,"",H636+NPV(G636,I636:M636))</f>
        <v>-362097997.611459</v>
      </c>
      <c r="P636" s="40" t="n">
        <f aca="true">RAND()</f>
        <v>0.714988391682709</v>
      </c>
      <c r="Q636" s="40" t="n">
        <f aca="true">RAND()</f>
        <v>0.412691820424392</v>
      </c>
      <c r="R636" s="40" t="n">
        <f aca="true">RAND()</f>
        <v>0.7819336449346</v>
      </c>
      <c r="S636" s="40" t="n">
        <f aca="true">RAND()</f>
        <v>0.367487770156597</v>
      </c>
      <c r="T636" s="40" t="n">
        <f aca="true">RAND()</f>
        <v>0.2034363835284</v>
      </c>
      <c r="U636" s="40" t="n">
        <f aca="true">RAND()</f>
        <v>0.259380235076442</v>
      </c>
    </row>
    <row r="637" customFormat="false" ht="15" hidden="false" customHeight="false" outlineLevel="0" collapsed="false">
      <c r="A637" s="36" t="n">
        <v>557</v>
      </c>
      <c r="B637" s="37" t="n">
        <f aca="false">1+IF($G$6=$E$6,$F$6,IF(P637&lt;($F$6-$E$6)/($G$6-$E$6),$E$6+SQRT(P637*($G$6-$E$6)*($F$6-$E$6)),$G$6-SQRT((1-P637)*($G$6-$E$6)*($G$6-$F$6))))</f>
        <v>0.962551800492263</v>
      </c>
      <c r="C637" s="37" t="n">
        <f aca="false">1+IF($G$7=$E$7,$F$7,IF(Q637&lt;($F$7-$E$7)/($G$7-$E$7),$E$7+SQRT(Q637*($G$7-$E$7)*($F$7-$E$7)),$G$7-SQRT((1-Q637)*($G$7-$E$7)*($G$7-$F$7))))</f>
        <v>0.88965338700034</v>
      </c>
      <c r="D637" s="37" t="n">
        <f aca="false">1+IF($G$8=$E$8,$F$8,IF(R637&lt;($F$8-$E$8)/($G$8-$E$8),$E$8+SQRT(R637*($G$8-$E$8)*($F$8-$E$8)),$G$8-SQRT((1-R637)*($G$8-$E$8)*($G$8-$F$8))))</f>
        <v>1.03115513903673</v>
      </c>
      <c r="E637" s="37" t="n">
        <f aca="false">1+IF($G$9=$E$9,$F$9,IF(S637&lt;($F$9-$E$9)/($G$9-$E$9),$E$9+SQRT(S637*($G$9-$E$9)*($F$9-$E$9)),$G$9-SQRT((1-S637)*($G$9-$E$9)*($G$9-$F$9))))</f>
        <v>0.949823427920018</v>
      </c>
      <c r="F637" s="37" t="n">
        <f aca="false">1+IF($G$10=$E$10,$F$10,IF(T637&lt;($F$10-$E$10)/($G$10-$E$10),$E$10+SQRT(T637*($G$10-$E$10)*($F$10-$E$10)),$G$10-SQRT((1-T637)*($G$10-$E$10)*($G$10-$F$10))))</f>
        <v>1.15351887949064</v>
      </c>
      <c r="G637" s="38" t="n">
        <f aca="false">IF($G$11=$E$11,$F$11,IF(U637&lt;($F$11-$E$11)/($G$11-$E$11),$E$11+SQRT(U637*($G$11-$E$11)*($F$11-$E$11)),$G$11-SQRT((1-U637)*($G$11-$E$11)*($G$11-$F$11))))</f>
        <v>0.107873899426287</v>
      </c>
      <c r="H637" s="39" t="n">
        <f aca="false">(('Business Case'!B11*$C637*'Business Case'!B12*$B637)-'Business Case'!B11*$C637*'Business Case'!B13*$D637-'Business Case'!B14*$E637)-MAX(0,(('Business Case'!B11*$C637*'Business Case'!B12*$B637)-'Business Case'!B11*$C637*'Business Case'!B13*$D637-'Business Case'!B14*$E637))*'Business Case'!$B$7-'Business Case'!$B$8*('Business Case'!B11*$C637*'Business Case'!B12*$B637)-'Business Case'!B15*$F637</f>
        <v>-2307037758.98128</v>
      </c>
      <c r="I637" s="39" t="n">
        <f aca="false">(('Business Case'!C11*$C637*'Business Case'!C12*$B637)-'Business Case'!C11*$C637*'Business Case'!C13*$D637-'Business Case'!C14*$E637)-MAX(0,(('Business Case'!C11*$C637*'Business Case'!C12*$B637)-'Business Case'!C11*$C637*'Business Case'!C13*$D637-'Business Case'!C14*$E637))*'Business Case'!$B$7-'Business Case'!$B$8*(('Business Case'!C11*$C637*'Business Case'!C12*$B637)-('Business Case'!B11*$C637*'Business Case'!B12*$B637))-'Business Case'!C15*$F637</f>
        <v>-63027659.2960105</v>
      </c>
      <c r="J637" s="39" t="n">
        <f aca="false">(('Business Case'!D11*$C637*'Business Case'!D12*$B637)-'Business Case'!D11*$C637*'Business Case'!D13*$D637-'Business Case'!D14*$E637)-MAX(0,(('Business Case'!D11*$C637*'Business Case'!D12*$B637)-'Business Case'!D11*$C637*'Business Case'!D13*$D637-'Business Case'!D14*$E637))*'Business Case'!$B$7-'Business Case'!$B$8*(('Business Case'!D11*$C637*'Business Case'!D12*$B637)-('Business Case'!C11*$C637*'Business Case'!C12*$B637))-'Business Case'!D15*$F637</f>
        <v>168753995.224657</v>
      </c>
      <c r="K637" s="39" t="n">
        <f aca="false">(('Business Case'!E11*$C637*'Business Case'!E12*$B637)-'Business Case'!E11*$C637*'Business Case'!E13*$D637-'Business Case'!E14*$E637)-MAX(0,(('Business Case'!E11*$C637*'Business Case'!E12*$B637)-'Business Case'!E11*$C637*'Business Case'!E13*$D637-'Business Case'!E14*$E637))*'Business Case'!$B$7-'Business Case'!$B$8*(('Business Case'!E11*$C637*'Business Case'!E12*$B637)-('Business Case'!D11*$C637*'Business Case'!D12*$B637))-'Business Case'!E15*$F637</f>
        <v>458211593.719857</v>
      </c>
      <c r="L637" s="39" t="n">
        <f aca="false">(('Business Case'!F11*$C637*'Business Case'!F12*$B637)-'Business Case'!F11*$C637*'Business Case'!F13*$D637-'Business Case'!F14*$E637)-MAX(0,(('Business Case'!F11*$C637*'Business Case'!F12*$B637)-'Business Case'!F11*$C637*'Business Case'!F13*$D637-'Business Case'!F14*$E637))*'Business Case'!$B$7-'Business Case'!$B$8*(('Business Case'!F11*$C637*'Business Case'!F12*$B637)-('Business Case'!E11*$C637*'Business Case'!E12*$B637))-'Business Case'!F15*$F637</f>
        <v>565067168.171671</v>
      </c>
      <c r="M637" s="39" t="n">
        <f aca="false">(('Business Case'!G11*$C637*'Business Case'!G12*$B637)-'Business Case'!G11*$C637*'Business Case'!G13*$D637-'Business Case'!G14*$E637)-MAX(0,(('Business Case'!G11*$C637*'Business Case'!G12*$B637)-'Business Case'!G11*$C637*'Business Case'!G13*$D637-'Business Case'!G14*$E637))*'Business Case'!$B$7-'Business Case'!$B$8*(('Business Case'!G11*$C637*'Business Case'!G12*$B637)-('Business Case'!F11*$C637*'Business Case'!F12*$B637))-'Business Case'!G15*$F637+'Business Case'!$B$8*('Business Case'!G11*$C637*'Business Case'!G12*$B637)</f>
        <v>727839794.36876</v>
      </c>
      <c r="N637" s="39" t="n">
        <f aca="false">IF(COUNT('Business Case'!B11:G11)=0,"",H637+NPV(G637,I637:M637))</f>
        <v>-1078273828.43763</v>
      </c>
      <c r="P637" s="40" t="n">
        <f aca="true">RAND()</f>
        <v>0.260848516321591</v>
      </c>
      <c r="Q637" s="40" t="n">
        <f aca="true">RAND()</f>
        <v>0.266432645931115</v>
      </c>
      <c r="R637" s="40" t="n">
        <f aca="true">RAND()</f>
        <v>0.684025674596529</v>
      </c>
      <c r="S637" s="40" t="n">
        <f aca="true">RAND()</f>
        <v>0.0992949587880478</v>
      </c>
      <c r="T637" s="40" t="n">
        <f aca="true">RAND()</f>
        <v>0.875885245136774</v>
      </c>
      <c r="U637" s="40" t="n">
        <f aca="true">RAND()</f>
        <v>0.673623782267953</v>
      </c>
    </row>
    <row r="638" customFormat="false" ht="15" hidden="false" customHeight="false" outlineLevel="0" collapsed="false">
      <c r="A638" s="36" t="n">
        <v>558</v>
      </c>
      <c r="B638" s="37" t="n">
        <f aca="false">1+IF($G$6=$E$6,$F$6,IF(P638&lt;($F$6-$E$6)/($G$6-$E$6),$E$6+SQRT(P638*($G$6-$E$6)*($F$6-$E$6)),$G$6-SQRT((1-P638)*($G$6-$E$6)*($G$6-$F$6))))</f>
        <v>1.01286230358509</v>
      </c>
      <c r="C638" s="37" t="n">
        <f aca="false">1+IF($G$7=$E$7,$F$7,IF(Q638&lt;($F$7-$E$7)/($G$7-$E$7),$E$7+SQRT(Q638*($G$7-$E$7)*($F$7-$E$7)),$G$7-SQRT((1-Q638)*($G$7-$E$7)*($G$7-$F$7))))</f>
        <v>0.992274588053556</v>
      </c>
      <c r="D638" s="37" t="n">
        <f aca="false">1+IF($G$8=$E$8,$F$8,IF(R638&lt;($F$8-$E$8)/($G$8-$E$8),$E$8+SQRT(R638*($G$8-$E$8)*($F$8-$E$8)),$G$8-SQRT((1-R638)*($G$8-$E$8)*($G$8-$F$8))))</f>
        <v>1.02866388069484</v>
      </c>
      <c r="E638" s="37" t="n">
        <f aca="false">1+IF($G$9=$E$9,$F$9,IF(S638&lt;($F$9-$E$9)/($G$9-$E$9),$E$9+SQRT(S638*($G$9-$E$9)*($F$9-$E$9)),$G$9-SQRT((1-S638)*($G$9-$E$9)*($G$9-$F$9))))</f>
        <v>1.03260956687208</v>
      </c>
      <c r="F638" s="37" t="n">
        <f aca="false">1+IF($G$10=$E$10,$F$10,IF(T638&lt;($F$10-$E$10)/($G$10-$E$10),$E$10+SQRT(T638*($G$10-$E$10)*($F$10-$E$10)),$G$10-SQRT((1-T638)*($G$10-$E$10)*($G$10-$F$10))))</f>
        <v>1.19273383917282</v>
      </c>
      <c r="G638" s="38" t="n">
        <f aca="false">IF($G$11=$E$11,$F$11,IF(U638&lt;($F$11-$E$11)/($G$11-$E$11),$E$11+SQRT(U638*($G$11-$E$11)*($F$11-$E$11)),$G$11-SQRT((1-U638)*($G$11-$E$11)*($G$11-$F$11))))</f>
        <v>0.105373399149946</v>
      </c>
      <c r="H638" s="39" t="n">
        <f aca="false">(('Business Case'!B11*$C638*'Business Case'!B12*$B638)-'Business Case'!B11*$C638*'Business Case'!B13*$D638-'Business Case'!B14*$E638)-MAX(0,(('Business Case'!B11*$C638*'Business Case'!B12*$B638)-'Business Case'!B11*$C638*'Business Case'!B13*$D638-'Business Case'!B14*$E638))*'Business Case'!$B$7-'Business Case'!$B$8*('Business Case'!B11*$C638*'Business Case'!B12*$B638)-'Business Case'!B15*$F638</f>
        <v>-2385467678.34564</v>
      </c>
      <c r="I638" s="39" t="n">
        <f aca="false">(('Business Case'!C11*$C638*'Business Case'!C12*$B638)-'Business Case'!C11*$C638*'Business Case'!C13*$D638-'Business Case'!C14*$E638)-MAX(0,(('Business Case'!C11*$C638*'Business Case'!C12*$B638)-'Business Case'!C11*$C638*'Business Case'!C13*$D638-'Business Case'!C14*$E638))*'Business Case'!$B$7-'Business Case'!$B$8*(('Business Case'!C11*$C638*'Business Case'!C12*$B638)-('Business Case'!B11*$C638*'Business Case'!B12*$B638))-'Business Case'!C15*$F638</f>
        <v>-17538975.1215536</v>
      </c>
      <c r="J638" s="39" t="n">
        <f aca="false">(('Business Case'!D11*$C638*'Business Case'!D12*$B638)-'Business Case'!D11*$C638*'Business Case'!D13*$D638-'Business Case'!D14*$E638)-MAX(0,(('Business Case'!D11*$C638*'Business Case'!D12*$B638)-'Business Case'!D11*$C638*'Business Case'!D13*$D638-'Business Case'!D14*$E638))*'Business Case'!$B$7-'Business Case'!$B$8*(('Business Case'!D11*$C638*'Business Case'!D12*$B638)-('Business Case'!C11*$C638*'Business Case'!C12*$B638))-'Business Case'!D15*$F638</f>
        <v>283133659.381711</v>
      </c>
      <c r="K638" s="39" t="n">
        <f aca="false">(('Business Case'!E11*$C638*'Business Case'!E12*$B638)-'Business Case'!E11*$C638*'Business Case'!E13*$D638-'Business Case'!E14*$E638)-MAX(0,(('Business Case'!E11*$C638*'Business Case'!E12*$B638)-'Business Case'!E11*$C638*'Business Case'!E13*$D638-'Business Case'!E14*$E638))*'Business Case'!$B$7-'Business Case'!$B$8*(('Business Case'!E11*$C638*'Business Case'!E12*$B638)-('Business Case'!D11*$C638*'Business Case'!D12*$B638))-'Business Case'!E15*$F638</f>
        <v>643442985.843616</v>
      </c>
      <c r="L638" s="39" t="n">
        <f aca="false">(('Business Case'!F11*$C638*'Business Case'!F12*$B638)-'Business Case'!F11*$C638*'Business Case'!F13*$D638-'Business Case'!F14*$E638)-MAX(0,(('Business Case'!F11*$C638*'Business Case'!F12*$B638)-'Business Case'!F11*$C638*'Business Case'!F13*$D638-'Business Case'!F14*$E638))*'Business Case'!$B$7-'Business Case'!$B$8*(('Business Case'!F11*$C638*'Business Case'!F12*$B638)-('Business Case'!E11*$C638*'Business Case'!E12*$B638))-'Business Case'!F15*$F638</f>
        <v>778401294.210254</v>
      </c>
      <c r="M638" s="39" t="n">
        <f aca="false">(('Business Case'!G11*$C638*'Business Case'!G12*$B638)-'Business Case'!G11*$C638*'Business Case'!G13*$D638-'Business Case'!G14*$E638)-MAX(0,(('Business Case'!G11*$C638*'Business Case'!G12*$B638)-'Business Case'!G11*$C638*'Business Case'!G13*$D638-'Business Case'!G14*$E638))*'Business Case'!$B$7-'Business Case'!$B$8*(('Business Case'!G11*$C638*'Business Case'!G12*$B638)-('Business Case'!F11*$C638*'Business Case'!F12*$B638))-'Business Case'!G15*$F638+'Business Case'!$B$8*('Business Case'!G11*$C638*'Business Case'!G12*$B638)</f>
        <v>969438826.970783</v>
      </c>
      <c r="N638" s="39" t="n">
        <f aca="false">IF(COUNT('Business Case'!B11:G11)=0,"",H638+NPV(G638,I638:M638))</f>
        <v>-584345180.655996</v>
      </c>
      <c r="P638" s="40" t="n">
        <f aca="true">RAND()</f>
        <v>0.816105533999185</v>
      </c>
      <c r="Q638" s="40" t="n">
        <f aca="true">RAND()</f>
        <v>0.632773591273156</v>
      </c>
      <c r="R638" s="40" t="n">
        <f aca="true">RAND()</f>
        <v>0.660743872165286</v>
      </c>
      <c r="S638" s="40" t="n">
        <f aca="true">RAND()</f>
        <v>0.632519632267721</v>
      </c>
      <c r="T638" s="40" t="n">
        <f aca="true">RAND()</f>
        <v>0.956274490988206</v>
      </c>
      <c r="U638" s="40" t="n">
        <f aca="true">RAND()</f>
        <v>0.595687020381406</v>
      </c>
    </row>
    <row r="639" customFormat="false" ht="15" hidden="false" customHeight="false" outlineLevel="0" collapsed="false">
      <c r="A639" s="36" t="n">
        <v>559</v>
      </c>
      <c r="B639" s="37" t="n">
        <f aca="false">1+IF($G$6=$E$6,$F$6,IF(P639&lt;($F$6-$E$6)/($G$6-$E$6),$E$6+SQRT(P639*($G$6-$E$6)*($F$6-$E$6)),$G$6-SQRT((1-P639)*($G$6-$E$6)*($G$6-$F$6))))</f>
        <v>1.02729418887794</v>
      </c>
      <c r="C639" s="37" t="n">
        <f aca="false">1+IF($G$7=$E$7,$F$7,IF(Q639&lt;($F$7-$E$7)/($G$7-$E$7),$E$7+SQRT(Q639*($G$7-$E$7)*($F$7-$E$7)),$G$7-SQRT((1-Q639)*($G$7-$E$7)*($G$7-$F$7))))</f>
        <v>0.791135767771587</v>
      </c>
      <c r="D639" s="37" t="n">
        <f aca="false">1+IF($G$8=$E$8,$F$8,IF(R639&lt;($F$8-$E$8)/($G$8-$E$8),$E$8+SQRT(R639*($G$8-$E$8)*($F$8-$E$8)),$G$8-SQRT((1-R639)*($G$8-$E$8)*($G$8-$F$8))))</f>
        <v>0.998645430524906</v>
      </c>
      <c r="E639" s="37" t="n">
        <f aca="false">1+IF($G$9=$E$9,$F$9,IF(S639&lt;($F$9-$E$9)/($G$9-$E$9),$E$9+SQRT(S639*($G$9-$E$9)*($F$9-$E$9)),$G$9-SQRT((1-S639)*($G$9-$E$9)*($G$9-$F$9))))</f>
        <v>0.981508997459406</v>
      </c>
      <c r="F639" s="37" t="n">
        <f aca="false">1+IF($G$10=$E$10,$F$10,IF(T639&lt;($F$10-$E$10)/($G$10-$E$10),$E$10+SQRT(T639*($G$10-$E$10)*($F$10-$E$10)),$G$10-SQRT((1-T639)*($G$10-$E$10)*($G$10-$F$10))))</f>
        <v>0.993976453015422</v>
      </c>
      <c r="G639" s="38" t="n">
        <f aca="false">IF($G$11=$E$11,$F$11,IF(U639&lt;($F$11-$E$11)/($G$11-$E$11),$E$11+SQRT(U639*($G$11-$E$11)*($F$11-$E$11)),$G$11-SQRT((1-U639)*($G$11-$E$11)*($G$11-$F$11))))</f>
        <v>0.0990347193271008</v>
      </c>
      <c r="H639" s="39" t="n">
        <f aca="false">(('Business Case'!B11*$C639*'Business Case'!B12*$B639)-'Business Case'!B11*$C639*'Business Case'!B13*$D639-'Business Case'!B14*$E639)-MAX(0,(('Business Case'!B11*$C639*'Business Case'!B12*$B639)-'Business Case'!B11*$C639*'Business Case'!B13*$D639-'Business Case'!B14*$E639))*'Business Case'!$B$7-'Business Case'!$B$8*('Business Case'!B11*$C639*'Business Case'!B12*$B639)-'Business Case'!B15*$F639</f>
        <v>-1987952906.03084</v>
      </c>
      <c r="I639" s="39" t="n">
        <f aca="false">(('Business Case'!C11*$C639*'Business Case'!C12*$B639)-'Business Case'!C11*$C639*'Business Case'!C13*$D639-'Business Case'!C14*$E639)-MAX(0,(('Business Case'!C11*$C639*'Business Case'!C12*$B639)-'Business Case'!C11*$C639*'Business Case'!C13*$D639-'Business Case'!C14*$E639))*'Business Case'!$B$7-'Business Case'!$B$8*(('Business Case'!C11*$C639*'Business Case'!C12*$B639)-('Business Case'!B11*$C639*'Business Case'!B12*$B639))-'Business Case'!C15*$F639</f>
        <v>-19866016.9392627</v>
      </c>
      <c r="J639" s="39" t="n">
        <f aca="false">(('Business Case'!D11*$C639*'Business Case'!D12*$B639)-'Business Case'!D11*$C639*'Business Case'!D13*$D639-'Business Case'!D14*$E639)-MAX(0,(('Business Case'!D11*$C639*'Business Case'!D12*$B639)-'Business Case'!D11*$C639*'Business Case'!D13*$D639-'Business Case'!D14*$E639))*'Business Case'!$B$7-'Business Case'!$B$8*(('Business Case'!D11*$C639*'Business Case'!D12*$B639)-('Business Case'!C11*$C639*'Business Case'!C12*$B639))-'Business Case'!D15*$F639</f>
        <v>241368071.389401</v>
      </c>
      <c r="K639" s="39" t="n">
        <f aca="false">(('Business Case'!E11*$C639*'Business Case'!E12*$B639)-'Business Case'!E11*$C639*'Business Case'!E13*$D639-'Business Case'!E14*$E639)-MAX(0,(('Business Case'!E11*$C639*'Business Case'!E12*$B639)-'Business Case'!E11*$C639*'Business Case'!E13*$D639-'Business Case'!E14*$E639))*'Business Case'!$B$7-'Business Case'!$B$8*(('Business Case'!E11*$C639*'Business Case'!E12*$B639)-('Business Case'!D11*$C639*'Business Case'!D12*$B639))-'Business Case'!E15*$F639</f>
        <v>552300982.368836</v>
      </c>
      <c r="L639" s="39" t="n">
        <f aca="false">(('Business Case'!F11*$C639*'Business Case'!F12*$B639)-'Business Case'!F11*$C639*'Business Case'!F13*$D639-'Business Case'!F14*$E639)-MAX(0,(('Business Case'!F11*$C639*'Business Case'!F12*$B639)-'Business Case'!F11*$C639*'Business Case'!F13*$D639-'Business Case'!F14*$E639))*'Business Case'!$B$7-'Business Case'!$B$8*(('Business Case'!F11*$C639*'Business Case'!F12*$B639)-('Business Case'!E11*$C639*'Business Case'!E12*$B639))-'Business Case'!F15*$F639</f>
        <v>667466932.163496</v>
      </c>
      <c r="M639" s="39" t="n">
        <f aca="false">(('Business Case'!G11*$C639*'Business Case'!G12*$B639)-'Business Case'!G11*$C639*'Business Case'!G13*$D639-'Business Case'!G14*$E639)-MAX(0,(('Business Case'!G11*$C639*'Business Case'!G12*$B639)-'Business Case'!G11*$C639*'Business Case'!G13*$D639-'Business Case'!G14*$E639))*'Business Case'!$B$7-'Business Case'!$B$8*(('Business Case'!G11*$C639*'Business Case'!G12*$B639)-('Business Case'!F11*$C639*'Business Case'!F12*$B639))-'Business Case'!G15*$F639+'Business Case'!$B$8*('Business Case'!G11*$C639*'Business Case'!G12*$B639)</f>
        <v>821950494.098239</v>
      </c>
      <c r="N639" s="39" t="n">
        <f aca="false">IF(COUNT('Business Case'!B11:G11)=0,"",H639+NPV(G639,I639:M639))</f>
        <v>-420049830.994375</v>
      </c>
      <c r="P639" s="40" t="n">
        <f aca="true">RAND()</f>
        <v>0.931259485505254</v>
      </c>
      <c r="Q639" s="40" t="n">
        <f aca="true">RAND()</f>
        <v>0.0615239123504932</v>
      </c>
      <c r="R639" s="40" t="n">
        <f aca="true">RAND()</f>
        <v>0.315517054793788</v>
      </c>
      <c r="S639" s="40" t="n">
        <f aca="true">RAND()</f>
        <v>0.265748666673494</v>
      </c>
      <c r="T639" s="40" t="n">
        <f aca="true">RAND()</f>
        <v>0.128928561321173</v>
      </c>
      <c r="U639" s="40" t="n">
        <f aca="true">RAND()</f>
        <v>0.362320539861504</v>
      </c>
    </row>
    <row r="640" customFormat="false" ht="15" hidden="false" customHeight="false" outlineLevel="0" collapsed="false">
      <c r="A640" s="36" t="n">
        <v>560</v>
      </c>
      <c r="B640" s="37" t="n">
        <f aca="false">1+IF($G$6=$E$6,$F$6,IF(P640&lt;($F$6-$E$6)/($G$6-$E$6),$E$6+SQRT(P640*($G$6-$E$6)*($F$6-$E$6)),$G$6-SQRT((1-P640)*($G$6-$E$6)*($G$6-$F$6))))</f>
        <v>0.977678720395556</v>
      </c>
      <c r="C640" s="37" t="n">
        <f aca="false">1+IF($G$7=$E$7,$F$7,IF(Q640&lt;($F$7-$E$7)/($G$7-$E$7),$E$7+SQRT(Q640*($G$7-$E$7)*($F$7-$E$7)),$G$7-SQRT((1-Q640)*($G$7-$E$7)*($G$7-$F$7))))</f>
        <v>1.04491905130704</v>
      </c>
      <c r="D640" s="37" t="n">
        <f aca="false">1+IF($G$8=$E$8,$F$8,IF(R640&lt;($F$8-$E$8)/($G$8-$E$8),$E$8+SQRT(R640*($G$8-$E$8)*($F$8-$E$8)),$G$8-SQRT((1-R640)*($G$8-$E$8)*($G$8-$F$8))))</f>
        <v>1.02551142134318</v>
      </c>
      <c r="E640" s="37" t="n">
        <f aca="false">1+IF($G$9=$E$9,$F$9,IF(S640&lt;($F$9-$E$9)/($G$9-$E$9),$E$9+SQRT(S640*($G$9-$E$9)*($F$9-$E$9)),$G$9-SQRT((1-S640)*($G$9-$E$9)*($G$9-$F$9))))</f>
        <v>0.950670215001251</v>
      </c>
      <c r="F640" s="37" t="n">
        <f aca="false">1+IF($G$10=$E$10,$F$10,IF(T640&lt;($F$10-$E$10)/($G$10-$E$10),$E$10+SQRT(T640*($G$10-$E$10)*($F$10-$E$10)),$G$10-SQRT((1-T640)*($G$10-$E$10)*($G$10-$F$10))))</f>
        <v>1.09329305598902</v>
      </c>
      <c r="G640" s="38" t="n">
        <f aca="false">IF($G$11=$E$11,$F$11,IF(U640&lt;($F$11-$E$11)/($G$11-$E$11),$E$11+SQRT(U640*($G$11-$E$11)*($F$11-$E$11)),$G$11-SQRT((1-U640)*($G$11-$E$11)*($G$11-$F$11))))</f>
        <v>0.119580678916082</v>
      </c>
      <c r="H640" s="39" t="n">
        <f aca="false">(('Business Case'!B11*$C640*'Business Case'!B12*$B640)-'Business Case'!B11*$C640*'Business Case'!B13*$D640-'Business Case'!B14*$E640)-MAX(0,(('Business Case'!B11*$C640*'Business Case'!B12*$B640)-'Business Case'!B11*$C640*'Business Case'!B13*$D640-'Business Case'!B14*$E640))*'Business Case'!$B$7-'Business Case'!$B$8*('Business Case'!B11*$C640*'Business Case'!B12*$B640)-'Business Case'!B15*$F640</f>
        <v>-2186586111.97805</v>
      </c>
      <c r="I640" s="39" t="n">
        <f aca="false">(('Business Case'!C11*$C640*'Business Case'!C12*$B640)-'Business Case'!C11*$C640*'Business Case'!C13*$D640-'Business Case'!C14*$E640)-MAX(0,(('Business Case'!C11*$C640*'Business Case'!C12*$B640)-'Business Case'!C11*$C640*'Business Case'!C13*$D640-'Business Case'!C14*$E640))*'Business Case'!$B$7-'Business Case'!$B$8*(('Business Case'!C11*$C640*'Business Case'!C12*$B640)-('Business Case'!B11*$C640*'Business Case'!B12*$B640))-'Business Case'!C15*$F640</f>
        <v>-9275543.9893627</v>
      </c>
      <c r="J640" s="39" t="n">
        <f aca="false">(('Business Case'!D11*$C640*'Business Case'!D12*$B640)-'Business Case'!D11*$C640*'Business Case'!D13*$D640-'Business Case'!D14*$E640)-MAX(0,(('Business Case'!D11*$C640*'Business Case'!D12*$B640)-'Business Case'!D11*$C640*'Business Case'!D13*$D640-'Business Case'!D14*$E640))*'Business Case'!$B$7-'Business Case'!$B$8*(('Business Case'!D11*$C640*'Business Case'!D12*$B640)-('Business Case'!C11*$C640*'Business Case'!C12*$B640))-'Business Case'!D15*$F640</f>
        <v>278923013.265933</v>
      </c>
      <c r="K640" s="39" t="n">
        <f aca="false">(('Business Case'!E11*$C640*'Business Case'!E12*$B640)-'Business Case'!E11*$C640*'Business Case'!E13*$D640-'Business Case'!E14*$E640)-MAX(0,(('Business Case'!E11*$C640*'Business Case'!E12*$B640)-'Business Case'!E11*$C640*'Business Case'!E13*$D640-'Business Case'!E14*$E640))*'Business Case'!$B$7-'Business Case'!$B$8*(('Business Case'!E11*$C640*'Business Case'!E12*$B640)-('Business Case'!D11*$C640*'Business Case'!D12*$B640))-'Business Case'!E15*$F640</f>
        <v>621786223.320679</v>
      </c>
      <c r="L640" s="39" t="n">
        <f aca="false">(('Business Case'!F11*$C640*'Business Case'!F12*$B640)-'Business Case'!F11*$C640*'Business Case'!F13*$D640-'Business Case'!F14*$E640)-MAX(0,(('Business Case'!F11*$C640*'Business Case'!F12*$B640)-'Business Case'!F11*$C640*'Business Case'!F13*$D640-'Business Case'!F14*$E640))*'Business Case'!$B$7-'Business Case'!$B$8*(('Business Case'!F11*$C640*'Business Case'!F12*$B640)-('Business Case'!E11*$C640*'Business Case'!E12*$B640))-'Business Case'!F15*$F640</f>
        <v>753158736.454163</v>
      </c>
      <c r="M640" s="39" t="n">
        <f aca="false">(('Business Case'!G11*$C640*'Business Case'!G12*$B640)-'Business Case'!G11*$C640*'Business Case'!G13*$D640-'Business Case'!G14*$E640)-MAX(0,(('Business Case'!G11*$C640*'Business Case'!G12*$B640)-'Business Case'!G11*$C640*'Business Case'!G13*$D640-'Business Case'!G14*$E640))*'Business Case'!$B$7-'Business Case'!$B$8*(('Business Case'!G11*$C640*'Business Case'!G12*$B640)-('Business Case'!F11*$C640*'Business Case'!F12*$B640))-'Business Case'!G15*$F640+'Business Case'!$B$8*('Business Case'!G11*$C640*'Business Case'!G12*$B640)</f>
        <v>947343537.053616</v>
      </c>
      <c r="N640" s="39" t="n">
        <f aca="false">IF(COUNT('Business Case'!B11:G11)=0,"",H640+NPV(G640,I640:M640))</f>
        <v>-511356981.377808</v>
      </c>
      <c r="P640" s="40" t="n">
        <f aca="true">RAND()</f>
        <v>0.402265573486059</v>
      </c>
      <c r="Q640" s="40" t="n">
        <f aca="true">RAND()</f>
        <v>0.836414729211665</v>
      </c>
      <c r="R640" s="40" t="n">
        <f aca="true">RAND()</f>
        <v>0.630096776645759</v>
      </c>
      <c r="S640" s="40" t="n">
        <f aca="true">RAND()</f>
        <v>0.102698827530919</v>
      </c>
      <c r="T640" s="40" t="n">
        <f aca="true">RAND()</f>
        <v>0.672572449316538</v>
      </c>
      <c r="U640" s="40" t="n">
        <f aca="true">RAND()</f>
        <v>0.927625165433479</v>
      </c>
    </row>
    <row r="641" customFormat="false" ht="15" hidden="false" customHeight="false" outlineLevel="0" collapsed="false">
      <c r="A641" s="36" t="n">
        <v>561</v>
      </c>
      <c r="B641" s="37" t="n">
        <f aca="false">1+IF($G$6=$E$6,$F$6,IF(P641&lt;($F$6-$E$6)/($G$6-$E$6),$E$6+SQRT(P641*($G$6-$E$6)*($F$6-$E$6)),$G$6-SQRT((1-P641)*($G$6-$E$6)*($G$6-$F$6))))</f>
        <v>0.977151004782856</v>
      </c>
      <c r="C641" s="37" t="n">
        <f aca="false">1+IF($G$7=$E$7,$F$7,IF(Q641&lt;($F$7-$E$7)/($G$7-$E$7),$E$7+SQRT(Q641*($G$7-$E$7)*($F$7-$E$7)),$G$7-SQRT((1-Q641)*($G$7-$E$7)*($G$7-$F$7))))</f>
        <v>0.760593196339795</v>
      </c>
      <c r="D641" s="37" t="n">
        <f aca="false">1+IF($G$8=$E$8,$F$8,IF(R641&lt;($F$8-$E$8)/($G$8-$E$8),$E$8+SQRT(R641*($G$8-$E$8)*($F$8-$E$8)),$G$8-SQRT((1-R641)*($G$8-$E$8)*($G$8-$F$8))))</f>
        <v>1.01996283469408</v>
      </c>
      <c r="E641" s="37" t="n">
        <f aca="false">1+IF($G$9=$E$9,$F$9,IF(S641&lt;($F$9-$E$9)/($G$9-$E$9),$E$9+SQRT(S641*($G$9-$E$9)*($F$9-$E$9)),$G$9-SQRT((1-S641)*($G$9-$E$9)*($G$9-$F$9))))</f>
        <v>0.997003141485929</v>
      </c>
      <c r="F641" s="37" t="n">
        <f aca="false">1+IF($G$10=$E$10,$F$10,IF(T641&lt;($F$10-$E$10)/($G$10-$E$10),$E$10+SQRT(T641*($G$10-$E$10)*($F$10-$E$10)),$G$10-SQRT((1-T641)*($G$10-$E$10)*($G$10-$F$10))))</f>
        <v>1.00203056257816</v>
      </c>
      <c r="G641" s="38" t="n">
        <f aca="false">IF($G$11=$E$11,$F$11,IF(U641&lt;($F$11-$E$11)/($G$11-$E$11),$E$11+SQRT(U641*($G$11-$E$11)*($F$11-$E$11)),$G$11-SQRT((1-U641)*($G$11-$E$11)*($G$11-$F$11))))</f>
        <v>0.0978983800637247</v>
      </c>
      <c r="H641" s="39" t="n">
        <f aca="false">(('Business Case'!B11*$C641*'Business Case'!B12*$B641)-'Business Case'!B11*$C641*'Business Case'!B13*$D641-'Business Case'!B14*$E641)-MAX(0,(('Business Case'!B11*$C641*'Business Case'!B12*$B641)-'Business Case'!B11*$C641*'Business Case'!B13*$D641-'Business Case'!B14*$E641))*'Business Case'!$B$7-'Business Case'!$B$8*('Business Case'!B11*$C641*'Business Case'!B12*$B641)-'Business Case'!B15*$F641</f>
        <v>-2004061125.15633</v>
      </c>
      <c r="I641" s="39" t="n">
        <f aca="false">(('Business Case'!C11*$C641*'Business Case'!C12*$B641)-'Business Case'!C11*$C641*'Business Case'!C13*$D641-'Business Case'!C14*$E641)-MAX(0,(('Business Case'!C11*$C641*'Business Case'!C12*$B641)-'Business Case'!C11*$C641*'Business Case'!C13*$D641-'Business Case'!C14*$E641))*'Business Case'!$B$7-'Business Case'!$B$8*(('Business Case'!C11*$C641*'Business Case'!C12*$B641)-('Business Case'!B11*$C641*'Business Case'!B12*$B641))-'Business Case'!C15*$F641</f>
        <v>-68894683.4680349</v>
      </c>
      <c r="J641" s="39" t="n">
        <f aca="false">(('Business Case'!D11*$C641*'Business Case'!D12*$B641)-'Business Case'!D11*$C641*'Business Case'!D13*$D641-'Business Case'!D14*$E641)-MAX(0,(('Business Case'!D11*$C641*'Business Case'!D12*$B641)-'Business Case'!D11*$C641*'Business Case'!D13*$D641-'Business Case'!D14*$E641))*'Business Case'!$B$7-'Business Case'!$B$8*(('Business Case'!D11*$C641*'Business Case'!D12*$B641)-('Business Case'!C11*$C641*'Business Case'!C12*$B641))-'Business Case'!D15*$F641</f>
        <v>142715770.849871</v>
      </c>
      <c r="K641" s="39" t="n">
        <f aca="false">(('Business Case'!E11*$C641*'Business Case'!E12*$B641)-'Business Case'!E11*$C641*'Business Case'!E13*$D641-'Business Case'!E14*$E641)-MAX(0,(('Business Case'!E11*$C641*'Business Case'!E12*$B641)-'Business Case'!E11*$C641*'Business Case'!E13*$D641-'Business Case'!E14*$E641))*'Business Case'!$B$7-'Business Case'!$B$8*(('Business Case'!E11*$C641*'Business Case'!E12*$B641)-('Business Case'!D11*$C641*'Business Case'!D12*$B641))-'Business Case'!E15*$F641</f>
        <v>404427753.296684</v>
      </c>
      <c r="L641" s="39" t="n">
        <f aca="false">(('Business Case'!F11*$C641*'Business Case'!F12*$B641)-'Business Case'!F11*$C641*'Business Case'!F13*$D641-'Business Case'!F14*$E641)-MAX(0,(('Business Case'!F11*$C641*'Business Case'!F12*$B641)-'Business Case'!F11*$C641*'Business Case'!F13*$D641-'Business Case'!F14*$E641))*'Business Case'!$B$7-'Business Case'!$B$8*(('Business Case'!F11*$C641*'Business Case'!F12*$B641)-('Business Case'!E11*$C641*'Business Case'!E12*$B641))-'Business Case'!F15*$F641</f>
        <v>500650061.275203</v>
      </c>
      <c r="M641" s="39" t="n">
        <f aca="false">(('Business Case'!G11*$C641*'Business Case'!G12*$B641)-'Business Case'!G11*$C641*'Business Case'!G13*$D641-'Business Case'!G14*$E641)-MAX(0,(('Business Case'!G11*$C641*'Business Case'!G12*$B641)-'Business Case'!G11*$C641*'Business Case'!G13*$D641-'Business Case'!G14*$E641))*'Business Case'!$B$7-'Business Case'!$B$8*(('Business Case'!G11*$C641*'Business Case'!G12*$B641)-('Business Case'!F11*$C641*'Business Case'!F12*$B641))-'Business Case'!G15*$F641+'Business Case'!$B$8*('Business Case'!G11*$C641*'Business Case'!G12*$B641)</f>
        <v>641920255.574229</v>
      </c>
      <c r="N641" s="39" t="n">
        <f aca="false">IF(COUNT('Business Case'!B11:G11)=0,"",H641+NPV(G641,I641:M641))</f>
        <v>-895824811.530533</v>
      </c>
      <c r="P641" s="40" t="n">
        <f aca="true">RAND()</f>
        <v>0.396818502600279</v>
      </c>
      <c r="Q641" s="40" t="n">
        <f aca="true">RAND()</f>
        <v>0.0271965588346146</v>
      </c>
      <c r="R641" s="40" t="n">
        <f aca="true">RAND()</f>
        <v>0.57293681131953</v>
      </c>
      <c r="S641" s="40" t="n">
        <f aca="true">RAND()</f>
        <v>0.376384378325567</v>
      </c>
      <c r="T641" s="40" t="n">
        <f aca="true">RAND()</f>
        <v>0.180148774729308</v>
      </c>
      <c r="U641" s="40" t="n">
        <f aca="true">RAND()</f>
        <v>0.320352008905537</v>
      </c>
    </row>
    <row r="642" customFormat="false" ht="15" hidden="false" customHeight="false" outlineLevel="0" collapsed="false">
      <c r="A642" s="36" t="n">
        <v>562</v>
      </c>
      <c r="B642" s="37" t="n">
        <f aca="false">1+IF($G$6=$E$6,$F$6,IF(P642&lt;($F$6-$E$6)/($G$6-$E$6),$E$6+SQRT(P642*($G$6-$E$6)*($F$6-$E$6)),$G$6-SQRT((1-P642)*($G$6-$E$6)*($G$6-$F$6))))</f>
        <v>0.982827985604768</v>
      </c>
      <c r="C642" s="37" t="n">
        <f aca="false">1+IF($G$7=$E$7,$F$7,IF(Q642&lt;($F$7-$E$7)/($G$7-$E$7),$E$7+SQRT(Q642*($G$7-$E$7)*($F$7-$E$7)),$G$7-SQRT((1-Q642)*($G$7-$E$7)*($G$7-$F$7))))</f>
        <v>0.90083382580848</v>
      </c>
      <c r="D642" s="37" t="n">
        <f aca="false">1+IF($G$8=$E$8,$F$8,IF(R642&lt;($F$8-$E$8)/($G$8-$E$8),$E$8+SQRT(R642*($G$8-$E$8)*($F$8-$E$8)),$G$8-SQRT((1-R642)*($G$8-$E$8)*($G$8-$F$8))))</f>
        <v>0.966851873091833</v>
      </c>
      <c r="E642" s="37" t="n">
        <f aca="false">1+IF($G$9=$E$9,$F$9,IF(S642&lt;($F$9-$E$9)/($G$9-$E$9),$E$9+SQRT(S642*($G$9-$E$9)*($F$9-$E$9)),$G$9-SQRT((1-S642)*($G$9-$E$9)*($G$9-$F$9))))</f>
        <v>0.912393976217422</v>
      </c>
      <c r="F642" s="37" t="n">
        <f aca="false">1+IF($G$10=$E$10,$F$10,IF(T642&lt;($F$10-$E$10)/($G$10-$E$10),$E$10+SQRT(T642*($G$10-$E$10)*($F$10-$E$10)),$G$10-SQRT((1-T642)*($G$10-$E$10)*($G$10-$F$10))))</f>
        <v>1.16224456575239</v>
      </c>
      <c r="G642" s="38" t="n">
        <f aca="false">IF($G$11=$E$11,$F$11,IF(U642&lt;($F$11-$E$11)/($G$11-$E$11),$E$11+SQRT(U642*($G$11-$E$11)*($F$11-$E$11)),$G$11-SQRT((1-U642)*($G$11-$E$11)*($G$11-$F$11))))</f>
        <v>0.124549928890994</v>
      </c>
      <c r="H642" s="39" t="n">
        <f aca="false">(('Business Case'!B11*$C642*'Business Case'!B12*$B642)-'Business Case'!B11*$C642*'Business Case'!B13*$D642-'Business Case'!B14*$E642)-MAX(0,(('Business Case'!B11*$C642*'Business Case'!B12*$B642)-'Business Case'!B11*$C642*'Business Case'!B13*$D642-'Business Case'!B14*$E642))*'Business Case'!$B$7-'Business Case'!$B$8*('Business Case'!B11*$C642*'Business Case'!B12*$B642)-'Business Case'!B15*$F642</f>
        <v>-2324489131.50478</v>
      </c>
      <c r="I642" s="39" t="n">
        <f aca="false">(('Business Case'!C11*$C642*'Business Case'!C12*$B642)-'Business Case'!C11*$C642*'Business Case'!C13*$D642-'Business Case'!C14*$E642)-MAX(0,(('Business Case'!C11*$C642*'Business Case'!C12*$B642)-'Business Case'!C11*$C642*'Business Case'!C13*$D642-'Business Case'!C14*$E642))*'Business Case'!$B$7-'Business Case'!$B$8*(('Business Case'!C11*$C642*'Business Case'!C12*$B642)-('Business Case'!B11*$C642*'Business Case'!B12*$B642))-'Business Case'!C15*$F642</f>
        <v>-12555187.3376316</v>
      </c>
      <c r="J642" s="39" t="n">
        <f aca="false">(('Business Case'!D11*$C642*'Business Case'!D12*$B642)-'Business Case'!D11*$C642*'Business Case'!D13*$D642-'Business Case'!D14*$E642)-MAX(0,(('Business Case'!D11*$C642*'Business Case'!D12*$B642)-'Business Case'!D11*$C642*'Business Case'!D13*$D642-'Business Case'!D14*$E642))*'Business Case'!$B$7-'Business Case'!$B$8*(('Business Case'!D11*$C642*'Business Case'!D12*$B642)-('Business Case'!C11*$C642*'Business Case'!C12*$B642))-'Business Case'!D15*$F642</f>
        <v>266753811.074959</v>
      </c>
      <c r="K642" s="39" t="n">
        <f aca="false">(('Business Case'!E11*$C642*'Business Case'!E12*$B642)-'Business Case'!E11*$C642*'Business Case'!E13*$D642-'Business Case'!E14*$E642)-MAX(0,(('Business Case'!E11*$C642*'Business Case'!E12*$B642)-'Business Case'!E11*$C642*'Business Case'!E13*$D642-'Business Case'!E14*$E642))*'Business Case'!$B$7-'Business Case'!$B$8*(('Business Case'!E11*$C642*'Business Case'!E12*$B642)-('Business Case'!D11*$C642*'Business Case'!D12*$B642))-'Business Case'!E15*$F642</f>
        <v>604175037.775169</v>
      </c>
      <c r="L642" s="39" t="n">
        <f aca="false">(('Business Case'!F11*$C642*'Business Case'!F12*$B642)-'Business Case'!F11*$C642*'Business Case'!F13*$D642-'Business Case'!F14*$E642)-MAX(0,(('Business Case'!F11*$C642*'Business Case'!F12*$B642)-'Business Case'!F11*$C642*'Business Case'!F13*$D642-'Business Case'!F14*$E642))*'Business Case'!$B$7-'Business Case'!$B$8*(('Business Case'!F11*$C642*'Business Case'!F12*$B642)-('Business Case'!E11*$C642*'Business Case'!E12*$B642))-'Business Case'!F15*$F642</f>
        <v>727876241.083944</v>
      </c>
      <c r="M642" s="39" t="n">
        <f aca="false">(('Business Case'!G11*$C642*'Business Case'!G12*$B642)-'Business Case'!G11*$C642*'Business Case'!G13*$D642-'Business Case'!G14*$E642)-MAX(0,(('Business Case'!G11*$C642*'Business Case'!G12*$B642)-'Business Case'!G11*$C642*'Business Case'!G13*$D642-'Business Case'!G14*$E642))*'Business Case'!$B$7-'Business Case'!$B$8*(('Business Case'!G11*$C642*'Business Case'!G12*$B642)-('Business Case'!F11*$C642*'Business Case'!F12*$B642))-'Business Case'!G15*$F642+'Business Case'!$B$8*('Business Case'!G11*$C642*'Business Case'!G12*$B642)</f>
        <v>896166362.192451</v>
      </c>
      <c r="N642" s="39" t="n">
        <f aca="false">IF(COUNT('Business Case'!B11:G11)=0,"",H642+NPV(G642,I642:M642))</f>
        <v>-746433366.766297</v>
      </c>
      <c r="P642" s="40" t="n">
        <f aca="true">RAND()</f>
        <v>0.457365013289572</v>
      </c>
      <c r="Q642" s="40" t="n">
        <f aca="true">RAND()</f>
        <v>0.298772041399042</v>
      </c>
      <c r="R642" s="40" t="n">
        <f aca="true">RAND()</f>
        <v>0.0378647502270995</v>
      </c>
      <c r="S642" s="40" t="n">
        <f aca="true">RAND()</f>
        <v>0.00614442585912108</v>
      </c>
      <c r="T642" s="40" t="n">
        <f aca="true">RAND()</f>
        <v>0.897319783466844</v>
      </c>
      <c r="U642" s="40" t="n">
        <f aca="true">RAND()</f>
        <v>0.980197816604517</v>
      </c>
    </row>
    <row r="643" customFormat="false" ht="15" hidden="false" customHeight="false" outlineLevel="0" collapsed="false">
      <c r="A643" s="36" t="n">
        <v>563</v>
      </c>
      <c r="B643" s="37" t="n">
        <f aca="false">1+IF($G$6=$E$6,$F$6,IF(P643&lt;($F$6-$E$6)/($G$6-$E$6),$E$6+SQRT(P643*($G$6-$E$6)*($F$6-$E$6)),$G$6-SQRT((1-P643)*($G$6-$E$6)*($G$6-$F$6))))</f>
        <v>0.943913983744771</v>
      </c>
      <c r="C643" s="37" t="n">
        <f aca="false">1+IF($G$7=$E$7,$F$7,IF(Q643&lt;($F$7-$E$7)/($G$7-$E$7),$E$7+SQRT(Q643*($G$7-$E$7)*($F$7-$E$7)),$G$7-SQRT((1-Q643)*($G$7-$E$7)*($G$7-$F$7))))</f>
        <v>0.760046976223139</v>
      </c>
      <c r="D643" s="37" t="n">
        <f aca="false">1+IF($G$8=$E$8,$F$8,IF(R643&lt;($F$8-$E$8)/($G$8-$E$8),$E$8+SQRT(R643*($G$8-$E$8)*($F$8-$E$8)),$G$8-SQRT((1-R643)*($G$8-$E$8)*($G$8-$F$8))))</f>
        <v>1.01263116601413</v>
      </c>
      <c r="E643" s="37" t="n">
        <f aca="false">1+IF($G$9=$E$9,$F$9,IF(S643&lt;($F$9-$E$9)/($G$9-$E$9),$E$9+SQRT(S643*($G$9-$E$9)*($F$9-$E$9)),$G$9-SQRT((1-S643)*($G$9-$E$9)*($G$9-$F$9))))</f>
        <v>1.0616625762744</v>
      </c>
      <c r="F643" s="37" t="n">
        <f aca="false">1+IF($G$10=$E$10,$F$10,IF(T643&lt;($F$10-$E$10)/($G$10-$E$10),$E$10+SQRT(T643*($G$10-$E$10)*($F$10-$E$10)),$G$10-SQRT((1-T643)*($G$10-$E$10)*($G$10-$F$10))))</f>
        <v>1.0513767033646</v>
      </c>
      <c r="G643" s="38" t="n">
        <f aca="false">IF($G$11=$E$11,$F$11,IF(U643&lt;($F$11-$E$11)/($G$11-$E$11),$E$11+SQRT(U643*($G$11-$E$11)*($F$11-$E$11)),$G$11-SQRT((1-U643)*($G$11-$E$11)*($G$11-$F$11))))</f>
        <v>0.109578564880469</v>
      </c>
      <c r="H643" s="39" t="n">
        <f aca="false">(('Business Case'!B11*$C643*'Business Case'!B12*$B643)-'Business Case'!B11*$C643*'Business Case'!B13*$D643-'Business Case'!B14*$E643)-MAX(0,(('Business Case'!B11*$C643*'Business Case'!B12*$B643)-'Business Case'!B11*$C643*'Business Case'!B13*$D643-'Business Case'!B14*$E643))*'Business Case'!$B$7-'Business Case'!$B$8*('Business Case'!B11*$C643*'Business Case'!B12*$B643)-'Business Case'!B15*$F643</f>
        <v>-2102753406.7292</v>
      </c>
      <c r="I643" s="39" t="n">
        <f aca="false">(('Business Case'!C11*$C643*'Business Case'!C12*$B643)-'Business Case'!C11*$C643*'Business Case'!C13*$D643-'Business Case'!C14*$E643)-MAX(0,(('Business Case'!C11*$C643*'Business Case'!C12*$B643)-'Business Case'!C11*$C643*'Business Case'!C13*$D643-'Business Case'!C14*$E643))*'Business Case'!$B$7-'Business Case'!$B$8*(('Business Case'!C11*$C643*'Business Case'!C12*$B643)-('Business Case'!B11*$C643*'Business Case'!B12*$B643))-'Business Case'!C15*$F643</f>
        <v>-99677121.3039664</v>
      </c>
      <c r="J643" s="39" t="n">
        <f aca="false">(('Business Case'!D11*$C643*'Business Case'!D12*$B643)-'Business Case'!D11*$C643*'Business Case'!D13*$D643-'Business Case'!D14*$E643)-MAX(0,(('Business Case'!D11*$C643*'Business Case'!D12*$B643)-'Business Case'!D11*$C643*'Business Case'!D13*$D643-'Business Case'!D14*$E643))*'Business Case'!$B$7-'Business Case'!$B$8*(('Business Case'!D11*$C643*'Business Case'!D12*$B643)-('Business Case'!C11*$C643*'Business Case'!C12*$B643))-'Business Case'!D15*$F643</f>
        <v>93942845.4359993</v>
      </c>
      <c r="K643" s="39" t="n">
        <f aca="false">(('Business Case'!E11*$C643*'Business Case'!E12*$B643)-'Business Case'!E11*$C643*'Business Case'!E13*$D643-'Business Case'!E14*$E643)-MAX(0,(('Business Case'!E11*$C643*'Business Case'!E12*$B643)-'Business Case'!E11*$C643*'Business Case'!E13*$D643-'Business Case'!E14*$E643))*'Business Case'!$B$7-'Business Case'!$B$8*(('Business Case'!E11*$C643*'Business Case'!E12*$B643)-('Business Case'!D11*$C643*'Business Case'!D12*$B643))-'Business Case'!E15*$F643</f>
        <v>340131647.344195</v>
      </c>
      <c r="L643" s="39" t="n">
        <f aca="false">(('Business Case'!F11*$C643*'Business Case'!F12*$B643)-'Business Case'!F11*$C643*'Business Case'!F13*$D643-'Business Case'!F14*$E643)-MAX(0,(('Business Case'!F11*$C643*'Business Case'!F12*$B643)-'Business Case'!F11*$C643*'Business Case'!F13*$D643-'Business Case'!F14*$E643))*'Business Case'!$B$7-'Business Case'!$B$8*(('Business Case'!F11*$C643*'Business Case'!F12*$B643)-('Business Case'!E11*$C643*'Business Case'!E12*$B643))-'Business Case'!F15*$F643</f>
        <v>429465635.831684</v>
      </c>
      <c r="M643" s="39" t="n">
        <f aca="false">(('Business Case'!G11*$C643*'Business Case'!G12*$B643)-'Business Case'!G11*$C643*'Business Case'!G13*$D643-'Business Case'!G14*$E643)-MAX(0,(('Business Case'!G11*$C643*'Business Case'!G12*$B643)-'Business Case'!G11*$C643*'Business Case'!G13*$D643-'Business Case'!G14*$E643))*'Business Case'!$B$7-'Business Case'!$B$8*(('Business Case'!G11*$C643*'Business Case'!G12*$B643)-('Business Case'!F11*$C643*'Business Case'!F12*$B643))-'Business Case'!G15*$F643+'Business Case'!$B$8*('Business Case'!G11*$C643*'Business Case'!G12*$B643)</f>
        <v>565832633.489608</v>
      </c>
      <c r="N643" s="39" t="n">
        <f aca="false">IF(COUNT('Business Case'!B11:G11)=0,"",H643+NPV(G643,I643:M643))</f>
        <v>-1247533177.23549</v>
      </c>
      <c r="P643" s="40" t="n">
        <f aca="true">RAND()</f>
        <v>0.128562531222402</v>
      </c>
      <c r="Q643" s="40" t="n">
        <f aca="true">RAND()</f>
        <v>0.0267084396558684</v>
      </c>
      <c r="R643" s="40" t="n">
        <f aca="true">RAND()</f>
        <v>0.491112456529915</v>
      </c>
      <c r="S643" s="40" t="n">
        <f aca="true">RAND()</f>
        <v>0.791906655187318</v>
      </c>
      <c r="T643" s="40" t="n">
        <f aca="true">RAND()</f>
        <v>0.473983813782485</v>
      </c>
      <c r="U643" s="40" t="n">
        <f aca="true">RAND()</f>
        <v>0.721976658439183</v>
      </c>
    </row>
    <row r="644" customFormat="false" ht="15" hidden="false" customHeight="false" outlineLevel="0" collapsed="false">
      <c r="A644" s="36" t="n">
        <v>564</v>
      </c>
      <c r="B644" s="37" t="n">
        <f aca="false">1+IF($G$6=$E$6,$F$6,IF(P644&lt;($F$6-$E$6)/($G$6-$E$6),$E$6+SQRT(P644*($G$6-$E$6)*($F$6-$E$6)),$G$6-SQRT((1-P644)*($G$6-$E$6)*($G$6-$F$6))))</f>
        <v>0.949226379954263</v>
      </c>
      <c r="C644" s="37" t="n">
        <f aca="false">1+IF($G$7=$E$7,$F$7,IF(Q644&lt;($F$7-$E$7)/($G$7-$E$7),$E$7+SQRT(Q644*($G$7-$E$7)*($F$7-$E$7)),$G$7-SQRT((1-Q644)*($G$7-$E$7)*($G$7-$F$7))))</f>
        <v>0.92157949270835</v>
      </c>
      <c r="D644" s="37" t="n">
        <f aca="false">1+IF($G$8=$E$8,$F$8,IF(R644&lt;($F$8-$E$8)/($G$8-$E$8),$E$8+SQRT(R644*($G$8-$E$8)*($F$8-$E$8)),$G$8-SQRT((1-R644)*($G$8-$E$8)*($G$8-$F$8))))</f>
        <v>1.01514297962106</v>
      </c>
      <c r="E644" s="37" t="n">
        <f aca="false">1+IF($G$9=$E$9,$F$9,IF(S644&lt;($F$9-$E$9)/($G$9-$E$9),$E$9+SQRT(S644*($G$9-$E$9)*($F$9-$E$9)),$G$9-SQRT((1-S644)*($G$9-$E$9)*($G$9-$F$9))))</f>
        <v>0.962077414935641</v>
      </c>
      <c r="F644" s="37" t="n">
        <f aca="false">1+IF($G$10=$E$10,$F$10,IF(T644&lt;($F$10-$E$10)/($G$10-$E$10),$E$10+SQRT(T644*($G$10-$E$10)*($F$10-$E$10)),$G$10-SQRT((1-T644)*($G$10-$E$10)*($G$10-$F$10))))</f>
        <v>1.0775167367803</v>
      </c>
      <c r="G644" s="38" t="n">
        <f aca="false">IF($G$11=$E$11,$F$11,IF(U644&lt;($F$11-$E$11)/($G$11-$E$11),$E$11+SQRT(U644*($G$11-$E$11)*($F$11-$E$11)),$G$11-SQRT((1-U644)*($G$11-$E$11)*($G$11-$F$11))))</f>
        <v>0.117249779230664</v>
      </c>
      <c r="H644" s="39" t="n">
        <f aca="false">(('Business Case'!B11*$C644*'Business Case'!B12*$B644)-'Business Case'!B11*$C644*'Business Case'!B13*$D644-'Business Case'!B14*$E644)-MAX(0,(('Business Case'!B11*$C644*'Business Case'!B12*$B644)-'Business Case'!B11*$C644*'Business Case'!B13*$D644-'Business Case'!B14*$E644))*'Business Case'!$B$7-'Business Case'!$B$8*('Business Case'!B11*$C644*'Business Case'!B12*$B644)-'Business Case'!B15*$F644</f>
        <v>-2155033473.56061</v>
      </c>
      <c r="I644" s="39" t="n">
        <f aca="false">(('Business Case'!C11*$C644*'Business Case'!C12*$B644)-'Business Case'!C11*$C644*'Business Case'!C13*$D644-'Business Case'!C14*$E644)-MAX(0,(('Business Case'!C11*$C644*'Business Case'!C12*$B644)-'Business Case'!C11*$C644*'Business Case'!C13*$D644-'Business Case'!C14*$E644))*'Business Case'!$B$7-'Business Case'!$B$8*(('Business Case'!C11*$C644*'Business Case'!C12*$B644)-('Business Case'!B11*$C644*'Business Case'!B12*$B644))-'Business Case'!C15*$F644</f>
        <v>-52313121.1948097</v>
      </c>
      <c r="J644" s="39" t="n">
        <f aca="false">(('Business Case'!D11*$C644*'Business Case'!D12*$B644)-'Business Case'!D11*$C644*'Business Case'!D13*$D644-'Business Case'!D14*$E644)-MAX(0,(('Business Case'!D11*$C644*'Business Case'!D12*$B644)-'Business Case'!D11*$C644*'Business Case'!D13*$D644-'Business Case'!D14*$E644))*'Business Case'!$B$7-'Business Case'!$B$8*(('Business Case'!D11*$C644*'Business Case'!D12*$B644)-('Business Case'!C11*$C644*'Business Case'!C12*$B644))-'Business Case'!D15*$F644</f>
        <v>185281827.098336</v>
      </c>
      <c r="K644" s="39" t="n">
        <f aca="false">(('Business Case'!E11*$C644*'Business Case'!E12*$B644)-'Business Case'!E11*$C644*'Business Case'!E13*$D644-'Business Case'!E14*$E644)-MAX(0,(('Business Case'!E11*$C644*'Business Case'!E12*$B644)-'Business Case'!E11*$C644*'Business Case'!E13*$D644-'Business Case'!E14*$E644))*'Business Case'!$B$7-'Business Case'!$B$8*(('Business Case'!E11*$C644*'Business Case'!E12*$B644)-('Business Case'!D11*$C644*'Business Case'!D12*$B644))-'Business Case'!E15*$F644</f>
        <v>476752612.230496</v>
      </c>
      <c r="L644" s="39" t="n">
        <f aca="false">(('Business Case'!F11*$C644*'Business Case'!F12*$B644)-'Business Case'!F11*$C644*'Business Case'!F13*$D644-'Business Case'!F14*$E644)-MAX(0,(('Business Case'!F11*$C644*'Business Case'!F12*$B644)-'Business Case'!F11*$C644*'Business Case'!F13*$D644-'Business Case'!F14*$E644))*'Business Case'!$B$7-'Business Case'!$B$8*(('Business Case'!F11*$C644*'Business Case'!F12*$B644)-('Business Case'!E11*$C644*'Business Case'!E12*$B644))-'Business Case'!F15*$F644</f>
        <v>586183586.598929</v>
      </c>
      <c r="M644" s="39" t="n">
        <f aca="false">(('Business Case'!G11*$C644*'Business Case'!G12*$B644)-'Business Case'!G11*$C644*'Business Case'!G13*$D644-'Business Case'!G14*$E644)-MAX(0,(('Business Case'!G11*$C644*'Business Case'!G12*$B644)-'Business Case'!G11*$C644*'Business Case'!G13*$D644-'Business Case'!G14*$E644))*'Business Case'!$B$7-'Business Case'!$B$8*(('Business Case'!G11*$C644*'Business Case'!G12*$B644)-('Business Case'!F11*$C644*'Business Case'!F12*$B644))-'Business Case'!G15*$F644+'Business Case'!$B$8*('Business Case'!G11*$C644*'Business Case'!G12*$B644)</f>
        <v>752463207.087875</v>
      </c>
      <c r="N644" s="39" t="n">
        <f aca="false">IF(COUNT('Business Case'!B11:G11)=0,"",H644+NPV(G644,I644:M644))</f>
        <v>-903106933.374278</v>
      </c>
      <c r="P644" s="40" t="n">
        <f aca="true">RAND()</f>
        <v>0.161549098893428</v>
      </c>
      <c r="Q644" s="40" t="n">
        <f aca="true">RAND()</f>
        <v>0.363684974732515</v>
      </c>
      <c r="R644" s="40" t="n">
        <f aca="true">RAND()</f>
        <v>0.519952406160501</v>
      </c>
      <c r="S644" s="40" t="n">
        <f aca="true">RAND()</f>
        <v>0.154144217803671</v>
      </c>
      <c r="T644" s="40" t="n">
        <f aca="true">RAND()</f>
        <v>0.603326985454468</v>
      </c>
      <c r="U644" s="40" t="n">
        <f aca="true">RAND()</f>
        <v>0.891621246888791</v>
      </c>
    </row>
    <row r="645" customFormat="false" ht="15" hidden="false" customHeight="false" outlineLevel="0" collapsed="false">
      <c r="A645" s="36" t="n">
        <v>565</v>
      </c>
      <c r="B645" s="37" t="n">
        <f aca="false">1+IF($G$6=$E$6,$F$6,IF(P645&lt;($F$6-$E$6)/($G$6-$E$6),$E$6+SQRT(P645*($G$6-$E$6)*($F$6-$E$6)),$G$6-SQRT((1-P645)*($G$6-$E$6)*($G$6-$F$6))))</f>
        <v>0.960518494020083</v>
      </c>
      <c r="C645" s="37" t="n">
        <f aca="false">1+IF($G$7=$E$7,$F$7,IF(Q645&lt;($F$7-$E$7)/($G$7-$E$7),$E$7+SQRT(Q645*($G$7-$E$7)*($F$7-$E$7)),$G$7-SQRT((1-Q645)*($G$7-$E$7)*($G$7-$F$7))))</f>
        <v>1.04859014447545</v>
      </c>
      <c r="D645" s="37" t="n">
        <f aca="false">1+IF($G$8=$E$8,$F$8,IF(R645&lt;($F$8-$E$8)/($G$8-$E$8),$E$8+SQRT(R645*($G$8-$E$8)*($F$8-$E$8)),$G$8-SQRT((1-R645)*($G$8-$E$8)*($G$8-$F$8))))</f>
        <v>1.084088796618</v>
      </c>
      <c r="E645" s="37" t="n">
        <f aca="false">1+IF($G$9=$E$9,$F$9,IF(S645&lt;($F$9-$E$9)/($G$9-$E$9),$E$9+SQRT(S645*($G$9-$E$9)*($F$9-$E$9)),$G$9-SQRT((1-S645)*($G$9-$E$9)*($G$9-$F$9))))</f>
        <v>1.0359258447548</v>
      </c>
      <c r="F645" s="37" t="n">
        <f aca="false">1+IF($G$10=$E$10,$F$10,IF(T645&lt;($F$10-$E$10)/($G$10-$E$10),$E$10+SQRT(T645*($G$10-$E$10)*($F$10-$E$10)),$G$10-SQRT((1-T645)*($G$10-$E$10)*($G$10-$F$10))))</f>
        <v>1.04711468204963</v>
      </c>
      <c r="G645" s="38" t="n">
        <f aca="false">IF($G$11=$E$11,$F$11,IF(U645&lt;($F$11-$E$11)/($G$11-$E$11),$E$11+SQRT(U645*($G$11-$E$11)*($F$11-$E$11)),$G$11-SQRT((1-U645)*($G$11-$E$11)*($G$11-$F$11))))</f>
        <v>0.0833526524565903</v>
      </c>
      <c r="H645" s="39" t="n">
        <f aca="false">(('Business Case'!B11*$C645*'Business Case'!B12*$B645)-'Business Case'!B11*$C645*'Business Case'!B13*$D645-'Business Case'!B14*$E645)-MAX(0,(('Business Case'!B11*$C645*'Business Case'!B12*$B645)-'Business Case'!B11*$C645*'Business Case'!B13*$D645-'Business Case'!B14*$E645))*'Business Case'!$B$7-'Business Case'!$B$8*('Business Case'!B11*$C645*'Business Case'!B12*$B645)-'Business Case'!B15*$F645</f>
        <v>-2094229364.09925</v>
      </c>
      <c r="I645" s="39" t="n">
        <f aca="false">(('Business Case'!C11*$C645*'Business Case'!C12*$B645)-'Business Case'!C11*$C645*'Business Case'!C13*$D645-'Business Case'!C14*$E645)-MAX(0,(('Business Case'!C11*$C645*'Business Case'!C12*$B645)-'Business Case'!C11*$C645*'Business Case'!C13*$D645-'Business Case'!C14*$E645))*'Business Case'!$B$7-'Business Case'!$B$8*(('Business Case'!C11*$C645*'Business Case'!C12*$B645)-('Business Case'!B11*$C645*'Business Case'!B12*$B645))-'Business Case'!C15*$F645</f>
        <v>-61204202.2187542</v>
      </c>
      <c r="J645" s="39" t="n">
        <f aca="false">(('Business Case'!D11*$C645*'Business Case'!D12*$B645)-'Business Case'!D11*$C645*'Business Case'!D13*$D645-'Business Case'!D14*$E645)-MAX(0,(('Business Case'!D11*$C645*'Business Case'!D12*$B645)-'Business Case'!D11*$C645*'Business Case'!D13*$D645-'Business Case'!D14*$E645))*'Business Case'!$B$7-'Business Case'!$B$8*(('Business Case'!D11*$C645*'Business Case'!D12*$B645)-('Business Case'!C11*$C645*'Business Case'!C12*$B645))-'Business Case'!D15*$F645</f>
        <v>181824460.228985</v>
      </c>
      <c r="K645" s="39" t="n">
        <f aca="false">(('Business Case'!E11*$C645*'Business Case'!E12*$B645)-'Business Case'!E11*$C645*'Business Case'!E13*$D645-'Business Case'!E14*$E645)-MAX(0,(('Business Case'!E11*$C645*'Business Case'!E12*$B645)-'Business Case'!E11*$C645*'Business Case'!E13*$D645-'Business Case'!E14*$E645))*'Business Case'!$B$7-'Business Case'!$B$8*(('Business Case'!E11*$C645*'Business Case'!E12*$B645)-('Business Case'!D11*$C645*'Business Case'!D12*$B645))-'Business Case'!E15*$F645</f>
        <v>477208856.779205</v>
      </c>
      <c r="L645" s="39" t="n">
        <f aca="false">(('Business Case'!F11*$C645*'Business Case'!F12*$B645)-'Business Case'!F11*$C645*'Business Case'!F13*$D645-'Business Case'!F14*$E645)-MAX(0,(('Business Case'!F11*$C645*'Business Case'!F12*$B645)-'Business Case'!F11*$C645*'Business Case'!F13*$D645-'Business Case'!F14*$E645))*'Business Case'!$B$7-'Business Case'!$B$8*(('Business Case'!F11*$C645*'Business Case'!F12*$B645)-('Business Case'!E11*$C645*'Business Case'!E12*$B645))-'Business Case'!F15*$F645</f>
        <v>593026905.153383</v>
      </c>
      <c r="M645" s="39" t="n">
        <f aca="false">(('Business Case'!G11*$C645*'Business Case'!G12*$B645)-'Business Case'!G11*$C645*'Business Case'!G13*$D645-'Business Case'!G14*$E645)-MAX(0,(('Business Case'!G11*$C645*'Business Case'!G12*$B645)-'Business Case'!G11*$C645*'Business Case'!G13*$D645-'Business Case'!G14*$E645))*'Business Case'!$B$7-'Business Case'!$B$8*(('Business Case'!G11*$C645*'Business Case'!G12*$B645)-('Business Case'!F11*$C645*'Business Case'!F12*$B645))-'Business Case'!G15*$F645+'Business Case'!$B$8*('Business Case'!G11*$C645*'Business Case'!G12*$B645)</f>
        <v>784473623.390509</v>
      </c>
      <c r="N645" s="39" t="n">
        <f aca="false">IF(COUNT('Business Case'!B11:G11)=0,"",H645+NPV(G645,I645:M645))</f>
        <v>-664274216.64778</v>
      </c>
      <c r="P645" s="40" t="n">
        <f aca="true">RAND()</f>
        <v>0.244165874563921</v>
      </c>
      <c r="Q645" s="40" t="n">
        <f aca="true">RAND()</f>
        <v>0.847645054851698</v>
      </c>
      <c r="R645" s="40" t="n">
        <f aca="true">RAND()</f>
        <v>0.983122240462445</v>
      </c>
      <c r="S645" s="40" t="n">
        <f aca="true">RAND()</f>
        <v>0.652988989469169</v>
      </c>
      <c r="T645" s="40" t="n">
        <f aca="true">RAND()</f>
        <v>0.451167303469005</v>
      </c>
      <c r="U645" s="40" t="n">
        <f aca="true">RAND()</f>
        <v>0.0112402784946807</v>
      </c>
    </row>
    <row r="646" customFormat="false" ht="15" hidden="false" customHeight="false" outlineLevel="0" collapsed="false">
      <c r="A646" s="36" t="n">
        <v>566</v>
      </c>
      <c r="B646" s="37" t="n">
        <f aca="false">1+IF($G$6=$E$6,$F$6,IF(P646&lt;($F$6-$E$6)/($G$6-$E$6),$E$6+SQRT(P646*($G$6-$E$6)*($F$6-$E$6)),$G$6-SQRT((1-P646)*($G$6-$E$6)*($G$6-$F$6))))</f>
        <v>0.962439145377869</v>
      </c>
      <c r="C646" s="37" t="n">
        <f aca="false">1+IF($G$7=$E$7,$F$7,IF(Q646&lt;($F$7-$E$7)/($G$7-$E$7),$E$7+SQRT(Q646*($G$7-$E$7)*($F$7-$E$7)),$G$7-SQRT((1-Q646)*($G$7-$E$7)*($G$7-$F$7))))</f>
        <v>1.06905295681484</v>
      </c>
      <c r="D646" s="37" t="n">
        <f aca="false">1+IF($G$8=$E$8,$F$8,IF(R646&lt;($F$8-$E$8)/($G$8-$E$8),$E$8+SQRT(R646*($G$8-$E$8)*($F$8-$E$8)),$G$8-SQRT((1-R646)*($G$8-$E$8)*($G$8-$F$8))))</f>
        <v>1.00205893472616</v>
      </c>
      <c r="E646" s="37" t="n">
        <f aca="false">1+IF($G$9=$E$9,$F$9,IF(S646&lt;($F$9-$E$9)/($G$9-$E$9),$E$9+SQRT(S646*($G$9-$E$9)*($F$9-$E$9)),$G$9-SQRT((1-S646)*($G$9-$E$9)*($G$9-$F$9))))</f>
        <v>0.983931208150606</v>
      </c>
      <c r="F646" s="37" t="n">
        <f aca="false">1+IF($G$10=$E$10,$F$10,IF(T646&lt;($F$10-$E$10)/($G$10-$E$10),$E$10+SQRT(T646*($G$10-$E$10)*($F$10-$E$10)),$G$10-SQRT((1-T646)*($G$10-$E$10)*($G$10-$F$10))))</f>
        <v>1.19760486158344</v>
      </c>
      <c r="G646" s="38" t="n">
        <f aca="false">IF($G$11=$E$11,$F$11,IF(U646&lt;($F$11-$E$11)/($G$11-$E$11),$E$11+SQRT(U646*($G$11-$E$11)*($F$11-$E$11)),$G$11-SQRT((1-U646)*($G$11-$E$11)*($G$11-$F$11))))</f>
        <v>0.0967515598265218</v>
      </c>
      <c r="H646" s="39" t="n">
        <f aca="false">(('Business Case'!B11*$C646*'Business Case'!B12*$B646)-'Business Case'!B11*$C646*'Business Case'!B13*$D646-'Business Case'!B14*$E646)-MAX(0,(('Business Case'!B11*$C646*'Business Case'!B12*$B646)-'Business Case'!B11*$C646*'Business Case'!B13*$D646-'Business Case'!B14*$E646))*'Business Case'!$B$7-'Business Case'!$B$8*('Business Case'!B11*$C646*'Business Case'!B12*$B646)-'Business Case'!B15*$F646</f>
        <v>-2395209723.16688</v>
      </c>
      <c r="I646" s="39" t="n">
        <f aca="false">(('Business Case'!C11*$C646*'Business Case'!C12*$B646)-'Business Case'!C11*$C646*'Business Case'!C13*$D646-'Business Case'!C14*$E646)-MAX(0,(('Business Case'!C11*$C646*'Business Case'!C12*$B646)-'Business Case'!C11*$C646*'Business Case'!C13*$D646-'Business Case'!C14*$E646))*'Business Case'!$B$7-'Business Case'!$B$8*(('Business Case'!C11*$C646*'Business Case'!C12*$B646)-('Business Case'!B11*$C646*'Business Case'!B12*$B646))-'Business Case'!C15*$F646</f>
        <v>-18668097.910176</v>
      </c>
      <c r="J646" s="39" t="n">
        <f aca="false">(('Business Case'!D11*$C646*'Business Case'!D12*$B646)-'Business Case'!D11*$C646*'Business Case'!D13*$D646-'Business Case'!D14*$E646)-MAX(0,(('Business Case'!D11*$C646*'Business Case'!D12*$B646)-'Business Case'!D11*$C646*'Business Case'!D13*$D646-'Business Case'!D14*$E646))*'Business Case'!$B$7-'Business Case'!$B$8*(('Business Case'!D11*$C646*'Business Case'!D12*$B646)-('Business Case'!C11*$C646*'Business Case'!C12*$B646))-'Business Case'!D15*$F646</f>
        <v>275677401.925018</v>
      </c>
      <c r="K646" s="39" t="n">
        <f aca="false">(('Business Case'!E11*$C646*'Business Case'!E12*$B646)-'Business Case'!E11*$C646*'Business Case'!E13*$D646-'Business Case'!E14*$E646)-MAX(0,(('Business Case'!E11*$C646*'Business Case'!E12*$B646)-'Business Case'!E11*$C646*'Business Case'!E13*$D646-'Business Case'!E14*$E646))*'Business Case'!$B$7-'Business Case'!$B$8*(('Business Case'!E11*$C646*'Business Case'!E12*$B646)-('Business Case'!D11*$C646*'Business Case'!D12*$B646))-'Business Case'!E15*$F646</f>
        <v>629903144.839385</v>
      </c>
      <c r="L646" s="39" t="n">
        <f aca="false">(('Business Case'!F11*$C646*'Business Case'!F12*$B646)-'Business Case'!F11*$C646*'Business Case'!F13*$D646-'Business Case'!F14*$E646)-MAX(0,(('Business Case'!F11*$C646*'Business Case'!F12*$B646)-'Business Case'!F11*$C646*'Business Case'!F13*$D646-'Business Case'!F14*$E646))*'Business Case'!$B$7-'Business Case'!$B$8*(('Business Case'!F11*$C646*'Business Case'!F12*$B646)-('Business Case'!E11*$C646*'Business Case'!E12*$B646))-'Business Case'!F15*$F646</f>
        <v>763577040.643122</v>
      </c>
      <c r="M646" s="39" t="n">
        <f aca="false">(('Business Case'!G11*$C646*'Business Case'!G12*$B646)-'Business Case'!G11*$C646*'Business Case'!G13*$D646-'Business Case'!G14*$E646)-MAX(0,(('Business Case'!G11*$C646*'Business Case'!G12*$B646)-'Business Case'!G11*$C646*'Business Case'!G13*$D646-'Business Case'!G14*$E646))*'Business Case'!$B$7-'Business Case'!$B$8*(('Business Case'!G11*$C646*'Business Case'!G12*$B646)-('Business Case'!F11*$C646*'Business Case'!F12*$B646))-'Business Case'!G15*$F646+'Business Case'!$B$8*('Business Case'!G11*$C646*'Business Case'!G12*$B646)</f>
        <v>959150051.199158</v>
      </c>
      <c r="N646" s="39" t="n">
        <f aca="false">IF(COUNT('Business Case'!B11:G11)=0,"",H646+NPV(G646,I646:M646))</f>
        <v>-573404903.884064</v>
      </c>
      <c r="P646" s="40" t="n">
        <f aca="true">RAND()</f>
        <v>0.259909791701244</v>
      </c>
      <c r="Q646" s="40" t="n">
        <f aca="true">RAND()</f>
        <v>0.902927054808591</v>
      </c>
      <c r="R646" s="40" t="n">
        <f aca="true">RAND()</f>
        <v>0.360503182201692</v>
      </c>
      <c r="S646" s="40" t="n">
        <f aca="true">RAND()</f>
        <v>0.281777908064811</v>
      </c>
      <c r="T646" s="40" t="n">
        <f aca="true">RAND()</f>
        <v>0.963396659604128</v>
      </c>
      <c r="U646" s="40" t="n">
        <f aca="true">RAND()</f>
        <v>0.280614756621539</v>
      </c>
    </row>
    <row r="647" customFormat="false" ht="15" hidden="false" customHeight="false" outlineLevel="0" collapsed="false">
      <c r="A647" s="36" t="n">
        <v>567</v>
      </c>
      <c r="B647" s="37" t="n">
        <f aca="false">1+IF($G$6=$E$6,$F$6,IF(P647&lt;($F$6-$E$6)/($G$6-$E$6),$E$6+SQRT(P647*($G$6-$E$6)*($F$6-$E$6)),$G$6-SQRT((1-P647)*($G$6-$E$6)*($G$6-$F$6))))</f>
        <v>0.963032214064396</v>
      </c>
      <c r="C647" s="37" t="n">
        <f aca="false">1+IF($G$7=$E$7,$F$7,IF(Q647&lt;($F$7-$E$7)/($G$7-$E$7),$E$7+SQRT(Q647*($G$7-$E$7)*($F$7-$E$7)),$G$7-SQRT((1-Q647)*($G$7-$E$7)*($G$7-$F$7))))</f>
        <v>0.883094904810702</v>
      </c>
      <c r="D647" s="37" t="n">
        <f aca="false">1+IF($G$8=$E$8,$F$8,IF(R647&lt;($F$8-$E$8)/($G$8-$E$8),$E$8+SQRT(R647*($G$8-$E$8)*($F$8-$E$8)),$G$8-SQRT((1-R647)*($G$8-$E$8)*($G$8-$F$8))))</f>
        <v>1.00711431024739</v>
      </c>
      <c r="E647" s="37" t="n">
        <f aca="false">1+IF($G$9=$E$9,$F$9,IF(S647&lt;($F$9-$E$9)/($G$9-$E$9),$E$9+SQRT(S647*($G$9-$E$9)*($F$9-$E$9)),$G$9-SQRT((1-S647)*($G$9-$E$9)*($G$9-$F$9))))</f>
        <v>1.04567223781353</v>
      </c>
      <c r="F647" s="37" t="n">
        <f aca="false">1+IF($G$10=$E$10,$F$10,IF(T647&lt;($F$10-$E$10)/($G$10-$E$10),$E$10+SQRT(T647*($G$10-$E$10)*($F$10-$E$10)),$G$10-SQRT((1-T647)*($G$10-$E$10)*($G$10-$F$10))))</f>
        <v>1.02577337453947</v>
      </c>
      <c r="G647" s="38" t="n">
        <f aca="false">IF($G$11=$E$11,$F$11,IF(U647&lt;($F$11-$E$11)/($G$11-$E$11),$E$11+SQRT(U647*($G$11-$E$11)*($F$11-$E$11)),$G$11-SQRT((1-U647)*($G$11-$E$11)*($G$11-$F$11))))</f>
        <v>0.124254751734072</v>
      </c>
      <c r="H647" s="39" t="n">
        <f aca="false">(('Business Case'!B11*$C647*'Business Case'!B12*$B647)-'Business Case'!B11*$C647*'Business Case'!B13*$D647-'Business Case'!B14*$E647)-MAX(0,(('Business Case'!B11*$C647*'Business Case'!B12*$B647)-'Business Case'!B11*$C647*'Business Case'!B13*$D647-'Business Case'!B14*$E647))*'Business Case'!$B$7-'Business Case'!$B$8*('Business Case'!B11*$C647*'Business Case'!B12*$B647)-'Business Case'!B15*$F647</f>
        <v>-2051546749.07894</v>
      </c>
      <c r="I647" s="39" t="n">
        <f aca="false">(('Business Case'!C11*$C647*'Business Case'!C12*$B647)-'Business Case'!C11*$C647*'Business Case'!C13*$D647-'Business Case'!C14*$E647)-MAX(0,(('Business Case'!C11*$C647*'Business Case'!C12*$B647)-'Business Case'!C11*$C647*'Business Case'!C13*$D647-'Business Case'!C14*$E647))*'Business Case'!$B$7-'Business Case'!$B$8*(('Business Case'!C11*$C647*'Business Case'!C12*$B647)-('Business Case'!B11*$C647*'Business Case'!B12*$B647))-'Business Case'!C15*$F647</f>
        <v>-54070502.1399747</v>
      </c>
      <c r="J647" s="39" t="n">
        <f aca="false">(('Business Case'!D11*$C647*'Business Case'!D12*$B647)-'Business Case'!D11*$C647*'Business Case'!D13*$D647-'Business Case'!D14*$E647)-MAX(0,(('Business Case'!D11*$C647*'Business Case'!D12*$B647)-'Business Case'!D11*$C647*'Business Case'!D13*$D647-'Business Case'!D14*$E647))*'Business Case'!$B$7-'Business Case'!$B$8*(('Business Case'!D11*$C647*'Business Case'!D12*$B647)-('Business Case'!C11*$C647*'Business Case'!C12*$B647))-'Business Case'!D15*$F647</f>
        <v>187218193.329717</v>
      </c>
      <c r="K647" s="39" t="n">
        <f aca="false">(('Business Case'!E11*$C647*'Business Case'!E12*$B647)-'Business Case'!E11*$C647*'Business Case'!E13*$D647-'Business Case'!E14*$E647)-MAX(0,(('Business Case'!E11*$C647*'Business Case'!E12*$B647)-'Business Case'!E11*$C647*'Business Case'!E13*$D647-'Business Case'!E14*$E647))*'Business Case'!$B$7-'Business Case'!$B$8*(('Business Case'!E11*$C647*'Business Case'!E12*$B647)-('Business Case'!D11*$C647*'Business Case'!D12*$B647))-'Business Case'!E15*$F647</f>
        <v>479795557.526381</v>
      </c>
      <c r="L647" s="39" t="n">
        <f aca="false">(('Business Case'!F11*$C647*'Business Case'!F12*$B647)-'Business Case'!F11*$C647*'Business Case'!F13*$D647-'Business Case'!F14*$E647)-MAX(0,(('Business Case'!F11*$C647*'Business Case'!F12*$B647)-'Business Case'!F11*$C647*'Business Case'!F13*$D647-'Business Case'!F14*$E647))*'Business Case'!$B$7-'Business Case'!$B$8*(('Business Case'!F11*$C647*'Business Case'!F12*$B647)-('Business Case'!E11*$C647*'Business Case'!E12*$B647))-'Business Case'!F15*$F647</f>
        <v>589616634.642035</v>
      </c>
      <c r="M647" s="39" t="n">
        <f aca="false">(('Business Case'!G11*$C647*'Business Case'!G12*$B647)-'Business Case'!G11*$C647*'Business Case'!G13*$D647-'Business Case'!G14*$E647)-MAX(0,(('Business Case'!G11*$C647*'Business Case'!G12*$B647)-'Business Case'!G11*$C647*'Business Case'!G13*$D647-'Business Case'!G14*$E647))*'Business Case'!$B$7-'Business Case'!$B$8*(('Business Case'!G11*$C647*'Business Case'!G12*$B647)-('Business Case'!F11*$C647*'Business Case'!F12*$B647))-'Business Case'!G15*$F647+'Business Case'!$B$8*('Business Case'!G11*$C647*'Business Case'!G12*$B647)</f>
        <v>751269950.417026</v>
      </c>
      <c r="N647" s="39" t="n">
        <f aca="false">IF(COUNT('Business Case'!B11:G11)=0,"",H647+NPV(G647,I647:M647))</f>
        <v>-826516474.669486</v>
      </c>
      <c r="P647" s="40" t="n">
        <f aca="true">RAND()</f>
        <v>0.264870667323991</v>
      </c>
      <c r="Q647" s="40" t="n">
        <f aca="true">RAND()</f>
        <v>0.248324030871408</v>
      </c>
      <c r="R647" s="40" t="n">
        <f aca="true">RAND()</f>
        <v>0.424816575945437</v>
      </c>
      <c r="S647" s="40" t="n">
        <f aca="true">RAND()</f>
        <v>0.709752480991046</v>
      </c>
      <c r="T647" s="40" t="n">
        <f aca="true">RAND()</f>
        <v>0.329632272461121</v>
      </c>
      <c r="U647" s="40" t="n">
        <f aca="true">RAND()</f>
        <v>0.977994748241899</v>
      </c>
    </row>
    <row r="648" customFormat="false" ht="15" hidden="false" customHeight="false" outlineLevel="0" collapsed="false">
      <c r="A648" s="36" t="n">
        <v>568</v>
      </c>
      <c r="B648" s="37" t="n">
        <f aca="false">1+IF($G$6=$E$6,$F$6,IF(P648&lt;($F$6-$E$6)/($G$6-$E$6),$E$6+SQRT(P648*($G$6-$E$6)*($F$6-$E$6)),$G$6-SQRT((1-P648)*($G$6-$E$6)*($G$6-$F$6))))</f>
        <v>0.971949552873201</v>
      </c>
      <c r="C648" s="37" t="n">
        <f aca="false">1+IF($G$7=$E$7,$F$7,IF(Q648&lt;($F$7-$E$7)/($G$7-$E$7),$E$7+SQRT(Q648*($G$7-$E$7)*($F$7-$E$7)),$G$7-SQRT((1-Q648)*($G$7-$E$7)*($G$7-$F$7))))</f>
        <v>0.926545729749438</v>
      </c>
      <c r="D648" s="37" t="n">
        <f aca="false">1+IF($G$8=$E$8,$F$8,IF(R648&lt;($F$8-$E$8)/($G$8-$E$8),$E$8+SQRT(R648*($G$8-$E$8)*($F$8-$E$8)),$G$8-SQRT((1-R648)*($G$8-$E$8)*($G$8-$F$8))))</f>
        <v>0.982881604980333</v>
      </c>
      <c r="E648" s="37" t="n">
        <f aca="false">1+IF($G$9=$E$9,$F$9,IF(S648&lt;($F$9-$E$9)/($G$9-$E$9),$E$9+SQRT(S648*($G$9-$E$9)*($F$9-$E$9)),$G$9-SQRT((1-S648)*($G$9-$E$9)*($G$9-$F$9))))</f>
        <v>1.07920530405793</v>
      </c>
      <c r="F648" s="37" t="n">
        <f aca="false">1+IF($G$10=$E$10,$F$10,IF(T648&lt;($F$10-$E$10)/($G$10-$E$10),$E$10+SQRT(T648*($G$10-$E$10)*($F$10-$E$10)),$G$10-SQRT((1-T648)*($G$10-$E$10)*($G$10-$F$10))))</f>
        <v>1.00871539719568</v>
      </c>
      <c r="G648" s="38" t="n">
        <f aca="false">IF($G$11=$E$11,$F$11,IF(U648&lt;($F$11-$E$11)/($G$11-$E$11),$E$11+SQRT(U648*($G$11-$E$11)*($F$11-$E$11)),$G$11-SQRT((1-U648)*($G$11-$E$11)*($G$11-$F$11))))</f>
        <v>0.0856390714225397</v>
      </c>
      <c r="H648" s="39" t="n">
        <f aca="false">(('Business Case'!B11*$C648*'Business Case'!B12*$B648)-'Business Case'!B11*$C648*'Business Case'!B13*$D648-'Business Case'!B14*$E648)-MAX(0,(('Business Case'!B11*$C648*'Business Case'!B12*$B648)-'Business Case'!B11*$C648*'Business Case'!B13*$D648-'Business Case'!B14*$E648))*'Business Case'!$B$7-'Business Case'!$B$8*('Business Case'!B11*$C648*'Business Case'!B12*$B648)-'Business Case'!B15*$F648</f>
        <v>-2017430794.39136</v>
      </c>
      <c r="I648" s="39" t="n">
        <f aca="false">(('Business Case'!C11*$C648*'Business Case'!C12*$B648)-'Business Case'!C11*$C648*'Business Case'!C13*$D648-'Business Case'!C14*$E648)-MAX(0,(('Business Case'!C11*$C648*'Business Case'!C12*$B648)-'Business Case'!C11*$C648*'Business Case'!C13*$D648-'Business Case'!C14*$E648))*'Business Case'!$B$7-'Business Case'!$B$8*(('Business Case'!C11*$C648*'Business Case'!C12*$B648)-('Business Case'!B11*$C648*'Business Case'!B12*$B648))-'Business Case'!C15*$F648</f>
        <v>-29597116.4297224</v>
      </c>
      <c r="J648" s="39" t="n">
        <f aca="false">(('Business Case'!D11*$C648*'Business Case'!D12*$B648)-'Business Case'!D11*$C648*'Business Case'!D13*$D648-'Business Case'!D14*$E648)-MAX(0,(('Business Case'!D11*$C648*'Business Case'!D12*$B648)-'Business Case'!D11*$C648*'Business Case'!D13*$D648-'Business Case'!D14*$E648))*'Business Case'!$B$7-'Business Case'!$B$8*(('Business Case'!D11*$C648*'Business Case'!D12*$B648)-('Business Case'!C11*$C648*'Business Case'!C12*$B648))-'Business Case'!D15*$F648</f>
        <v>241825108.986741</v>
      </c>
      <c r="K648" s="39" t="n">
        <f aca="false">(('Business Case'!E11*$C648*'Business Case'!E12*$B648)-'Business Case'!E11*$C648*'Business Case'!E13*$D648-'Business Case'!E14*$E648)-MAX(0,(('Business Case'!E11*$C648*'Business Case'!E12*$B648)-'Business Case'!E11*$C648*'Business Case'!E13*$D648-'Business Case'!E14*$E648))*'Business Case'!$B$7-'Business Case'!$B$8*(('Business Case'!E11*$C648*'Business Case'!E12*$B648)-('Business Case'!D11*$C648*'Business Case'!D12*$B648))-'Business Case'!E15*$F648</f>
        <v>563683104.262988</v>
      </c>
      <c r="L648" s="39" t="n">
        <f aca="false">(('Business Case'!F11*$C648*'Business Case'!F12*$B648)-'Business Case'!F11*$C648*'Business Case'!F13*$D648-'Business Case'!F14*$E648)-MAX(0,(('Business Case'!F11*$C648*'Business Case'!F12*$B648)-'Business Case'!F11*$C648*'Business Case'!F13*$D648-'Business Case'!F14*$E648))*'Business Case'!$B$7-'Business Case'!$B$8*(('Business Case'!F11*$C648*'Business Case'!F12*$B648)-('Business Case'!E11*$C648*'Business Case'!E12*$B648))-'Business Case'!F15*$F648</f>
        <v>685280384.66153</v>
      </c>
      <c r="M648" s="39" t="n">
        <f aca="false">(('Business Case'!G11*$C648*'Business Case'!G12*$B648)-'Business Case'!G11*$C648*'Business Case'!G13*$D648-'Business Case'!G14*$E648)-MAX(0,(('Business Case'!G11*$C648*'Business Case'!G12*$B648)-'Business Case'!G11*$C648*'Business Case'!G13*$D648-'Business Case'!G14*$E648))*'Business Case'!$B$7-'Business Case'!$B$8*(('Business Case'!G11*$C648*'Business Case'!G12*$B648)-('Business Case'!F11*$C648*'Business Case'!F12*$B648))-'Business Case'!G15*$F648+'Business Case'!$B$8*('Business Case'!G11*$C648*'Business Case'!G12*$B648)</f>
        <v>856458013.589992</v>
      </c>
      <c r="N648" s="39" t="n">
        <f aca="false">IF(COUNT('Business Case'!B11:G11)=0,"",H648+NPV(G648,I648:M648))</f>
        <v>-337755751.795158</v>
      </c>
      <c r="P648" s="40" t="n">
        <f aca="true">RAND()</f>
        <v>0.345115877243569</v>
      </c>
      <c r="Q648" s="40" t="n">
        <f aca="true">RAND()</f>
        <v>0.380170130871893</v>
      </c>
      <c r="R648" s="40" t="n">
        <f aca="true">RAND()</f>
        <v>0.144159992811018</v>
      </c>
      <c r="S648" s="40" t="n">
        <f aca="true">RAND()</f>
        <v>0.866349627372516</v>
      </c>
      <c r="T648" s="40" t="n">
        <f aca="true">RAND()</f>
        <v>0.223756539327493</v>
      </c>
      <c r="U648" s="40" t="n">
        <f aca="true">RAND()</f>
        <v>0.031799126508504</v>
      </c>
    </row>
    <row r="649" customFormat="false" ht="15" hidden="false" customHeight="false" outlineLevel="0" collapsed="false">
      <c r="A649" s="36" t="n">
        <v>569</v>
      </c>
      <c r="B649" s="37" t="n">
        <f aca="false">1+IF($G$6=$E$6,$F$6,IF(P649&lt;($F$6-$E$6)/($G$6-$E$6),$E$6+SQRT(P649*($G$6-$E$6)*($F$6-$E$6)),$G$6-SQRT((1-P649)*($G$6-$E$6)*($G$6-$F$6))))</f>
        <v>0.97724943519829</v>
      </c>
      <c r="C649" s="37" t="n">
        <f aca="false">1+IF($G$7=$E$7,$F$7,IF(Q649&lt;($F$7-$E$7)/($G$7-$E$7),$E$7+SQRT(Q649*($G$7-$E$7)*($F$7-$E$7)),$G$7-SQRT((1-Q649)*($G$7-$E$7)*($G$7-$F$7))))</f>
        <v>0.863654478257617</v>
      </c>
      <c r="D649" s="37" t="n">
        <f aca="false">1+IF($G$8=$E$8,$F$8,IF(R649&lt;($F$8-$E$8)/($G$8-$E$8),$E$8+SQRT(R649*($G$8-$E$8)*($F$8-$E$8)),$G$8-SQRT((1-R649)*($G$8-$E$8)*($G$8-$F$8))))</f>
        <v>1.02565905067721</v>
      </c>
      <c r="E649" s="37" t="n">
        <f aca="false">1+IF($G$9=$E$9,$F$9,IF(S649&lt;($F$9-$E$9)/($G$9-$E$9),$E$9+SQRT(S649*($G$9-$E$9)*($F$9-$E$9)),$G$9-SQRT((1-S649)*($G$9-$E$9)*($G$9-$F$9))))</f>
        <v>1.04713490754556</v>
      </c>
      <c r="F649" s="37" t="n">
        <f aca="false">1+IF($G$10=$E$10,$F$10,IF(T649&lt;($F$10-$E$10)/($G$10-$E$10),$E$10+SQRT(T649*($G$10-$E$10)*($F$10-$E$10)),$G$10-SQRT((1-T649)*($G$10-$E$10)*($G$10-$F$10))))</f>
        <v>1.04783006710964</v>
      </c>
      <c r="G649" s="38" t="n">
        <f aca="false">IF($G$11=$E$11,$F$11,IF(U649&lt;($F$11-$E$11)/($G$11-$E$11),$E$11+SQRT(U649*($G$11-$E$11)*($F$11-$E$11)),$G$11-SQRT((1-U649)*($G$11-$E$11)*($G$11-$F$11))))</f>
        <v>0.0903653481692612</v>
      </c>
      <c r="H649" s="39" t="n">
        <f aca="false">(('Business Case'!B11*$C649*'Business Case'!B12*$B649)-'Business Case'!B11*$C649*'Business Case'!B13*$D649-'Business Case'!B14*$E649)-MAX(0,(('Business Case'!B11*$C649*'Business Case'!B12*$B649)-'Business Case'!B11*$C649*'Business Case'!B13*$D649-'Business Case'!B14*$E649))*'Business Case'!$B$7-'Business Case'!$B$8*('Business Case'!B11*$C649*'Business Case'!B12*$B649)-'Business Case'!B15*$F649</f>
        <v>-2095660134.21927</v>
      </c>
      <c r="I649" s="39" t="n">
        <f aca="false">(('Business Case'!C11*$C649*'Business Case'!C12*$B649)-'Business Case'!C11*$C649*'Business Case'!C13*$D649-'Business Case'!C14*$E649)-MAX(0,(('Business Case'!C11*$C649*'Business Case'!C12*$B649)-'Business Case'!C11*$C649*'Business Case'!C13*$D649-'Business Case'!C14*$E649))*'Business Case'!$B$7-'Business Case'!$B$8*(('Business Case'!C11*$C649*'Business Case'!C12*$B649)-('Business Case'!B11*$C649*'Business Case'!B12*$B649))-'Business Case'!C15*$F649</f>
        <v>-59603724.7514963</v>
      </c>
      <c r="J649" s="39" t="n">
        <f aca="false">(('Business Case'!D11*$C649*'Business Case'!D12*$B649)-'Business Case'!D11*$C649*'Business Case'!D13*$D649-'Business Case'!D14*$E649)-MAX(0,(('Business Case'!D11*$C649*'Business Case'!D12*$B649)-'Business Case'!D11*$C649*'Business Case'!D13*$D649-'Business Case'!D14*$E649))*'Business Case'!$B$7-'Business Case'!$B$8*(('Business Case'!D11*$C649*'Business Case'!D12*$B649)-('Business Case'!C11*$C649*'Business Case'!C12*$B649))-'Business Case'!D15*$F649</f>
        <v>178231404.38113</v>
      </c>
      <c r="K649" s="39" t="n">
        <f aca="false">(('Business Case'!E11*$C649*'Business Case'!E12*$B649)-'Business Case'!E11*$C649*'Business Case'!E13*$D649-'Business Case'!E14*$E649)-MAX(0,(('Business Case'!E11*$C649*'Business Case'!E12*$B649)-'Business Case'!E11*$C649*'Business Case'!E13*$D649-'Business Case'!E14*$E649))*'Business Case'!$B$7-'Business Case'!$B$8*(('Business Case'!E11*$C649*'Business Case'!E12*$B649)-('Business Case'!D11*$C649*'Business Case'!D12*$B649))-'Business Case'!E15*$F649</f>
        <v>468458036.869238</v>
      </c>
      <c r="L649" s="39" t="n">
        <f aca="false">(('Business Case'!F11*$C649*'Business Case'!F12*$B649)-'Business Case'!F11*$C649*'Business Case'!F13*$D649-'Business Case'!F14*$E649)-MAX(0,(('Business Case'!F11*$C649*'Business Case'!F12*$B649)-'Business Case'!F11*$C649*'Business Case'!F13*$D649-'Business Case'!F14*$E649))*'Business Case'!$B$7-'Business Case'!$B$8*(('Business Case'!F11*$C649*'Business Case'!F12*$B649)-('Business Case'!E11*$C649*'Business Case'!E12*$B649))-'Business Case'!F15*$F649</f>
        <v>576905255.460234</v>
      </c>
      <c r="M649" s="39" t="n">
        <f aca="false">(('Business Case'!G11*$C649*'Business Case'!G12*$B649)-'Business Case'!G11*$C649*'Business Case'!G13*$D649-'Business Case'!G14*$E649)-MAX(0,(('Business Case'!G11*$C649*'Business Case'!G12*$B649)-'Business Case'!G11*$C649*'Business Case'!G13*$D649-'Business Case'!G14*$E649))*'Business Case'!$B$7-'Business Case'!$B$8*(('Business Case'!G11*$C649*'Business Case'!G12*$B649)-('Business Case'!F11*$C649*'Business Case'!F12*$B649))-'Business Case'!G15*$F649+'Business Case'!$B$8*('Business Case'!G11*$C649*'Business Case'!G12*$B649)</f>
        <v>737333887.634229</v>
      </c>
      <c r="N649" s="39" t="n">
        <f aca="false">IF(COUNT('Business Case'!B11:G11)=0,"",H649+NPV(G649,I649:M649))</f>
        <v>-752477916.526307</v>
      </c>
      <c r="P649" s="40" t="n">
        <f aca="true">RAND()</f>
        <v>0.397831682563654</v>
      </c>
      <c r="Q649" s="40" t="n">
        <f aca="true">RAND()</f>
        <v>0.19839102410202</v>
      </c>
      <c r="R649" s="40" t="n">
        <f aca="true">RAND()</f>
        <v>0.631561550252453</v>
      </c>
      <c r="S649" s="40" t="n">
        <f aca="true">RAND()</f>
        <v>0.717833940115704</v>
      </c>
      <c r="T649" s="40" t="n">
        <f aca="true">RAND()</f>
        <v>0.455030909801409</v>
      </c>
      <c r="U649" s="40" t="n">
        <f aca="true">RAND()</f>
        <v>0.107440442670007</v>
      </c>
    </row>
    <row r="650" customFormat="false" ht="15" hidden="false" customHeight="false" outlineLevel="0" collapsed="false">
      <c r="A650" s="36" t="n">
        <v>570</v>
      </c>
      <c r="B650" s="37" t="n">
        <f aca="false">1+IF($G$6=$E$6,$F$6,IF(P650&lt;($F$6-$E$6)/($G$6-$E$6),$E$6+SQRT(P650*($G$6-$E$6)*($F$6-$E$6)),$G$6-SQRT((1-P650)*($G$6-$E$6)*($G$6-$F$6))))</f>
        <v>1.01309786260918</v>
      </c>
      <c r="C650" s="37" t="n">
        <f aca="false">1+IF($G$7=$E$7,$F$7,IF(Q650&lt;($F$7-$E$7)/($G$7-$E$7),$E$7+SQRT(Q650*($G$7-$E$7)*($F$7-$E$7)),$G$7-SQRT((1-Q650)*($G$7-$E$7)*($G$7-$F$7))))</f>
        <v>0.906537010308507</v>
      </c>
      <c r="D650" s="37" t="n">
        <f aca="false">1+IF($G$8=$E$8,$F$8,IF(R650&lt;($F$8-$E$8)/($G$8-$E$8),$E$8+SQRT(R650*($G$8-$E$8)*($F$8-$E$8)),$G$8-SQRT((1-R650)*($G$8-$E$8)*($G$8-$F$8))))</f>
        <v>1.05126730159446</v>
      </c>
      <c r="E650" s="37" t="n">
        <f aca="false">1+IF($G$9=$E$9,$F$9,IF(S650&lt;($F$9-$E$9)/($G$9-$E$9),$E$9+SQRT(S650*($G$9-$E$9)*($F$9-$E$9)),$G$9-SQRT((1-S650)*($G$9-$E$9)*($G$9-$F$9))))</f>
        <v>1.0030495398517</v>
      </c>
      <c r="F650" s="37" t="n">
        <f aca="false">1+IF($G$10=$E$10,$F$10,IF(T650&lt;($F$10-$E$10)/($G$10-$E$10),$E$10+SQRT(T650*($G$10-$E$10)*($F$10-$E$10)),$G$10-SQRT((1-T650)*($G$10-$E$10)*($G$10-$F$10))))</f>
        <v>1.15012612194897</v>
      </c>
      <c r="G650" s="38" t="n">
        <f aca="false">IF($G$11=$E$11,$F$11,IF(U650&lt;($F$11-$E$11)/($G$11-$E$11),$E$11+SQRT(U650*($G$11-$E$11)*($F$11-$E$11)),$G$11-SQRT((1-U650)*($G$11-$E$11)*($G$11-$F$11))))</f>
        <v>0.0957934173196684</v>
      </c>
      <c r="H650" s="39" t="n">
        <f aca="false">(('Business Case'!B11*$C650*'Business Case'!B12*$B650)-'Business Case'!B11*$C650*'Business Case'!B13*$D650-'Business Case'!B14*$E650)-MAX(0,(('Business Case'!B11*$C650*'Business Case'!B12*$B650)-'Business Case'!B11*$C650*'Business Case'!B13*$D650-'Business Case'!B14*$E650))*'Business Case'!$B$7-'Business Case'!$B$8*('Business Case'!B11*$C650*'Business Case'!B12*$B650)-'Business Case'!B15*$F650</f>
        <v>-2300252243.89794</v>
      </c>
      <c r="I650" s="39" t="n">
        <f aca="false">(('Business Case'!C11*$C650*'Business Case'!C12*$B650)-'Business Case'!C11*$C650*'Business Case'!C13*$D650-'Business Case'!C14*$E650)-MAX(0,(('Business Case'!C11*$C650*'Business Case'!C12*$B650)-'Business Case'!C11*$C650*'Business Case'!C13*$D650-'Business Case'!C14*$E650))*'Business Case'!$B$7-'Business Case'!$B$8*(('Business Case'!C11*$C650*'Business Case'!C12*$B650)-('Business Case'!B11*$C650*'Business Case'!B12*$B650))-'Business Case'!C15*$F650</f>
        <v>-40878442.70349</v>
      </c>
      <c r="J650" s="39" t="n">
        <f aca="false">(('Business Case'!D11*$C650*'Business Case'!D12*$B650)-'Business Case'!D11*$C650*'Business Case'!D13*$D650-'Business Case'!D14*$E650)-MAX(0,(('Business Case'!D11*$C650*'Business Case'!D12*$B650)-'Business Case'!D11*$C650*'Business Case'!D13*$D650-'Business Case'!D14*$E650))*'Business Case'!$B$7-'Business Case'!$B$8*(('Business Case'!D11*$C650*'Business Case'!D12*$B650)-('Business Case'!C11*$C650*'Business Case'!C12*$B650))-'Business Case'!D15*$F650</f>
        <v>223499782.432649</v>
      </c>
      <c r="K650" s="39" t="n">
        <f aca="false">(('Business Case'!E11*$C650*'Business Case'!E12*$B650)-'Business Case'!E11*$C650*'Business Case'!E13*$D650-'Business Case'!E14*$E650)-MAX(0,(('Business Case'!E11*$C650*'Business Case'!E12*$B650)-'Business Case'!E11*$C650*'Business Case'!E13*$D650-'Business Case'!E14*$E650))*'Business Case'!$B$7-'Business Case'!$B$8*(('Business Case'!E11*$C650*'Business Case'!E12*$B650)-('Business Case'!D11*$C650*'Business Case'!D12*$B650))-'Business Case'!E15*$F650</f>
        <v>545384313.666235</v>
      </c>
      <c r="L650" s="39" t="n">
        <f aca="false">(('Business Case'!F11*$C650*'Business Case'!F12*$B650)-'Business Case'!F11*$C650*'Business Case'!F13*$D650-'Business Case'!F14*$E650)-MAX(0,(('Business Case'!F11*$C650*'Business Case'!F12*$B650)-'Business Case'!F11*$C650*'Business Case'!F13*$D650-'Business Case'!F14*$E650))*'Business Case'!$B$7-'Business Case'!$B$8*(('Business Case'!F11*$C650*'Business Case'!F12*$B650)-('Business Case'!E11*$C650*'Business Case'!E12*$B650))-'Business Case'!F15*$F650</f>
        <v>665250662.763494</v>
      </c>
      <c r="M650" s="39" t="n">
        <f aca="false">(('Business Case'!G11*$C650*'Business Case'!G12*$B650)-'Business Case'!G11*$C650*'Business Case'!G13*$D650-'Business Case'!G14*$E650)-MAX(0,(('Business Case'!G11*$C650*'Business Case'!G12*$B650)-'Business Case'!G11*$C650*'Business Case'!G13*$D650-'Business Case'!G14*$E650))*'Business Case'!$B$7-'Business Case'!$B$8*(('Business Case'!G11*$C650*'Business Case'!G12*$B650)-('Business Case'!F11*$C650*'Business Case'!F12*$B650))-'Business Case'!G15*$F650+'Business Case'!$B$8*('Business Case'!G11*$C650*'Business Case'!G12*$B650)</f>
        <v>839822170.048831</v>
      </c>
      <c r="N650" s="39" t="n">
        <f aca="false">IF(COUNT('Business Case'!B11:G11)=0,"",H650+NPV(G650,I650:M650))</f>
        <v>-743991013.544827</v>
      </c>
      <c r="P650" s="40" t="n">
        <f aca="true">RAND()</f>
        <v>0.81843096746517</v>
      </c>
      <c r="Q650" s="40" t="n">
        <f aca="true">RAND()</f>
        <v>0.315981752793899</v>
      </c>
      <c r="R650" s="40" t="n">
        <f aca="true">RAND()</f>
        <v>0.841674940407624</v>
      </c>
      <c r="S650" s="40" t="n">
        <f aca="true">RAND()</f>
        <v>0.424148326992109</v>
      </c>
      <c r="T650" s="40" t="n">
        <f aca="true">RAND()</f>
        <v>0.867002779773971</v>
      </c>
      <c r="U650" s="40" t="n">
        <f aca="true">RAND()</f>
        <v>0.249432030633203</v>
      </c>
    </row>
    <row r="651" customFormat="false" ht="15" hidden="false" customHeight="false" outlineLevel="0" collapsed="false">
      <c r="A651" s="36" t="n">
        <v>571</v>
      </c>
      <c r="B651" s="37" t="n">
        <f aca="false">1+IF($G$6=$E$6,$F$6,IF(P651&lt;($F$6-$E$6)/($G$6-$E$6),$E$6+SQRT(P651*($G$6-$E$6)*($F$6-$E$6)),$G$6-SQRT((1-P651)*($G$6-$E$6)*($G$6-$F$6))))</f>
        <v>0.978453463422073</v>
      </c>
      <c r="C651" s="37" t="n">
        <f aca="false">1+IF($G$7=$E$7,$F$7,IF(Q651&lt;($F$7-$E$7)/($G$7-$E$7),$E$7+SQRT(Q651*($G$7-$E$7)*($F$7-$E$7)),$G$7-SQRT((1-Q651)*($G$7-$E$7)*($G$7-$F$7))))</f>
        <v>0.845430454473512</v>
      </c>
      <c r="D651" s="37" t="n">
        <f aca="false">1+IF($G$8=$E$8,$F$8,IF(R651&lt;($F$8-$E$8)/($G$8-$E$8),$E$8+SQRT(R651*($G$8-$E$8)*($F$8-$E$8)),$G$8-SQRT((1-R651)*($G$8-$E$8)*($G$8-$F$8))))</f>
        <v>0.989258275424822</v>
      </c>
      <c r="E651" s="37" t="n">
        <f aca="false">1+IF($G$9=$E$9,$F$9,IF(S651&lt;($F$9-$E$9)/($G$9-$E$9),$E$9+SQRT(S651*($G$9-$E$9)*($F$9-$E$9)),$G$9-SQRT((1-S651)*($G$9-$E$9)*($G$9-$F$9))))</f>
        <v>0.982966192550566</v>
      </c>
      <c r="F651" s="37" t="n">
        <f aca="false">1+IF($G$10=$E$10,$F$10,IF(T651&lt;($F$10-$E$10)/($G$10-$E$10),$E$10+SQRT(T651*($G$10-$E$10)*($F$10-$E$10)),$G$10-SQRT((1-T651)*($G$10-$E$10)*($G$10-$F$10))))</f>
        <v>1.01022711435202</v>
      </c>
      <c r="G651" s="38" t="n">
        <f aca="false">IF($G$11=$E$11,$F$11,IF(U651&lt;($F$11-$E$11)/($G$11-$E$11),$E$11+SQRT(U651*($G$11-$E$11)*($F$11-$E$11)),$G$11-SQRT((1-U651)*($G$11-$E$11)*($G$11-$F$11))))</f>
        <v>0.100614240031102</v>
      </c>
      <c r="H651" s="39" t="n">
        <f aca="false">(('Business Case'!B11*$C651*'Business Case'!B12*$B651)-'Business Case'!B11*$C651*'Business Case'!B13*$D651-'Business Case'!B14*$E651)-MAX(0,(('Business Case'!B11*$C651*'Business Case'!B12*$B651)-'Business Case'!B11*$C651*'Business Case'!B13*$D651-'Business Case'!B14*$E651))*'Business Case'!$B$7-'Business Case'!$B$8*('Business Case'!B11*$C651*'Business Case'!B12*$B651)-'Business Case'!B15*$F651</f>
        <v>-2020454228.70405</v>
      </c>
      <c r="I651" s="39" t="n">
        <f aca="false">(('Business Case'!C11*$C651*'Business Case'!C12*$B651)-'Business Case'!C11*$C651*'Business Case'!C13*$D651-'Business Case'!C14*$E651)-MAX(0,(('Business Case'!C11*$C651*'Business Case'!C12*$B651)-'Business Case'!C11*$C651*'Business Case'!C13*$D651-'Business Case'!C14*$E651))*'Business Case'!$B$7-'Business Case'!$B$8*(('Business Case'!C11*$C651*'Business Case'!C12*$B651)-('Business Case'!B11*$C651*'Business Case'!B12*$B651))-'Business Case'!C15*$F651</f>
        <v>-34278996.6789889</v>
      </c>
      <c r="J651" s="39" t="n">
        <f aca="false">(('Business Case'!D11*$C651*'Business Case'!D12*$B651)-'Business Case'!D11*$C651*'Business Case'!D13*$D651-'Business Case'!D14*$E651)-MAX(0,(('Business Case'!D11*$C651*'Business Case'!D12*$B651)-'Business Case'!D11*$C651*'Business Case'!D13*$D651-'Business Case'!D14*$E651))*'Business Case'!$B$7-'Business Case'!$B$8*(('Business Case'!D11*$C651*'Business Case'!D12*$B651)-('Business Case'!C11*$C651*'Business Case'!C12*$B651))-'Business Case'!D15*$F651</f>
        <v>215125302.886543</v>
      </c>
      <c r="K651" s="39" t="n">
        <f aca="false">(('Business Case'!E11*$C651*'Business Case'!E12*$B651)-'Business Case'!E11*$C651*'Business Case'!E13*$D651-'Business Case'!E14*$E651)-MAX(0,(('Business Case'!E11*$C651*'Business Case'!E12*$B651)-'Business Case'!E11*$C651*'Business Case'!E13*$D651-'Business Case'!E14*$E651))*'Business Case'!$B$7-'Business Case'!$B$8*(('Business Case'!E11*$C651*'Business Case'!E12*$B651)-('Business Case'!D11*$C651*'Business Case'!D12*$B651))-'Business Case'!E15*$F651</f>
        <v>515040958.169675</v>
      </c>
      <c r="L651" s="39" t="n">
        <f aca="false">(('Business Case'!F11*$C651*'Business Case'!F12*$B651)-'Business Case'!F11*$C651*'Business Case'!F13*$D651-'Business Case'!F14*$E651)-MAX(0,(('Business Case'!F11*$C651*'Business Case'!F12*$B651)-'Business Case'!F11*$C651*'Business Case'!F13*$D651-'Business Case'!F14*$E651))*'Business Case'!$B$7-'Business Case'!$B$8*(('Business Case'!F11*$C651*'Business Case'!F12*$B651)-('Business Case'!E11*$C651*'Business Case'!E12*$B651))-'Business Case'!F15*$F651</f>
        <v>626764252.843938</v>
      </c>
      <c r="M651" s="39" t="n">
        <f aca="false">(('Business Case'!G11*$C651*'Business Case'!G12*$B651)-'Business Case'!G11*$C651*'Business Case'!G13*$D651-'Business Case'!G14*$E651)-MAX(0,(('Business Case'!G11*$C651*'Business Case'!G12*$B651)-'Business Case'!G11*$C651*'Business Case'!G13*$D651-'Business Case'!G14*$E651))*'Business Case'!$B$7-'Business Case'!$B$8*(('Business Case'!G11*$C651*'Business Case'!G12*$B651)-('Business Case'!F11*$C651*'Business Case'!F12*$B651))-'Business Case'!G15*$F651+'Business Case'!$B$8*('Business Case'!G11*$C651*'Business Case'!G12*$B651)</f>
        <v>784001157.682239</v>
      </c>
      <c r="N651" s="39" t="n">
        <f aca="false">IF(COUNT('Business Case'!B11:G11)=0,"",H651+NPV(G651,I651:M651))</f>
        <v>-575118328.827471</v>
      </c>
      <c r="P651" s="40" t="n">
        <f aca="true">RAND()</f>
        <v>0.410329728194572</v>
      </c>
      <c r="Q651" s="40" t="n">
        <f aca="true">RAND()</f>
        <v>0.156666793247201</v>
      </c>
      <c r="R651" s="40" t="n">
        <f aca="true">RAND()</f>
        <v>0.205494958577491</v>
      </c>
      <c r="S651" s="40" t="n">
        <f aca="true">RAND()</f>
        <v>0.275335564253504</v>
      </c>
      <c r="T651" s="40" t="n">
        <f aca="true">RAND()</f>
        <v>0.233452844107238</v>
      </c>
      <c r="U651" s="40" t="n">
        <f aca="true">RAND()</f>
        <v>0.424318074033543</v>
      </c>
    </row>
    <row r="652" customFormat="false" ht="15" hidden="false" customHeight="false" outlineLevel="0" collapsed="false">
      <c r="A652" s="36" t="n">
        <v>572</v>
      </c>
      <c r="B652" s="37" t="n">
        <f aca="false">1+IF($G$6=$E$6,$F$6,IF(P652&lt;($F$6-$E$6)/($G$6-$E$6),$E$6+SQRT(P652*($G$6-$E$6)*($F$6-$E$6)),$G$6-SQRT((1-P652)*($G$6-$E$6)*($G$6-$F$6))))</f>
        <v>0.94073185996243</v>
      </c>
      <c r="C652" s="37" t="n">
        <f aca="false">1+IF($G$7=$E$7,$F$7,IF(Q652&lt;($F$7-$E$7)/($G$7-$E$7),$E$7+SQRT(Q652*($G$7-$E$7)*($F$7-$E$7)),$G$7-SQRT((1-Q652)*($G$7-$E$7)*($G$7-$F$7))))</f>
        <v>0.990810699488715</v>
      </c>
      <c r="D652" s="37" t="n">
        <f aca="false">1+IF($G$8=$E$8,$F$8,IF(R652&lt;($F$8-$E$8)/($G$8-$E$8),$E$8+SQRT(R652*($G$8-$E$8)*($F$8-$E$8)),$G$8-SQRT((1-R652)*($G$8-$E$8)*($G$8-$F$8))))</f>
        <v>1.0002648243482</v>
      </c>
      <c r="E652" s="37" t="n">
        <f aca="false">1+IF($G$9=$E$9,$F$9,IF(S652&lt;($F$9-$E$9)/($G$9-$E$9),$E$9+SQRT(S652*($G$9-$E$9)*($F$9-$E$9)),$G$9-SQRT((1-S652)*($G$9-$E$9)*($G$9-$F$9))))</f>
        <v>1.07101494802538</v>
      </c>
      <c r="F652" s="37" t="n">
        <f aca="false">1+IF($G$10=$E$10,$F$10,IF(T652&lt;($F$10-$E$10)/($G$10-$E$10),$E$10+SQRT(T652*($G$10-$E$10)*($F$10-$E$10)),$G$10-SQRT((1-T652)*($G$10-$E$10)*($G$10-$F$10))))</f>
        <v>1.12488009760757</v>
      </c>
      <c r="G652" s="38" t="n">
        <f aca="false">IF($G$11=$E$11,$F$11,IF(U652&lt;($F$11-$E$11)/($G$11-$E$11),$E$11+SQRT(U652*($G$11-$E$11)*($F$11-$E$11)),$G$11-SQRT((1-U652)*($G$11-$E$11)*($G$11-$F$11))))</f>
        <v>0.0878902033696734</v>
      </c>
      <c r="H652" s="39" t="n">
        <f aca="false">(('Business Case'!B11*$C652*'Business Case'!B12*$B652)-'Business Case'!B11*$C652*'Business Case'!B13*$D652-'Business Case'!B14*$E652)-MAX(0,(('Business Case'!B11*$C652*'Business Case'!B12*$B652)-'Business Case'!B11*$C652*'Business Case'!B13*$D652-'Business Case'!B14*$E652))*'Business Case'!$B$7-'Business Case'!$B$8*('Business Case'!B11*$C652*'Business Case'!B12*$B652)-'Business Case'!B15*$F652</f>
        <v>-2249760195.21514</v>
      </c>
      <c r="I652" s="39" t="n">
        <f aca="false">(('Business Case'!C11*$C652*'Business Case'!C12*$B652)-'Business Case'!C11*$C652*'Business Case'!C13*$D652-'Business Case'!C14*$E652)-MAX(0,(('Business Case'!C11*$C652*'Business Case'!C12*$B652)-'Business Case'!C11*$C652*'Business Case'!C13*$D652-'Business Case'!C14*$E652))*'Business Case'!$B$7-'Business Case'!$B$8*(('Business Case'!C11*$C652*'Business Case'!C12*$B652)-('Business Case'!B11*$C652*'Business Case'!B12*$B652))-'Business Case'!C15*$F652</f>
        <v>-57009351.1028567</v>
      </c>
      <c r="J652" s="39" t="n">
        <f aca="false">(('Business Case'!D11*$C652*'Business Case'!D12*$B652)-'Business Case'!D11*$C652*'Business Case'!D13*$D652-'Business Case'!D14*$E652)-MAX(0,(('Business Case'!D11*$C652*'Business Case'!D12*$B652)-'Business Case'!D11*$C652*'Business Case'!D13*$D652-'Business Case'!D14*$E652))*'Business Case'!$B$7-'Business Case'!$B$8*(('Business Case'!D11*$C652*'Business Case'!D12*$B652)-('Business Case'!C11*$C652*'Business Case'!C12*$B652))-'Business Case'!D15*$F652</f>
        <v>199087033.207937</v>
      </c>
      <c r="K652" s="39" t="n">
        <f aca="false">(('Business Case'!E11*$C652*'Business Case'!E12*$B652)-'Business Case'!E11*$C652*'Business Case'!E13*$D652-'Business Case'!E14*$E652)-MAX(0,(('Business Case'!E11*$C652*'Business Case'!E12*$B652)-'Business Case'!E11*$C652*'Business Case'!E13*$D652-'Business Case'!E14*$E652))*'Business Case'!$B$7-'Business Case'!$B$8*(('Business Case'!E11*$C652*'Business Case'!E12*$B652)-('Business Case'!D11*$C652*'Business Case'!D12*$B652))-'Business Case'!E15*$F652</f>
        <v>511427422.39911</v>
      </c>
      <c r="L652" s="39" t="n">
        <f aca="false">(('Business Case'!F11*$C652*'Business Case'!F12*$B652)-'Business Case'!F11*$C652*'Business Case'!F13*$D652-'Business Case'!F14*$E652)-MAX(0,(('Business Case'!F11*$C652*'Business Case'!F12*$B652)-'Business Case'!F11*$C652*'Business Case'!F13*$D652-'Business Case'!F14*$E652))*'Business Case'!$B$7-'Business Case'!$B$8*(('Business Case'!F11*$C652*'Business Case'!F12*$B652)-('Business Case'!E11*$C652*'Business Case'!E12*$B652))-'Business Case'!F15*$F652</f>
        <v>629005817.198497</v>
      </c>
      <c r="M652" s="39" t="n">
        <f aca="false">(('Business Case'!G11*$C652*'Business Case'!G12*$B652)-'Business Case'!G11*$C652*'Business Case'!G13*$D652-'Business Case'!G14*$E652)-MAX(0,(('Business Case'!G11*$C652*'Business Case'!G12*$B652)-'Business Case'!G11*$C652*'Business Case'!G13*$D652-'Business Case'!G14*$E652))*'Business Case'!$B$7-'Business Case'!$B$8*(('Business Case'!G11*$C652*'Business Case'!G12*$B652)-('Business Case'!F11*$C652*'Business Case'!F12*$B652))-'Business Case'!G15*$F652+'Business Case'!$B$8*('Business Case'!G11*$C652*'Business Case'!G12*$B652)</f>
        <v>806176950.692005</v>
      </c>
      <c r="N652" s="39" t="n">
        <f aca="false">IF(COUNT('Business Case'!B11:G11)=0,"",H652+NPV(G652,I652:M652))</f>
        <v>-758597222.122238</v>
      </c>
      <c r="P652" s="40" t="n">
        <f aca="true">RAND()</f>
        <v>0.110605627733266</v>
      </c>
      <c r="Q652" s="40" t="n">
        <f aca="true">RAND()</f>
        <v>0.626450836571226</v>
      </c>
      <c r="R652" s="40" t="n">
        <f aca="true">RAND()</f>
        <v>0.336859649180342</v>
      </c>
      <c r="S652" s="40" t="n">
        <f aca="true">RAND()</f>
        <v>0.833636308388454</v>
      </c>
      <c r="T652" s="40" t="n">
        <f aca="true">RAND()</f>
        <v>0.791266800337457</v>
      </c>
      <c r="U652" s="40" t="n">
        <f aca="true">RAND()</f>
        <v>0.0622553092148048</v>
      </c>
    </row>
    <row r="653" customFormat="false" ht="15" hidden="false" customHeight="false" outlineLevel="0" collapsed="false">
      <c r="A653" s="36" t="n">
        <v>573</v>
      </c>
      <c r="B653" s="37" t="n">
        <f aca="false">1+IF($G$6=$E$6,$F$6,IF(P653&lt;($F$6-$E$6)/($G$6-$E$6),$E$6+SQRT(P653*($G$6-$E$6)*($F$6-$E$6)),$G$6-SQRT((1-P653)*($G$6-$E$6)*($G$6-$F$6))))</f>
        <v>0.998754615947101</v>
      </c>
      <c r="C653" s="37" t="n">
        <f aca="false">1+IF($G$7=$E$7,$F$7,IF(Q653&lt;($F$7-$E$7)/($G$7-$E$7),$E$7+SQRT(Q653*($G$7-$E$7)*($F$7-$E$7)),$G$7-SQRT((1-Q653)*($G$7-$E$7)*($G$7-$F$7))))</f>
        <v>1.12607549119888</v>
      </c>
      <c r="D653" s="37" t="n">
        <f aca="false">1+IF($G$8=$E$8,$F$8,IF(R653&lt;($F$8-$E$8)/($G$8-$E$8),$E$8+SQRT(R653*($G$8-$E$8)*($F$8-$E$8)),$G$8-SQRT((1-R653)*($G$8-$E$8)*($G$8-$F$8))))</f>
        <v>0.993188510430767</v>
      </c>
      <c r="E653" s="37" t="n">
        <f aca="false">1+IF($G$9=$E$9,$F$9,IF(S653&lt;($F$9-$E$9)/($G$9-$E$9),$E$9+SQRT(S653*($G$9-$E$9)*($F$9-$E$9)),$G$9-SQRT((1-S653)*($G$9-$E$9)*($G$9-$F$9))))</f>
        <v>1.02104249530207</v>
      </c>
      <c r="F653" s="37" t="n">
        <f aca="false">1+IF($G$10=$E$10,$F$10,IF(T653&lt;($F$10-$E$10)/($G$10-$E$10),$E$10+SQRT(T653*($G$10-$E$10)*($F$10-$E$10)),$G$10-SQRT((1-T653)*($G$10-$E$10)*($G$10-$F$10))))</f>
        <v>1.02674721727637</v>
      </c>
      <c r="G653" s="38" t="n">
        <f aca="false">IF($G$11=$E$11,$F$11,IF(U653&lt;($F$11-$E$11)/($G$11-$E$11),$E$11+SQRT(U653*($G$11-$E$11)*($F$11-$E$11)),$G$11-SQRT((1-U653)*($G$11-$E$11)*($G$11-$F$11))))</f>
        <v>0.105203611675465</v>
      </c>
      <c r="H653" s="39" t="n">
        <f aca="false">(('Business Case'!B11*$C653*'Business Case'!B12*$B653)-'Business Case'!B11*$C653*'Business Case'!B13*$D653-'Business Case'!B14*$E653)-MAX(0,(('Business Case'!B11*$C653*'Business Case'!B12*$B653)-'Business Case'!B11*$C653*'Business Case'!B13*$D653-'Business Case'!B14*$E653))*'Business Case'!$B$7-'Business Case'!$B$8*('Business Case'!B11*$C653*'Business Case'!B12*$B653)-'Business Case'!B15*$F653</f>
        <v>-2053494434.55274</v>
      </c>
      <c r="I653" s="39" t="n">
        <f aca="false">(('Business Case'!C11*$C653*'Business Case'!C12*$B653)-'Business Case'!C11*$C653*'Business Case'!C13*$D653-'Business Case'!C14*$E653)-MAX(0,(('Business Case'!C11*$C653*'Business Case'!C12*$B653)-'Business Case'!C11*$C653*'Business Case'!C13*$D653-'Business Case'!C14*$E653))*'Business Case'!$B$7-'Business Case'!$B$8*(('Business Case'!C11*$C653*'Business Case'!C12*$B653)-('Business Case'!B11*$C653*'Business Case'!B12*$B653))-'Business Case'!C15*$F653</f>
        <v>42484212.9379367</v>
      </c>
      <c r="J653" s="39" t="n">
        <f aca="false">(('Business Case'!D11*$C653*'Business Case'!D12*$B653)-'Business Case'!D11*$C653*'Business Case'!D13*$D653-'Business Case'!D14*$E653)-MAX(0,(('Business Case'!D11*$C653*'Business Case'!D12*$B653)-'Business Case'!D11*$C653*'Business Case'!D13*$D653-'Business Case'!D14*$E653))*'Business Case'!$B$7-'Business Case'!$B$8*(('Business Case'!D11*$C653*'Business Case'!D12*$B653)-('Business Case'!C11*$C653*'Business Case'!C12*$B653))-'Business Case'!D15*$F653</f>
        <v>391138443.666774</v>
      </c>
      <c r="K653" s="39" t="n">
        <f aca="false">(('Business Case'!E11*$C653*'Business Case'!E12*$B653)-'Business Case'!E11*$C653*'Business Case'!E13*$D653-'Business Case'!E14*$E653)-MAX(0,(('Business Case'!E11*$C653*'Business Case'!E12*$B653)-'Business Case'!E11*$C653*'Business Case'!E13*$D653-'Business Case'!E14*$E653))*'Business Case'!$B$7-'Business Case'!$B$8*(('Business Case'!E11*$C653*'Business Case'!E12*$B653)-('Business Case'!D11*$C653*'Business Case'!D12*$B653))-'Business Case'!E15*$F653</f>
        <v>791130035.25943</v>
      </c>
      <c r="L653" s="39" t="n">
        <f aca="false">(('Business Case'!F11*$C653*'Business Case'!F12*$B653)-'Business Case'!F11*$C653*'Business Case'!F13*$D653-'Business Case'!F14*$E653)-MAX(0,(('Business Case'!F11*$C653*'Business Case'!F12*$B653)-'Business Case'!F11*$C653*'Business Case'!F13*$D653-'Business Case'!F14*$E653))*'Business Case'!$B$7-'Business Case'!$B$8*(('Business Case'!F11*$C653*'Business Case'!F12*$B653)-('Business Case'!E11*$C653*'Business Case'!E12*$B653))-'Business Case'!F15*$F653</f>
        <v>946216814.323249</v>
      </c>
      <c r="M653" s="39" t="n">
        <f aca="false">(('Business Case'!G11*$C653*'Business Case'!G12*$B653)-'Business Case'!G11*$C653*'Business Case'!G13*$D653-'Business Case'!G14*$E653)-MAX(0,(('Business Case'!G11*$C653*'Business Case'!G12*$B653)-'Business Case'!G11*$C653*'Business Case'!G13*$D653-'Business Case'!G14*$E653))*'Business Case'!$B$7-'Business Case'!$B$8*(('Business Case'!G11*$C653*'Business Case'!G12*$B653)-('Business Case'!F11*$C653*'Business Case'!F12*$B653))-'Business Case'!G15*$F653+'Business Case'!$B$8*('Business Case'!G11*$C653*'Business Case'!G12*$B653)</f>
        <v>1159994676.17139</v>
      </c>
      <c r="N653" s="39" t="n">
        <f aca="false">IF(COUNT('Business Case'!B11:G11)=0,"",H653+NPV(G653,I653:M653))</f>
        <v>228856725.41451</v>
      </c>
      <c r="P653" s="40" t="n">
        <f aca="true">RAND()</f>
        <v>0.650164944723959</v>
      </c>
      <c r="Q653" s="40" t="n">
        <f aca="true">RAND()</f>
        <v>0.991520264868519</v>
      </c>
      <c r="R653" s="40" t="n">
        <f aca="true">RAND()</f>
        <v>0.248699657763799</v>
      </c>
      <c r="S653" s="40" t="n">
        <f aca="true">RAND()</f>
        <v>0.556532319522197</v>
      </c>
      <c r="T653" s="40" t="n">
        <f aca="true">RAND()</f>
        <v>0.335442600082072</v>
      </c>
      <c r="U653" s="40" t="n">
        <f aca="true">RAND()</f>
        <v>0.590092750705901</v>
      </c>
    </row>
    <row r="654" customFormat="false" ht="15" hidden="false" customHeight="false" outlineLevel="0" collapsed="false">
      <c r="A654" s="36" t="n">
        <v>574</v>
      </c>
      <c r="B654" s="37" t="n">
        <f aca="false">1+IF($G$6=$E$6,$F$6,IF(P654&lt;($F$6-$E$6)/($G$6-$E$6),$E$6+SQRT(P654*($G$6-$E$6)*($F$6-$E$6)),$G$6-SQRT((1-P654)*($G$6-$E$6)*($G$6-$F$6))))</f>
        <v>0.945960688137804</v>
      </c>
      <c r="C654" s="37" t="n">
        <f aca="false">1+IF($G$7=$E$7,$F$7,IF(Q654&lt;($F$7-$E$7)/($G$7-$E$7),$E$7+SQRT(Q654*($G$7-$E$7)*($F$7-$E$7)),$G$7-SQRT((1-Q654)*($G$7-$E$7)*($G$7-$F$7))))</f>
        <v>0.91901291206511</v>
      </c>
      <c r="D654" s="37" t="n">
        <f aca="false">1+IF($G$8=$E$8,$F$8,IF(R654&lt;($F$8-$E$8)/($G$8-$E$8),$E$8+SQRT(R654*($G$8-$E$8)*($F$8-$E$8)),$G$8-SQRT((1-R654)*($G$8-$E$8)*($G$8-$F$8))))</f>
        <v>1.04910477194263</v>
      </c>
      <c r="E654" s="37" t="n">
        <f aca="false">1+IF($G$9=$E$9,$F$9,IF(S654&lt;($F$9-$E$9)/($G$9-$E$9),$E$9+SQRT(S654*($G$9-$E$9)*($F$9-$E$9)),$G$9-SQRT((1-S654)*($G$9-$E$9)*($G$9-$F$9))))</f>
        <v>0.939540796857323</v>
      </c>
      <c r="F654" s="37" t="n">
        <f aca="false">1+IF($G$10=$E$10,$F$10,IF(T654&lt;($F$10-$E$10)/($G$10-$E$10),$E$10+SQRT(T654*($G$10-$E$10)*($F$10-$E$10)),$G$10-SQRT((1-T654)*($G$10-$E$10)*($G$10-$F$10))))</f>
        <v>1.05752574491205</v>
      </c>
      <c r="G654" s="38" t="n">
        <f aca="false">IF($G$11=$E$11,$F$11,IF(U654&lt;($F$11-$E$11)/($G$11-$E$11),$E$11+SQRT(U654*($G$11-$E$11)*($F$11-$E$11)),$G$11-SQRT((1-U654)*($G$11-$E$11)*($G$11-$F$11))))</f>
        <v>0.116424006415432</v>
      </c>
      <c r="H654" s="39" t="n">
        <f aca="false">(('Business Case'!B11*$C654*'Business Case'!B12*$B654)-'Business Case'!B11*$C654*'Business Case'!B13*$D654-'Business Case'!B14*$E654)-MAX(0,(('Business Case'!B11*$C654*'Business Case'!B12*$B654)-'Business Case'!B11*$C654*'Business Case'!B13*$D654-'Business Case'!B14*$E654))*'Business Case'!$B$7-'Business Case'!$B$8*('Business Case'!B11*$C654*'Business Case'!B12*$B654)-'Business Case'!B15*$F654</f>
        <v>-2115051489.82411</v>
      </c>
      <c r="I654" s="39" t="n">
        <f aca="false">(('Business Case'!C11*$C654*'Business Case'!C12*$B654)-'Business Case'!C11*$C654*'Business Case'!C13*$D654-'Business Case'!C14*$E654)-MAX(0,(('Business Case'!C11*$C654*'Business Case'!C12*$B654)-'Business Case'!C11*$C654*'Business Case'!C13*$D654-'Business Case'!C14*$E654))*'Business Case'!$B$7-'Business Case'!$B$8*(('Business Case'!C11*$C654*'Business Case'!C12*$B654)-('Business Case'!B11*$C654*'Business Case'!B12*$B654))-'Business Case'!C15*$F654</f>
        <v>-65925044.5557131</v>
      </c>
      <c r="J654" s="39" t="n">
        <f aca="false">(('Business Case'!D11*$C654*'Business Case'!D12*$B654)-'Business Case'!D11*$C654*'Business Case'!D13*$D654-'Business Case'!D14*$E654)-MAX(0,(('Business Case'!D11*$C654*'Business Case'!D12*$B654)-'Business Case'!D11*$C654*'Business Case'!D13*$D654-'Business Case'!D14*$E654))*'Business Case'!$B$7-'Business Case'!$B$8*(('Business Case'!D11*$C654*'Business Case'!D12*$B654)-('Business Case'!C11*$C654*'Business Case'!C12*$B654))-'Business Case'!D15*$F654</f>
        <v>152572295.187659</v>
      </c>
      <c r="K654" s="39" t="n">
        <f aca="false">(('Business Case'!E11*$C654*'Business Case'!E12*$B654)-'Business Case'!E11*$C654*'Business Case'!E13*$D654-'Business Case'!E14*$E654)-MAX(0,(('Business Case'!E11*$C654*'Business Case'!E12*$B654)-'Business Case'!E11*$C654*'Business Case'!E13*$D654-'Business Case'!E14*$E654))*'Business Case'!$B$7-'Business Case'!$B$8*(('Business Case'!E11*$C654*'Business Case'!E12*$B654)-('Business Case'!D11*$C654*'Business Case'!D12*$B654))-'Business Case'!E15*$F654</f>
        <v>423945922.176634</v>
      </c>
      <c r="L654" s="39" t="n">
        <f aca="false">(('Business Case'!F11*$C654*'Business Case'!F12*$B654)-'Business Case'!F11*$C654*'Business Case'!F13*$D654-'Business Case'!F14*$E654)-MAX(0,(('Business Case'!F11*$C654*'Business Case'!F12*$B654)-'Business Case'!F11*$C654*'Business Case'!F13*$D654-'Business Case'!F14*$E654))*'Business Case'!$B$7-'Business Case'!$B$8*(('Business Case'!F11*$C654*'Business Case'!F12*$B654)-('Business Case'!E11*$C654*'Business Case'!E12*$B654))-'Business Case'!F15*$F654</f>
        <v>526823107.75427</v>
      </c>
      <c r="M654" s="39" t="n">
        <f aca="false">(('Business Case'!G11*$C654*'Business Case'!G12*$B654)-'Business Case'!G11*$C654*'Business Case'!G13*$D654-'Business Case'!G14*$E654)-MAX(0,(('Business Case'!G11*$C654*'Business Case'!G12*$B654)-'Business Case'!G11*$C654*'Business Case'!G13*$D654-'Business Case'!G14*$E654))*'Business Case'!$B$7-'Business Case'!$B$8*(('Business Case'!G11*$C654*'Business Case'!G12*$B654)-('Business Case'!F11*$C654*'Business Case'!F12*$B654))-'Business Case'!G15*$F654+'Business Case'!$B$8*('Business Case'!G11*$C654*'Business Case'!G12*$B654)</f>
        <v>692069172.235088</v>
      </c>
      <c r="N654" s="39" t="n">
        <f aca="false">IF(COUNT('Business Case'!B11:G11)=0,"",H654+NPV(G654,I654:M654))</f>
        <v>-1008882096.52754</v>
      </c>
      <c r="P654" s="40" t="n">
        <f aca="true">RAND()</f>
        <v>0.140825656940032</v>
      </c>
      <c r="Q654" s="40" t="n">
        <f aca="true">RAND()</f>
        <v>0.355308560379552</v>
      </c>
      <c r="R654" s="40" t="n">
        <f aca="true">RAND()</f>
        <v>0.827311717399207</v>
      </c>
      <c r="S654" s="40" t="n">
        <f aca="true">RAND()</f>
        <v>0.0625389846444839</v>
      </c>
      <c r="T654" s="40" t="n">
        <f aca="true">RAND()</f>
        <v>0.506048815044532</v>
      </c>
      <c r="U654" s="40" t="n">
        <f aca="true">RAND()</f>
        <v>0.877128265461174</v>
      </c>
    </row>
    <row r="655" customFormat="false" ht="15" hidden="false" customHeight="false" outlineLevel="0" collapsed="false">
      <c r="A655" s="36" t="n">
        <v>575</v>
      </c>
      <c r="B655" s="37" t="n">
        <f aca="false">1+IF($G$6=$E$6,$F$6,IF(P655&lt;($F$6-$E$6)/($G$6-$E$6),$E$6+SQRT(P655*($G$6-$E$6)*($F$6-$E$6)),$G$6-SQRT((1-P655)*($G$6-$E$6)*($G$6-$F$6))))</f>
        <v>0.921433260310079</v>
      </c>
      <c r="C655" s="37" t="n">
        <f aca="false">1+IF($G$7=$E$7,$F$7,IF(Q655&lt;($F$7-$E$7)/($G$7-$E$7),$E$7+SQRT(Q655*($G$7-$E$7)*($F$7-$E$7)),$G$7-SQRT((1-Q655)*($G$7-$E$7)*($G$7-$F$7))))</f>
        <v>0.907075866706481</v>
      </c>
      <c r="D655" s="37" t="n">
        <f aca="false">1+IF($G$8=$E$8,$F$8,IF(R655&lt;($F$8-$E$8)/($G$8-$E$8),$E$8+SQRT(R655*($G$8-$E$8)*($F$8-$E$8)),$G$8-SQRT((1-R655)*($G$8-$E$8)*($G$8-$F$8))))</f>
        <v>1.02695014679902</v>
      </c>
      <c r="E655" s="37" t="n">
        <f aca="false">1+IF($G$9=$E$9,$F$9,IF(S655&lt;($F$9-$E$9)/($G$9-$E$9),$E$9+SQRT(S655*($G$9-$E$9)*($F$9-$E$9)),$G$9-SQRT((1-S655)*($G$9-$E$9)*($G$9-$F$9))))</f>
        <v>1.04665540760622</v>
      </c>
      <c r="F655" s="37" t="n">
        <f aca="false">1+IF($G$10=$E$10,$F$10,IF(T655&lt;($F$10-$E$10)/($G$10-$E$10),$E$10+SQRT(T655*($G$10-$E$10)*($F$10-$E$10)),$G$10-SQRT((1-T655)*($G$10-$E$10)*($G$10-$F$10))))</f>
        <v>0.988598576615706</v>
      </c>
      <c r="G655" s="38" t="n">
        <f aca="false">IF($G$11=$E$11,$F$11,IF(U655&lt;($F$11-$E$11)/($G$11-$E$11),$E$11+SQRT(U655*($G$11-$E$11)*($F$11-$E$11)),$G$11-SQRT((1-U655)*($G$11-$E$11)*($G$11-$F$11))))</f>
        <v>0.0914132540734476</v>
      </c>
      <c r="H655" s="39" t="n">
        <f aca="false">(('Business Case'!B11*$C655*'Business Case'!B12*$B655)-'Business Case'!B11*$C655*'Business Case'!B13*$D655-'Business Case'!B14*$E655)-MAX(0,(('Business Case'!B11*$C655*'Business Case'!B12*$B655)-'Business Case'!B11*$C655*'Business Case'!B13*$D655-'Business Case'!B14*$E655))*'Business Case'!$B$7-'Business Case'!$B$8*('Business Case'!B11*$C655*'Business Case'!B12*$B655)-'Business Case'!B15*$F655</f>
        <v>-1977197153.23141</v>
      </c>
      <c r="I655" s="39" t="n">
        <f aca="false">(('Business Case'!C11*$C655*'Business Case'!C12*$B655)-'Business Case'!C11*$C655*'Business Case'!C13*$D655-'Business Case'!C14*$E655)-MAX(0,(('Business Case'!C11*$C655*'Business Case'!C12*$B655)-'Business Case'!C11*$C655*'Business Case'!C13*$D655-'Business Case'!C14*$E655))*'Business Case'!$B$7-'Business Case'!$B$8*(('Business Case'!C11*$C655*'Business Case'!C12*$B655)-('Business Case'!B11*$C655*'Business Case'!B12*$B655))-'Business Case'!C15*$F655</f>
        <v>-83298761.8162401</v>
      </c>
      <c r="J655" s="39" t="n">
        <f aca="false">(('Business Case'!D11*$C655*'Business Case'!D12*$B655)-'Business Case'!D11*$C655*'Business Case'!D13*$D655-'Business Case'!D14*$E655)-MAX(0,(('Business Case'!D11*$C655*'Business Case'!D12*$B655)-'Business Case'!D11*$C655*'Business Case'!D13*$D655-'Business Case'!D14*$E655))*'Business Case'!$B$7-'Business Case'!$B$8*(('Business Case'!D11*$C655*'Business Case'!D12*$B655)-('Business Case'!C11*$C655*'Business Case'!C12*$B655))-'Business Case'!D15*$F655</f>
        <v>124425116.817795</v>
      </c>
      <c r="K655" s="39" t="n">
        <f aca="false">(('Business Case'!E11*$C655*'Business Case'!E12*$B655)-'Business Case'!E11*$C655*'Business Case'!E13*$D655-'Business Case'!E14*$E655)-MAX(0,(('Business Case'!E11*$C655*'Business Case'!E12*$B655)-'Business Case'!E11*$C655*'Business Case'!E13*$D655-'Business Case'!E14*$E655))*'Business Case'!$B$7-'Business Case'!$B$8*(('Business Case'!E11*$C655*'Business Case'!E12*$B655)-('Business Case'!D11*$C655*'Business Case'!D12*$B655))-'Business Case'!E15*$F655</f>
        <v>381578924.282615</v>
      </c>
      <c r="L655" s="39" t="n">
        <f aca="false">(('Business Case'!F11*$C655*'Business Case'!F12*$B655)-'Business Case'!F11*$C655*'Business Case'!F13*$D655-'Business Case'!F14*$E655)-MAX(0,(('Business Case'!F11*$C655*'Business Case'!F12*$B655)-'Business Case'!F11*$C655*'Business Case'!F13*$D655-'Business Case'!F14*$E655))*'Business Case'!$B$7-'Business Case'!$B$8*(('Business Case'!F11*$C655*'Business Case'!F12*$B655)-('Business Case'!E11*$C655*'Business Case'!E12*$B655))-'Business Case'!F15*$F655</f>
        <v>479705806.378693</v>
      </c>
      <c r="M655" s="39" t="n">
        <f aca="false">(('Business Case'!G11*$C655*'Business Case'!G12*$B655)-'Business Case'!G11*$C655*'Business Case'!G13*$D655-'Business Case'!G14*$E655)-MAX(0,(('Business Case'!G11*$C655*'Business Case'!G12*$B655)-'Business Case'!G11*$C655*'Business Case'!G13*$D655-'Business Case'!G14*$E655))*'Business Case'!$B$7-'Business Case'!$B$8*(('Business Case'!G11*$C655*'Business Case'!G12*$B655)-('Business Case'!F11*$C655*'Business Case'!F12*$B655))-'Business Case'!G15*$F655+'Business Case'!$B$8*('Business Case'!G11*$C655*'Business Case'!G12*$B655)</f>
        <v>638576547.078059</v>
      </c>
      <c r="N655" s="39" t="n">
        <f aca="false">IF(COUNT('Business Case'!B11:G11)=0,"",H655+NPV(G655,I655:M655))</f>
        <v>-905128458.604078</v>
      </c>
      <c r="P655" s="40" t="n">
        <f aca="true">RAND()</f>
        <v>0.030625643167973</v>
      </c>
      <c r="Q655" s="40" t="n">
        <f aca="true">RAND()</f>
        <v>0.317632700535114</v>
      </c>
      <c r="R655" s="40" t="n">
        <f aca="true">RAND()</f>
        <v>0.644247929821019</v>
      </c>
      <c r="S655" s="40" t="n">
        <f aca="true">RAND()</f>
        <v>0.715197205945698</v>
      </c>
      <c r="T655" s="40" t="n">
        <f aca="true">RAND()</f>
        <v>0.0993233411172346</v>
      </c>
      <c r="U655" s="40" t="n">
        <f aca="true">RAND()</f>
        <v>0.130262368545069</v>
      </c>
    </row>
    <row r="656" customFormat="false" ht="15" hidden="false" customHeight="false" outlineLevel="0" collapsed="false">
      <c r="A656" s="36" t="n">
        <v>576</v>
      </c>
      <c r="B656" s="37" t="n">
        <f aca="false">1+IF($G$6=$E$6,$F$6,IF(P656&lt;($F$6-$E$6)/($G$6-$E$6),$E$6+SQRT(P656*($G$6-$E$6)*($F$6-$E$6)),$G$6-SQRT((1-P656)*($G$6-$E$6)*($G$6-$F$6))))</f>
        <v>0.943969132783785</v>
      </c>
      <c r="C656" s="37" t="n">
        <f aca="false">1+IF($G$7=$E$7,$F$7,IF(Q656&lt;($F$7-$E$7)/($G$7-$E$7),$E$7+SQRT(Q656*($G$7-$E$7)*($F$7-$E$7)),$G$7-SQRT((1-Q656)*($G$7-$E$7)*($G$7-$F$7))))</f>
        <v>0.961565773817088</v>
      </c>
      <c r="D656" s="37" t="n">
        <f aca="false">1+IF($G$8=$E$8,$F$8,IF(R656&lt;($F$8-$E$8)/($G$8-$E$8),$E$8+SQRT(R656*($G$8-$E$8)*($F$8-$E$8)),$G$8-SQRT((1-R656)*($G$8-$E$8)*($G$8-$F$8))))</f>
        <v>0.978156637321048</v>
      </c>
      <c r="E656" s="37" t="n">
        <f aca="false">1+IF($G$9=$E$9,$F$9,IF(S656&lt;($F$9-$E$9)/($G$9-$E$9),$E$9+SQRT(S656*($G$9-$E$9)*($F$9-$E$9)),$G$9-SQRT((1-S656)*($G$9-$E$9)*($G$9-$F$9))))</f>
        <v>0.997721775929533</v>
      </c>
      <c r="F656" s="37" t="n">
        <f aca="false">1+IF($G$10=$E$10,$F$10,IF(T656&lt;($F$10-$E$10)/($G$10-$E$10),$E$10+SQRT(T656*($G$10-$E$10)*($F$10-$E$10)),$G$10-SQRT((1-T656)*($G$10-$E$10)*($G$10-$F$10))))</f>
        <v>1.01256948778124</v>
      </c>
      <c r="G656" s="38" t="n">
        <f aca="false">IF($G$11=$E$11,$F$11,IF(U656&lt;($F$11-$E$11)/($G$11-$E$11),$E$11+SQRT(U656*($G$11-$E$11)*($F$11-$E$11)),$G$11-SQRT((1-U656)*($G$11-$E$11)*($G$11-$F$11))))</f>
        <v>0.0943039884371976</v>
      </c>
      <c r="H656" s="39" t="n">
        <f aca="false">(('Business Case'!B11*$C656*'Business Case'!B12*$B656)-'Business Case'!B11*$C656*'Business Case'!B13*$D656-'Business Case'!B14*$E656)-MAX(0,(('Business Case'!B11*$C656*'Business Case'!B12*$B656)-'Business Case'!B11*$C656*'Business Case'!B13*$D656-'Business Case'!B14*$E656))*'Business Case'!$B$7-'Business Case'!$B$8*('Business Case'!B11*$C656*'Business Case'!B12*$B656)-'Business Case'!B15*$F656</f>
        <v>-2025138975.56249</v>
      </c>
      <c r="I656" s="39" t="n">
        <f aca="false">(('Business Case'!C11*$C656*'Business Case'!C12*$B656)-'Business Case'!C11*$C656*'Business Case'!C13*$D656-'Business Case'!C14*$E656)-MAX(0,(('Business Case'!C11*$C656*'Business Case'!C12*$B656)-'Business Case'!C11*$C656*'Business Case'!C13*$D656-'Business Case'!C14*$E656))*'Business Case'!$B$7-'Business Case'!$B$8*(('Business Case'!C11*$C656*'Business Case'!C12*$B656)-('Business Case'!B11*$C656*'Business Case'!B12*$B656))-'Business Case'!C15*$F656</f>
        <v>-28217861.7331531</v>
      </c>
      <c r="J656" s="39" t="n">
        <f aca="false">(('Business Case'!D11*$C656*'Business Case'!D12*$B656)-'Business Case'!D11*$C656*'Business Case'!D13*$D656-'Business Case'!D14*$E656)-MAX(0,(('Business Case'!D11*$C656*'Business Case'!D12*$B656)-'Business Case'!D11*$C656*'Business Case'!D13*$D656-'Business Case'!D14*$E656))*'Business Case'!$B$7-'Business Case'!$B$8*(('Business Case'!D11*$C656*'Business Case'!D12*$B656)-('Business Case'!C11*$C656*'Business Case'!C12*$B656))-'Business Case'!D15*$F656</f>
        <v>233751829.003941</v>
      </c>
      <c r="K656" s="39" t="n">
        <f aca="false">(('Business Case'!E11*$C656*'Business Case'!E12*$B656)-'Business Case'!E11*$C656*'Business Case'!E13*$D656-'Business Case'!E14*$E656)-MAX(0,(('Business Case'!E11*$C656*'Business Case'!E12*$B656)-'Business Case'!E11*$C656*'Business Case'!E13*$D656-'Business Case'!E14*$E656))*'Business Case'!$B$7-'Business Case'!$B$8*(('Business Case'!E11*$C656*'Business Case'!E12*$B656)-('Business Case'!D11*$C656*'Business Case'!D12*$B656))-'Business Case'!E15*$F656</f>
        <v>546349994.130098</v>
      </c>
      <c r="L656" s="39" t="n">
        <f aca="false">(('Business Case'!F11*$C656*'Business Case'!F12*$B656)-'Business Case'!F11*$C656*'Business Case'!F13*$D656-'Business Case'!F14*$E656)-MAX(0,(('Business Case'!F11*$C656*'Business Case'!F12*$B656)-'Business Case'!F11*$C656*'Business Case'!F13*$D656-'Business Case'!F14*$E656))*'Business Case'!$B$7-'Business Case'!$B$8*(('Business Case'!F11*$C656*'Business Case'!F12*$B656)-('Business Case'!E11*$C656*'Business Case'!E12*$B656))-'Business Case'!F15*$F656</f>
        <v>665042935.812425</v>
      </c>
      <c r="M656" s="39" t="n">
        <f aca="false">(('Business Case'!G11*$C656*'Business Case'!G12*$B656)-'Business Case'!G11*$C656*'Business Case'!G13*$D656-'Business Case'!G14*$E656)-MAX(0,(('Business Case'!G11*$C656*'Business Case'!G12*$B656)-'Business Case'!G11*$C656*'Business Case'!G13*$D656-'Business Case'!G14*$E656))*'Business Case'!$B$7-'Business Case'!$B$8*(('Business Case'!G11*$C656*'Business Case'!G12*$B656)-('Business Case'!F11*$C656*'Business Case'!F12*$B656))-'Business Case'!G15*$F656+'Business Case'!$B$8*('Business Case'!G11*$C656*'Business Case'!G12*$B656)</f>
        <v>837576348.713886</v>
      </c>
      <c r="N656" s="39" t="n">
        <f aca="false">IF(COUNT('Business Case'!B11:G11)=0,"",H656+NPV(G656,I656:M656))</f>
        <v>-441290745.74304</v>
      </c>
      <c r="P656" s="40" t="n">
        <f aca="true">RAND()</f>
        <v>0.128885642517208</v>
      </c>
      <c r="Q656" s="40" t="n">
        <f aca="true">RAND()</f>
        <v>0.506790029870608</v>
      </c>
      <c r="R656" s="40" t="n">
        <f aca="true">RAND()</f>
        <v>0.105706163363873</v>
      </c>
      <c r="S656" s="40" t="n">
        <f aca="true">RAND()</f>
        <v>0.381981819632874</v>
      </c>
      <c r="T656" s="40" t="n">
        <f aca="true">RAND()</f>
        <v>0.24835669156719</v>
      </c>
      <c r="U656" s="40" t="n">
        <f aca="true">RAND()</f>
        <v>0.204604085211482</v>
      </c>
    </row>
    <row r="657" customFormat="false" ht="15" hidden="false" customHeight="false" outlineLevel="0" collapsed="false">
      <c r="A657" s="36" t="n">
        <v>577</v>
      </c>
      <c r="B657" s="37" t="n">
        <f aca="false">1+IF($G$6=$E$6,$F$6,IF(P657&lt;($F$6-$E$6)/($G$6-$E$6),$E$6+SQRT(P657*($G$6-$E$6)*($F$6-$E$6)),$G$6-SQRT((1-P657)*($G$6-$E$6)*($G$6-$F$6))))</f>
        <v>0.938763675129606</v>
      </c>
      <c r="C657" s="37" t="n">
        <f aca="false">1+IF($G$7=$E$7,$F$7,IF(Q657&lt;($F$7-$E$7)/($G$7-$E$7),$E$7+SQRT(Q657*($G$7-$E$7)*($F$7-$E$7)),$G$7-SQRT((1-Q657)*($G$7-$E$7)*($G$7-$F$7))))</f>
        <v>1.12074630053048</v>
      </c>
      <c r="D657" s="37" t="n">
        <f aca="false">1+IF($G$8=$E$8,$F$8,IF(R657&lt;($F$8-$E$8)/($G$8-$E$8),$E$8+SQRT(R657*($G$8-$E$8)*($F$8-$E$8)),$G$8-SQRT((1-R657)*($G$8-$E$8)*($G$8-$F$8))))</f>
        <v>0.986749019179844</v>
      </c>
      <c r="E657" s="37" t="n">
        <f aca="false">1+IF($G$9=$E$9,$F$9,IF(S657&lt;($F$9-$E$9)/($G$9-$E$9),$E$9+SQRT(S657*($G$9-$E$9)*($F$9-$E$9)),$G$9-SQRT((1-S657)*($G$9-$E$9)*($G$9-$F$9))))</f>
        <v>0.944272200672022</v>
      </c>
      <c r="F657" s="37" t="n">
        <f aca="false">1+IF($G$10=$E$10,$F$10,IF(T657&lt;($F$10-$E$10)/($G$10-$E$10),$E$10+SQRT(T657*($G$10-$E$10)*($F$10-$E$10)),$G$10-SQRT((1-T657)*($G$10-$E$10)*($G$10-$F$10))))</f>
        <v>1.03871710390939</v>
      </c>
      <c r="G657" s="38" t="n">
        <f aca="false">IF($G$11=$E$11,$F$11,IF(U657&lt;($F$11-$E$11)/($G$11-$E$11),$E$11+SQRT(U657*($G$11-$E$11)*($F$11-$E$11)),$G$11-SQRT((1-U657)*($G$11-$E$11)*($G$11-$F$11))))</f>
        <v>0.106634364827052</v>
      </c>
      <c r="H657" s="39" t="n">
        <f aca="false">(('Business Case'!B11*$C657*'Business Case'!B12*$B657)-'Business Case'!B11*$C657*'Business Case'!B13*$D657-'Business Case'!B14*$E657)-MAX(0,(('Business Case'!B11*$C657*'Business Case'!B12*$B657)-'Business Case'!B11*$C657*'Business Case'!B13*$D657-'Business Case'!B14*$E657))*'Business Case'!$B$7-'Business Case'!$B$8*('Business Case'!B11*$C657*'Business Case'!B12*$B657)-'Business Case'!B15*$F657</f>
        <v>-2077434207.81877</v>
      </c>
      <c r="I657" s="39" t="n">
        <f aca="false">(('Business Case'!C11*$C657*'Business Case'!C12*$B657)-'Business Case'!C11*$C657*'Business Case'!C13*$D657-'Business Case'!C14*$E657)-MAX(0,(('Business Case'!C11*$C657*'Business Case'!C12*$B657)-'Business Case'!C11*$C657*'Business Case'!C13*$D657-'Business Case'!C14*$E657))*'Business Case'!$B$7-'Business Case'!$B$8*(('Business Case'!C11*$C657*'Business Case'!C12*$B657)-('Business Case'!B11*$C657*'Business Case'!B12*$B657))-'Business Case'!C15*$F657</f>
        <v>2939852.59049264</v>
      </c>
      <c r="J657" s="39" t="n">
        <f aca="false">(('Business Case'!D11*$C657*'Business Case'!D12*$B657)-'Business Case'!D11*$C657*'Business Case'!D13*$D657-'Business Case'!D14*$E657)-MAX(0,(('Business Case'!D11*$C657*'Business Case'!D12*$B657)-'Business Case'!D11*$C657*'Business Case'!D13*$D657-'Business Case'!D14*$E657))*'Business Case'!$B$7-'Business Case'!$B$8*(('Business Case'!D11*$C657*'Business Case'!D12*$B657)-('Business Case'!C11*$C657*'Business Case'!C12*$B657))-'Business Case'!D15*$F657</f>
        <v>298568611.591572</v>
      </c>
      <c r="K657" s="39" t="n">
        <f aca="false">(('Business Case'!E11*$C657*'Business Case'!E12*$B657)-'Business Case'!E11*$C657*'Business Case'!E13*$D657-'Business Case'!E14*$E657)-MAX(0,(('Business Case'!E11*$C657*'Business Case'!E12*$B657)-'Business Case'!E11*$C657*'Business Case'!E13*$D657-'Business Case'!E14*$E657))*'Business Case'!$B$7-'Business Case'!$B$8*(('Business Case'!E11*$C657*'Business Case'!E12*$B657)-('Business Case'!D11*$C657*'Business Case'!D12*$B657))-'Business Case'!E15*$F657</f>
        <v>646133225.788122</v>
      </c>
      <c r="L657" s="39" t="n">
        <f aca="false">(('Business Case'!F11*$C657*'Business Case'!F12*$B657)-'Business Case'!F11*$C657*'Business Case'!F13*$D657-'Business Case'!F14*$E657)-MAX(0,(('Business Case'!F11*$C657*'Business Case'!F12*$B657)-'Business Case'!F11*$C657*'Business Case'!F13*$D657-'Business Case'!F14*$E657))*'Business Case'!$B$7-'Business Case'!$B$8*(('Business Case'!F11*$C657*'Business Case'!F12*$B657)-('Business Case'!E11*$C657*'Business Case'!E12*$B657))-'Business Case'!F15*$F657</f>
        <v>781037271.511206</v>
      </c>
      <c r="M657" s="39" t="n">
        <f aca="false">(('Business Case'!G11*$C657*'Business Case'!G12*$B657)-'Business Case'!G11*$C657*'Business Case'!G13*$D657-'Business Case'!G14*$E657)-MAX(0,(('Business Case'!G11*$C657*'Business Case'!G12*$B657)-'Business Case'!G11*$C657*'Business Case'!G13*$D657-'Business Case'!G14*$E657))*'Business Case'!$B$7-'Business Case'!$B$8*(('Business Case'!G11*$C657*'Business Case'!G12*$B657)-('Business Case'!F11*$C657*'Business Case'!F12*$B657))-'Business Case'!G15*$F657+'Business Case'!$B$8*('Business Case'!G11*$C657*'Business Case'!G12*$B657)</f>
        <v>981023464.819525</v>
      </c>
      <c r="N657" s="39" t="n">
        <f aca="false">IF(COUNT('Business Case'!B11:G11)=0,"",H657+NPV(G657,I657:M657))</f>
        <v>-242327813.959083</v>
      </c>
      <c r="P657" s="40" t="n">
        <f aca="true">RAND()</f>
        <v>0.10017483397024</v>
      </c>
      <c r="Q657" s="40" t="n">
        <f aca="true">RAND()</f>
        <v>0.987321793590323</v>
      </c>
      <c r="R657" s="40" t="n">
        <f aca="true">RAND()</f>
        <v>0.180065388090741</v>
      </c>
      <c r="S657" s="40" t="n">
        <f aca="true">RAND()</f>
        <v>0.0784011100937502</v>
      </c>
      <c r="T657" s="40" t="n">
        <f aca="true">RAND()</f>
        <v>0.404793837594167</v>
      </c>
      <c r="U657" s="40" t="n">
        <f aca="true">RAND()</f>
        <v>0.636031395309808</v>
      </c>
    </row>
    <row r="658" customFormat="false" ht="15" hidden="false" customHeight="false" outlineLevel="0" collapsed="false">
      <c r="A658" s="36" t="n">
        <v>578</v>
      </c>
      <c r="B658" s="37" t="n">
        <f aca="false">1+IF($G$6=$E$6,$F$6,IF(P658&lt;($F$6-$E$6)/($G$6-$E$6),$E$6+SQRT(P658*($G$6-$E$6)*($F$6-$E$6)),$G$6-SQRT((1-P658)*($G$6-$E$6)*($G$6-$F$6))))</f>
        <v>0.997070421854859</v>
      </c>
      <c r="C658" s="37" t="n">
        <f aca="false">1+IF($G$7=$E$7,$F$7,IF(Q658&lt;($F$7-$E$7)/($G$7-$E$7),$E$7+SQRT(Q658*($G$7-$E$7)*($F$7-$E$7)),$G$7-SQRT((1-Q658)*($G$7-$E$7)*($G$7-$F$7))))</f>
        <v>1.04602708002734</v>
      </c>
      <c r="D658" s="37" t="n">
        <f aca="false">1+IF($G$8=$E$8,$F$8,IF(R658&lt;($F$8-$E$8)/($G$8-$E$8),$E$8+SQRT(R658*($G$8-$E$8)*($F$8-$E$8)),$G$8-SQRT((1-R658)*($G$8-$E$8)*($G$8-$F$8))))</f>
        <v>0.98417347855791</v>
      </c>
      <c r="E658" s="37" t="n">
        <f aca="false">1+IF($G$9=$E$9,$F$9,IF(S658&lt;($F$9-$E$9)/($G$9-$E$9),$E$9+SQRT(S658*($G$9-$E$9)*($F$9-$E$9)),$G$9-SQRT((1-S658)*($G$9-$E$9)*($G$9-$F$9))))</f>
        <v>0.978357448938428</v>
      </c>
      <c r="F658" s="37" t="n">
        <f aca="false">1+IF($G$10=$E$10,$F$10,IF(T658&lt;($F$10-$E$10)/($G$10-$E$10),$E$10+SQRT(T658*($G$10-$E$10)*($F$10-$E$10)),$G$10-SQRT((1-T658)*($G$10-$E$10)*($G$10-$F$10))))</f>
        <v>1.06525166967622</v>
      </c>
      <c r="G658" s="38" t="n">
        <f aca="false">IF($G$11=$E$11,$F$11,IF(U658&lt;($F$11-$E$11)/($G$11-$E$11),$E$11+SQRT(U658*($G$11-$E$11)*($F$11-$E$11)),$G$11-SQRT((1-U658)*($G$11-$E$11)*($G$11-$F$11))))</f>
        <v>0.123449574237595</v>
      </c>
      <c r="H658" s="39" t="n">
        <f aca="false">(('Business Case'!B11*$C658*'Business Case'!B12*$B658)-'Business Case'!B11*$C658*'Business Case'!B13*$D658-'Business Case'!B14*$E658)-MAX(0,(('Business Case'!B11*$C658*'Business Case'!B12*$B658)-'Business Case'!B11*$C658*'Business Case'!B13*$D658-'Business Case'!B14*$E658))*'Business Case'!$B$7-'Business Case'!$B$8*('Business Case'!B11*$C658*'Business Case'!B12*$B658)-'Business Case'!B15*$F658</f>
        <v>-2130503339.35245</v>
      </c>
      <c r="I658" s="39" t="n">
        <f aca="false">(('Business Case'!C11*$C658*'Business Case'!C12*$B658)-'Business Case'!C11*$C658*'Business Case'!C13*$D658-'Business Case'!C14*$E658)-MAX(0,(('Business Case'!C11*$C658*'Business Case'!C12*$B658)-'Business Case'!C11*$C658*'Business Case'!C13*$D658-'Business Case'!C14*$E658))*'Business Case'!$B$7-'Business Case'!$B$8*(('Business Case'!C11*$C658*'Business Case'!C12*$B658)-('Business Case'!B11*$C658*'Business Case'!B12*$B658))-'Business Case'!C15*$F658</f>
        <v>27539370.2904482</v>
      </c>
      <c r="J658" s="39" t="n">
        <f aca="false">(('Business Case'!D11*$C658*'Business Case'!D12*$B658)-'Business Case'!D11*$C658*'Business Case'!D13*$D658-'Business Case'!D14*$E658)-MAX(0,(('Business Case'!D11*$C658*'Business Case'!D12*$B658)-'Business Case'!D11*$C658*'Business Case'!D13*$D658-'Business Case'!D14*$E658))*'Business Case'!$B$7-'Business Case'!$B$8*(('Business Case'!D11*$C658*'Business Case'!D12*$B658)-('Business Case'!C11*$C658*'Business Case'!C12*$B658))-'Business Case'!D15*$F658</f>
        <v>354793521.183283</v>
      </c>
      <c r="K658" s="39" t="n">
        <f aca="false">(('Business Case'!E11*$C658*'Business Case'!E12*$B658)-'Business Case'!E11*$C658*'Business Case'!E13*$D658-'Business Case'!E14*$E658)-MAX(0,(('Business Case'!E11*$C658*'Business Case'!E12*$B658)-'Business Case'!E11*$C658*'Business Case'!E13*$D658-'Business Case'!E14*$E658))*'Business Case'!$B$7-'Business Case'!$B$8*(('Business Case'!E11*$C658*'Business Case'!E12*$B658)-('Business Case'!D11*$C658*'Business Case'!D12*$B658))-'Business Case'!E15*$F658</f>
        <v>735310255.559928</v>
      </c>
      <c r="L658" s="39" t="n">
        <f aca="false">(('Business Case'!F11*$C658*'Business Case'!F12*$B658)-'Business Case'!F11*$C658*'Business Case'!F13*$D658-'Business Case'!F14*$E658)-MAX(0,(('Business Case'!F11*$C658*'Business Case'!F12*$B658)-'Business Case'!F11*$C658*'Business Case'!F13*$D658-'Business Case'!F14*$E658))*'Business Case'!$B$7-'Business Case'!$B$8*(('Business Case'!F11*$C658*'Business Case'!F12*$B658)-('Business Case'!E11*$C658*'Business Case'!E12*$B658))-'Business Case'!F15*$F658</f>
        <v>880439762.121354</v>
      </c>
      <c r="M658" s="39" t="n">
        <f aca="false">(('Business Case'!G11*$C658*'Business Case'!G12*$B658)-'Business Case'!G11*$C658*'Business Case'!G13*$D658-'Business Case'!G14*$E658)-MAX(0,(('Business Case'!G11*$C658*'Business Case'!G12*$B658)-'Business Case'!G11*$C658*'Business Case'!G13*$D658-'Business Case'!G14*$E658))*'Business Case'!$B$7-'Business Case'!$B$8*(('Business Case'!G11*$C658*'Business Case'!G12*$B658)-('Business Case'!F11*$C658*'Business Case'!F12*$B658))-'Business Case'!G15*$F658+'Business Case'!$B$8*('Business Case'!G11*$C658*'Business Case'!G12*$B658)</f>
        <v>1078686104.90566</v>
      </c>
      <c r="N658" s="39" t="n">
        <f aca="false">IF(COUNT('Business Case'!B11:G11)=0,"",H658+NPV(G658,I658:M658))</f>
        <v>-150881428.394087</v>
      </c>
      <c r="P658" s="40" t="n">
        <f aca="true">RAND()</f>
        <v>0.628177786605348</v>
      </c>
      <c r="Q658" s="40" t="n">
        <f aca="true">RAND()</f>
        <v>0.839846398701619</v>
      </c>
      <c r="R658" s="40" t="n">
        <f aca="true">RAND()</f>
        <v>0.155710218233057</v>
      </c>
      <c r="S658" s="40" t="n">
        <f aca="true">RAND()</f>
        <v>0.245595592165534</v>
      </c>
      <c r="T658" s="40" t="n">
        <f aca="true">RAND()</f>
        <v>0.544907392567694</v>
      </c>
      <c r="U658" s="40" t="n">
        <f aca="true">RAND()</f>
        <v>0.971394614887484</v>
      </c>
    </row>
    <row r="659" customFormat="false" ht="15" hidden="false" customHeight="false" outlineLevel="0" collapsed="false">
      <c r="A659" s="36" t="n">
        <v>579</v>
      </c>
      <c r="B659" s="37" t="n">
        <f aca="false">1+IF($G$6=$E$6,$F$6,IF(P659&lt;($F$6-$E$6)/($G$6-$E$6),$E$6+SQRT(P659*($G$6-$E$6)*($F$6-$E$6)),$G$6-SQRT((1-P659)*($G$6-$E$6)*($G$6-$F$6))))</f>
        <v>1.00076857968788</v>
      </c>
      <c r="C659" s="37" t="n">
        <f aca="false">1+IF($G$7=$E$7,$F$7,IF(Q659&lt;($F$7-$E$7)/($G$7-$E$7),$E$7+SQRT(Q659*($G$7-$E$7)*($F$7-$E$7)),$G$7-SQRT((1-Q659)*($G$7-$E$7)*($G$7-$F$7))))</f>
        <v>0.865673792427367</v>
      </c>
      <c r="D659" s="37" t="n">
        <f aca="false">1+IF($G$8=$E$8,$F$8,IF(R659&lt;($F$8-$E$8)/($G$8-$E$8),$E$8+SQRT(R659*($G$8-$E$8)*($F$8-$E$8)),$G$8-SQRT((1-R659)*($G$8-$E$8)*($G$8-$F$8))))</f>
        <v>1.05806346599457</v>
      </c>
      <c r="E659" s="37" t="n">
        <f aca="false">1+IF($G$9=$E$9,$F$9,IF(S659&lt;($F$9-$E$9)/($G$9-$E$9),$E$9+SQRT(S659*($G$9-$E$9)*($F$9-$E$9)),$G$9-SQRT((1-S659)*($G$9-$E$9)*($G$9-$F$9))))</f>
        <v>1.04966155021384</v>
      </c>
      <c r="F659" s="37" t="n">
        <f aca="false">1+IF($G$10=$E$10,$F$10,IF(T659&lt;($F$10-$E$10)/($G$10-$E$10),$E$10+SQRT(T659*($G$10-$E$10)*($F$10-$E$10)),$G$10-SQRT((1-T659)*($G$10-$E$10)*($G$10-$F$10))))</f>
        <v>1.15296307471644</v>
      </c>
      <c r="G659" s="38" t="n">
        <f aca="false">IF($G$11=$E$11,$F$11,IF(U659&lt;($F$11-$E$11)/($G$11-$E$11),$E$11+SQRT(U659*($G$11-$E$11)*($F$11-$E$11)),$G$11-SQRT((1-U659)*($G$11-$E$11)*($G$11-$F$11))))</f>
        <v>0.0953669316819057</v>
      </c>
      <c r="H659" s="39" t="n">
        <f aca="false">(('Business Case'!B11*$C659*'Business Case'!B12*$B659)-'Business Case'!B11*$C659*'Business Case'!B13*$D659-'Business Case'!B14*$E659)-MAX(0,(('Business Case'!B11*$C659*'Business Case'!B12*$B659)-'Business Case'!B11*$C659*'Business Case'!B13*$D659-'Business Case'!B14*$E659))*'Business Case'!$B$7-'Business Case'!$B$8*('Business Case'!B11*$C659*'Business Case'!B12*$B659)-'Business Case'!B15*$F659</f>
        <v>-2305926149.43288</v>
      </c>
      <c r="I659" s="39" t="n">
        <f aca="false">(('Business Case'!C11*$C659*'Business Case'!C12*$B659)-'Business Case'!C11*$C659*'Business Case'!C13*$D659-'Business Case'!C14*$E659)-MAX(0,(('Business Case'!C11*$C659*'Business Case'!C12*$B659)-'Business Case'!C11*$C659*'Business Case'!C13*$D659-'Business Case'!C14*$E659))*'Business Case'!$B$7-'Business Case'!$B$8*(('Business Case'!C11*$C659*'Business Case'!C12*$B659)-('Business Case'!B11*$C659*'Business Case'!B12*$B659))-'Business Case'!C15*$F659</f>
        <v>-68761960.5557878</v>
      </c>
      <c r="J659" s="39" t="n">
        <f aca="false">(('Business Case'!D11*$C659*'Business Case'!D12*$B659)-'Business Case'!D11*$C659*'Business Case'!D13*$D659-'Business Case'!D14*$E659)-MAX(0,(('Business Case'!D11*$C659*'Business Case'!D12*$B659)-'Business Case'!D11*$C659*'Business Case'!D13*$D659-'Business Case'!D14*$E659))*'Business Case'!$B$7-'Business Case'!$B$8*(('Business Case'!D11*$C659*'Business Case'!D12*$B659)-('Business Case'!C11*$C659*'Business Case'!C12*$B659))-'Business Case'!D15*$F659</f>
        <v>171945279.38887</v>
      </c>
      <c r="K659" s="39" t="n">
        <f aca="false">(('Business Case'!E11*$C659*'Business Case'!E12*$B659)-'Business Case'!E11*$C659*'Business Case'!E13*$D659-'Business Case'!E14*$E659)-MAX(0,(('Business Case'!E11*$C659*'Business Case'!E12*$B659)-'Business Case'!E11*$C659*'Business Case'!E13*$D659-'Business Case'!E14*$E659))*'Business Case'!$B$7-'Business Case'!$B$8*(('Business Case'!E11*$C659*'Business Case'!E12*$B659)-('Business Case'!D11*$C659*'Business Case'!D12*$B659))-'Business Case'!E15*$F659</f>
        <v>470300673.069349</v>
      </c>
      <c r="L659" s="39" t="n">
        <f aca="false">(('Business Case'!F11*$C659*'Business Case'!F12*$B659)-'Business Case'!F11*$C659*'Business Case'!F13*$D659-'Business Case'!F14*$E659)-MAX(0,(('Business Case'!F11*$C659*'Business Case'!F12*$B659)-'Business Case'!F11*$C659*'Business Case'!F13*$D659-'Business Case'!F14*$E659))*'Business Case'!$B$7-'Business Case'!$B$8*(('Business Case'!F11*$C659*'Business Case'!F12*$B659)-('Business Case'!E11*$C659*'Business Case'!E12*$B659))-'Business Case'!F15*$F659</f>
        <v>580477100.109831</v>
      </c>
      <c r="M659" s="39" t="n">
        <f aca="false">(('Business Case'!G11*$C659*'Business Case'!G12*$B659)-'Business Case'!G11*$C659*'Business Case'!G13*$D659-'Business Case'!G14*$E659)-MAX(0,(('Business Case'!G11*$C659*'Business Case'!G12*$B659)-'Business Case'!G11*$C659*'Business Case'!G13*$D659-'Business Case'!G14*$E659))*'Business Case'!$B$7-'Business Case'!$B$8*(('Business Case'!G11*$C659*'Business Case'!G12*$B659)-('Business Case'!F11*$C659*'Business Case'!F12*$B659))-'Business Case'!G15*$F659+'Business Case'!$B$8*('Business Case'!G11*$C659*'Business Case'!G12*$B659)</f>
        <v>745150842.267275</v>
      </c>
      <c r="N659" s="39" t="n">
        <f aca="false">IF(COUNT('Business Case'!B11:G11)=0,"",H659+NPV(G659,I659:M659))</f>
        <v>-991774428.072322</v>
      </c>
      <c r="P659" s="40" t="n">
        <f aca="true">RAND()</f>
        <v>0.676835633873503</v>
      </c>
      <c r="Q659" s="40" t="n">
        <f aca="true">RAND()</f>
        <v>0.203317077757528</v>
      </c>
      <c r="R659" s="40" t="n">
        <f aca="true">RAND()</f>
        <v>0.882755141040786</v>
      </c>
      <c r="S659" s="40" t="n">
        <f aca="true">RAND()</f>
        <v>0.731525213186932</v>
      </c>
      <c r="T659" s="40" t="n">
        <f aca="true">RAND()</f>
        <v>0.874451135086839</v>
      </c>
      <c r="U659" s="40" t="n">
        <f aca="true">RAND()</f>
        <v>0.236142589316358</v>
      </c>
    </row>
    <row r="660" customFormat="false" ht="15" hidden="false" customHeight="false" outlineLevel="0" collapsed="false">
      <c r="A660" s="36" t="n">
        <v>580</v>
      </c>
      <c r="B660" s="37" t="n">
        <f aca="false">1+IF($G$6=$E$6,$F$6,IF(P660&lt;($F$6-$E$6)/($G$6-$E$6),$E$6+SQRT(P660*($G$6-$E$6)*($F$6-$E$6)),$G$6-SQRT((1-P660)*($G$6-$E$6)*($G$6-$F$6))))</f>
        <v>1.01425351110503</v>
      </c>
      <c r="C660" s="37" t="n">
        <f aca="false">1+IF($G$7=$E$7,$F$7,IF(Q660&lt;($F$7-$E$7)/($G$7-$E$7),$E$7+SQRT(Q660*($G$7-$E$7)*($F$7-$E$7)),$G$7-SQRT((1-Q660)*($G$7-$E$7)*($G$7-$F$7))))</f>
        <v>1.040235933236</v>
      </c>
      <c r="D660" s="37" t="n">
        <f aca="false">1+IF($G$8=$E$8,$F$8,IF(R660&lt;($F$8-$E$8)/($G$8-$E$8),$E$8+SQRT(R660*($G$8-$E$8)*($F$8-$E$8)),$G$8-SQRT((1-R660)*($G$8-$E$8)*($G$8-$F$8))))</f>
        <v>0.967800885733933</v>
      </c>
      <c r="E660" s="37" t="n">
        <f aca="false">1+IF($G$9=$E$9,$F$9,IF(S660&lt;($F$9-$E$9)/($G$9-$E$9),$E$9+SQRT(S660*($G$9-$E$9)*($F$9-$E$9)),$G$9-SQRT((1-S660)*($G$9-$E$9)*($G$9-$F$9))))</f>
        <v>1.07613107072952</v>
      </c>
      <c r="F660" s="37" t="n">
        <f aca="false">1+IF($G$10=$E$10,$F$10,IF(T660&lt;($F$10-$E$10)/($G$10-$E$10),$E$10+SQRT(T660*($G$10-$E$10)*($F$10-$E$10)),$G$10-SQRT((1-T660)*($G$10-$E$10)*($G$10-$F$10))))</f>
        <v>1.17993766326438</v>
      </c>
      <c r="G660" s="38" t="n">
        <f aca="false">IF($G$11=$E$11,$F$11,IF(U660&lt;($F$11-$E$11)/($G$11-$E$11),$E$11+SQRT(U660*($G$11-$E$11)*($F$11-$E$11)),$G$11-SQRT((1-U660)*($G$11-$E$11)*($G$11-$F$11))))</f>
        <v>0.109684282395708</v>
      </c>
      <c r="H660" s="39" t="n">
        <f aca="false">(('Business Case'!B11*$C660*'Business Case'!B12*$B660)-'Business Case'!B11*$C660*'Business Case'!B13*$D660-'Business Case'!B14*$E660)-MAX(0,(('Business Case'!B11*$C660*'Business Case'!B12*$B660)-'Business Case'!B11*$C660*'Business Case'!B13*$D660-'Business Case'!B14*$E660))*'Business Case'!$B$7-'Business Case'!$B$8*('Business Case'!B11*$C660*'Business Case'!B12*$B660)-'Business Case'!B15*$F660</f>
        <v>-2359875326.52876</v>
      </c>
      <c r="I660" s="39" t="n">
        <f aca="false">(('Business Case'!C11*$C660*'Business Case'!C12*$B660)-'Business Case'!C11*$C660*'Business Case'!C13*$D660-'Business Case'!C14*$E660)-MAX(0,(('Business Case'!C11*$C660*'Business Case'!C12*$B660)-'Business Case'!C11*$C660*'Business Case'!C13*$D660-'Business Case'!C14*$E660))*'Business Case'!$B$7-'Business Case'!$B$8*(('Business Case'!C11*$C660*'Business Case'!C12*$B660)-('Business Case'!B11*$C660*'Business Case'!B12*$B660))-'Business Case'!C15*$F660</f>
        <v>23087466.3074881</v>
      </c>
      <c r="J660" s="39" t="n">
        <f aca="false">(('Business Case'!D11*$C660*'Business Case'!D12*$B660)-'Business Case'!D11*$C660*'Business Case'!D13*$D660-'Business Case'!D14*$E660)-MAX(0,(('Business Case'!D11*$C660*'Business Case'!D12*$B660)-'Business Case'!D11*$C660*'Business Case'!D13*$D660-'Business Case'!D14*$E660))*'Business Case'!$B$7-'Business Case'!$B$8*(('Business Case'!D11*$C660*'Business Case'!D12*$B660)-('Business Case'!C11*$C660*'Business Case'!C12*$B660))-'Business Case'!D15*$F660</f>
        <v>371889000.405962</v>
      </c>
      <c r="K660" s="39" t="n">
        <f aca="false">(('Business Case'!E11*$C660*'Business Case'!E12*$B660)-'Business Case'!E11*$C660*'Business Case'!E13*$D660-'Business Case'!E14*$E660)-MAX(0,(('Business Case'!E11*$C660*'Business Case'!E12*$B660)-'Business Case'!E11*$C660*'Business Case'!E13*$D660-'Business Case'!E14*$E660))*'Business Case'!$B$7-'Business Case'!$B$8*(('Business Case'!E11*$C660*'Business Case'!E12*$B660)-('Business Case'!D11*$C660*'Business Case'!D12*$B660))-'Business Case'!E15*$F660</f>
        <v>779687417.667655</v>
      </c>
      <c r="L660" s="39" t="n">
        <f aca="false">(('Business Case'!F11*$C660*'Business Case'!F12*$B660)-'Business Case'!F11*$C660*'Business Case'!F13*$D660-'Business Case'!F14*$E660)-MAX(0,(('Business Case'!F11*$C660*'Business Case'!F12*$B660)-'Business Case'!F11*$C660*'Business Case'!F13*$D660-'Business Case'!F14*$E660))*'Business Case'!$B$7-'Business Case'!$B$8*(('Business Case'!F11*$C660*'Business Case'!F12*$B660)-('Business Case'!E11*$C660*'Business Case'!E12*$B660))-'Business Case'!F15*$F660</f>
        <v>932417571.171687</v>
      </c>
      <c r="M660" s="39" t="n">
        <f aca="false">(('Business Case'!G11*$C660*'Business Case'!G12*$B660)-'Business Case'!G11*$C660*'Business Case'!G13*$D660-'Business Case'!G14*$E660)-MAX(0,(('Business Case'!G11*$C660*'Business Case'!G12*$B660)-'Business Case'!G11*$C660*'Business Case'!G13*$D660-'Business Case'!G14*$E660))*'Business Case'!$B$7-'Business Case'!$B$8*(('Business Case'!G11*$C660*'Business Case'!G12*$B660)-('Business Case'!F11*$C660*'Business Case'!F12*$B660))-'Business Case'!G15*$F660+'Business Case'!$B$8*('Business Case'!G11*$C660*'Business Case'!G12*$B660)</f>
        <v>1132963936.26332</v>
      </c>
      <c r="N660" s="39" t="n">
        <f aca="false">IF(COUNT('Business Case'!B11:G11)=0,"",H660+NPV(G660,I660:M660))</f>
        <v>-178249601.560165</v>
      </c>
      <c r="P660" s="40" t="n">
        <f aca="true">RAND()</f>
        <v>0.82962513755756</v>
      </c>
      <c r="Q660" s="40" t="n">
        <f aca="true">RAND()</f>
        <v>0.821508883665616</v>
      </c>
      <c r="R660" s="40" t="n">
        <f aca="true">RAND()</f>
        <v>0.0422495377216735</v>
      </c>
      <c r="S660" s="40" t="n">
        <f aca="true">RAND()</f>
        <v>0.85449016769154</v>
      </c>
      <c r="T660" s="40" t="n">
        <f aca="true">RAND()</f>
        <v>0.934550252948595</v>
      </c>
      <c r="U660" s="40" t="n">
        <f aca="true">RAND()</f>
        <v>0.72484774548177</v>
      </c>
    </row>
    <row r="661" customFormat="false" ht="15" hidden="false" customHeight="false" outlineLevel="0" collapsed="false">
      <c r="A661" s="36" t="n">
        <v>581</v>
      </c>
      <c r="B661" s="37" t="n">
        <f aca="false">1+IF($G$6=$E$6,$F$6,IF(P661&lt;($F$6-$E$6)/($G$6-$E$6),$E$6+SQRT(P661*($G$6-$E$6)*($F$6-$E$6)),$G$6-SQRT((1-P661)*($G$6-$E$6)*($G$6-$F$6))))</f>
        <v>0.922574150492523</v>
      </c>
      <c r="C661" s="37" t="n">
        <f aca="false">1+IF($G$7=$E$7,$F$7,IF(Q661&lt;($F$7-$E$7)/($G$7-$E$7),$E$7+SQRT(Q661*($G$7-$E$7)*($F$7-$E$7)),$G$7-SQRT((1-Q661)*($G$7-$E$7)*($G$7-$F$7))))</f>
        <v>0.921314562931036</v>
      </c>
      <c r="D661" s="37" t="n">
        <f aca="false">1+IF($G$8=$E$8,$F$8,IF(R661&lt;($F$8-$E$8)/($G$8-$E$8),$E$8+SQRT(R661*($G$8-$E$8)*($F$8-$E$8)),$G$8-SQRT((1-R661)*($G$8-$E$8)*($G$8-$F$8))))</f>
        <v>1.05585546362081</v>
      </c>
      <c r="E661" s="37" t="n">
        <f aca="false">1+IF($G$9=$E$9,$F$9,IF(S661&lt;($F$9-$E$9)/($G$9-$E$9),$E$9+SQRT(S661*($G$9-$E$9)*($F$9-$E$9)),$G$9-SQRT((1-S661)*($G$9-$E$9)*($G$9-$F$9))))</f>
        <v>0.981023685775932</v>
      </c>
      <c r="F661" s="37" t="n">
        <f aca="false">1+IF($G$10=$E$10,$F$10,IF(T661&lt;($F$10-$E$10)/($G$10-$E$10),$E$10+SQRT(T661*($G$10-$E$10)*($F$10-$E$10)),$G$10-SQRT((1-T661)*($G$10-$E$10)*($G$10-$F$10))))</f>
        <v>1.19272207140347</v>
      </c>
      <c r="G661" s="38" t="n">
        <f aca="false">IF($G$11=$E$11,$F$11,IF(U661&lt;($F$11-$E$11)/($G$11-$E$11),$E$11+SQRT(U661*($G$11-$E$11)*($F$11-$E$11)),$G$11-SQRT((1-U661)*($G$11-$E$11)*($G$11-$F$11))))</f>
        <v>0.12880215446466</v>
      </c>
      <c r="H661" s="39" t="n">
        <f aca="false">(('Business Case'!B11*$C661*'Business Case'!B12*$B661)-'Business Case'!B11*$C661*'Business Case'!B13*$D661-'Business Case'!B14*$E661)-MAX(0,(('Business Case'!B11*$C661*'Business Case'!B12*$B661)-'Business Case'!B11*$C661*'Business Case'!B13*$D661-'Business Case'!B14*$E661))*'Business Case'!$B$7-'Business Case'!$B$8*('Business Case'!B11*$C661*'Business Case'!B12*$B661)-'Business Case'!B15*$F661</f>
        <v>-2385444142.80694</v>
      </c>
      <c r="I661" s="39" t="n">
        <f aca="false">(('Business Case'!C11*$C661*'Business Case'!C12*$B661)-'Business Case'!C11*$C661*'Business Case'!C13*$D661-'Business Case'!C14*$E661)-MAX(0,(('Business Case'!C11*$C661*'Business Case'!C12*$B661)-'Business Case'!C11*$C661*'Business Case'!C13*$D661-'Business Case'!C14*$E661))*'Business Case'!$B$7-'Business Case'!$B$8*(('Business Case'!C11*$C661*'Business Case'!C12*$B661)-('Business Case'!B11*$C661*'Business Case'!B12*$B661))-'Business Case'!C15*$F661</f>
        <v>-104624138.158</v>
      </c>
      <c r="J661" s="39" t="n">
        <f aca="false">(('Business Case'!D11*$C661*'Business Case'!D12*$B661)-'Business Case'!D11*$C661*'Business Case'!D13*$D661-'Business Case'!D14*$E661)-MAX(0,(('Business Case'!D11*$C661*'Business Case'!D12*$B661)-'Business Case'!D11*$C661*'Business Case'!D13*$D661-'Business Case'!D14*$E661))*'Business Case'!$B$7-'Business Case'!$B$8*(('Business Case'!D11*$C661*'Business Case'!D12*$B661)-('Business Case'!C11*$C661*'Business Case'!C12*$B661))-'Business Case'!D15*$F661</f>
        <v>93588513.9937368</v>
      </c>
      <c r="K661" s="39" t="n">
        <f aca="false">(('Business Case'!E11*$C661*'Business Case'!E12*$B661)-'Business Case'!E11*$C661*'Business Case'!E13*$D661-'Business Case'!E14*$E661)-MAX(0,(('Business Case'!E11*$C661*'Business Case'!E12*$B661)-'Business Case'!E11*$C661*'Business Case'!E13*$D661-'Business Case'!E14*$E661))*'Business Case'!$B$7-'Business Case'!$B$8*(('Business Case'!E11*$C661*'Business Case'!E12*$B661)-('Business Case'!D11*$C661*'Business Case'!D12*$B661))-'Business Case'!E15*$F661</f>
        <v>351437269.715647</v>
      </c>
      <c r="L661" s="39" t="n">
        <f aca="false">(('Business Case'!F11*$C661*'Business Case'!F12*$B661)-'Business Case'!F11*$C661*'Business Case'!F13*$D661-'Business Case'!F14*$E661)-MAX(0,(('Business Case'!F11*$C661*'Business Case'!F12*$B661)-'Business Case'!F11*$C661*'Business Case'!F13*$D661-'Business Case'!F14*$E661))*'Business Case'!$B$7-'Business Case'!$B$8*(('Business Case'!F11*$C661*'Business Case'!F12*$B661)-('Business Case'!E11*$C661*'Business Case'!E12*$B661))-'Business Case'!F15*$F661</f>
        <v>446883497.134261</v>
      </c>
      <c r="M661" s="39" t="n">
        <f aca="false">(('Business Case'!G11*$C661*'Business Case'!G12*$B661)-'Business Case'!G11*$C661*'Business Case'!G13*$D661-'Business Case'!G14*$E661)-MAX(0,(('Business Case'!G11*$C661*'Business Case'!G12*$B661)-'Business Case'!G11*$C661*'Business Case'!G13*$D661-'Business Case'!G14*$E661))*'Business Case'!$B$7-'Business Case'!$B$8*(('Business Case'!G11*$C661*'Business Case'!G12*$B661)-('Business Case'!F11*$C661*'Business Case'!F12*$B661))-'Business Case'!G15*$F661+'Business Case'!$B$8*('Business Case'!G11*$C661*'Business Case'!G12*$B661)</f>
        <v>608447885.658453</v>
      </c>
      <c r="N661" s="39" t="n">
        <f aca="false">IF(COUNT('Business Case'!B11:G11)=0,"",H661+NPV(G661,I661:M661))</f>
        <v>-1553096776.56774</v>
      </c>
      <c r="P661" s="40" t="n">
        <f aca="true">RAND()</f>
        <v>0.0339728180306042</v>
      </c>
      <c r="Q661" s="40" t="n">
        <f aca="true">RAND()</f>
        <v>0.362815820484114</v>
      </c>
      <c r="R661" s="40" t="n">
        <f aca="true">RAND()</f>
        <v>0.870083993857783</v>
      </c>
      <c r="S661" s="40" t="n">
        <f aca="true">RAND()</f>
        <v>0.262593506268679</v>
      </c>
      <c r="T661" s="40" t="n">
        <f aca="true">RAND()</f>
        <v>0.956256518609211</v>
      </c>
      <c r="U661" s="40" t="n">
        <f aca="true">RAND()</f>
        <v>0.999043444048977</v>
      </c>
    </row>
    <row r="662" customFormat="false" ht="15" hidden="false" customHeight="false" outlineLevel="0" collapsed="false">
      <c r="A662" s="36" t="n">
        <v>582</v>
      </c>
      <c r="B662" s="37" t="n">
        <f aca="false">1+IF($G$6=$E$6,$F$6,IF(P662&lt;($F$6-$E$6)/($G$6-$E$6),$E$6+SQRT(P662*($G$6-$E$6)*($F$6-$E$6)),$G$6-SQRT((1-P662)*($G$6-$E$6)*($G$6-$F$6))))</f>
        <v>0.985805477583744</v>
      </c>
      <c r="C662" s="37" t="n">
        <f aca="false">1+IF($G$7=$E$7,$F$7,IF(Q662&lt;($F$7-$E$7)/($G$7-$E$7),$E$7+SQRT(Q662*($G$7-$E$7)*($F$7-$E$7)),$G$7-SQRT((1-Q662)*($G$7-$E$7)*($G$7-$F$7))))</f>
        <v>0.825034668089768</v>
      </c>
      <c r="D662" s="37" t="n">
        <f aca="false">1+IF($G$8=$E$8,$F$8,IF(R662&lt;($F$8-$E$8)/($G$8-$E$8),$E$8+SQRT(R662*($G$8-$E$8)*($F$8-$E$8)),$G$8-SQRT((1-R662)*($G$8-$E$8)*($G$8-$F$8))))</f>
        <v>0.994067743761048</v>
      </c>
      <c r="E662" s="37" t="n">
        <f aca="false">1+IF($G$9=$E$9,$F$9,IF(S662&lt;($F$9-$E$9)/($G$9-$E$9),$E$9+SQRT(S662*($G$9-$E$9)*($F$9-$E$9)),$G$9-SQRT((1-S662)*($G$9-$E$9)*($G$9-$F$9))))</f>
        <v>1.00450570758611</v>
      </c>
      <c r="F662" s="37" t="n">
        <f aca="false">1+IF($G$10=$E$10,$F$10,IF(T662&lt;($F$10-$E$10)/($G$10-$E$10),$E$10+SQRT(T662*($G$10-$E$10)*($F$10-$E$10)),$G$10-SQRT((1-T662)*($G$10-$E$10)*($G$10-$F$10))))</f>
        <v>1.0141902638368</v>
      </c>
      <c r="G662" s="38" t="n">
        <f aca="false">IF($G$11=$E$11,$F$11,IF(U662&lt;($F$11-$E$11)/($G$11-$E$11),$E$11+SQRT(U662*($G$11-$E$11)*($F$11-$E$11)),$G$11-SQRT((1-U662)*($G$11-$E$11)*($G$11-$F$11))))</f>
        <v>0.0999183926213135</v>
      </c>
      <c r="H662" s="39" t="n">
        <f aca="false">(('Business Case'!B11*$C662*'Business Case'!B12*$B662)-'Business Case'!B11*$C662*'Business Case'!B13*$D662-'Business Case'!B14*$E662)-MAX(0,(('Business Case'!B11*$C662*'Business Case'!B12*$B662)-'Business Case'!B11*$C662*'Business Case'!B13*$D662-'Business Case'!B14*$E662))*'Business Case'!$B$7-'Business Case'!$B$8*('Business Case'!B11*$C662*'Business Case'!B12*$B662)-'Business Case'!B15*$F662</f>
        <v>-2028380527.67361</v>
      </c>
      <c r="I662" s="39" t="n">
        <f aca="false">(('Business Case'!C11*$C662*'Business Case'!C12*$B662)-'Business Case'!C11*$C662*'Business Case'!C13*$D662-'Business Case'!C14*$E662)-MAX(0,(('Business Case'!C11*$C662*'Business Case'!C12*$B662)-'Business Case'!C11*$C662*'Business Case'!C13*$D662-'Business Case'!C14*$E662))*'Business Case'!$B$7-'Business Case'!$B$8*(('Business Case'!C11*$C662*'Business Case'!C12*$B662)-('Business Case'!B11*$C662*'Business Case'!B12*$B662))-'Business Case'!C15*$F662</f>
        <v>-40098021.3412899</v>
      </c>
      <c r="J662" s="39" t="n">
        <f aca="false">(('Business Case'!D11*$C662*'Business Case'!D12*$B662)-'Business Case'!D11*$C662*'Business Case'!D13*$D662-'Business Case'!D14*$E662)-MAX(0,(('Business Case'!D11*$C662*'Business Case'!D12*$B662)-'Business Case'!D11*$C662*'Business Case'!D13*$D662-'Business Case'!D14*$E662))*'Business Case'!$B$7-'Business Case'!$B$8*(('Business Case'!D11*$C662*'Business Case'!D12*$B662)-('Business Case'!C11*$C662*'Business Case'!C12*$B662))-'Business Case'!D15*$F662</f>
        <v>206226395.668613</v>
      </c>
      <c r="K662" s="39" t="n">
        <f aca="false">(('Business Case'!E11*$C662*'Business Case'!E12*$B662)-'Business Case'!E11*$C662*'Business Case'!E13*$D662-'Business Case'!E14*$E662)-MAX(0,(('Business Case'!E11*$C662*'Business Case'!E12*$B662)-'Business Case'!E11*$C662*'Business Case'!E13*$D662-'Business Case'!E14*$E662))*'Business Case'!$B$7-'Business Case'!$B$8*(('Business Case'!E11*$C662*'Business Case'!E12*$B662)-('Business Case'!D11*$C662*'Business Case'!D12*$B662))-'Business Case'!E15*$F662</f>
        <v>503260325.870355</v>
      </c>
      <c r="L662" s="39" t="n">
        <f aca="false">(('Business Case'!F11*$C662*'Business Case'!F12*$B662)-'Business Case'!F11*$C662*'Business Case'!F13*$D662-'Business Case'!F14*$E662)-MAX(0,(('Business Case'!F11*$C662*'Business Case'!F12*$B662)-'Business Case'!F11*$C662*'Business Case'!F13*$D662-'Business Case'!F14*$E662))*'Business Case'!$B$7-'Business Case'!$B$8*(('Business Case'!F11*$C662*'Business Case'!F12*$B662)-('Business Case'!E11*$C662*'Business Case'!E12*$B662))-'Business Case'!F15*$F662</f>
        <v>613476931.772835</v>
      </c>
      <c r="M662" s="39" t="n">
        <f aca="false">(('Business Case'!G11*$C662*'Business Case'!G12*$B662)-'Business Case'!G11*$C662*'Business Case'!G13*$D662-'Business Case'!G14*$E662)-MAX(0,(('Business Case'!G11*$C662*'Business Case'!G12*$B662)-'Business Case'!G11*$C662*'Business Case'!G13*$D662-'Business Case'!G14*$E662))*'Business Case'!$B$7-'Business Case'!$B$8*(('Business Case'!G11*$C662*'Business Case'!G12*$B662)-('Business Case'!F11*$C662*'Business Case'!F12*$B662))-'Business Case'!G15*$F662+'Business Case'!$B$8*('Business Case'!G11*$C662*'Business Case'!G12*$B662)</f>
        <v>768073499.718317</v>
      </c>
      <c r="N662" s="39" t="n">
        <f aca="false">IF(COUNT('Business Case'!B11:G11)=0,"",H662+NPV(G662,I662:M662))</f>
        <v>-619957025.785488</v>
      </c>
      <c r="P662" s="40" t="n">
        <f aca="true">RAND()</f>
        <v>0.490838665558296</v>
      </c>
      <c r="Q662" s="40" t="n">
        <f aca="true">RAND()</f>
        <v>0.115804949809767</v>
      </c>
      <c r="R662" s="40" t="n">
        <f aca="true">RAND()</f>
        <v>0.258928805358583</v>
      </c>
      <c r="S662" s="40" t="n">
        <f aca="true">RAND()</f>
        <v>0.435504289999473</v>
      </c>
      <c r="T662" s="40" t="n">
        <f aca="true">RAND()</f>
        <v>0.258583577741923</v>
      </c>
      <c r="U662" s="40" t="n">
        <f aca="true">RAND()</f>
        <v>0.396742364616796</v>
      </c>
    </row>
    <row r="663" customFormat="false" ht="15" hidden="false" customHeight="false" outlineLevel="0" collapsed="false">
      <c r="A663" s="36" t="n">
        <v>583</v>
      </c>
      <c r="B663" s="37" t="n">
        <f aca="false">1+IF($G$6=$E$6,$F$6,IF(P663&lt;($F$6-$E$6)/($G$6-$E$6),$E$6+SQRT(P663*($G$6-$E$6)*($F$6-$E$6)),$G$6-SQRT((1-P663)*($G$6-$E$6)*($G$6-$F$6))))</f>
        <v>1.01034954369108</v>
      </c>
      <c r="C663" s="37" t="n">
        <f aca="false">1+IF($G$7=$E$7,$F$7,IF(Q663&lt;($F$7-$E$7)/($G$7-$E$7),$E$7+SQRT(Q663*($G$7-$E$7)*($F$7-$E$7)),$G$7-SQRT((1-Q663)*($G$7-$E$7)*($G$7-$F$7))))</f>
        <v>0.997238487686609</v>
      </c>
      <c r="D663" s="37" t="n">
        <f aca="false">1+IF($G$8=$E$8,$F$8,IF(R663&lt;($F$8-$E$8)/($G$8-$E$8),$E$8+SQRT(R663*($G$8-$E$8)*($F$8-$E$8)),$G$8-SQRT((1-R663)*($G$8-$E$8)*($G$8-$F$8))))</f>
        <v>0.982982508047506</v>
      </c>
      <c r="E663" s="37" t="n">
        <f aca="false">1+IF($G$9=$E$9,$F$9,IF(S663&lt;($F$9-$E$9)/($G$9-$E$9),$E$9+SQRT(S663*($G$9-$E$9)*($F$9-$E$9)),$G$9-SQRT((1-S663)*($G$9-$E$9)*($G$9-$F$9))))</f>
        <v>0.939743582491933</v>
      </c>
      <c r="F663" s="37" t="n">
        <f aca="false">1+IF($G$10=$E$10,$F$10,IF(T663&lt;($F$10-$E$10)/($G$10-$E$10),$E$10+SQRT(T663*($G$10-$E$10)*($F$10-$E$10)),$G$10-SQRT((1-T663)*($G$10-$E$10)*($G$10-$F$10))))</f>
        <v>1.15663075354146</v>
      </c>
      <c r="G663" s="38" t="n">
        <f aca="false">IF($G$11=$E$11,$F$11,IF(U663&lt;($F$11-$E$11)/($G$11-$E$11),$E$11+SQRT(U663*($G$11-$E$11)*($F$11-$E$11)),$G$11-SQRT((1-U663)*($G$11-$E$11)*($G$11-$F$11))))</f>
        <v>0.101496118691486</v>
      </c>
      <c r="H663" s="39" t="n">
        <f aca="false">(('Business Case'!B11*$C663*'Business Case'!B12*$B663)-'Business Case'!B11*$C663*'Business Case'!B13*$D663-'Business Case'!B14*$E663)-MAX(0,(('Business Case'!B11*$C663*'Business Case'!B12*$B663)-'Business Case'!B11*$C663*'Business Case'!B13*$D663-'Business Case'!B14*$E663))*'Business Case'!$B$7-'Business Case'!$B$8*('Business Case'!B11*$C663*'Business Case'!B12*$B663)-'Business Case'!B15*$F663</f>
        <v>-2313261507.08293</v>
      </c>
      <c r="I663" s="39" t="n">
        <f aca="false">(('Business Case'!C11*$C663*'Business Case'!C12*$B663)-'Business Case'!C11*$C663*'Business Case'!C13*$D663-'Business Case'!C14*$E663)-MAX(0,(('Business Case'!C11*$C663*'Business Case'!C12*$B663)-'Business Case'!C11*$C663*'Business Case'!C13*$D663-'Business Case'!C14*$E663))*'Business Case'!$B$7-'Business Case'!$B$8*(('Business Case'!C11*$C663*'Business Case'!C12*$B663)-('Business Case'!B11*$C663*'Business Case'!B12*$B663))-'Business Case'!C15*$F663</f>
        <v>21918450.6022569</v>
      </c>
      <c r="J663" s="39" t="n">
        <f aca="false">(('Business Case'!D11*$C663*'Business Case'!D12*$B663)-'Business Case'!D11*$C663*'Business Case'!D13*$D663-'Business Case'!D14*$E663)-MAX(0,(('Business Case'!D11*$C663*'Business Case'!D12*$B663)-'Business Case'!D11*$C663*'Business Case'!D13*$D663-'Business Case'!D14*$E663))*'Business Case'!$B$7-'Business Case'!$B$8*(('Business Case'!D11*$C663*'Business Case'!D12*$B663)-('Business Case'!C11*$C663*'Business Case'!C12*$B663))-'Business Case'!D15*$F663</f>
        <v>345363395.928093</v>
      </c>
      <c r="K663" s="39" t="n">
        <f aca="false">(('Business Case'!E11*$C663*'Business Case'!E12*$B663)-'Business Case'!E11*$C663*'Business Case'!E13*$D663-'Business Case'!E14*$E663)-MAX(0,(('Business Case'!E11*$C663*'Business Case'!E12*$B663)-'Business Case'!E11*$C663*'Business Case'!E13*$D663-'Business Case'!E14*$E663))*'Business Case'!$B$7-'Business Case'!$B$8*(('Business Case'!E11*$C663*'Business Case'!E12*$B663)-('Business Case'!D11*$C663*'Business Case'!D12*$B663))-'Business Case'!E15*$F663</f>
        <v>726639878.931003</v>
      </c>
      <c r="L663" s="39" t="n">
        <f aca="false">(('Business Case'!F11*$C663*'Business Case'!F12*$B663)-'Business Case'!F11*$C663*'Business Case'!F13*$D663-'Business Case'!F14*$E663)-MAX(0,(('Business Case'!F11*$C663*'Business Case'!F12*$B663)-'Business Case'!F11*$C663*'Business Case'!F13*$D663-'Business Case'!F14*$E663))*'Business Case'!$B$7-'Business Case'!$B$8*(('Business Case'!F11*$C663*'Business Case'!F12*$B663)-('Business Case'!E11*$C663*'Business Case'!E12*$B663))-'Business Case'!F15*$F663</f>
        <v>869276115.332335</v>
      </c>
      <c r="M663" s="39" t="n">
        <f aca="false">(('Business Case'!G11*$C663*'Business Case'!G12*$B663)-'Business Case'!G11*$C663*'Business Case'!G13*$D663-'Business Case'!G14*$E663)-MAX(0,(('Business Case'!G11*$C663*'Business Case'!G12*$B663)-'Business Case'!G11*$C663*'Business Case'!G13*$D663-'Business Case'!G14*$E663))*'Business Case'!$B$7-'Business Case'!$B$8*(('Business Case'!G11*$C663*'Business Case'!G12*$B663)-('Business Case'!F11*$C663*'Business Case'!F12*$B663))-'Business Case'!G15*$F663+'Business Case'!$B$8*('Business Case'!G11*$C663*'Business Case'!G12*$B663)</f>
        <v>1060793015.77563</v>
      </c>
      <c r="N663" s="39" t="n">
        <f aca="false">IF(COUNT('Business Case'!B11:G11)=0,"",H663+NPV(G663,I663:M663))</f>
        <v>-220283477.248386</v>
      </c>
      <c r="P663" s="40" t="n">
        <f aca="true">RAND()</f>
        <v>0.790378841932594</v>
      </c>
      <c r="Q663" s="40" t="n">
        <f aca="true">RAND()</f>
        <v>0.654449767127574</v>
      </c>
      <c r="R663" s="40" t="n">
        <f aca="true">RAND()</f>
        <v>0.14504611161384</v>
      </c>
      <c r="S663" s="40" t="n">
        <f aca="true">RAND()</f>
        <v>0.0631820939717236</v>
      </c>
      <c r="T663" s="40" t="n">
        <f aca="true">RAND()</f>
        <v>0.883762450876865</v>
      </c>
      <c r="U663" s="40" t="n">
        <f aca="true">RAND()</f>
        <v>0.458352500233441</v>
      </c>
    </row>
    <row r="664" customFormat="false" ht="15" hidden="false" customHeight="false" outlineLevel="0" collapsed="false">
      <c r="A664" s="36" t="n">
        <v>584</v>
      </c>
      <c r="B664" s="37" t="n">
        <f aca="false">1+IF($G$6=$E$6,$F$6,IF(P664&lt;($F$6-$E$6)/($G$6-$E$6),$E$6+SQRT(P664*($G$6-$E$6)*($F$6-$E$6)),$G$6-SQRT((1-P664)*($G$6-$E$6)*($G$6-$F$6))))</f>
        <v>1.03032229392156</v>
      </c>
      <c r="C664" s="37" t="n">
        <f aca="false">1+IF($G$7=$E$7,$F$7,IF(Q664&lt;($F$7-$E$7)/($G$7-$E$7),$E$7+SQRT(Q664*($G$7-$E$7)*($F$7-$E$7)),$G$7-SQRT((1-Q664)*($G$7-$E$7)*($G$7-$F$7))))</f>
        <v>0.894852769201529</v>
      </c>
      <c r="D664" s="37" t="n">
        <f aca="false">1+IF($G$8=$E$8,$F$8,IF(R664&lt;($F$8-$E$8)/($G$8-$E$8),$E$8+SQRT(R664*($G$8-$E$8)*($F$8-$E$8)),$G$8-SQRT((1-R664)*($G$8-$E$8)*($G$8-$F$8))))</f>
        <v>0.984846721643893</v>
      </c>
      <c r="E664" s="37" t="n">
        <f aca="false">1+IF($G$9=$E$9,$F$9,IF(S664&lt;($F$9-$E$9)/($G$9-$E$9),$E$9+SQRT(S664*($G$9-$E$9)*($F$9-$E$9)),$G$9-SQRT((1-S664)*($G$9-$E$9)*($G$9-$F$9))))</f>
        <v>0.971131011952014</v>
      </c>
      <c r="F664" s="37" t="n">
        <f aca="false">1+IF($G$10=$E$10,$F$10,IF(T664&lt;($F$10-$E$10)/($G$10-$E$10),$E$10+SQRT(T664*($G$10-$E$10)*($F$10-$E$10)),$G$10-SQRT((1-T664)*($G$10-$E$10)*($G$10-$F$10))))</f>
        <v>1.0889819245327</v>
      </c>
      <c r="G664" s="38" t="n">
        <f aca="false">IF($G$11=$E$11,$F$11,IF(U664&lt;($F$11-$E$11)/($G$11-$E$11),$E$11+SQRT(U664*($G$11-$E$11)*($F$11-$E$11)),$G$11-SQRT((1-U664)*($G$11-$E$11)*($G$11-$F$11))))</f>
        <v>0.109891843088025</v>
      </c>
      <c r="H664" s="39" t="n">
        <f aca="false">(('Business Case'!B11*$C664*'Business Case'!B12*$B664)-'Business Case'!B11*$C664*'Business Case'!B13*$D664-'Business Case'!B14*$E664)-MAX(0,(('Business Case'!B11*$C664*'Business Case'!B12*$B664)-'Business Case'!B11*$C664*'Business Case'!B13*$D664-'Business Case'!B14*$E664))*'Business Case'!$B$7-'Business Case'!$B$8*('Business Case'!B11*$C664*'Business Case'!B12*$B664)-'Business Case'!B15*$F664</f>
        <v>-2177963849.06541</v>
      </c>
      <c r="I664" s="39" t="n">
        <f aca="false">(('Business Case'!C11*$C664*'Business Case'!C12*$B664)-'Business Case'!C11*$C664*'Business Case'!C13*$D664-'Business Case'!C14*$E664)-MAX(0,(('Business Case'!C11*$C664*'Business Case'!C12*$B664)-'Business Case'!C11*$C664*'Business Case'!C13*$D664-'Business Case'!C14*$E664))*'Business Case'!$B$7-'Business Case'!$B$8*(('Business Case'!C11*$C664*'Business Case'!C12*$B664)-('Business Case'!B11*$C664*'Business Case'!B12*$B664))-'Business Case'!C15*$F664</f>
        <v>9233303.45439895</v>
      </c>
      <c r="J664" s="39" t="n">
        <f aca="false">(('Business Case'!D11*$C664*'Business Case'!D12*$B664)-'Business Case'!D11*$C664*'Business Case'!D13*$D664-'Business Case'!D14*$E664)-MAX(0,(('Business Case'!D11*$C664*'Business Case'!D12*$B664)-'Business Case'!D11*$C664*'Business Case'!D13*$D664-'Business Case'!D14*$E664))*'Business Case'!$B$7-'Business Case'!$B$8*(('Business Case'!D11*$C664*'Business Case'!D12*$B664)-('Business Case'!C11*$C664*'Business Case'!C12*$B664))-'Business Case'!D15*$F664</f>
        <v>313255422.790444</v>
      </c>
      <c r="K664" s="39" t="n">
        <f aca="false">(('Business Case'!E11*$C664*'Business Case'!E12*$B664)-'Business Case'!E11*$C664*'Business Case'!E13*$D664-'Business Case'!E14*$E664)-MAX(0,(('Business Case'!E11*$C664*'Business Case'!E12*$B664)-'Business Case'!E11*$C664*'Business Case'!E13*$D664-'Business Case'!E14*$E664))*'Business Case'!$B$7-'Business Case'!$B$8*(('Business Case'!E11*$C664*'Business Case'!E12*$B664)-('Business Case'!D11*$C664*'Business Case'!D12*$B664))-'Business Case'!E15*$F664</f>
        <v>671726638.353123</v>
      </c>
      <c r="L664" s="39" t="n">
        <f aca="false">(('Business Case'!F11*$C664*'Business Case'!F12*$B664)-'Business Case'!F11*$C664*'Business Case'!F13*$D664-'Business Case'!F14*$E664)-MAX(0,(('Business Case'!F11*$C664*'Business Case'!F12*$B664)-'Business Case'!F11*$C664*'Business Case'!F13*$D664-'Business Case'!F14*$E664))*'Business Case'!$B$7-'Business Case'!$B$8*(('Business Case'!F11*$C664*'Business Case'!F12*$B664)-('Business Case'!E11*$C664*'Business Case'!E12*$B664))-'Business Case'!F15*$F664</f>
        <v>804931207.151004</v>
      </c>
      <c r="M664" s="39" t="n">
        <f aca="false">(('Business Case'!G11*$C664*'Business Case'!G12*$B664)-'Business Case'!G11*$C664*'Business Case'!G13*$D664-'Business Case'!G14*$E664)-MAX(0,(('Business Case'!G11*$C664*'Business Case'!G12*$B664)-'Business Case'!G11*$C664*'Business Case'!G13*$D664-'Business Case'!G14*$E664))*'Business Case'!$B$7-'Business Case'!$B$8*(('Business Case'!G11*$C664*'Business Case'!G12*$B664)-('Business Case'!F11*$C664*'Business Case'!F12*$B664))-'Business Case'!G15*$F664+'Business Case'!$B$8*('Business Case'!G11*$C664*'Business Case'!G12*$B664)</f>
        <v>980182450.089934</v>
      </c>
      <c r="N664" s="39" t="n">
        <f aca="false">IF(COUNT('Business Case'!B11:G11)=0,"",H664+NPV(G664,I664:M664))</f>
        <v>-311631849.342023</v>
      </c>
      <c r="P664" s="40" t="n">
        <f aca="true">RAND()</f>
        <v>0.948371717798756</v>
      </c>
      <c r="Q664" s="40" t="n">
        <f aca="true">RAND()</f>
        <v>0.281241493818551</v>
      </c>
      <c r="R664" s="40" t="n">
        <f aca="true">RAND()</f>
        <v>0.161905867910263</v>
      </c>
      <c r="S664" s="40" t="n">
        <f aca="true">RAND()</f>
        <v>0.202384834452701</v>
      </c>
      <c r="T664" s="40" t="n">
        <f aca="true">RAND()</f>
        <v>0.654309058304105</v>
      </c>
      <c r="U664" s="40" t="n">
        <f aca="true">RAND()</f>
        <v>0.730441350402251</v>
      </c>
    </row>
    <row r="665" customFormat="false" ht="15" hidden="false" customHeight="false" outlineLevel="0" collapsed="false">
      <c r="A665" s="36" t="n">
        <v>585</v>
      </c>
      <c r="B665" s="37" t="n">
        <f aca="false">1+IF($G$6=$E$6,$F$6,IF(P665&lt;($F$6-$E$6)/($G$6-$E$6),$E$6+SQRT(P665*($G$6-$E$6)*($F$6-$E$6)),$G$6-SQRT((1-P665)*($G$6-$E$6)*($G$6-$F$6))))</f>
        <v>1.03045223808915</v>
      </c>
      <c r="C665" s="37" t="n">
        <f aca="false">1+IF($G$7=$E$7,$F$7,IF(Q665&lt;($F$7-$E$7)/($G$7-$E$7),$E$7+SQRT(Q665*($G$7-$E$7)*($F$7-$E$7)),$G$7-SQRT((1-Q665)*($G$7-$E$7)*($G$7-$F$7))))</f>
        <v>0.864244899419976</v>
      </c>
      <c r="D665" s="37" t="n">
        <f aca="false">1+IF($G$8=$E$8,$F$8,IF(R665&lt;($F$8-$E$8)/($G$8-$E$8),$E$8+SQRT(R665*($G$8-$E$8)*($F$8-$E$8)),$G$8-SQRT((1-R665)*($G$8-$E$8)*($G$8-$F$8))))</f>
        <v>1.04285486720207</v>
      </c>
      <c r="E665" s="37" t="n">
        <f aca="false">1+IF($G$9=$E$9,$F$9,IF(S665&lt;($F$9-$E$9)/($G$9-$E$9),$E$9+SQRT(S665*($G$9-$E$9)*($F$9-$E$9)),$G$9-SQRT((1-S665)*($G$9-$E$9)*($G$9-$F$9))))</f>
        <v>1.0045583682888</v>
      </c>
      <c r="F665" s="37" t="n">
        <f aca="false">1+IF($G$10=$E$10,$F$10,IF(T665&lt;($F$10-$E$10)/($G$10-$E$10),$E$10+SQRT(T665*($G$10-$E$10)*($F$10-$E$10)),$G$10-SQRT((1-T665)*($G$10-$E$10)*($G$10-$F$10))))</f>
        <v>1.03764453135245</v>
      </c>
      <c r="G665" s="38" t="n">
        <f aca="false">IF($G$11=$E$11,$F$11,IF(U665&lt;($F$11-$E$11)/($G$11-$E$11),$E$11+SQRT(U665*($G$11-$E$11)*($F$11-$E$11)),$G$11-SQRT((1-U665)*($G$11-$E$11)*($G$11-$F$11))))</f>
        <v>0.120154415323467</v>
      </c>
      <c r="H665" s="39" t="n">
        <f aca="false">(('Business Case'!B11*$C665*'Business Case'!B12*$B665)-'Business Case'!B11*$C665*'Business Case'!B13*$D665-'Business Case'!B14*$E665)-MAX(0,(('Business Case'!B11*$C665*'Business Case'!B12*$B665)-'Business Case'!B11*$C665*'Business Case'!B13*$D665-'Business Case'!B14*$E665))*'Business Case'!$B$7-'Business Case'!$B$8*('Business Case'!B11*$C665*'Business Case'!B12*$B665)-'Business Case'!B15*$F665</f>
        <v>-2075289062.7049</v>
      </c>
      <c r="I665" s="39" t="n">
        <f aca="false">(('Business Case'!C11*$C665*'Business Case'!C12*$B665)-'Business Case'!C11*$C665*'Business Case'!C13*$D665-'Business Case'!C14*$E665)-MAX(0,(('Business Case'!C11*$C665*'Business Case'!C12*$B665)-'Business Case'!C11*$C665*'Business Case'!C13*$D665-'Business Case'!C14*$E665))*'Business Case'!$B$7-'Business Case'!$B$8*(('Business Case'!C11*$C665*'Business Case'!C12*$B665)-('Business Case'!B11*$C665*'Business Case'!B12*$B665))-'Business Case'!C15*$F665</f>
        <v>-24728433.1209371</v>
      </c>
      <c r="J665" s="39" t="n">
        <f aca="false">(('Business Case'!D11*$C665*'Business Case'!D12*$B665)-'Business Case'!D11*$C665*'Business Case'!D13*$D665-'Business Case'!D14*$E665)-MAX(0,(('Business Case'!D11*$C665*'Business Case'!D12*$B665)-'Business Case'!D11*$C665*'Business Case'!D13*$D665-'Business Case'!D14*$E665))*'Business Case'!$B$7-'Business Case'!$B$8*(('Business Case'!D11*$C665*'Business Case'!D12*$B665)-('Business Case'!C11*$C665*'Business Case'!C12*$B665))-'Business Case'!D15*$F665</f>
        <v>243322577.494452</v>
      </c>
      <c r="K665" s="39" t="n">
        <f aca="false">(('Business Case'!E11*$C665*'Business Case'!E12*$B665)-'Business Case'!E11*$C665*'Business Case'!E13*$D665-'Business Case'!E14*$E665)-MAX(0,(('Business Case'!E11*$C665*'Business Case'!E12*$B665)-'Business Case'!E11*$C665*'Business Case'!E13*$D665-'Business Case'!E14*$E665))*'Business Case'!$B$7-'Business Case'!$B$8*(('Business Case'!E11*$C665*'Business Case'!E12*$B665)-('Business Case'!D11*$C665*'Business Case'!D12*$B665))-'Business Case'!E15*$F665</f>
        <v>563255814.677462</v>
      </c>
      <c r="L665" s="39" t="n">
        <f aca="false">(('Business Case'!F11*$C665*'Business Case'!F12*$B665)-'Business Case'!F11*$C665*'Business Case'!F13*$D665-'Business Case'!F14*$E665)-MAX(0,(('Business Case'!F11*$C665*'Business Case'!F12*$B665)-'Business Case'!F11*$C665*'Business Case'!F13*$D665-'Business Case'!F14*$E665))*'Business Case'!$B$7-'Business Case'!$B$8*(('Business Case'!F11*$C665*'Business Case'!F12*$B665)-('Business Case'!E11*$C665*'Business Case'!E12*$B665))-'Business Case'!F15*$F665</f>
        <v>683384011.969534</v>
      </c>
      <c r="M665" s="39" t="n">
        <f aca="false">(('Business Case'!G11*$C665*'Business Case'!G12*$B665)-'Business Case'!G11*$C665*'Business Case'!G13*$D665-'Business Case'!G14*$E665)-MAX(0,(('Business Case'!G11*$C665*'Business Case'!G12*$B665)-'Business Case'!G11*$C665*'Business Case'!G13*$D665-'Business Case'!G14*$E665))*'Business Case'!$B$7-'Business Case'!$B$8*(('Business Case'!G11*$C665*'Business Case'!G12*$B665)-('Business Case'!F11*$C665*'Business Case'!F12*$B665))-'Business Case'!G15*$F665+'Business Case'!$B$8*('Business Case'!G11*$C665*'Business Case'!G12*$B665)</f>
        <v>852662244.281047</v>
      </c>
      <c r="N665" s="39" t="n">
        <f aca="false">IF(COUNT('Business Case'!B11:G11)=0,"",H665+NPV(G665,I665:M665))</f>
        <v>-585141063.978527</v>
      </c>
      <c r="P665" s="40" t="n">
        <f aca="true">RAND()</f>
        <v>0.949051333903541</v>
      </c>
      <c r="Q665" s="40" t="n">
        <f aca="true">RAND()</f>
        <v>0.19982508878132</v>
      </c>
      <c r="R665" s="40" t="n">
        <f aca="true">RAND()</f>
        <v>0.782295586500444</v>
      </c>
      <c r="S665" s="40" t="n">
        <f aca="true">RAND()</f>
        <v>0.435912847071583</v>
      </c>
      <c r="T665" s="40" t="n">
        <f aca="true">RAND()</f>
        <v>0.398735399139732</v>
      </c>
      <c r="U665" s="40" t="n">
        <f aca="true">RAND()</f>
        <v>0.935376308251481</v>
      </c>
    </row>
    <row r="666" customFormat="false" ht="15" hidden="false" customHeight="false" outlineLevel="0" collapsed="false">
      <c r="A666" s="36" t="n">
        <v>586</v>
      </c>
      <c r="B666" s="37" t="n">
        <f aca="false">1+IF($G$6=$E$6,$F$6,IF(P666&lt;($F$6-$E$6)/($G$6-$E$6),$E$6+SQRT(P666*($G$6-$E$6)*($F$6-$E$6)),$G$6-SQRT((1-P666)*($G$6-$E$6)*($G$6-$F$6))))</f>
        <v>0.965920589195766</v>
      </c>
      <c r="C666" s="37" t="n">
        <f aca="false">1+IF($G$7=$E$7,$F$7,IF(Q666&lt;($F$7-$E$7)/($G$7-$E$7),$E$7+SQRT(Q666*($G$7-$E$7)*($F$7-$E$7)),$G$7-SQRT((1-Q666)*($G$7-$E$7)*($G$7-$F$7))))</f>
        <v>0.725368783698067</v>
      </c>
      <c r="D666" s="37" t="n">
        <f aca="false">1+IF($G$8=$E$8,$F$8,IF(R666&lt;($F$8-$E$8)/($G$8-$E$8),$E$8+SQRT(R666*($G$8-$E$8)*($F$8-$E$8)),$G$8-SQRT((1-R666)*($G$8-$E$8)*($G$8-$F$8))))</f>
        <v>1.04500296439519</v>
      </c>
      <c r="E666" s="37" t="n">
        <f aca="false">1+IF($G$9=$E$9,$F$9,IF(S666&lt;($F$9-$E$9)/($G$9-$E$9),$E$9+SQRT(S666*($G$9-$E$9)*($F$9-$E$9)),$G$9-SQRT((1-S666)*($G$9-$E$9)*($G$9-$F$9))))</f>
        <v>1.04990156600435</v>
      </c>
      <c r="F666" s="37" t="n">
        <f aca="false">1+IF($G$10=$E$10,$F$10,IF(T666&lt;($F$10-$E$10)/($G$10-$E$10),$E$10+SQRT(T666*($G$10-$E$10)*($F$10-$E$10)),$G$10-SQRT((1-T666)*($G$10-$E$10)*($G$10-$F$10))))</f>
        <v>1.23774908455261</v>
      </c>
      <c r="G666" s="38" t="n">
        <f aca="false">IF($G$11=$E$11,$F$11,IF(U666&lt;($F$11-$E$11)/($G$11-$E$11),$E$11+SQRT(U666*($G$11-$E$11)*($F$11-$E$11)),$G$11-SQRT((1-U666)*($G$11-$E$11)*($G$11-$F$11))))</f>
        <v>0.0949604412928734</v>
      </c>
      <c r="H666" s="39" t="n">
        <f aca="false">(('Business Case'!B11*$C666*'Business Case'!B12*$B666)-'Business Case'!B11*$C666*'Business Case'!B13*$D666-'Business Case'!B14*$E666)-MAX(0,(('Business Case'!B11*$C666*'Business Case'!B12*$B666)-'Business Case'!B11*$C666*'Business Case'!B13*$D666-'Business Case'!B14*$E666))*'Business Case'!$B$7-'Business Case'!$B$8*('Business Case'!B11*$C666*'Business Case'!B12*$B666)-'Business Case'!B15*$F666</f>
        <v>-2475498169.10522</v>
      </c>
      <c r="I666" s="39" t="n">
        <f aca="false">(('Business Case'!C11*$C666*'Business Case'!C12*$B666)-'Business Case'!C11*$C666*'Business Case'!C13*$D666-'Business Case'!C14*$E666)-MAX(0,(('Business Case'!C11*$C666*'Business Case'!C12*$B666)-'Business Case'!C11*$C666*'Business Case'!C13*$D666-'Business Case'!C14*$E666))*'Business Case'!$B$7-'Business Case'!$B$8*(('Business Case'!C11*$C666*'Business Case'!C12*$B666)-('Business Case'!B11*$C666*'Business Case'!B12*$B666))-'Business Case'!C15*$F666</f>
        <v>-123552625.496353</v>
      </c>
      <c r="J666" s="39" t="n">
        <f aca="false">(('Business Case'!D11*$C666*'Business Case'!D12*$B666)-'Business Case'!D11*$C666*'Business Case'!D13*$D666-'Business Case'!D14*$E666)-MAX(0,(('Business Case'!D11*$C666*'Business Case'!D12*$B666)-'Business Case'!D11*$C666*'Business Case'!D13*$D666-'Business Case'!D14*$E666))*'Business Case'!$B$7-'Business Case'!$B$8*(('Business Case'!D11*$C666*'Business Case'!D12*$B666)-('Business Case'!C11*$C666*'Business Case'!C12*$B666))-'Business Case'!D15*$F666</f>
        <v>62287285.798066</v>
      </c>
      <c r="K666" s="39" t="n">
        <f aca="false">(('Business Case'!E11*$C666*'Business Case'!E12*$B666)-'Business Case'!E11*$C666*'Business Case'!E13*$D666-'Business Case'!E14*$E666)-MAX(0,(('Business Case'!E11*$C666*'Business Case'!E12*$B666)-'Business Case'!E11*$C666*'Business Case'!E13*$D666-'Business Case'!E14*$E666))*'Business Case'!$B$7-'Business Case'!$B$8*(('Business Case'!E11*$C666*'Business Case'!E12*$B666)-('Business Case'!D11*$C666*'Business Case'!D12*$B666))-'Business Case'!E15*$F666</f>
        <v>310014651.320115</v>
      </c>
      <c r="L666" s="39" t="n">
        <f aca="false">(('Business Case'!F11*$C666*'Business Case'!F12*$B666)-'Business Case'!F11*$C666*'Business Case'!F13*$D666-'Business Case'!F14*$E666)-MAX(0,(('Business Case'!F11*$C666*'Business Case'!F12*$B666)-'Business Case'!F11*$C666*'Business Case'!F13*$D666-'Business Case'!F14*$E666))*'Business Case'!$B$7-'Business Case'!$B$8*(('Business Case'!F11*$C666*'Business Case'!F12*$B666)-('Business Case'!E11*$C666*'Business Case'!E12*$B666))-'Business Case'!F15*$F666</f>
        <v>396175705.518049</v>
      </c>
      <c r="M666" s="39" t="n">
        <f aca="false">(('Business Case'!G11*$C666*'Business Case'!G12*$B666)-'Business Case'!G11*$C666*'Business Case'!G13*$D666-'Business Case'!G14*$E666)-MAX(0,(('Business Case'!G11*$C666*'Business Case'!G12*$B666)-'Business Case'!G11*$C666*'Business Case'!G13*$D666-'Business Case'!G14*$E666))*'Business Case'!$B$7-'Business Case'!$B$8*(('Business Case'!G11*$C666*'Business Case'!G12*$B666)-('Business Case'!F11*$C666*'Business Case'!F12*$B666))-'Business Case'!G15*$F666+'Business Case'!$B$8*('Business Case'!G11*$C666*'Business Case'!G12*$B666)</f>
        <v>529354999.566915</v>
      </c>
      <c r="N666" s="39" t="n">
        <f aca="false">IF(COUNT('Business Case'!B11:G11)=0,"",H666+NPV(G666,I666:M666))</f>
        <v>-1688303065.53727</v>
      </c>
      <c r="P666" s="40" t="n">
        <f aca="true">RAND()</f>
        <v>0.289701605327797</v>
      </c>
      <c r="Q666" s="40" t="n">
        <f aca="true">RAND()</f>
        <v>0.00476722360236518</v>
      </c>
      <c r="R666" s="40" t="n">
        <f aca="true">RAND()</f>
        <v>0.798355071645561</v>
      </c>
      <c r="S666" s="40" t="n">
        <f aca="true">RAND()</f>
        <v>0.732808093643184</v>
      </c>
      <c r="T666" s="40" t="n">
        <f aca="true">RAND()</f>
        <v>0.997998867609346</v>
      </c>
      <c r="U666" s="40" t="n">
        <f aca="true">RAND()</f>
        <v>0.223814803677513</v>
      </c>
    </row>
    <row r="667" customFormat="false" ht="15" hidden="false" customHeight="false" outlineLevel="0" collapsed="false">
      <c r="A667" s="36" t="n">
        <v>587</v>
      </c>
      <c r="B667" s="37" t="n">
        <f aca="false">1+IF($G$6=$E$6,$F$6,IF(P667&lt;($F$6-$E$6)/($G$6-$E$6),$E$6+SQRT(P667*($G$6-$E$6)*($F$6-$E$6)),$G$6-SQRT((1-P667)*($G$6-$E$6)*($G$6-$F$6))))</f>
        <v>0.935487629086958</v>
      </c>
      <c r="C667" s="37" t="n">
        <f aca="false">1+IF($G$7=$E$7,$F$7,IF(Q667&lt;($F$7-$E$7)/($G$7-$E$7),$E$7+SQRT(Q667*($G$7-$E$7)*($F$7-$E$7)),$G$7-SQRT((1-Q667)*($G$7-$E$7)*($G$7-$F$7))))</f>
        <v>1.06317274225866</v>
      </c>
      <c r="D667" s="37" t="n">
        <f aca="false">1+IF($G$8=$E$8,$F$8,IF(R667&lt;($F$8-$E$8)/($G$8-$E$8),$E$8+SQRT(R667*($G$8-$E$8)*($F$8-$E$8)),$G$8-SQRT((1-R667)*($G$8-$E$8)*($G$8-$F$8))))</f>
        <v>0.967862288151729</v>
      </c>
      <c r="E667" s="37" t="n">
        <f aca="false">1+IF($G$9=$E$9,$F$9,IF(S667&lt;($F$9-$E$9)/($G$9-$E$9),$E$9+SQRT(S667*($G$9-$E$9)*($F$9-$E$9)),$G$9-SQRT((1-S667)*($G$9-$E$9)*($G$9-$F$9))))</f>
        <v>0.995098728020908</v>
      </c>
      <c r="F667" s="37" t="n">
        <f aca="false">1+IF($G$10=$E$10,$F$10,IF(T667&lt;($F$10-$E$10)/($G$10-$E$10),$E$10+SQRT(T667*($G$10-$E$10)*($F$10-$E$10)),$G$10-SQRT((1-T667)*($G$10-$E$10)*($G$10-$F$10))))</f>
        <v>1.0187080737632</v>
      </c>
      <c r="G667" s="38" t="n">
        <f aca="false">IF($G$11=$E$11,$F$11,IF(U667&lt;($F$11-$E$11)/($G$11-$E$11),$E$11+SQRT(U667*($G$11-$E$11)*($F$11-$E$11)),$G$11-SQRT((1-U667)*($G$11-$E$11)*($G$11-$F$11))))</f>
        <v>0.119172795261792</v>
      </c>
      <c r="H667" s="39" t="n">
        <f aca="false">(('Business Case'!B11*$C667*'Business Case'!B12*$B667)-'Business Case'!B11*$C667*'Business Case'!B13*$D667-'Business Case'!B14*$E667)-MAX(0,(('Business Case'!B11*$C667*'Business Case'!B12*$B667)-'Business Case'!B11*$C667*'Business Case'!B13*$D667-'Business Case'!B14*$E667))*'Business Case'!$B$7-'Business Case'!$B$8*('Business Case'!B11*$C667*'Business Case'!B12*$B667)-'Business Case'!B15*$F667</f>
        <v>-2037416147.52641</v>
      </c>
      <c r="I667" s="39" t="n">
        <f aca="false">(('Business Case'!C11*$C667*'Business Case'!C12*$B667)-'Business Case'!C11*$C667*'Business Case'!C13*$D667-'Business Case'!C14*$E667)-MAX(0,(('Business Case'!C11*$C667*'Business Case'!C12*$B667)-'Business Case'!C11*$C667*'Business Case'!C13*$D667-'Business Case'!C14*$E667))*'Business Case'!$B$7-'Business Case'!$B$8*(('Business Case'!C11*$C667*'Business Case'!C12*$B667)-('Business Case'!B11*$C667*'Business Case'!B12*$B667))-'Business Case'!C15*$F667</f>
        <v>-7064586.46701945</v>
      </c>
      <c r="J667" s="39" t="n">
        <f aca="false">(('Business Case'!D11*$C667*'Business Case'!D12*$B667)-'Business Case'!D11*$C667*'Business Case'!D13*$D667-'Business Case'!D14*$E667)-MAX(0,(('Business Case'!D11*$C667*'Business Case'!D12*$B667)-'Business Case'!D11*$C667*'Business Case'!D13*$D667-'Business Case'!D14*$E667))*'Business Case'!$B$7-'Business Case'!$B$8*(('Business Case'!D11*$C667*'Business Case'!D12*$B667)-('Business Case'!C11*$C667*'Business Case'!C12*$B667))-'Business Case'!D15*$F667</f>
        <v>280803957.269383</v>
      </c>
      <c r="K667" s="39" t="n">
        <f aca="false">(('Business Case'!E11*$C667*'Business Case'!E12*$B667)-'Business Case'!E11*$C667*'Business Case'!E13*$D667-'Business Case'!E14*$E667)-MAX(0,(('Business Case'!E11*$C667*'Business Case'!E12*$B667)-'Business Case'!E11*$C667*'Business Case'!E13*$D667-'Business Case'!E14*$E667))*'Business Case'!$B$7-'Business Case'!$B$8*(('Business Case'!E11*$C667*'Business Case'!E12*$B667)-('Business Case'!D11*$C667*'Business Case'!D12*$B667))-'Business Case'!E15*$F667</f>
        <v>619607904.693945</v>
      </c>
      <c r="L667" s="39" t="n">
        <f aca="false">(('Business Case'!F11*$C667*'Business Case'!F12*$B667)-'Business Case'!F11*$C667*'Business Case'!F13*$D667-'Business Case'!F14*$E667)-MAX(0,(('Business Case'!F11*$C667*'Business Case'!F12*$B667)-'Business Case'!F11*$C667*'Business Case'!F13*$D667-'Business Case'!F14*$E667))*'Business Case'!$B$7-'Business Case'!$B$8*(('Business Case'!F11*$C667*'Business Case'!F12*$B667)-('Business Case'!E11*$C667*'Business Case'!E12*$B667))-'Business Case'!F15*$F667</f>
        <v>749936941.741098</v>
      </c>
      <c r="M667" s="39" t="n">
        <f aca="false">(('Business Case'!G11*$C667*'Business Case'!G12*$B667)-'Business Case'!G11*$C667*'Business Case'!G13*$D667-'Business Case'!G14*$E667)-MAX(0,(('Business Case'!G11*$C667*'Business Case'!G12*$B667)-'Business Case'!G11*$C667*'Business Case'!G13*$D667-'Business Case'!G14*$E667))*'Business Case'!$B$7-'Business Case'!$B$8*(('Business Case'!G11*$C667*'Business Case'!G12*$B667)-('Business Case'!F11*$C667*'Business Case'!F12*$B667))-'Business Case'!G15*$F667+'Business Case'!$B$8*('Business Case'!G11*$C667*'Business Case'!G12*$B667)</f>
        <v>938987648.650368</v>
      </c>
      <c r="N667" s="39" t="n">
        <f aca="false">IF(COUNT('Business Case'!B11:G11)=0,"",H667+NPV(G667,I667:M667))</f>
        <v>-364751071.624314</v>
      </c>
      <c r="P667" s="40" t="n">
        <f aca="true">RAND()</f>
        <v>0.083958121214235</v>
      </c>
      <c r="Q667" s="40" t="n">
        <f aca="true">RAND()</f>
        <v>0.888311515749914</v>
      </c>
      <c r="R667" s="40" t="n">
        <f aca="true">RAND()</f>
        <v>0.0425415117353874</v>
      </c>
      <c r="S667" s="40" t="n">
        <f aca="true">RAND()</f>
        <v>0.361750722847784</v>
      </c>
      <c r="T667" s="40" t="n">
        <f aca="true">RAND()</f>
        <v>0.286720598102295</v>
      </c>
      <c r="U667" s="40" t="n">
        <f aca="true">RAND()</f>
        <v>0.921847758371279</v>
      </c>
    </row>
    <row r="668" customFormat="false" ht="15" hidden="false" customHeight="false" outlineLevel="0" collapsed="false">
      <c r="A668" s="36" t="n">
        <v>588</v>
      </c>
      <c r="B668" s="37" t="n">
        <f aca="false">1+IF($G$6=$E$6,$F$6,IF(P668&lt;($F$6-$E$6)/($G$6-$E$6),$E$6+SQRT(P668*($G$6-$E$6)*($F$6-$E$6)),$G$6-SQRT((1-P668)*($G$6-$E$6)*($G$6-$F$6))))</f>
        <v>0.916227177300543</v>
      </c>
      <c r="C668" s="37" t="n">
        <f aca="false">1+IF($G$7=$E$7,$F$7,IF(Q668&lt;($F$7-$E$7)/($G$7-$E$7),$E$7+SQRT(Q668*($G$7-$E$7)*($F$7-$E$7)),$G$7-SQRT((1-Q668)*($G$7-$E$7)*($G$7-$F$7))))</f>
        <v>1.11849693157395</v>
      </c>
      <c r="D668" s="37" t="n">
        <f aca="false">1+IF($G$8=$E$8,$F$8,IF(R668&lt;($F$8-$E$8)/($G$8-$E$8),$E$8+SQRT(R668*($G$8-$E$8)*($F$8-$E$8)),$G$8-SQRT((1-R668)*($G$8-$E$8)*($G$8-$F$8))))</f>
        <v>1.02355026655525</v>
      </c>
      <c r="E668" s="37" t="n">
        <f aca="false">1+IF($G$9=$E$9,$F$9,IF(S668&lt;($F$9-$E$9)/($G$9-$E$9),$E$9+SQRT(S668*($G$9-$E$9)*($F$9-$E$9)),$G$9-SQRT((1-S668)*($G$9-$E$9)*($G$9-$F$9))))</f>
        <v>0.984914683022309</v>
      </c>
      <c r="F668" s="37" t="n">
        <f aca="false">1+IF($G$10=$E$10,$F$10,IF(T668&lt;($F$10-$E$10)/($G$10-$E$10),$E$10+SQRT(T668*($G$10-$E$10)*($F$10-$E$10)),$G$10-SQRT((1-T668)*($G$10-$E$10)*($G$10-$F$10))))</f>
        <v>1.08072463163433</v>
      </c>
      <c r="G668" s="38" t="n">
        <f aca="false">IF($G$11=$E$11,$F$11,IF(U668&lt;($F$11-$E$11)/($G$11-$E$11),$E$11+SQRT(U668*($G$11-$E$11)*($F$11-$E$11)),$G$11-SQRT((1-U668)*($G$11-$E$11)*($G$11-$F$11))))</f>
        <v>0.103781670431358</v>
      </c>
      <c r="H668" s="39" t="n">
        <f aca="false">(('Business Case'!B11*$C668*'Business Case'!B12*$B668)-'Business Case'!B11*$C668*'Business Case'!B13*$D668-'Business Case'!B14*$E668)-MAX(0,(('Business Case'!B11*$C668*'Business Case'!B12*$B668)-'Business Case'!B11*$C668*'Business Case'!B13*$D668-'Business Case'!B14*$E668))*'Business Case'!$B$7-'Business Case'!$B$8*('Business Case'!B11*$C668*'Business Case'!B12*$B668)-'Business Case'!B15*$F668</f>
        <v>-2161449263.26865</v>
      </c>
      <c r="I668" s="39" t="n">
        <f aca="false">(('Business Case'!C11*$C668*'Business Case'!C12*$B668)-'Business Case'!C11*$C668*'Business Case'!C13*$D668-'Business Case'!C14*$E668)-MAX(0,(('Business Case'!C11*$C668*'Business Case'!C12*$B668)-'Business Case'!C11*$C668*'Business Case'!C13*$D668-'Business Case'!C14*$E668))*'Business Case'!$B$7-'Business Case'!$B$8*(('Business Case'!C11*$C668*'Business Case'!C12*$B668)-('Business Case'!B11*$C668*'Business Case'!B12*$B668))-'Business Case'!C15*$F668</f>
        <v>-47935442.6125852</v>
      </c>
      <c r="J668" s="39" t="n">
        <f aca="false">(('Business Case'!D11*$C668*'Business Case'!D12*$B668)-'Business Case'!D11*$C668*'Business Case'!D13*$D668-'Business Case'!D14*$E668)-MAX(0,(('Business Case'!D11*$C668*'Business Case'!D12*$B668)-'Business Case'!D11*$C668*'Business Case'!D13*$D668-'Business Case'!D14*$E668))*'Business Case'!$B$7-'Business Case'!$B$8*(('Business Case'!D11*$C668*'Business Case'!D12*$B668)-('Business Case'!C11*$C668*'Business Case'!C12*$B668))-'Business Case'!D15*$F668</f>
        <v>205381937.192842</v>
      </c>
      <c r="K668" s="39" t="n">
        <f aca="false">(('Business Case'!E11*$C668*'Business Case'!E12*$B668)-'Business Case'!E11*$C668*'Business Case'!E13*$D668-'Business Case'!E14*$E668)-MAX(0,(('Business Case'!E11*$C668*'Business Case'!E12*$B668)-'Business Case'!E11*$C668*'Business Case'!E13*$D668-'Business Case'!E14*$E668))*'Business Case'!$B$7-'Business Case'!$B$8*(('Business Case'!E11*$C668*'Business Case'!E12*$B668)-('Business Case'!D11*$C668*'Business Case'!D12*$B668))-'Business Case'!E15*$F668</f>
        <v>512735548.579984</v>
      </c>
      <c r="L668" s="39" t="n">
        <f aca="false">(('Business Case'!F11*$C668*'Business Case'!F12*$B668)-'Business Case'!F11*$C668*'Business Case'!F13*$D668-'Business Case'!F14*$E668)-MAX(0,(('Business Case'!F11*$C668*'Business Case'!F12*$B668)-'Business Case'!F11*$C668*'Business Case'!F13*$D668-'Business Case'!F14*$E668))*'Business Case'!$B$7-'Business Case'!$B$8*(('Business Case'!F11*$C668*'Business Case'!F12*$B668)-('Business Case'!E11*$C668*'Business Case'!E12*$B668))-'Business Case'!F15*$F668</f>
        <v>632591669.400998</v>
      </c>
      <c r="M668" s="39" t="n">
        <f aca="false">(('Business Case'!G11*$C668*'Business Case'!G12*$B668)-'Business Case'!G11*$C668*'Business Case'!G13*$D668-'Business Case'!G14*$E668)-MAX(0,(('Business Case'!G11*$C668*'Business Case'!G12*$B668)-'Business Case'!G11*$C668*'Business Case'!G13*$D668-'Business Case'!G14*$E668))*'Business Case'!$B$7-'Business Case'!$B$8*(('Business Case'!G11*$C668*'Business Case'!G12*$B668)-('Business Case'!F11*$C668*'Business Case'!F12*$B668))-'Business Case'!G15*$F668+'Business Case'!$B$8*('Business Case'!G11*$C668*'Business Case'!G12*$B668)</f>
        <v>827385137.606624</v>
      </c>
      <c r="N668" s="39" t="n">
        <f aca="false">IF(COUNT('Business Case'!B11:G11)=0,"",H668+NPV(G668,I668:M668))</f>
        <v>-723843437.999047</v>
      </c>
      <c r="P668" s="40" t="n">
        <f aca="true">RAND()</f>
        <v>0.0175547522095508</v>
      </c>
      <c r="Q668" s="40" t="n">
        <f aca="true">RAND()</f>
        <v>0.985297135996204</v>
      </c>
      <c r="R668" s="40" t="n">
        <f aca="true">RAND()</f>
        <v>0.610362550415146</v>
      </c>
      <c r="S668" s="40" t="n">
        <f aca="true">RAND()</f>
        <v>0.288420135711167</v>
      </c>
      <c r="T668" s="40" t="n">
        <f aca="true">RAND()</f>
        <v>0.617944662195536</v>
      </c>
      <c r="U668" s="40" t="n">
        <f aca="true">RAND()</f>
        <v>0.541732796420039</v>
      </c>
    </row>
    <row r="669" customFormat="false" ht="15" hidden="false" customHeight="false" outlineLevel="0" collapsed="false">
      <c r="A669" s="36" t="n">
        <v>589</v>
      </c>
      <c r="B669" s="37" t="n">
        <f aca="false">1+IF($G$6=$E$6,$F$6,IF(P669&lt;($F$6-$E$6)/($G$6-$E$6),$E$6+SQRT(P669*($G$6-$E$6)*($F$6-$E$6)),$G$6-SQRT((1-P669)*($G$6-$E$6)*($G$6-$F$6))))</f>
        <v>0.963101046210905</v>
      </c>
      <c r="C669" s="37" t="n">
        <f aca="false">1+IF($G$7=$E$7,$F$7,IF(Q669&lt;($F$7-$E$7)/($G$7-$E$7),$E$7+SQRT(Q669*($G$7-$E$7)*($F$7-$E$7)),$G$7-SQRT((1-Q669)*($G$7-$E$7)*($G$7-$F$7))))</f>
        <v>1.04058552853193</v>
      </c>
      <c r="D669" s="37" t="n">
        <f aca="false">1+IF($G$8=$E$8,$F$8,IF(R669&lt;($F$8-$E$8)/($G$8-$E$8),$E$8+SQRT(R669*($G$8-$E$8)*($F$8-$E$8)),$G$8-SQRT((1-R669)*($G$8-$E$8)*($G$8-$F$8))))</f>
        <v>0.991708561502977</v>
      </c>
      <c r="E669" s="37" t="n">
        <f aca="false">1+IF($G$9=$E$9,$F$9,IF(S669&lt;($F$9-$E$9)/($G$9-$E$9),$E$9+SQRT(S669*($G$9-$E$9)*($F$9-$E$9)),$G$9-SQRT((1-S669)*($G$9-$E$9)*($G$9-$F$9))))</f>
        <v>0.986154704045103</v>
      </c>
      <c r="F669" s="37" t="n">
        <f aca="false">1+IF($G$10=$E$10,$F$10,IF(T669&lt;($F$10-$E$10)/($G$10-$E$10),$E$10+SQRT(T669*($G$10-$E$10)*($F$10-$E$10)),$G$10-SQRT((1-T669)*($G$10-$E$10)*($G$10-$F$10))))</f>
        <v>1.09108035437407</v>
      </c>
      <c r="G669" s="38" t="n">
        <f aca="false">IF($G$11=$E$11,$F$11,IF(U669&lt;($F$11-$E$11)/($G$11-$E$11),$E$11+SQRT(U669*($G$11-$E$11)*($F$11-$E$11)),$G$11-SQRT((1-U669)*($G$11-$E$11)*($G$11-$F$11))))</f>
        <v>0.101664025975407</v>
      </c>
      <c r="H669" s="39" t="n">
        <f aca="false">(('Business Case'!B11*$C669*'Business Case'!B12*$B669)-'Business Case'!B11*$C669*'Business Case'!B13*$D669-'Business Case'!B14*$E669)-MAX(0,(('Business Case'!B11*$C669*'Business Case'!B12*$B669)-'Business Case'!B11*$C669*'Business Case'!B13*$D669-'Business Case'!B14*$E669))*'Business Case'!$B$7-'Business Case'!$B$8*('Business Case'!B11*$C669*'Business Case'!B12*$B669)-'Business Case'!B15*$F669</f>
        <v>-2182160708.74814</v>
      </c>
      <c r="I669" s="39" t="n">
        <f aca="false">(('Business Case'!C11*$C669*'Business Case'!C12*$B669)-'Business Case'!C11*$C669*'Business Case'!C13*$D669-'Business Case'!C14*$E669)-MAX(0,(('Business Case'!C11*$C669*'Business Case'!C12*$B669)-'Business Case'!C11*$C669*'Business Case'!C13*$D669-'Business Case'!C14*$E669))*'Business Case'!$B$7-'Business Case'!$B$8*(('Business Case'!C11*$C669*'Business Case'!C12*$B669)-('Business Case'!B11*$C669*'Business Case'!B12*$B669))-'Business Case'!C15*$F669</f>
        <v>-8707478.04668391</v>
      </c>
      <c r="J669" s="39" t="n">
        <f aca="false">(('Business Case'!D11*$C669*'Business Case'!D12*$B669)-'Business Case'!D11*$C669*'Business Case'!D13*$D669-'Business Case'!D14*$E669)-MAX(0,(('Business Case'!D11*$C669*'Business Case'!D12*$B669)-'Business Case'!D11*$C669*'Business Case'!D13*$D669-'Business Case'!D14*$E669))*'Business Case'!$B$7-'Business Case'!$B$8*(('Business Case'!D11*$C669*'Business Case'!D12*$B669)-('Business Case'!C11*$C669*'Business Case'!C12*$B669))-'Business Case'!D15*$F669</f>
        <v>283877756.599914</v>
      </c>
      <c r="K669" s="39" t="n">
        <f aca="false">(('Business Case'!E11*$C669*'Business Case'!E12*$B669)-'Business Case'!E11*$C669*'Business Case'!E13*$D669-'Business Case'!E14*$E669)-MAX(0,(('Business Case'!E11*$C669*'Business Case'!E12*$B669)-'Business Case'!E11*$C669*'Business Case'!E13*$D669-'Business Case'!E14*$E669))*'Business Case'!$B$7-'Business Case'!$B$8*(('Business Case'!E11*$C669*'Business Case'!E12*$B669)-('Business Case'!D11*$C669*'Business Case'!D12*$B669))-'Business Case'!E15*$F669</f>
        <v>631017008.965216</v>
      </c>
      <c r="L669" s="39" t="n">
        <f aca="false">(('Business Case'!F11*$C669*'Business Case'!F12*$B669)-'Business Case'!F11*$C669*'Business Case'!F13*$D669-'Business Case'!F14*$E669)-MAX(0,(('Business Case'!F11*$C669*'Business Case'!F12*$B669)-'Business Case'!F11*$C669*'Business Case'!F13*$D669-'Business Case'!F14*$E669))*'Business Case'!$B$7-'Business Case'!$B$8*(('Business Case'!F11*$C669*'Business Case'!F12*$B669)-('Business Case'!E11*$C669*'Business Case'!E12*$B669))-'Business Case'!F15*$F669</f>
        <v>763181072.741189</v>
      </c>
      <c r="M669" s="39" t="n">
        <f aca="false">(('Business Case'!G11*$C669*'Business Case'!G12*$B669)-'Business Case'!G11*$C669*'Business Case'!G13*$D669-'Business Case'!G14*$E669)-MAX(0,(('Business Case'!G11*$C669*'Business Case'!G12*$B669)-'Business Case'!G11*$C669*'Business Case'!G13*$D669-'Business Case'!G14*$E669))*'Business Case'!$B$7-'Business Case'!$B$8*(('Business Case'!G11*$C669*'Business Case'!G12*$B669)-('Business Case'!F11*$C669*'Business Case'!F12*$B669))-'Business Case'!G15*$F669+'Business Case'!$B$8*('Business Case'!G11*$C669*'Business Case'!G12*$B669)</f>
        <v>953677159.990282</v>
      </c>
      <c r="N669" s="39" t="n">
        <f aca="false">IF(COUNT('Business Case'!B11:G11)=0,"",H669+NPV(G669,I669:M669))</f>
        <v>-378395301.330155</v>
      </c>
      <c r="P669" s="40" t="n">
        <f aca="true">RAND()</f>
        <v>0.265449468860716</v>
      </c>
      <c r="Q669" s="40" t="n">
        <f aca="true">RAND()</f>
        <v>0.822644050864649</v>
      </c>
      <c r="R669" s="40" t="n">
        <f aca="true">RAND()</f>
        <v>0.231947213686346</v>
      </c>
      <c r="S669" s="40" t="n">
        <f aca="true">RAND()</f>
        <v>0.296905321163973</v>
      </c>
      <c r="T669" s="40" t="n">
        <f aca="true">RAND()</f>
        <v>0.663260616455041</v>
      </c>
      <c r="U669" s="40" t="n">
        <f aca="true">RAND()</f>
        <v>0.464715050718387</v>
      </c>
    </row>
    <row r="670" customFormat="false" ht="15" hidden="false" customHeight="false" outlineLevel="0" collapsed="false">
      <c r="A670" s="36" t="n">
        <v>590</v>
      </c>
      <c r="B670" s="37" t="n">
        <f aca="false">1+IF($G$6=$E$6,$F$6,IF(P670&lt;($F$6-$E$6)/($G$6-$E$6),$E$6+SQRT(P670*($G$6-$E$6)*($F$6-$E$6)),$G$6-SQRT((1-P670)*($G$6-$E$6)*($G$6-$F$6))))</f>
        <v>0.968480216636938</v>
      </c>
      <c r="C670" s="37" t="n">
        <f aca="false">1+IF($G$7=$E$7,$F$7,IF(Q670&lt;($F$7-$E$7)/($G$7-$E$7),$E$7+SQRT(Q670*($G$7-$E$7)*($F$7-$E$7)),$G$7-SQRT((1-Q670)*($G$7-$E$7)*($G$7-$F$7))))</f>
        <v>0.99949185081698</v>
      </c>
      <c r="D670" s="37" t="n">
        <f aca="false">1+IF($G$8=$E$8,$F$8,IF(R670&lt;($F$8-$E$8)/($G$8-$E$8),$E$8+SQRT(R670*($G$8-$E$8)*($F$8-$E$8)),$G$8-SQRT((1-R670)*($G$8-$E$8)*($G$8-$F$8))))</f>
        <v>1.01063245412338</v>
      </c>
      <c r="E670" s="37" t="n">
        <f aca="false">1+IF($G$9=$E$9,$F$9,IF(S670&lt;($F$9-$E$9)/($G$9-$E$9),$E$9+SQRT(S670*($G$9-$E$9)*($F$9-$E$9)),$G$9-SQRT((1-S670)*($G$9-$E$9)*($G$9-$F$9))))</f>
        <v>1.01685355638498</v>
      </c>
      <c r="F670" s="37" t="n">
        <f aca="false">1+IF($G$10=$E$10,$F$10,IF(T670&lt;($F$10-$E$10)/($G$10-$E$10),$E$10+SQRT(T670*($G$10-$E$10)*($F$10-$E$10)),$G$10-SQRT((1-T670)*($G$10-$E$10)*($G$10-$F$10))))</f>
        <v>1.00394363453242</v>
      </c>
      <c r="G670" s="38" t="n">
        <f aca="false">IF($G$11=$E$11,$F$11,IF(U670&lt;($F$11-$E$11)/($G$11-$E$11),$E$11+SQRT(U670*($G$11-$E$11)*($F$11-$E$11)),$G$11-SQRT((1-U670)*($G$11-$E$11)*($G$11-$F$11))))</f>
        <v>0.120382373698609</v>
      </c>
      <c r="H670" s="39" t="n">
        <f aca="false">(('Business Case'!B11*$C670*'Business Case'!B12*$B670)-'Business Case'!B11*$C670*'Business Case'!B13*$D670-'Business Case'!B14*$E670)-MAX(0,(('Business Case'!B11*$C670*'Business Case'!B12*$B670)-'Business Case'!B11*$C670*'Business Case'!B13*$D670-'Business Case'!B14*$E670))*'Business Case'!$B$7-'Business Case'!$B$8*('Business Case'!B11*$C670*'Business Case'!B12*$B670)-'Business Case'!B15*$F670</f>
        <v>-2007887269.06484</v>
      </c>
      <c r="I670" s="39" t="n">
        <f aca="false">(('Business Case'!C11*$C670*'Business Case'!C12*$B670)-'Business Case'!C11*$C670*'Business Case'!C13*$D670-'Business Case'!C14*$E670)-MAX(0,(('Business Case'!C11*$C670*'Business Case'!C12*$B670)-'Business Case'!C11*$C670*'Business Case'!C13*$D670-'Business Case'!C14*$E670))*'Business Case'!$B$7-'Business Case'!$B$8*(('Business Case'!C11*$C670*'Business Case'!C12*$B670)-('Business Case'!B11*$C670*'Business Case'!B12*$B670))-'Business Case'!C15*$F670</f>
        <v>-19419573.6959728</v>
      </c>
      <c r="J670" s="39" t="n">
        <f aca="false">(('Business Case'!D11*$C670*'Business Case'!D12*$B670)-'Business Case'!D11*$C670*'Business Case'!D13*$D670-'Business Case'!D14*$E670)-MAX(0,(('Business Case'!D11*$C670*'Business Case'!D12*$B670)-'Business Case'!D11*$C670*'Business Case'!D13*$D670-'Business Case'!D14*$E670))*'Business Case'!$B$7-'Business Case'!$B$8*(('Business Case'!D11*$C670*'Business Case'!D12*$B670)-('Business Case'!C11*$C670*'Business Case'!C12*$B670))-'Business Case'!D15*$F670</f>
        <v>256332294.064484</v>
      </c>
      <c r="K670" s="39" t="n">
        <f aca="false">(('Business Case'!E11*$C670*'Business Case'!E12*$B670)-'Business Case'!E11*$C670*'Business Case'!E13*$D670-'Business Case'!E14*$E670)-MAX(0,(('Business Case'!E11*$C670*'Business Case'!E12*$B670)-'Business Case'!E11*$C670*'Business Case'!E13*$D670-'Business Case'!E14*$E670))*'Business Case'!$B$7-'Business Case'!$B$8*(('Business Case'!E11*$C670*'Business Case'!E12*$B670)-('Business Case'!D11*$C670*'Business Case'!D12*$B670))-'Business Case'!E15*$F670</f>
        <v>582281343.551562</v>
      </c>
      <c r="L670" s="39" t="n">
        <f aca="false">(('Business Case'!F11*$C670*'Business Case'!F12*$B670)-'Business Case'!F11*$C670*'Business Case'!F13*$D670-'Business Case'!F14*$E670)-MAX(0,(('Business Case'!F11*$C670*'Business Case'!F12*$B670)-'Business Case'!F11*$C670*'Business Case'!F13*$D670-'Business Case'!F14*$E670))*'Business Case'!$B$7-'Business Case'!$B$8*(('Business Case'!F11*$C670*'Business Case'!F12*$B670)-('Business Case'!E11*$C670*'Business Case'!E12*$B670))-'Business Case'!F15*$F670</f>
        <v>707652300.995211</v>
      </c>
      <c r="M670" s="39" t="n">
        <f aca="false">(('Business Case'!G11*$C670*'Business Case'!G12*$B670)-'Business Case'!G11*$C670*'Business Case'!G13*$D670-'Business Case'!G14*$E670)-MAX(0,(('Business Case'!G11*$C670*'Business Case'!G12*$B670)-'Business Case'!G11*$C670*'Business Case'!G13*$D670-'Business Case'!G14*$E670))*'Business Case'!$B$7-'Business Case'!$B$8*(('Business Case'!G11*$C670*'Business Case'!G12*$B670)-('Business Case'!F11*$C670*'Business Case'!F12*$B670))-'Business Case'!G15*$F670+'Business Case'!$B$8*('Business Case'!G11*$C670*'Business Case'!G12*$B670)</f>
        <v>891647476.041103</v>
      </c>
      <c r="N670" s="39" t="n">
        <f aca="false">IF(COUNT('Business Case'!B11:G11)=0,"",H670+NPV(G670,I670:M670))</f>
        <v>-452786876.755473</v>
      </c>
      <c r="P670" s="40" t="n">
        <f aca="true">RAND()</f>
        <v>0.312636004709467</v>
      </c>
      <c r="Q670" s="40" t="n">
        <f aca="true">RAND()</f>
        <v>0.664410138561334</v>
      </c>
      <c r="R670" s="40" t="n">
        <f aca="true">RAND()</f>
        <v>0.467562782932717</v>
      </c>
      <c r="S670" s="40" t="n">
        <f aca="true">RAND()</f>
        <v>0.527253988071268</v>
      </c>
      <c r="T670" s="40" t="n">
        <f aca="true">RAND()</f>
        <v>0.192750200171807</v>
      </c>
      <c r="U670" s="40" t="n">
        <f aca="true">RAND()</f>
        <v>0.938334176217859</v>
      </c>
    </row>
    <row r="671" customFormat="false" ht="15" hidden="false" customHeight="false" outlineLevel="0" collapsed="false">
      <c r="A671" s="36" t="n">
        <v>591</v>
      </c>
      <c r="B671" s="37" t="n">
        <f aca="false">1+IF($G$6=$E$6,$F$6,IF(P671&lt;($F$6-$E$6)/($G$6-$E$6),$E$6+SQRT(P671*($G$6-$E$6)*($F$6-$E$6)),$G$6-SQRT((1-P671)*($G$6-$E$6)*($G$6-$F$6))))</f>
        <v>1.0342260979132</v>
      </c>
      <c r="C671" s="37" t="n">
        <f aca="false">1+IF($G$7=$E$7,$F$7,IF(Q671&lt;($F$7-$E$7)/($G$7-$E$7),$E$7+SQRT(Q671*($G$7-$E$7)*($F$7-$E$7)),$G$7-SQRT((1-Q671)*($G$7-$E$7)*($G$7-$F$7))))</f>
        <v>0.969953445836122</v>
      </c>
      <c r="D671" s="37" t="n">
        <f aca="false">1+IF($G$8=$E$8,$F$8,IF(R671&lt;($F$8-$E$8)/($G$8-$E$8),$E$8+SQRT(R671*($G$8-$E$8)*($F$8-$E$8)),$G$8-SQRT((1-R671)*($G$8-$E$8)*($G$8-$F$8))))</f>
        <v>0.968921781691086</v>
      </c>
      <c r="E671" s="37" t="n">
        <f aca="false">1+IF($G$9=$E$9,$F$9,IF(S671&lt;($F$9-$E$9)/($G$9-$E$9),$E$9+SQRT(S671*($G$9-$E$9)*($F$9-$E$9)),$G$9-SQRT((1-S671)*($G$9-$E$9)*($G$9-$F$9))))</f>
        <v>0.980937824930978</v>
      </c>
      <c r="F671" s="37" t="n">
        <f aca="false">1+IF($G$10=$E$10,$F$10,IF(T671&lt;($F$10-$E$10)/($G$10-$E$10),$E$10+SQRT(T671*($G$10-$E$10)*($F$10-$E$10)),$G$10-SQRT((1-T671)*($G$10-$E$10)*($G$10-$F$10))))</f>
        <v>0.991351004170024</v>
      </c>
      <c r="G671" s="38" t="n">
        <f aca="false">IF($G$11=$E$11,$F$11,IF(U671&lt;($F$11-$E$11)/($G$11-$E$11),$E$11+SQRT(U671*($G$11-$E$11)*($F$11-$E$11)),$G$11-SQRT((1-U671)*($G$11-$E$11)*($G$11-$F$11))))</f>
        <v>0.101320279406554</v>
      </c>
      <c r="H671" s="39" t="n">
        <f aca="false">(('Business Case'!B11*$C671*'Business Case'!B12*$B671)-'Business Case'!B11*$C671*'Business Case'!B13*$D671-'Business Case'!B14*$E671)-MAX(0,(('Business Case'!B11*$C671*'Business Case'!B12*$B671)-'Business Case'!B11*$C671*'Business Case'!B13*$D671-'Business Case'!B14*$E671))*'Business Case'!$B$7-'Business Case'!$B$8*('Business Case'!B11*$C671*'Business Case'!B12*$B671)-'Business Case'!B15*$F671</f>
        <v>-1982702008.34005</v>
      </c>
      <c r="I671" s="39" t="n">
        <f aca="false">(('Business Case'!C11*$C671*'Business Case'!C12*$B671)-'Business Case'!C11*$C671*'Business Case'!C13*$D671-'Business Case'!C14*$E671)-MAX(0,(('Business Case'!C11*$C671*'Business Case'!C12*$B671)-'Business Case'!C11*$C671*'Business Case'!C13*$D671-'Business Case'!C14*$E671))*'Business Case'!$B$7-'Business Case'!$B$8*(('Business Case'!C11*$C671*'Business Case'!C12*$B671)-('Business Case'!B11*$C671*'Business Case'!B12*$B671))-'Business Case'!C15*$F671</f>
        <v>49918183.40107</v>
      </c>
      <c r="J671" s="39" t="n">
        <f aca="false">(('Business Case'!D11*$C671*'Business Case'!D12*$B671)-'Business Case'!D11*$C671*'Business Case'!D13*$D671-'Business Case'!D14*$E671)-MAX(0,(('Business Case'!D11*$C671*'Business Case'!D12*$B671)-'Business Case'!D11*$C671*'Business Case'!D13*$D671-'Business Case'!D14*$E671))*'Business Case'!$B$7-'Business Case'!$B$8*(('Business Case'!D11*$C671*'Business Case'!D12*$B671)-('Business Case'!C11*$C671*'Business Case'!C12*$B671))-'Business Case'!D15*$F671</f>
        <v>390464182.444653</v>
      </c>
      <c r="K671" s="39" t="n">
        <f aca="false">(('Business Case'!E11*$C671*'Business Case'!E12*$B671)-'Business Case'!E11*$C671*'Business Case'!E13*$D671-'Business Case'!E14*$E671)-MAX(0,(('Business Case'!E11*$C671*'Business Case'!E12*$B671)-'Business Case'!E11*$C671*'Business Case'!E13*$D671-'Business Case'!E14*$E671))*'Business Case'!$B$7-'Business Case'!$B$8*(('Business Case'!E11*$C671*'Business Case'!E12*$B671)-('Business Case'!D11*$C671*'Business Case'!D12*$B671))-'Business Case'!E15*$F671</f>
        <v>780577731.696738</v>
      </c>
      <c r="L671" s="39" t="n">
        <f aca="false">(('Business Case'!F11*$C671*'Business Case'!F12*$B671)-'Business Case'!F11*$C671*'Business Case'!F13*$D671-'Business Case'!F14*$E671)-MAX(0,(('Business Case'!F11*$C671*'Business Case'!F12*$B671)-'Business Case'!F11*$C671*'Business Case'!F13*$D671-'Business Case'!F14*$E671))*'Business Case'!$B$7-'Business Case'!$B$8*(('Business Case'!F11*$C671*'Business Case'!F12*$B671)-('Business Case'!E11*$C671*'Business Case'!E12*$B671))-'Business Case'!F15*$F671</f>
        <v>928761969.058149</v>
      </c>
      <c r="M671" s="39" t="n">
        <f aca="false">(('Business Case'!G11*$C671*'Business Case'!G12*$B671)-'Business Case'!G11*$C671*'Business Case'!G13*$D671-'Business Case'!G14*$E671)-MAX(0,(('Business Case'!G11*$C671*'Business Case'!G12*$B671)-'Business Case'!G11*$C671*'Business Case'!G13*$D671-'Business Case'!G14*$E671))*'Business Case'!$B$7-'Business Case'!$B$8*(('Business Case'!G11*$C671*'Business Case'!G12*$B671)-('Business Case'!F11*$C671*'Business Case'!F12*$B671))-'Business Case'!G15*$F671+'Business Case'!$B$8*('Business Case'!G11*$C671*'Business Case'!G12*$B671)</f>
        <v>1119440942.96601</v>
      </c>
      <c r="N671" s="39" t="n">
        <f aca="false">IF(COUNT('Business Case'!B11:G11)=0,"",H671+NPV(G671,I671:M671))</f>
        <v>291149961.115039</v>
      </c>
      <c r="P671" s="40" t="n">
        <f aca="true">RAND()</f>
        <v>0.966824535060808</v>
      </c>
      <c r="Q671" s="40" t="n">
        <f aca="true">RAND()</f>
        <v>0.539813799398489</v>
      </c>
      <c r="R671" s="40" t="n">
        <f aca="true">RAND()</f>
        <v>0.0477378429820167</v>
      </c>
      <c r="S671" s="40" t="n">
        <f aca="true">RAND()</f>
        <v>0.262037260182307</v>
      </c>
      <c r="T671" s="40" t="n">
        <f aca="true">RAND()</f>
        <v>0.113993703057953</v>
      </c>
      <c r="U671" s="40" t="n">
        <f aca="true">RAND()</f>
        <v>0.451649084454586</v>
      </c>
    </row>
    <row r="672" customFormat="false" ht="15" hidden="false" customHeight="false" outlineLevel="0" collapsed="false">
      <c r="A672" s="36" t="n">
        <v>592</v>
      </c>
      <c r="B672" s="37" t="n">
        <f aca="false">1+IF($G$6=$E$6,$F$6,IF(P672&lt;($F$6-$E$6)/($G$6-$E$6),$E$6+SQRT(P672*($G$6-$E$6)*($F$6-$E$6)),$G$6-SQRT((1-P672)*($G$6-$E$6)*($G$6-$F$6))))</f>
        <v>0.992928985013402</v>
      </c>
      <c r="C672" s="37" t="n">
        <f aca="false">1+IF($G$7=$E$7,$F$7,IF(Q672&lt;($F$7-$E$7)/($G$7-$E$7),$E$7+SQRT(Q672*($G$7-$E$7)*($F$7-$E$7)),$G$7-SQRT((1-Q672)*($G$7-$E$7)*($G$7-$F$7))))</f>
        <v>0.986448745503474</v>
      </c>
      <c r="D672" s="37" t="n">
        <f aca="false">1+IF($G$8=$E$8,$F$8,IF(R672&lt;($F$8-$E$8)/($G$8-$E$8),$E$8+SQRT(R672*($G$8-$E$8)*($F$8-$E$8)),$G$8-SQRT((1-R672)*($G$8-$E$8)*($G$8-$F$8))))</f>
        <v>0.975314536927647</v>
      </c>
      <c r="E672" s="37" t="n">
        <f aca="false">1+IF($G$9=$E$9,$F$9,IF(S672&lt;($F$9-$E$9)/($G$9-$E$9),$E$9+SQRT(S672*($G$9-$E$9)*($F$9-$E$9)),$G$9-SQRT((1-S672)*($G$9-$E$9)*($G$9-$F$9))))</f>
        <v>1.01924555273637</v>
      </c>
      <c r="F672" s="37" t="n">
        <f aca="false">1+IF($G$10=$E$10,$F$10,IF(T672&lt;($F$10-$E$10)/($G$10-$E$10),$E$10+SQRT(T672*($G$10-$E$10)*($F$10-$E$10)),$G$10-SQRT((1-T672)*($G$10-$E$10)*($G$10-$F$10))))</f>
        <v>1.21603203094065</v>
      </c>
      <c r="G672" s="38" t="n">
        <f aca="false">IF($G$11=$E$11,$F$11,IF(U672&lt;($F$11-$E$11)/($G$11-$E$11),$E$11+SQRT(U672*($G$11-$E$11)*($F$11-$E$11)),$G$11-SQRT((1-U672)*($G$11-$E$11)*($G$11-$F$11))))</f>
        <v>0.104650093921145</v>
      </c>
      <c r="H672" s="39" t="n">
        <f aca="false">(('Business Case'!B11*$C672*'Business Case'!B12*$B672)-'Business Case'!B11*$C672*'Business Case'!B13*$D672-'Business Case'!B14*$E672)-MAX(0,(('Business Case'!B11*$C672*'Business Case'!B12*$B672)-'Business Case'!B11*$C672*'Business Case'!B13*$D672-'Business Case'!B14*$E672))*'Business Case'!$B$7-'Business Case'!$B$8*('Business Case'!B11*$C672*'Business Case'!B12*$B672)-'Business Case'!B15*$F672</f>
        <v>-2432064061.8813</v>
      </c>
      <c r="I672" s="39" t="n">
        <f aca="false">(('Business Case'!C11*$C672*'Business Case'!C12*$B672)-'Business Case'!C11*$C672*'Business Case'!C13*$D672-'Business Case'!C14*$E672)-MAX(0,(('Business Case'!C11*$C672*'Business Case'!C12*$B672)-'Business Case'!C11*$C672*'Business Case'!C13*$D672-'Business Case'!C14*$E672))*'Business Case'!$B$7-'Business Case'!$B$8*(('Business Case'!C11*$C672*'Business Case'!C12*$B672)-('Business Case'!B11*$C672*'Business Case'!B12*$B672))-'Business Case'!C15*$F672</f>
        <v>-7573575.2256842</v>
      </c>
      <c r="J672" s="39" t="n">
        <f aca="false">(('Business Case'!D11*$C672*'Business Case'!D12*$B672)-'Business Case'!D11*$C672*'Business Case'!D13*$D672-'Business Case'!D14*$E672)-MAX(0,(('Business Case'!D11*$C672*'Business Case'!D12*$B672)-'Business Case'!D11*$C672*'Business Case'!D13*$D672-'Business Case'!D14*$E672))*'Business Case'!$B$7-'Business Case'!$B$8*(('Business Case'!D11*$C672*'Business Case'!D12*$B672)-('Business Case'!C11*$C672*'Business Case'!C12*$B672))-'Business Case'!D15*$F672</f>
        <v>302168679.158852</v>
      </c>
      <c r="K672" s="39" t="n">
        <f aca="false">(('Business Case'!E11*$C672*'Business Case'!E12*$B672)-'Business Case'!E11*$C672*'Business Case'!E13*$D672-'Business Case'!E14*$E672)-MAX(0,(('Business Case'!E11*$C672*'Business Case'!E12*$B672)-'Business Case'!E11*$C672*'Business Case'!E13*$D672-'Business Case'!E14*$E672))*'Business Case'!$B$7-'Business Case'!$B$8*(('Business Case'!E11*$C672*'Business Case'!E12*$B672)-('Business Case'!D11*$C672*'Business Case'!D12*$B672))-'Business Case'!E15*$F672</f>
        <v>672712535.09042</v>
      </c>
      <c r="L672" s="39" t="n">
        <f aca="false">(('Business Case'!F11*$C672*'Business Case'!F12*$B672)-'Business Case'!F11*$C672*'Business Case'!F13*$D672-'Business Case'!F14*$E672)-MAX(0,(('Business Case'!F11*$C672*'Business Case'!F12*$B672)-'Business Case'!F11*$C672*'Business Case'!F13*$D672-'Business Case'!F14*$E672))*'Business Case'!$B$7-'Business Case'!$B$8*(('Business Case'!F11*$C672*'Business Case'!F12*$B672)-('Business Case'!E11*$C672*'Business Case'!E12*$B672))-'Business Case'!F15*$F672</f>
        <v>809810559.163294</v>
      </c>
      <c r="M672" s="39" t="n">
        <f aca="false">(('Business Case'!G11*$C672*'Business Case'!G12*$B672)-'Business Case'!G11*$C672*'Business Case'!G13*$D672-'Business Case'!G14*$E672)-MAX(0,(('Business Case'!G11*$C672*'Business Case'!G12*$B672)-'Business Case'!G11*$C672*'Business Case'!G13*$D672-'Business Case'!G14*$E672))*'Business Case'!$B$7-'Business Case'!$B$8*(('Business Case'!G11*$C672*'Business Case'!G12*$B672)-('Business Case'!F11*$C672*'Business Case'!F12*$B672))-'Business Case'!G15*$F672+'Business Case'!$B$8*('Business Case'!G11*$C672*'Business Case'!G12*$B672)</f>
        <v>995988891.859122</v>
      </c>
      <c r="N672" s="39" t="n">
        <f aca="false">IF(COUNT('Business Case'!B11:G11)=0,"",H672+NPV(G672,I672:M672))</f>
        <v>-542849104.459317</v>
      </c>
      <c r="P672" s="40" t="n">
        <f aca="true">RAND()</f>
        <v>0.575719750374743</v>
      </c>
      <c r="Q672" s="40" t="n">
        <f aca="true">RAND()</f>
        <v>0.607799139263066</v>
      </c>
      <c r="R672" s="40" t="n">
        <f aca="true">RAND()</f>
        <v>0.0854434373148268</v>
      </c>
      <c r="S672" s="40" t="n">
        <f aca="true">RAND()</f>
        <v>0.544087320554174</v>
      </c>
      <c r="T672" s="40" t="n">
        <f aca="true">RAND()</f>
        <v>0.984615694373106</v>
      </c>
      <c r="U672" s="40" t="n">
        <f aca="true">RAND()</f>
        <v>0.571588174528804</v>
      </c>
    </row>
    <row r="673" customFormat="false" ht="15" hidden="false" customHeight="false" outlineLevel="0" collapsed="false">
      <c r="A673" s="36" t="n">
        <v>593</v>
      </c>
      <c r="B673" s="37" t="n">
        <f aca="false">1+IF($G$6=$E$6,$F$6,IF(P673&lt;($F$6-$E$6)/($G$6-$E$6),$E$6+SQRT(P673*($G$6-$E$6)*($F$6-$E$6)),$G$6-SQRT((1-P673)*($G$6-$E$6)*($G$6-$F$6))))</f>
        <v>0.983741787390171</v>
      </c>
      <c r="C673" s="37" t="n">
        <f aca="false">1+IF($G$7=$E$7,$F$7,IF(Q673&lt;($F$7-$E$7)/($G$7-$E$7),$E$7+SQRT(Q673*($G$7-$E$7)*($F$7-$E$7)),$G$7-SQRT((1-Q673)*($G$7-$E$7)*($G$7-$F$7))))</f>
        <v>0.98270298313065</v>
      </c>
      <c r="D673" s="37" t="n">
        <f aca="false">1+IF($G$8=$E$8,$F$8,IF(R673&lt;($F$8-$E$8)/($G$8-$E$8),$E$8+SQRT(R673*($G$8-$E$8)*($F$8-$E$8)),$G$8-SQRT((1-R673)*($G$8-$E$8)*($G$8-$F$8))))</f>
        <v>1.00843740429868</v>
      </c>
      <c r="E673" s="37" t="n">
        <f aca="false">1+IF($G$9=$E$9,$F$9,IF(S673&lt;($F$9-$E$9)/($G$9-$E$9),$E$9+SQRT(S673*($G$9-$E$9)*($F$9-$E$9)),$G$9-SQRT((1-S673)*($G$9-$E$9)*($G$9-$F$9))))</f>
        <v>1.078767817036</v>
      </c>
      <c r="F673" s="37" t="n">
        <f aca="false">1+IF($G$10=$E$10,$F$10,IF(T673&lt;($F$10-$E$10)/($G$10-$E$10),$E$10+SQRT(T673*($G$10-$E$10)*($F$10-$E$10)),$G$10-SQRT((1-T673)*($G$10-$E$10)*($G$10-$F$10))))</f>
        <v>1.15374456231783</v>
      </c>
      <c r="G673" s="38" t="n">
        <f aca="false">IF($G$11=$E$11,$F$11,IF(U673&lt;($F$11-$E$11)/($G$11-$E$11),$E$11+SQRT(U673*($G$11-$E$11)*($F$11-$E$11)),$G$11-SQRT((1-U673)*($G$11-$E$11)*($G$11-$F$11))))</f>
        <v>0.0945177945637108</v>
      </c>
      <c r="H673" s="39" t="n">
        <f aca="false">(('Business Case'!B11*$C673*'Business Case'!B12*$B673)-'Business Case'!B11*$C673*'Business Case'!B13*$D673-'Business Case'!B14*$E673)-MAX(0,(('Business Case'!B11*$C673*'Business Case'!B12*$B673)-'Business Case'!B11*$C673*'Business Case'!B13*$D673-'Business Case'!B14*$E673))*'Business Case'!$B$7-'Business Case'!$B$8*('Business Case'!B11*$C673*'Business Case'!B12*$B673)-'Business Case'!B15*$F673</f>
        <v>-2307489124.63566</v>
      </c>
      <c r="I673" s="39" t="n">
        <f aca="false">(('Business Case'!C11*$C673*'Business Case'!C12*$B673)-'Business Case'!C11*$C673*'Business Case'!C13*$D673-'Business Case'!C14*$E673)-MAX(0,(('Business Case'!C11*$C673*'Business Case'!C12*$B673)-'Business Case'!C11*$C673*'Business Case'!C13*$D673-'Business Case'!C14*$E673))*'Business Case'!$B$7-'Business Case'!$B$8*(('Business Case'!C11*$C673*'Business Case'!C12*$B673)-('Business Case'!B11*$C673*'Business Case'!B12*$B673))-'Business Case'!C15*$F673</f>
        <v>-34382002.2890471</v>
      </c>
      <c r="J673" s="39" t="n">
        <f aca="false">(('Business Case'!D11*$C673*'Business Case'!D12*$B673)-'Business Case'!D11*$C673*'Business Case'!D13*$D673-'Business Case'!D14*$E673)-MAX(0,(('Business Case'!D11*$C673*'Business Case'!D12*$B673)-'Business Case'!D11*$C673*'Business Case'!D13*$D673-'Business Case'!D14*$E673))*'Business Case'!$B$7-'Business Case'!$B$8*(('Business Case'!D11*$C673*'Business Case'!D12*$B673)-('Business Case'!C11*$C673*'Business Case'!C12*$B673))-'Business Case'!D15*$F673</f>
        <v>250126310.51108</v>
      </c>
      <c r="K673" s="39" t="n">
        <f aca="false">(('Business Case'!E11*$C673*'Business Case'!E12*$B673)-'Business Case'!E11*$C673*'Business Case'!E13*$D673-'Business Case'!E14*$E673)-MAX(0,(('Business Case'!E11*$C673*'Business Case'!E12*$B673)-'Business Case'!E11*$C673*'Business Case'!E13*$D673-'Business Case'!E14*$E673))*'Business Case'!$B$7-'Business Case'!$B$8*(('Business Case'!E11*$C673*'Business Case'!E12*$B673)-('Business Case'!D11*$C673*'Business Case'!D12*$B673))-'Business Case'!E15*$F673</f>
        <v>592321851.427098</v>
      </c>
      <c r="L673" s="39" t="n">
        <f aca="false">(('Business Case'!F11*$C673*'Business Case'!F12*$B673)-'Business Case'!F11*$C673*'Business Case'!F13*$D673-'Business Case'!F14*$E673)-MAX(0,(('Business Case'!F11*$C673*'Business Case'!F12*$B673)-'Business Case'!F11*$C673*'Business Case'!F13*$D673-'Business Case'!F14*$E673))*'Business Case'!$B$7-'Business Case'!$B$8*(('Business Case'!F11*$C673*'Business Case'!F12*$B673)-('Business Case'!E11*$C673*'Business Case'!E12*$B673))-'Business Case'!F15*$F673</f>
        <v>720568005.877055</v>
      </c>
      <c r="M673" s="39" t="n">
        <f aca="false">(('Business Case'!G11*$C673*'Business Case'!G12*$B673)-'Business Case'!G11*$C673*'Business Case'!G13*$D673-'Business Case'!G14*$E673)-MAX(0,(('Business Case'!G11*$C673*'Business Case'!G12*$B673)-'Business Case'!G11*$C673*'Business Case'!G13*$D673-'Business Case'!G14*$E673))*'Business Case'!$B$7-'Business Case'!$B$8*(('Business Case'!G11*$C673*'Business Case'!G12*$B673)-('Business Case'!F11*$C673*'Business Case'!F12*$B673))-'Business Case'!G15*$F673+'Business Case'!$B$8*('Business Case'!G11*$C673*'Business Case'!G12*$B673)</f>
        <v>904323281.884917</v>
      </c>
      <c r="N673" s="39" t="n">
        <f aca="false">IF(COUNT('Business Case'!B11:G11)=0,"",H673+NPV(G673,I673:M673))</f>
        <v>-600559233.771174</v>
      </c>
      <c r="P673" s="40" t="n">
        <f aca="true">RAND()</f>
        <v>0.467512463686709</v>
      </c>
      <c r="Q673" s="40" t="n">
        <f aca="true">RAND()</f>
        <v>0.592007234599769</v>
      </c>
      <c r="R673" s="40" t="n">
        <f aca="true">RAND()</f>
        <v>0.441086071229159</v>
      </c>
      <c r="S673" s="40" t="n">
        <f aca="true">RAND()</f>
        <v>0.864692696271566</v>
      </c>
      <c r="T673" s="40" t="n">
        <f aca="true">RAND()</f>
        <v>0.876465209554851</v>
      </c>
      <c r="U673" s="40" t="n">
        <f aca="true">RAND()</f>
        <v>0.21076635899411</v>
      </c>
    </row>
    <row r="674" customFormat="false" ht="15" hidden="false" customHeight="false" outlineLevel="0" collapsed="false">
      <c r="A674" s="36" t="n">
        <v>594</v>
      </c>
      <c r="B674" s="37" t="n">
        <f aca="false">1+IF($G$6=$E$6,$F$6,IF(P674&lt;($F$6-$E$6)/($G$6-$E$6),$E$6+SQRT(P674*($G$6-$E$6)*($F$6-$E$6)),$G$6-SQRT((1-P674)*($G$6-$E$6)*($G$6-$F$6))))</f>
        <v>1.00944545226252</v>
      </c>
      <c r="C674" s="37" t="n">
        <f aca="false">1+IF($G$7=$E$7,$F$7,IF(Q674&lt;($F$7-$E$7)/($G$7-$E$7),$E$7+SQRT(Q674*($G$7-$E$7)*($F$7-$E$7)),$G$7-SQRT((1-Q674)*($G$7-$E$7)*($G$7-$F$7))))</f>
        <v>0.914644858796152</v>
      </c>
      <c r="D674" s="37" t="n">
        <f aca="false">1+IF($G$8=$E$8,$F$8,IF(R674&lt;($F$8-$E$8)/($G$8-$E$8),$E$8+SQRT(R674*($G$8-$E$8)*($F$8-$E$8)),$G$8-SQRT((1-R674)*($G$8-$E$8)*($G$8-$F$8))))</f>
        <v>0.958612687634065</v>
      </c>
      <c r="E674" s="37" t="n">
        <f aca="false">1+IF($G$9=$E$9,$F$9,IF(S674&lt;($F$9-$E$9)/($G$9-$E$9),$E$9+SQRT(S674*($G$9-$E$9)*($F$9-$E$9)),$G$9-SQRT((1-S674)*($G$9-$E$9)*($G$9-$F$9))))</f>
        <v>1.04955836101512</v>
      </c>
      <c r="F674" s="37" t="n">
        <f aca="false">1+IF($G$10=$E$10,$F$10,IF(T674&lt;($F$10-$E$10)/($G$10-$E$10),$E$10+SQRT(T674*($G$10-$E$10)*($F$10-$E$10)),$G$10-SQRT((1-T674)*($G$10-$E$10)*($G$10-$F$10))))</f>
        <v>0.953275375882437</v>
      </c>
      <c r="G674" s="38" t="n">
        <f aca="false">IF($G$11=$E$11,$F$11,IF(U674&lt;($F$11-$E$11)/($G$11-$E$11),$E$11+SQRT(U674*($G$11-$E$11)*($F$11-$E$11)),$G$11-SQRT((1-U674)*($G$11-$E$11)*($G$11-$F$11))))</f>
        <v>0.123896481636603</v>
      </c>
      <c r="H674" s="39" t="n">
        <f aca="false">(('Business Case'!B11*$C674*'Business Case'!B12*$B674)-'Business Case'!B11*$C674*'Business Case'!B13*$D674-'Business Case'!B14*$E674)-MAX(0,(('Business Case'!B11*$C674*'Business Case'!B12*$B674)-'Business Case'!B11*$C674*'Business Case'!B13*$D674-'Business Case'!B14*$E674))*'Business Case'!$B$7-'Business Case'!$B$8*('Business Case'!B11*$C674*'Business Case'!B12*$B674)-'Business Case'!B15*$F674</f>
        <v>-1906550751.76487</v>
      </c>
      <c r="I674" s="39" t="n">
        <f aca="false">(('Business Case'!C11*$C674*'Business Case'!C12*$B674)-'Business Case'!C11*$C674*'Business Case'!C13*$D674-'Business Case'!C14*$E674)-MAX(0,(('Business Case'!C11*$C674*'Business Case'!C12*$B674)-'Business Case'!C11*$C674*'Business Case'!C13*$D674-'Business Case'!C14*$E674))*'Business Case'!$B$7-'Business Case'!$B$8*(('Business Case'!C11*$C674*'Business Case'!C12*$B674)-('Business Case'!B11*$C674*'Business Case'!B12*$B674))-'Business Case'!C15*$F674</f>
        <v>14951942.8856424</v>
      </c>
      <c r="J674" s="39" t="n">
        <f aca="false">(('Business Case'!D11*$C674*'Business Case'!D12*$B674)-'Business Case'!D11*$C674*'Business Case'!D13*$D674-'Business Case'!D14*$E674)-MAX(0,(('Business Case'!D11*$C674*'Business Case'!D12*$B674)-'Business Case'!D11*$C674*'Business Case'!D13*$D674-'Business Case'!D14*$E674))*'Business Case'!$B$7-'Business Case'!$B$8*(('Business Case'!D11*$C674*'Business Case'!D12*$B674)-('Business Case'!C11*$C674*'Business Case'!C12*$B674))-'Business Case'!D15*$F674</f>
        <v>322341669.684623</v>
      </c>
      <c r="K674" s="39" t="n">
        <f aca="false">(('Business Case'!E11*$C674*'Business Case'!E12*$B674)-'Business Case'!E11*$C674*'Business Case'!E13*$D674-'Business Case'!E14*$E674)-MAX(0,(('Business Case'!E11*$C674*'Business Case'!E12*$B674)-'Business Case'!E11*$C674*'Business Case'!E13*$D674-'Business Case'!E14*$E674))*'Business Case'!$B$7-'Business Case'!$B$8*(('Business Case'!E11*$C674*'Business Case'!E12*$B674)-('Business Case'!D11*$C674*'Business Case'!D12*$B674))-'Business Case'!E15*$F674</f>
        <v>677395165.277726</v>
      </c>
      <c r="L674" s="39" t="n">
        <f aca="false">(('Business Case'!F11*$C674*'Business Case'!F12*$B674)-'Business Case'!F11*$C674*'Business Case'!F13*$D674-'Business Case'!F14*$E674)-MAX(0,(('Business Case'!F11*$C674*'Business Case'!F12*$B674)-'Business Case'!F11*$C674*'Business Case'!F13*$D674-'Business Case'!F14*$E674))*'Business Case'!$B$7-'Business Case'!$B$8*(('Business Case'!F11*$C674*'Business Case'!F12*$B674)-('Business Case'!E11*$C674*'Business Case'!E12*$B674))-'Business Case'!F15*$F674</f>
        <v>811767105.803215</v>
      </c>
      <c r="M674" s="39" t="n">
        <f aca="false">(('Business Case'!G11*$C674*'Business Case'!G12*$B674)-'Business Case'!G11*$C674*'Business Case'!G13*$D674-'Business Case'!G14*$E674)-MAX(0,(('Business Case'!G11*$C674*'Business Case'!G12*$B674)-'Business Case'!G11*$C674*'Business Case'!G13*$D674-'Business Case'!G14*$E674))*'Business Case'!$B$7-'Business Case'!$B$8*(('Business Case'!G11*$C674*'Business Case'!G12*$B674)-('Business Case'!F11*$C674*'Business Case'!F12*$B674))-'Business Case'!G15*$F674+'Business Case'!$B$8*('Business Case'!G11*$C674*'Business Case'!G12*$B674)</f>
        <v>987264946.228611</v>
      </c>
      <c r="N674" s="39" t="n">
        <f aca="false">IF(COUNT('Business Case'!B11:G11)=0,"",H674+NPV(G674,I674:M674))</f>
        <v>-101565590.987179</v>
      </c>
      <c r="P674" s="40" t="n">
        <f aca="true">RAND()</f>
        <v>0.780710487707827</v>
      </c>
      <c r="Q674" s="40" t="n">
        <f aca="true">RAND()</f>
        <v>0.341277151167555</v>
      </c>
      <c r="R674" s="40" t="n">
        <f aca="true">RAND()</f>
        <v>0.00989045177092914</v>
      </c>
      <c r="S674" s="40" t="n">
        <f aca="true">RAND()</f>
        <v>0.730972724214165</v>
      </c>
      <c r="T674" s="40" t="n">
        <f aca="true">RAND()</f>
        <v>0.000715205811416511</v>
      </c>
      <c r="U674" s="40" t="n">
        <f aca="true">RAND()</f>
        <v>0.975164709058449</v>
      </c>
    </row>
    <row r="675" customFormat="false" ht="15" hidden="false" customHeight="false" outlineLevel="0" collapsed="false">
      <c r="A675" s="36" t="n">
        <v>595</v>
      </c>
      <c r="B675" s="37" t="n">
        <f aca="false">1+IF($G$6=$E$6,$F$6,IF(P675&lt;($F$6-$E$6)/($G$6-$E$6),$E$6+SQRT(P675*($G$6-$E$6)*($F$6-$E$6)),$G$6-SQRT((1-P675)*($G$6-$E$6)*($G$6-$F$6))))</f>
        <v>1.02606019329889</v>
      </c>
      <c r="C675" s="37" t="n">
        <f aca="false">1+IF($G$7=$E$7,$F$7,IF(Q675&lt;($F$7-$E$7)/($G$7-$E$7),$E$7+SQRT(Q675*($G$7-$E$7)*($F$7-$E$7)),$G$7-SQRT((1-Q675)*($G$7-$E$7)*($G$7-$F$7))))</f>
        <v>0.80651760322673</v>
      </c>
      <c r="D675" s="37" t="n">
        <f aca="false">1+IF($G$8=$E$8,$F$8,IF(R675&lt;($F$8-$E$8)/($G$8-$E$8),$E$8+SQRT(R675*($G$8-$E$8)*($F$8-$E$8)),$G$8-SQRT((1-R675)*($G$8-$E$8)*($G$8-$F$8))))</f>
        <v>0.978711865814901</v>
      </c>
      <c r="E675" s="37" t="n">
        <f aca="false">1+IF($G$9=$E$9,$F$9,IF(S675&lt;($F$9-$E$9)/($G$9-$E$9),$E$9+SQRT(S675*($G$9-$E$9)*($F$9-$E$9)),$G$9-SQRT((1-S675)*($G$9-$E$9)*($G$9-$F$9))))</f>
        <v>1.04026821867112</v>
      </c>
      <c r="F675" s="37" t="n">
        <f aca="false">1+IF($G$10=$E$10,$F$10,IF(T675&lt;($F$10-$E$10)/($G$10-$E$10),$E$10+SQRT(T675*($G$10-$E$10)*($F$10-$E$10)),$G$10-SQRT((1-T675)*($G$10-$E$10)*($G$10-$F$10))))</f>
        <v>0.988104512641912</v>
      </c>
      <c r="G675" s="38" t="n">
        <f aca="false">IF($G$11=$E$11,$F$11,IF(U675&lt;($F$11-$E$11)/($G$11-$E$11),$E$11+SQRT(U675*($G$11-$E$11)*($F$11-$E$11)),$G$11-SQRT((1-U675)*($G$11-$E$11)*($G$11-$F$11))))</f>
        <v>0.122045967864121</v>
      </c>
      <c r="H675" s="39" t="n">
        <f aca="false">(('Business Case'!B11*$C675*'Business Case'!B12*$B675)-'Business Case'!B11*$C675*'Business Case'!B13*$D675-'Business Case'!B14*$E675)-MAX(0,(('Business Case'!B11*$C675*'Business Case'!B12*$B675)-'Business Case'!B11*$C675*'Business Case'!B13*$D675-'Business Case'!B14*$E675))*'Business Case'!$B$7-'Business Case'!$B$8*('Business Case'!B11*$C675*'Business Case'!B12*$B675)-'Business Case'!B15*$F675</f>
        <v>-1976209025.28382</v>
      </c>
      <c r="I675" s="39" t="n">
        <f aca="false">(('Business Case'!C11*$C675*'Business Case'!C12*$B675)-'Business Case'!C11*$C675*'Business Case'!C13*$D675-'Business Case'!C14*$E675)-MAX(0,(('Business Case'!C11*$C675*'Business Case'!C12*$B675)-'Business Case'!C11*$C675*'Business Case'!C13*$D675-'Business Case'!C14*$E675))*'Business Case'!$B$7-'Business Case'!$B$8*(('Business Case'!C11*$C675*'Business Case'!C12*$B675)-('Business Case'!B11*$C675*'Business Case'!B12*$B675))-'Business Case'!C15*$F675</f>
        <v>-15907998.9097842</v>
      </c>
      <c r="J675" s="39" t="n">
        <f aca="false">(('Business Case'!D11*$C675*'Business Case'!D12*$B675)-'Business Case'!D11*$C675*'Business Case'!D13*$D675-'Business Case'!D14*$E675)-MAX(0,(('Business Case'!D11*$C675*'Business Case'!D12*$B675)-'Business Case'!D11*$C675*'Business Case'!D13*$D675-'Business Case'!D14*$E675))*'Business Case'!$B$7-'Business Case'!$B$8*(('Business Case'!D11*$C675*'Business Case'!D12*$B675)-('Business Case'!C11*$C675*'Business Case'!C12*$B675))-'Business Case'!D15*$F675</f>
        <v>257820040.051418</v>
      </c>
      <c r="K675" s="39" t="n">
        <f aca="false">(('Business Case'!E11*$C675*'Business Case'!E12*$B675)-'Business Case'!E11*$C675*'Business Case'!E13*$D675-'Business Case'!E14*$E675)-MAX(0,(('Business Case'!E11*$C675*'Business Case'!E12*$B675)-'Business Case'!E11*$C675*'Business Case'!E13*$D675-'Business Case'!E14*$E675))*'Business Case'!$B$7-'Business Case'!$B$8*(('Business Case'!E11*$C675*'Business Case'!E12*$B675)-('Business Case'!D11*$C675*'Business Case'!D12*$B675))-'Business Case'!E15*$F675</f>
        <v>580953304.644716</v>
      </c>
      <c r="L675" s="39" t="n">
        <f aca="false">(('Business Case'!F11*$C675*'Business Case'!F12*$B675)-'Business Case'!F11*$C675*'Business Case'!F13*$D675-'Business Case'!F14*$E675)-MAX(0,(('Business Case'!F11*$C675*'Business Case'!F12*$B675)-'Business Case'!F11*$C675*'Business Case'!F13*$D675-'Business Case'!F14*$E675))*'Business Case'!$B$7-'Business Case'!$B$8*(('Business Case'!F11*$C675*'Business Case'!F12*$B675)-('Business Case'!E11*$C675*'Business Case'!E12*$B675))-'Business Case'!F15*$F675</f>
        <v>700795614.906291</v>
      </c>
      <c r="M675" s="39" t="n">
        <f aca="false">(('Business Case'!G11*$C675*'Business Case'!G12*$B675)-'Business Case'!G11*$C675*'Business Case'!G13*$D675-'Business Case'!G14*$E675)-MAX(0,(('Business Case'!G11*$C675*'Business Case'!G12*$B675)-'Business Case'!G11*$C675*'Business Case'!G13*$D675-'Business Case'!G14*$E675))*'Business Case'!$B$7-'Business Case'!$B$8*(('Business Case'!G11*$C675*'Business Case'!G12*$B675)-('Business Case'!F11*$C675*'Business Case'!F12*$B675))-'Business Case'!G15*$F675+'Business Case'!$B$8*('Business Case'!G11*$C675*'Business Case'!G12*$B675)</f>
        <v>858093583.249418</v>
      </c>
      <c r="N675" s="39" t="n">
        <f aca="false">IF(COUNT('Business Case'!B11:G11)=0,"",H675+NPV(G675,I675:M675))</f>
        <v>-449738718.122268</v>
      </c>
      <c r="P675" s="40" t="n">
        <f aca="true">RAND()</f>
        <v>0.923584754015138</v>
      </c>
      <c r="Q675" s="40" t="n">
        <f aca="true">RAND()</f>
        <v>0.0840444429419776</v>
      </c>
      <c r="R675" s="40" t="n">
        <f aca="true">RAND()</f>
        <v>0.10991616514305</v>
      </c>
      <c r="S675" s="40" t="n">
        <f aca="true">RAND()</f>
        <v>0.678904964437085</v>
      </c>
      <c r="T675" s="40" t="n">
        <f aca="true">RAND()</f>
        <v>0.0967969255785106</v>
      </c>
      <c r="U675" s="40" t="n">
        <f aca="true">RAND()</f>
        <v>0.957822248520936</v>
      </c>
    </row>
    <row r="676" customFormat="false" ht="15" hidden="false" customHeight="false" outlineLevel="0" collapsed="false">
      <c r="A676" s="36" t="n">
        <v>596</v>
      </c>
      <c r="B676" s="37" t="n">
        <f aca="false">1+IF($G$6=$E$6,$F$6,IF(P676&lt;($F$6-$E$6)/($G$6-$E$6),$E$6+SQRT(P676*($G$6-$E$6)*($F$6-$E$6)),$G$6-SQRT((1-P676)*($G$6-$E$6)*($G$6-$F$6))))</f>
        <v>0.985116664651217</v>
      </c>
      <c r="C676" s="37" t="n">
        <f aca="false">1+IF($G$7=$E$7,$F$7,IF(Q676&lt;($F$7-$E$7)/($G$7-$E$7),$E$7+SQRT(Q676*($G$7-$E$7)*($F$7-$E$7)),$G$7-SQRT((1-Q676)*($G$7-$E$7)*($G$7-$F$7))))</f>
        <v>0.934931229320201</v>
      </c>
      <c r="D676" s="37" t="n">
        <f aca="false">1+IF($G$8=$E$8,$F$8,IF(R676&lt;($F$8-$E$8)/($G$8-$E$8),$E$8+SQRT(R676*($G$8-$E$8)*($F$8-$E$8)),$G$8-SQRT((1-R676)*($G$8-$E$8)*($G$8-$F$8))))</f>
        <v>1.05464367441457</v>
      </c>
      <c r="E676" s="37" t="n">
        <f aca="false">1+IF($G$9=$E$9,$F$9,IF(S676&lt;($F$9-$E$9)/($G$9-$E$9),$E$9+SQRT(S676*($G$9-$E$9)*($F$9-$E$9)),$G$9-SQRT((1-S676)*($G$9-$E$9)*($G$9-$F$9))))</f>
        <v>0.997959903313116</v>
      </c>
      <c r="F676" s="37" t="n">
        <f aca="false">1+IF($G$10=$E$10,$F$10,IF(T676&lt;($F$10-$E$10)/($G$10-$E$10),$E$10+SQRT(T676*($G$10-$E$10)*($F$10-$E$10)),$G$10-SQRT((1-T676)*($G$10-$E$10)*($G$10-$F$10))))</f>
        <v>0.990393359685583</v>
      </c>
      <c r="G676" s="38" t="n">
        <f aca="false">IF($G$11=$E$11,$F$11,IF(U676&lt;($F$11-$E$11)/($G$11-$E$11),$E$11+SQRT(U676*($G$11-$E$11)*($F$11-$E$11)),$G$11-SQRT((1-U676)*($G$11-$E$11)*($G$11-$F$11))))</f>
        <v>0.115773376666957</v>
      </c>
      <c r="H676" s="39" t="n">
        <f aca="false">(('Business Case'!B11*$C676*'Business Case'!B12*$B676)-'Business Case'!B11*$C676*'Business Case'!B13*$D676-'Business Case'!B14*$E676)-MAX(0,(('Business Case'!B11*$C676*'Business Case'!B12*$B676)-'Business Case'!B11*$C676*'Business Case'!B13*$D676-'Business Case'!B14*$E676))*'Business Case'!$B$7-'Business Case'!$B$8*('Business Case'!B11*$C676*'Business Case'!B12*$B676)-'Business Case'!B15*$F676</f>
        <v>-1980786719.37117</v>
      </c>
      <c r="I676" s="39" t="n">
        <f aca="false">(('Business Case'!C11*$C676*'Business Case'!C12*$B676)-'Business Case'!C11*$C676*'Business Case'!C13*$D676-'Business Case'!C14*$E676)-MAX(0,(('Business Case'!C11*$C676*'Business Case'!C12*$B676)-'Business Case'!C11*$C676*'Business Case'!C13*$D676-'Business Case'!C14*$E676))*'Business Case'!$B$7-'Business Case'!$B$8*(('Business Case'!C11*$C676*'Business Case'!C12*$B676)-('Business Case'!B11*$C676*'Business Case'!B12*$B676))-'Business Case'!C15*$F676</f>
        <v>-39079033.664501</v>
      </c>
      <c r="J676" s="39" t="n">
        <f aca="false">(('Business Case'!D11*$C676*'Business Case'!D12*$B676)-'Business Case'!D11*$C676*'Business Case'!D13*$D676-'Business Case'!D14*$E676)-MAX(0,(('Business Case'!D11*$C676*'Business Case'!D12*$B676)-'Business Case'!D11*$C676*'Business Case'!D13*$D676-'Business Case'!D14*$E676))*'Business Case'!$B$7-'Business Case'!$B$8*(('Business Case'!D11*$C676*'Business Case'!D12*$B676)-('Business Case'!C11*$C676*'Business Case'!C12*$B676))-'Business Case'!D15*$F676</f>
        <v>210536653.661114</v>
      </c>
      <c r="K676" s="39" t="n">
        <f aca="false">(('Business Case'!E11*$C676*'Business Case'!E12*$B676)-'Business Case'!E11*$C676*'Business Case'!E13*$D676-'Business Case'!E14*$E676)-MAX(0,(('Business Case'!E11*$C676*'Business Case'!E12*$B676)-'Business Case'!E11*$C676*'Business Case'!E13*$D676-'Business Case'!E14*$E676))*'Business Case'!$B$7-'Business Case'!$B$8*(('Business Case'!E11*$C676*'Business Case'!E12*$B676)-('Business Case'!D11*$C676*'Business Case'!D12*$B676))-'Business Case'!E15*$F676</f>
        <v>509672008.971008</v>
      </c>
      <c r="L676" s="39" t="n">
        <f aca="false">(('Business Case'!F11*$C676*'Business Case'!F12*$B676)-'Business Case'!F11*$C676*'Business Case'!F13*$D676-'Business Case'!F14*$E676)-MAX(0,(('Business Case'!F11*$C676*'Business Case'!F12*$B676)-'Business Case'!F11*$C676*'Business Case'!F13*$D676-'Business Case'!F14*$E676))*'Business Case'!$B$7-'Business Case'!$B$8*(('Business Case'!F11*$C676*'Business Case'!F12*$B676)-('Business Case'!E11*$C676*'Business Case'!E12*$B676))-'Business Case'!F15*$F676</f>
        <v>624707562.593167</v>
      </c>
      <c r="M676" s="39" t="n">
        <f aca="false">(('Business Case'!G11*$C676*'Business Case'!G12*$B676)-'Business Case'!G11*$C676*'Business Case'!G13*$D676-'Business Case'!G14*$E676)-MAX(0,(('Business Case'!G11*$C676*'Business Case'!G12*$B676)-'Business Case'!G11*$C676*'Business Case'!G13*$D676-'Business Case'!G14*$E676))*'Business Case'!$B$7-'Business Case'!$B$8*(('Business Case'!G11*$C676*'Business Case'!G12*$B676)-('Business Case'!F11*$C676*'Business Case'!F12*$B676))-'Business Case'!G15*$F676+'Business Case'!$B$8*('Business Case'!G11*$C676*'Business Case'!G12*$B676)</f>
        <v>799774347.418086</v>
      </c>
      <c r="N676" s="39" t="n">
        <f aca="false">IF(COUNT('Business Case'!B11:G11)=0,"",H676+NPV(G676,I676:M676))</f>
        <v>-614248584.238622</v>
      </c>
      <c r="P676" s="40" t="n">
        <f aca="true">RAND()</f>
        <v>0.482989773423187</v>
      </c>
      <c r="Q676" s="40" t="n">
        <f aca="true">RAND()</f>
        <v>0.408834685258525</v>
      </c>
      <c r="R676" s="40" t="n">
        <f aca="true">RAND()</f>
        <v>0.862853581959243</v>
      </c>
      <c r="S676" s="40" t="n">
        <f aca="true">RAND()</f>
        <v>0.3838457062846</v>
      </c>
      <c r="T676" s="40" t="n">
        <f aca="true">RAND()</f>
        <v>0.108774900445928</v>
      </c>
      <c r="U676" s="40" t="n">
        <f aca="true">RAND()</f>
        <v>0.865068792359808</v>
      </c>
    </row>
    <row r="677" customFormat="false" ht="15" hidden="false" customHeight="false" outlineLevel="0" collapsed="false">
      <c r="A677" s="36" t="n">
        <v>597</v>
      </c>
      <c r="B677" s="37" t="n">
        <f aca="false">1+IF($G$6=$E$6,$F$6,IF(P677&lt;($F$6-$E$6)/($G$6-$E$6),$E$6+SQRT(P677*($G$6-$E$6)*($F$6-$E$6)),$G$6-SQRT((1-P677)*($G$6-$E$6)*($G$6-$F$6))))</f>
        <v>0.991930245793928</v>
      </c>
      <c r="C677" s="37" t="n">
        <f aca="false">1+IF($G$7=$E$7,$F$7,IF(Q677&lt;($F$7-$E$7)/($G$7-$E$7),$E$7+SQRT(Q677*($G$7-$E$7)*($F$7-$E$7)),$G$7-SQRT((1-Q677)*($G$7-$E$7)*($G$7-$F$7))))</f>
        <v>0.972043307129451</v>
      </c>
      <c r="D677" s="37" t="n">
        <f aca="false">1+IF($G$8=$E$8,$F$8,IF(R677&lt;($F$8-$E$8)/($G$8-$E$8),$E$8+SQRT(R677*($G$8-$E$8)*($F$8-$E$8)),$G$8-SQRT((1-R677)*($G$8-$E$8)*($G$8-$F$8))))</f>
        <v>0.995413735252139</v>
      </c>
      <c r="E677" s="37" t="n">
        <f aca="false">1+IF($G$9=$E$9,$F$9,IF(S677&lt;($F$9-$E$9)/($G$9-$E$9),$E$9+SQRT(S677*($G$9-$E$9)*($F$9-$E$9)),$G$9-SQRT((1-S677)*($G$9-$E$9)*($G$9-$F$9))))</f>
        <v>1.0071569048858</v>
      </c>
      <c r="F677" s="37" t="n">
        <f aca="false">1+IF($G$10=$E$10,$F$10,IF(T677&lt;($F$10-$E$10)/($G$10-$E$10),$E$10+SQRT(T677*($G$10-$E$10)*($F$10-$E$10)),$G$10-SQRT((1-T677)*($G$10-$E$10)*($G$10-$F$10))))</f>
        <v>0.968126016853662</v>
      </c>
      <c r="G677" s="38" t="n">
        <f aca="false">IF($G$11=$E$11,$F$11,IF(U677&lt;($F$11-$E$11)/($G$11-$E$11),$E$11+SQRT(U677*($G$11-$E$11)*($F$11-$E$11)),$G$11-SQRT((1-U677)*($G$11-$E$11)*($G$11-$F$11))))</f>
        <v>0.123276651486906</v>
      </c>
      <c r="H677" s="39" t="n">
        <f aca="false">(('Business Case'!B11*$C677*'Business Case'!B12*$B677)-'Business Case'!B11*$C677*'Business Case'!B13*$D677-'Business Case'!B14*$E677)-MAX(0,(('Business Case'!B11*$C677*'Business Case'!B12*$B677)-'Business Case'!B11*$C677*'Business Case'!B13*$D677-'Business Case'!B14*$E677))*'Business Case'!$B$7-'Business Case'!$B$8*('Business Case'!B11*$C677*'Business Case'!B12*$B677)-'Business Case'!B15*$F677</f>
        <v>-1936252033.70732</v>
      </c>
      <c r="I677" s="39" t="n">
        <f aca="false">(('Business Case'!C11*$C677*'Business Case'!C12*$B677)-'Business Case'!C11*$C677*'Business Case'!C13*$D677-'Business Case'!C14*$E677)-MAX(0,(('Business Case'!C11*$C677*'Business Case'!C12*$B677)-'Business Case'!C11*$C677*'Business Case'!C13*$D677-'Business Case'!C14*$E677))*'Business Case'!$B$7-'Business Case'!$B$8*(('Business Case'!C11*$C677*'Business Case'!C12*$B677)-('Business Case'!B11*$C677*'Business Case'!B12*$B677))-'Business Case'!C15*$F677</f>
        <v>4407887.85054638</v>
      </c>
      <c r="J677" s="39" t="n">
        <f aca="false">(('Business Case'!D11*$C677*'Business Case'!D12*$B677)-'Business Case'!D11*$C677*'Business Case'!D13*$D677-'Business Case'!D14*$E677)-MAX(0,(('Business Case'!D11*$C677*'Business Case'!D12*$B677)-'Business Case'!D11*$C677*'Business Case'!D13*$D677-'Business Case'!D14*$E677))*'Business Case'!$B$7-'Business Case'!$B$8*(('Business Case'!D11*$C677*'Business Case'!D12*$B677)-('Business Case'!C11*$C677*'Business Case'!C12*$B677))-'Business Case'!D15*$F677</f>
        <v>298830173.537459</v>
      </c>
      <c r="K677" s="39" t="n">
        <f aca="false">(('Business Case'!E11*$C677*'Business Case'!E12*$B677)-'Business Case'!E11*$C677*'Business Case'!E13*$D677-'Business Case'!E14*$E677)-MAX(0,(('Business Case'!E11*$C677*'Business Case'!E12*$B677)-'Business Case'!E11*$C677*'Business Case'!E13*$D677-'Business Case'!E14*$E677))*'Business Case'!$B$7-'Business Case'!$B$8*(('Business Case'!E11*$C677*'Business Case'!E12*$B677)-('Business Case'!D11*$C677*'Business Case'!D12*$B677))-'Business Case'!E15*$F677</f>
        <v>641658760.067055</v>
      </c>
      <c r="L677" s="39" t="n">
        <f aca="false">(('Business Case'!F11*$C677*'Business Case'!F12*$B677)-'Business Case'!F11*$C677*'Business Case'!F13*$D677-'Business Case'!F14*$E677)-MAX(0,(('Business Case'!F11*$C677*'Business Case'!F12*$B677)-'Business Case'!F11*$C677*'Business Case'!F13*$D677-'Business Case'!F14*$E677))*'Business Case'!$B$7-'Business Case'!$B$8*(('Business Case'!F11*$C677*'Business Case'!F12*$B677)-('Business Case'!E11*$C677*'Business Case'!E12*$B677))-'Business Case'!F15*$F677</f>
        <v>773122244.81352</v>
      </c>
      <c r="M677" s="39" t="n">
        <f aca="false">(('Business Case'!G11*$C677*'Business Case'!G12*$B677)-'Business Case'!G11*$C677*'Business Case'!G13*$D677-'Business Case'!G14*$E677)-MAX(0,(('Business Case'!G11*$C677*'Business Case'!G12*$B677)-'Business Case'!G11*$C677*'Business Case'!G13*$D677-'Business Case'!G14*$E677))*'Business Case'!$B$7-'Business Case'!$B$8*(('Business Case'!G11*$C677*'Business Case'!G12*$B677)-('Business Case'!F11*$C677*'Business Case'!F12*$B677))-'Business Case'!G15*$F677+'Business Case'!$B$8*('Business Case'!G11*$C677*'Business Case'!G12*$B677)</f>
        <v>956397220.493064</v>
      </c>
      <c r="N677" s="39" t="n">
        <f aca="false">IF(COUNT('Business Case'!B11:G11)=0,"",H677+NPV(G677,I677:M677))</f>
        <v>-222313717.121701</v>
      </c>
      <c r="P677" s="40" t="n">
        <f aca="true">RAND()</f>
        <v>0.563411339448806</v>
      </c>
      <c r="Q677" s="40" t="n">
        <f aca="true">RAND()</f>
        <v>0.548204155214289</v>
      </c>
      <c r="R677" s="40" t="n">
        <f aca="true">RAND()</f>
        <v>0.27498764660685</v>
      </c>
      <c r="S677" s="40" t="n">
        <f aca="true">RAND()</f>
        <v>0.455889338085221</v>
      </c>
      <c r="T677" s="40" t="n">
        <f aca="true">RAND()</f>
        <v>0.02190349913195</v>
      </c>
      <c r="U677" s="40" t="n">
        <f aca="true">RAND()</f>
        <v>0.969864389847654</v>
      </c>
    </row>
    <row r="678" customFormat="false" ht="15" hidden="false" customHeight="false" outlineLevel="0" collapsed="false">
      <c r="A678" s="36" t="n">
        <v>598</v>
      </c>
      <c r="B678" s="37" t="n">
        <f aca="false">1+IF($G$6=$E$6,$F$6,IF(P678&lt;($F$6-$E$6)/($G$6-$E$6),$E$6+SQRT(P678*($G$6-$E$6)*($F$6-$E$6)),$G$6-SQRT((1-P678)*($G$6-$E$6)*($G$6-$F$6))))</f>
        <v>0.940765962263099</v>
      </c>
      <c r="C678" s="37" t="n">
        <f aca="false">1+IF($G$7=$E$7,$F$7,IF(Q678&lt;($F$7-$E$7)/($G$7-$E$7),$E$7+SQRT(Q678*($G$7-$E$7)*($F$7-$E$7)),$G$7-SQRT((1-Q678)*($G$7-$E$7)*($G$7-$F$7))))</f>
        <v>0.99750525203785</v>
      </c>
      <c r="D678" s="37" t="n">
        <f aca="false">1+IF($G$8=$E$8,$F$8,IF(R678&lt;($F$8-$E$8)/($G$8-$E$8),$E$8+SQRT(R678*($G$8-$E$8)*($F$8-$E$8)),$G$8-SQRT((1-R678)*($G$8-$E$8)*($G$8-$F$8))))</f>
        <v>1.0330714237153</v>
      </c>
      <c r="E678" s="37" t="n">
        <f aca="false">1+IF($G$9=$E$9,$F$9,IF(S678&lt;($F$9-$E$9)/($G$9-$E$9),$E$9+SQRT(S678*($G$9-$E$9)*($F$9-$E$9)),$G$9-SQRT((1-S678)*($G$9-$E$9)*($G$9-$F$9))))</f>
        <v>1.00040305058837</v>
      </c>
      <c r="F678" s="37" t="n">
        <f aca="false">1+IF($G$10=$E$10,$F$10,IF(T678&lt;($F$10-$E$10)/($G$10-$E$10),$E$10+SQRT(T678*($G$10-$E$10)*($F$10-$E$10)),$G$10-SQRT((1-T678)*($G$10-$E$10)*($G$10-$F$10))))</f>
        <v>1.12694939979425</v>
      </c>
      <c r="G678" s="38" t="n">
        <f aca="false">IF($G$11=$E$11,$F$11,IF(U678&lt;($F$11-$E$11)/($G$11-$E$11),$E$11+SQRT(U678*($G$11-$E$11)*($F$11-$E$11)),$G$11-SQRT((1-U678)*($G$11-$E$11)*($G$11-$F$11))))</f>
        <v>0.111785694055877</v>
      </c>
      <c r="H678" s="39" t="n">
        <f aca="false">(('Business Case'!B11*$C678*'Business Case'!B12*$B678)-'Business Case'!B11*$C678*'Business Case'!B13*$D678-'Business Case'!B14*$E678)-MAX(0,(('Business Case'!B11*$C678*'Business Case'!B12*$B678)-'Business Case'!B11*$C678*'Business Case'!B13*$D678-'Business Case'!B14*$E678))*'Business Case'!$B$7-'Business Case'!$B$8*('Business Case'!B11*$C678*'Business Case'!B12*$B678)-'Business Case'!B15*$F678</f>
        <v>-2253898799.58851</v>
      </c>
      <c r="I678" s="39" t="n">
        <f aca="false">(('Business Case'!C11*$C678*'Business Case'!C12*$B678)-'Business Case'!C11*$C678*'Business Case'!C13*$D678-'Business Case'!C14*$E678)-MAX(0,(('Business Case'!C11*$C678*'Business Case'!C12*$B678)-'Business Case'!C11*$C678*'Business Case'!C13*$D678-'Business Case'!C14*$E678))*'Business Case'!$B$7-'Business Case'!$B$8*(('Business Case'!C11*$C678*'Business Case'!C12*$B678)-('Business Case'!B11*$C678*'Business Case'!B12*$B678))-'Business Case'!C15*$F678</f>
        <v>-62497752.5049451</v>
      </c>
      <c r="J678" s="39" t="n">
        <f aca="false">(('Business Case'!D11*$C678*'Business Case'!D12*$B678)-'Business Case'!D11*$C678*'Business Case'!D13*$D678-'Business Case'!D14*$E678)-MAX(0,(('Business Case'!D11*$C678*'Business Case'!D12*$B678)-'Business Case'!D11*$C678*'Business Case'!D13*$D678-'Business Case'!D14*$E678))*'Business Case'!$B$7-'Business Case'!$B$8*(('Business Case'!D11*$C678*'Business Case'!D12*$B678)-('Business Case'!C11*$C678*'Business Case'!C12*$B678))-'Business Case'!D15*$F678</f>
        <v>178604389.116459</v>
      </c>
      <c r="K678" s="39" t="n">
        <f aca="false">(('Business Case'!E11*$C678*'Business Case'!E12*$B678)-'Business Case'!E11*$C678*'Business Case'!E13*$D678-'Business Case'!E14*$E678)-MAX(0,(('Business Case'!E11*$C678*'Business Case'!E12*$B678)-'Business Case'!E11*$C678*'Business Case'!E13*$D678-'Business Case'!E14*$E678))*'Business Case'!$B$7-'Business Case'!$B$8*(('Business Case'!E11*$C678*'Business Case'!E12*$B678)-('Business Case'!D11*$C678*'Business Case'!D12*$B678))-'Business Case'!E15*$F678</f>
        <v>476054000.727577</v>
      </c>
      <c r="L678" s="39" t="n">
        <f aca="false">(('Business Case'!F11*$C678*'Business Case'!F12*$B678)-'Business Case'!F11*$C678*'Business Case'!F13*$D678-'Business Case'!F14*$E678)-MAX(0,(('Business Case'!F11*$C678*'Business Case'!F12*$B678)-'Business Case'!F11*$C678*'Business Case'!F13*$D678-'Business Case'!F14*$E678))*'Business Case'!$B$7-'Business Case'!$B$8*(('Business Case'!F11*$C678*'Business Case'!F12*$B678)-('Business Case'!E11*$C678*'Business Case'!E12*$B678))-'Business Case'!F15*$F678</f>
        <v>588853141.503551</v>
      </c>
      <c r="M678" s="39" t="n">
        <f aca="false">(('Business Case'!G11*$C678*'Business Case'!G12*$B678)-'Business Case'!G11*$C678*'Business Case'!G13*$D678-'Business Case'!G14*$E678)-MAX(0,(('Business Case'!G11*$C678*'Business Case'!G12*$B678)-'Business Case'!G11*$C678*'Business Case'!G13*$D678-'Business Case'!G14*$E678))*'Business Case'!$B$7-'Business Case'!$B$8*(('Business Case'!G11*$C678*'Business Case'!G12*$B678)-('Business Case'!F11*$C678*'Business Case'!F12*$B678))-'Business Case'!G15*$F678+'Business Case'!$B$8*('Business Case'!G11*$C678*'Business Case'!G12*$B678)</f>
        <v>767227822.798832</v>
      </c>
      <c r="N678" s="39" t="n">
        <f aca="false">IF(COUNT('Business Case'!B11:G11)=0,"",H678+NPV(G678,I678:M678))</f>
        <v>-982129235.3748</v>
      </c>
      <c r="P678" s="40" t="n">
        <f aca="true">RAND()</f>
        <v>0.110790911949094</v>
      </c>
      <c r="Q678" s="40" t="n">
        <f aca="true">RAND()</f>
        <v>0.655624999926701</v>
      </c>
      <c r="R678" s="40" t="n">
        <f aca="true">RAND()</f>
        <v>0.701371045100234</v>
      </c>
      <c r="S678" s="40" t="n">
        <f aca="true">RAND()</f>
        <v>0.403220072712882</v>
      </c>
      <c r="T678" s="40" t="n">
        <f aca="true">RAND()</f>
        <v>0.798113997186741</v>
      </c>
      <c r="U678" s="40" t="n">
        <f aca="true">RAND()</f>
        <v>0.778826039315933</v>
      </c>
    </row>
    <row r="679" customFormat="false" ht="15" hidden="false" customHeight="false" outlineLevel="0" collapsed="false">
      <c r="A679" s="36" t="n">
        <v>599</v>
      </c>
      <c r="B679" s="37" t="n">
        <f aca="false">1+IF($G$6=$E$6,$F$6,IF(P679&lt;($F$6-$E$6)/($G$6-$E$6),$E$6+SQRT(P679*($G$6-$E$6)*($F$6-$E$6)),$G$6-SQRT((1-P679)*($G$6-$E$6)*($G$6-$F$6))))</f>
        <v>0.96739867935164</v>
      </c>
      <c r="C679" s="37" t="n">
        <f aca="false">1+IF($G$7=$E$7,$F$7,IF(Q679&lt;($F$7-$E$7)/($G$7-$E$7),$E$7+SQRT(Q679*($G$7-$E$7)*($F$7-$E$7)),$G$7-SQRT((1-Q679)*($G$7-$E$7)*($G$7-$F$7))))</f>
        <v>0.9181486008358</v>
      </c>
      <c r="D679" s="37" t="n">
        <f aca="false">1+IF($G$8=$E$8,$F$8,IF(R679&lt;($F$8-$E$8)/($G$8-$E$8),$E$8+SQRT(R679*($G$8-$E$8)*($F$8-$E$8)),$G$8-SQRT((1-R679)*($G$8-$E$8)*($G$8-$F$8))))</f>
        <v>0.981396669664755</v>
      </c>
      <c r="E679" s="37" t="n">
        <f aca="false">1+IF($G$9=$E$9,$F$9,IF(S679&lt;($F$9-$E$9)/($G$9-$E$9),$E$9+SQRT(S679*($G$9-$E$9)*($F$9-$E$9)),$G$9-SQRT((1-S679)*($G$9-$E$9)*($G$9-$F$9))))</f>
        <v>1.06456690344206</v>
      </c>
      <c r="F679" s="37" t="n">
        <f aca="false">1+IF($G$10=$E$10,$F$10,IF(T679&lt;($F$10-$E$10)/($G$10-$E$10),$E$10+SQRT(T679*($G$10-$E$10)*($F$10-$E$10)),$G$10-SQRT((1-T679)*($G$10-$E$10)*($G$10-$F$10))))</f>
        <v>1.13355314855711</v>
      </c>
      <c r="G679" s="38" t="n">
        <f aca="false">IF($G$11=$E$11,$F$11,IF(U679&lt;($F$11-$E$11)/($G$11-$E$11),$E$11+SQRT(U679*($G$11-$E$11)*($F$11-$E$11)),$G$11-SQRT((1-U679)*($G$11-$E$11)*($G$11-$F$11))))</f>
        <v>0.0986348779260283</v>
      </c>
      <c r="H679" s="39" t="n">
        <f aca="false">(('Business Case'!B11*$C679*'Business Case'!B12*$B679)-'Business Case'!B11*$C679*'Business Case'!B13*$D679-'Business Case'!B14*$E679)-MAX(0,(('Business Case'!B11*$C679*'Business Case'!B12*$B679)-'Business Case'!B11*$C679*'Business Case'!B13*$D679-'Business Case'!B14*$E679))*'Business Case'!$B$7-'Business Case'!$B$8*('Business Case'!B11*$C679*'Business Case'!B12*$B679)-'Business Case'!B15*$F679</f>
        <v>-2267106297.11422</v>
      </c>
      <c r="I679" s="39" t="n">
        <f aca="false">(('Business Case'!C11*$C679*'Business Case'!C12*$B679)-'Business Case'!C11*$C679*'Business Case'!C13*$D679-'Business Case'!C14*$E679)-MAX(0,(('Business Case'!C11*$C679*'Business Case'!C12*$B679)-'Business Case'!C11*$C679*'Business Case'!C13*$D679-'Business Case'!C14*$E679))*'Business Case'!$B$7-'Business Case'!$B$8*(('Business Case'!C11*$C679*'Business Case'!C12*$B679)-('Business Case'!B11*$C679*'Business Case'!B12*$B679))-'Business Case'!C15*$F679</f>
        <v>-44543906.7733903</v>
      </c>
      <c r="J679" s="39" t="n">
        <f aca="false">(('Business Case'!D11*$C679*'Business Case'!D12*$B679)-'Business Case'!D11*$C679*'Business Case'!D13*$D679-'Business Case'!D14*$E679)-MAX(0,(('Business Case'!D11*$C679*'Business Case'!D12*$B679)-'Business Case'!D11*$C679*'Business Case'!D13*$D679-'Business Case'!D14*$E679))*'Business Case'!$B$7-'Business Case'!$B$8*(('Business Case'!D11*$C679*'Business Case'!D12*$B679)-('Business Case'!C11*$C679*'Business Case'!C12*$B679))-'Business Case'!D15*$F679</f>
        <v>221694019.142017</v>
      </c>
      <c r="K679" s="39" t="n">
        <f aca="false">(('Business Case'!E11*$C679*'Business Case'!E12*$B679)-'Business Case'!E11*$C679*'Business Case'!E13*$D679-'Business Case'!E14*$E679)-MAX(0,(('Business Case'!E11*$C679*'Business Case'!E12*$B679)-'Business Case'!E11*$C679*'Business Case'!E13*$D679-'Business Case'!E14*$E679))*'Business Case'!$B$7-'Business Case'!$B$8*(('Business Case'!E11*$C679*'Business Case'!E12*$B679)-('Business Case'!D11*$C679*'Business Case'!D12*$B679))-'Business Case'!E15*$F679</f>
        <v>544609602.485279</v>
      </c>
      <c r="L679" s="39" t="n">
        <f aca="false">(('Business Case'!F11*$C679*'Business Case'!F12*$B679)-'Business Case'!F11*$C679*'Business Case'!F13*$D679-'Business Case'!F14*$E679)-MAX(0,(('Business Case'!F11*$C679*'Business Case'!F12*$B679)-'Business Case'!F11*$C679*'Business Case'!F13*$D679-'Business Case'!F14*$E679))*'Business Case'!$B$7-'Business Case'!$B$8*(('Business Case'!F11*$C679*'Business Case'!F12*$B679)-('Business Case'!E11*$C679*'Business Case'!E12*$B679))-'Business Case'!F15*$F679</f>
        <v>664052313.899499</v>
      </c>
      <c r="M679" s="39" t="n">
        <f aca="false">(('Business Case'!G11*$C679*'Business Case'!G12*$B679)-'Business Case'!G11*$C679*'Business Case'!G13*$D679-'Business Case'!G14*$E679)-MAX(0,(('Business Case'!G11*$C679*'Business Case'!G12*$B679)-'Business Case'!G11*$C679*'Business Case'!G13*$D679-'Business Case'!G14*$E679))*'Business Case'!$B$7-'Business Case'!$B$8*(('Business Case'!G11*$C679*'Business Case'!G12*$B679)-('Business Case'!F11*$C679*'Business Case'!F12*$B679))-'Business Case'!G15*$F679+'Business Case'!$B$8*('Business Case'!G11*$C679*'Business Case'!G12*$B679)</f>
        <v>832884362.499461</v>
      </c>
      <c r="N679" s="39" t="n">
        <f aca="false">IF(COUNT('Business Case'!B11:G11)=0,"",H679+NPV(G679,I679:M679))</f>
        <v>-737085048.592087</v>
      </c>
      <c r="P679" s="40" t="n">
        <f aca="true">RAND()</f>
        <v>0.302838798556349</v>
      </c>
      <c r="Q679" s="40" t="n">
        <f aca="true">RAND()</f>
        <v>0.352509718863831</v>
      </c>
      <c r="R679" s="40" t="n">
        <f aca="true">RAND()</f>
        <v>0.131433448805033</v>
      </c>
      <c r="S679" s="40" t="n">
        <f aca="true">RAND()</f>
        <v>0.805364960333893</v>
      </c>
      <c r="T679" s="40" t="n">
        <f aca="true">RAND()</f>
        <v>0.819201743853826</v>
      </c>
      <c r="U679" s="40" t="n">
        <f aca="true">RAND()</f>
        <v>0.347258675317976</v>
      </c>
    </row>
    <row r="680" customFormat="false" ht="15" hidden="false" customHeight="false" outlineLevel="0" collapsed="false">
      <c r="A680" s="36" t="n">
        <v>600</v>
      </c>
      <c r="B680" s="37" t="n">
        <f aca="false">1+IF($G$6=$E$6,$F$6,IF(P680&lt;($F$6-$E$6)/($G$6-$E$6),$E$6+SQRT(P680*($G$6-$E$6)*($F$6-$E$6)),$G$6-SQRT((1-P680)*($G$6-$E$6)*($G$6-$F$6))))</f>
        <v>0.958108969339725</v>
      </c>
      <c r="C680" s="37" t="n">
        <f aca="false">1+IF($G$7=$E$7,$F$7,IF(Q680&lt;($F$7-$E$7)/($G$7-$E$7),$E$7+SQRT(Q680*($G$7-$E$7)*($F$7-$E$7)),$G$7-SQRT((1-Q680)*($G$7-$E$7)*($G$7-$F$7))))</f>
        <v>0.838559306925623</v>
      </c>
      <c r="D680" s="37" t="n">
        <f aca="false">1+IF($G$8=$E$8,$F$8,IF(R680&lt;($F$8-$E$8)/($G$8-$E$8),$E$8+SQRT(R680*($G$8-$E$8)*($F$8-$E$8)),$G$8-SQRT((1-R680)*($G$8-$E$8)*($G$8-$F$8))))</f>
        <v>1.02915691839547</v>
      </c>
      <c r="E680" s="37" t="n">
        <f aca="false">1+IF($G$9=$E$9,$F$9,IF(S680&lt;($F$9-$E$9)/($G$9-$E$9),$E$9+SQRT(S680*($G$9-$E$9)*($F$9-$E$9)),$G$9-SQRT((1-S680)*($G$9-$E$9)*($G$9-$F$9))))</f>
        <v>0.982521242564615</v>
      </c>
      <c r="F680" s="37" t="n">
        <f aca="false">1+IF($G$10=$E$10,$F$10,IF(T680&lt;($F$10-$E$10)/($G$10-$E$10),$E$10+SQRT(T680*($G$10-$E$10)*($F$10-$E$10)),$G$10-SQRT((1-T680)*($G$10-$E$10)*($G$10-$F$10))))</f>
        <v>0.986829774107406</v>
      </c>
      <c r="G680" s="38" t="n">
        <f aca="false">IF($G$11=$E$11,$F$11,IF(U680&lt;($F$11-$E$11)/($G$11-$E$11),$E$11+SQRT(U680*($G$11-$E$11)*($F$11-$E$11)),$G$11-SQRT((1-U680)*($G$11-$E$11)*($G$11-$F$11))))</f>
        <v>0.088592407819715</v>
      </c>
      <c r="H680" s="39" t="n">
        <f aca="false">(('Business Case'!B11*$C680*'Business Case'!B12*$B680)-'Business Case'!B11*$C680*'Business Case'!B13*$D680-'Business Case'!B14*$E680)-MAX(0,(('Business Case'!B11*$C680*'Business Case'!B12*$B680)-'Business Case'!B11*$C680*'Business Case'!B13*$D680-'Business Case'!B14*$E680))*'Business Case'!$B$7-'Business Case'!$B$8*('Business Case'!B11*$C680*'Business Case'!B12*$B680)-'Business Case'!B15*$F680</f>
        <v>-1973659548.21481</v>
      </c>
      <c r="I680" s="39" t="n">
        <f aca="false">(('Business Case'!C11*$C680*'Business Case'!C12*$B680)-'Business Case'!C11*$C680*'Business Case'!C13*$D680-'Business Case'!C14*$E680)-MAX(0,(('Business Case'!C11*$C680*'Business Case'!C12*$B680)-'Business Case'!C11*$C680*'Business Case'!C13*$D680-'Business Case'!C14*$E680))*'Business Case'!$B$7-'Business Case'!$B$8*(('Business Case'!C11*$C680*'Business Case'!C12*$B680)-('Business Case'!B11*$C680*'Business Case'!B12*$B680))-'Business Case'!C15*$F680</f>
        <v>-63771001.5353419</v>
      </c>
      <c r="J680" s="39" t="n">
        <f aca="false">(('Business Case'!D11*$C680*'Business Case'!D12*$B680)-'Business Case'!D11*$C680*'Business Case'!D13*$D680-'Business Case'!D14*$E680)-MAX(0,(('Business Case'!D11*$C680*'Business Case'!D12*$B680)-'Business Case'!D11*$C680*'Business Case'!D13*$D680-'Business Case'!D14*$E680))*'Business Case'!$B$7-'Business Case'!$B$8*(('Business Case'!D11*$C680*'Business Case'!D12*$B680)-('Business Case'!C11*$C680*'Business Case'!C12*$B680))-'Business Case'!D15*$F680</f>
        <v>152505368.092834</v>
      </c>
      <c r="K680" s="39" t="n">
        <f aca="false">(('Business Case'!E11*$C680*'Business Case'!E12*$B680)-'Business Case'!E11*$C680*'Business Case'!E13*$D680-'Business Case'!E14*$E680)-MAX(0,(('Business Case'!E11*$C680*'Business Case'!E12*$B680)-'Business Case'!E11*$C680*'Business Case'!E13*$D680-'Business Case'!E14*$E680))*'Business Case'!$B$7-'Business Case'!$B$8*(('Business Case'!E11*$C680*'Business Case'!E12*$B680)-('Business Case'!D11*$C680*'Business Case'!D12*$B680))-'Business Case'!E15*$F680</f>
        <v>418123226.426379</v>
      </c>
      <c r="L680" s="39" t="n">
        <f aca="false">(('Business Case'!F11*$C680*'Business Case'!F12*$B680)-'Business Case'!F11*$C680*'Business Case'!F13*$D680-'Business Case'!F14*$E680)-MAX(0,(('Business Case'!F11*$C680*'Business Case'!F12*$B680)-'Business Case'!F11*$C680*'Business Case'!F13*$D680-'Business Case'!F14*$E680))*'Business Case'!$B$7-'Business Case'!$B$8*(('Business Case'!F11*$C680*'Business Case'!F12*$B680)-('Business Case'!E11*$C680*'Business Case'!E12*$B680))-'Business Case'!F15*$F680</f>
        <v>517981931.67583</v>
      </c>
      <c r="M680" s="39" t="n">
        <f aca="false">(('Business Case'!G11*$C680*'Business Case'!G12*$B680)-'Business Case'!G11*$C680*'Business Case'!G13*$D680-'Business Case'!G14*$E680)-MAX(0,(('Business Case'!G11*$C680*'Business Case'!G12*$B680)-'Business Case'!G11*$C680*'Business Case'!G13*$D680-'Business Case'!G14*$E680))*'Business Case'!$B$7-'Business Case'!$B$8*(('Business Case'!G11*$C680*'Business Case'!G12*$B680)-('Business Case'!F11*$C680*'Business Case'!F12*$B680))-'Business Case'!G15*$F680+'Business Case'!$B$8*('Business Case'!G11*$C680*'Business Case'!G12*$B680)</f>
        <v>670698132.896154</v>
      </c>
      <c r="N680" s="39" t="n">
        <f aca="false">IF(COUNT('Business Case'!B11:G11)=0,"",H680+NPV(G680,I680:M680))</f>
        <v>-771839544.843833</v>
      </c>
      <c r="P680" s="40" t="n">
        <f aca="true">RAND()</f>
        <v>0.225110154515008</v>
      </c>
      <c r="Q680" s="40" t="n">
        <f aca="true">RAND()</f>
        <v>0.142212455820067</v>
      </c>
      <c r="R680" s="40" t="n">
        <f aca="true">RAND()</f>
        <v>0.665417185918303</v>
      </c>
      <c r="S680" s="40" t="n">
        <f aca="true">RAND()</f>
        <v>0.272390218976319</v>
      </c>
      <c r="T680" s="40" t="n">
        <f aca="true">RAND()</f>
        <v>0.0904288173868378</v>
      </c>
      <c r="U680" s="40" t="n">
        <f aca="true">RAND()</f>
        <v>0.0738294721403001</v>
      </c>
    </row>
    <row r="681" customFormat="false" ht="15" hidden="false" customHeight="false" outlineLevel="0" collapsed="false">
      <c r="A681" s="36" t="n">
        <v>601</v>
      </c>
      <c r="B681" s="37" t="n">
        <f aca="false">1+IF($G$6=$E$6,$F$6,IF(P681&lt;($F$6-$E$6)/($G$6-$E$6),$E$6+SQRT(P681*($G$6-$E$6)*($F$6-$E$6)),$G$6-SQRT((1-P681)*($G$6-$E$6)*($G$6-$F$6))))</f>
        <v>1.02667482087888</v>
      </c>
      <c r="C681" s="37" t="n">
        <f aca="false">1+IF($G$7=$E$7,$F$7,IF(Q681&lt;($F$7-$E$7)/($G$7-$E$7),$E$7+SQRT(Q681*($G$7-$E$7)*($F$7-$E$7)),$G$7-SQRT((1-Q681)*($G$7-$E$7)*($G$7-$F$7))))</f>
        <v>1.00742415827762</v>
      </c>
      <c r="D681" s="37" t="n">
        <f aca="false">1+IF($G$8=$E$8,$F$8,IF(R681&lt;($F$8-$E$8)/($G$8-$E$8),$E$8+SQRT(R681*($G$8-$E$8)*($F$8-$E$8)),$G$8-SQRT((1-R681)*($G$8-$E$8)*($G$8-$F$8))))</f>
        <v>1.00868183313591</v>
      </c>
      <c r="E681" s="37" t="n">
        <f aca="false">1+IF($G$9=$E$9,$F$9,IF(S681&lt;($F$9-$E$9)/($G$9-$E$9),$E$9+SQRT(S681*($G$9-$E$9)*($F$9-$E$9)),$G$9-SQRT((1-S681)*($G$9-$E$9)*($G$9-$F$9))))</f>
        <v>0.998818694758633</v>
      </c>
      <c r="F681" s="37" t="n">
        <f aca="false">1+IF($G$10=$E$10,$F$10,IF(T681&lt;($F$10-$E$10)/($G$10-$E$10),$E$10+SQRT(T681*($G$10-$E$10)*($F$10-$E$10)),$G$10-SQRT((1-T681)*($G$10-$E$10)*($G$10-$F$10))))</f>
        <v>1.00513553416415</v>
      </c>
      <c r="G681" s="38" t="n">
        <f aca="false">IF($G$11=$E$11,$F$11,IF(U681&lt;($F$11-$E$11)/($G$11-$E$11),$E$11+SQRT(U681*($G$11-$E$11)*($F$11-$E$11)),$G$11-SQRT((1-U681)*($G$11-$E$11)*($G$11-$F$11))))</f>
        <v>0.106113467811319</v>
      </c>
      <c r="H681" s="39" t="n">
        <f aca="false">(('Business Case'!B11*$C681*'Business Case'!B12*$B681)-'Business Case'!B11*$C681*'Business Case'!B13*$D681-'Business Case'!B14*$E681)-MAX(0,(('Business Case'!B11*$C681*'Business Case'!B12*$B681)-'Business Case'!B11*$C681*'Business Case'!B13*$D681-'Business Case'!B14*$E681))*'Business Case'!$B$7-'Business Case'!$B$8*('Business Case'!B11*$C681*'Business Case'!B12*$B681)-'Business Case'!B15*$F681</f>
        <v>-2010271068.32831</v>
      </c>
      <c r="I681" s="39" t="n">
        <f aca="false">(('Business Case'!C11*$C681*'Business Case'!C12*$B681)-'Business Case'!C11*$C681*'Business Case'!C13*$D681-'Business Case'!C14*$E681)-MAX(0,(('Business Case'!C11*$C681*'Business Case'!C12*$B681)-'Business Case'!C11*$C681*'Business Case'!C13*$D681-'Business Case'!C14*$E681))*'Business Case'!$B$7-'Business Case'!$B$8*(('Business Case'!C11*$C681*'Business Case'!C12*$B681)-('Business Case'!B11*$C681*'Business Case'!B12*$B681))-'Business Case'!C15*$F681</f>
        <v>30802222.2433834</v>
      </c>
      <c r="J681" s="39" t="n">
        <f aca="false">(('Business Case'!D11*$C681*'Business Case'!D12*$B681)-'Business Case'!D11*$C681*'Business Case'!D13*$D681-'Business Case'!D14*$E681)-MAX(0,(('Business Case'!D11*$C681*'Business Case'!D12*$B681)-'Business Case'!D11*$C681*'Business Case'!D13*$D681-'Business Case'!D14*$E681))*'Business Case'!$B$7-'Business Case'!$B$8*(('Business Case'!D11*$C681*'Business Case'!D12*$B681)-('Business Case'!C11*$C681*'Business Case'!C12*$B681))-'Business Case'!D15*$F681</f>
        <v>357767973.672034</v>
      </c>
      <c r="K681" s="39" t="n">
        <f aca="false">(('Business Case'!E11*$C681*'Business Case'!E12*$B681)-'Business Case'!E11*$C681*'Business Case'!E13*$D681-'Business Case'!E14*$E681)-MAX(0,(('Business Case'!E11*$C681*'Business Case'!E12*$B681)-'Business Case'!E11*$C681*'Business Case'!E13*$D681-'Business Case'!E14*$E681))*'Business Case'!$B$7-'Business Case'!$B$8*(('Business Case'!E11*$C681*'Business Case'!E12*$B681)-('Business Case'!D11*$C681*'Business Case'!D12*$B681))-'Business Case'!E15*$F681</f>
        <v>734990501.808892</v>
      </c>
      <c r="L681" s="39" t="n">
        <f aca="false">(('Business Case'!F11*$C681*'Business Case'!F12*$B681)-'Business Case'!F11*$C681*'Business Case'!F13*$D681-'Business Case'!F14*$E681)-MAX(0,(('Business Case'!F11*$C681*'Business Case'!F12*$B681)-'Business Case'!F11*$C681*'Business Case'!F13*$D681-'Business Case'!F14*$E681))*'Business Case'!$B$7-'Business Case'!$B$8*(('Business Case'!F11*$C681*'Business Case'!F12*$B681)-('Business Case'!E11*$C681*'Business Case'!E12*$B681))-'Business Case'!F15*$F681</f>
        <v>879724390.534559</v>
      </c>
      <c r="M681" s="39" t="n">
        <f aca="false">(('Business Case'!G11*$C681*'Business Case'!G12*$B681)-'Business Case'!G11*$C681*'Business Case'!G13*$D681-'Business Case'!G14*$E681)-MAX(0,(('Business Case'!G11*$C681*'Business Case'!G12*$B681)-'Business Case'!G11*$C681*'Business Case'!G13*$D681-'Business Case'!G14*$E681))*'Business Case'!$B$7-'Business Case'!$B$8*(('Business Case'!G11*$C681*'Business Case'!G12*$B681)-('Business Case'!F11*$C681*'Business Case'!F12*$B681))-'Business Case'!G15*$F681+'Business Case'!$B$8*('Business Case'!G11*$C681*'Business Case'!G12*$B681)</f>
        <v>1076323567.5732</v>
      </c>
      <c r="N681" s="39" t="n">
        <f aca="false">IF(COUNT('Business Case'!B11:G11)=0,"",H681+NPV(G681,I681:M681))</f>
        <v>90832453.449012</v>
      </c>
      <c r="P681" s="40" t="n">
        <f aca="true">RAND()</f>
        <v>0.927458135862362</v>
      </c>
      <c r="Q681" s="40" t="n">
        <f aca="true">RAND()</f>
        <v>0.698846360846732</v>
      </c>
      <c r="R681" s="40" t="n">
        <f aca="true">RAND()</f>
        <v>0.444066160038873</v>
      </c>
      <c r="S681" s="40" t="n">
        <f aca="true">RAND()</f>
        <v>0.390605377351996</v>
      </c>
      <c r="T681" s="40" t="n">
        <f aca="true">RAND()</f>
        <v>0.200551911612338</v>
      </c>
      <c r="U681" s="40" t="n">
        <f aca="true">RAND()</f>
        <v>0.619622386666068</v>
      </c>
    </row>
    <row r="682" customFormat="false" ht="15" hidden="false" customHeight="false" outlineLevel="0" collapsed="false">
      <c r="A682" s="36" t="n">
        <v>602</v>
      </c>
      <c r="B682" s="37" t="n">
        <f aca="false">1+IF($G$6=$E$6,$F$6,IF(P682&lt;($F$6-$E$6)/($G$6-$E$6),$E$6+SQRT(P682*($G$6-$E$6)*($F$6-$E$6)),$G$6-SQRT((1-P682)*($G$6-$E$6)*($G$6-$F$6))))</f>
        <v>0.96439148130179</v>
      </c>
      <c r="C682" s="37" t="n">
        <f aca="false">1+IF($G$7=$E$7,$F$7,IF(Q682&lt;($F$7-$E$7)/($G$7-$E$7),$E$7+SQRT(Q682*($G$7-$E$7)*($F$7-$E$7)),$G$7-SQRT((1-Q682)*($G$7-$E$7)*($G$7-$F$7))))</f>
        <v>1.1413501164807</v>
      </c>
      <c r="D682" s="37" t="n">
        <f aca="false">1+IF($G$8=$E$8,$F$8,IF(R682&lt;($F$8-$E$8)/($G$8-$E$8),$E$8+SQRT(R682*($G$8-$E$8)*($F$8-$E$8)),$G$8-SQRT((1-R682)*($G$8-$E$8)*($G$8-$F$8))))</f>
        <v>1.03335071582441</v>
      </c>
      <c r="E682" s="37" t="n">
        <f aca="false">1+IF($G$9=$E$9,$F$9,IF(S682&lt;($F$9-$E$9)/($G$9-$E$9),$E$9+SQRT(S682*($G$9-$E$9)*($F$9-$E$9)),$G$9-SQRT((1-S682)*($G$9-$E$9)*($G$9-$F$9))))</f>
        <v>0.96501273686257</v>
      </c>
      <c r="F682" s="37" t="n">
        <f aca="false">1+IF($G$10=$E$10,$F$10,IF(T682&lt;($F$10-$E$10)/($G$10-$E$10),$E$10+SQRT(T682*($G$10-$E$10)*($F$10-$E$10)),$G$10-SQRT((1-T682)*($G$10-$E$10)*($G$10-$F$10))))</f>
        <v>1.07768228582033</v>
      </c>
      <c r="G682" s="38" t="n">
        <f aca="false">IF($G$11=$E$11,$F$11,IF(U682&lt;($F$11-$E$11)/($G$11-$E$11),$E$11+SQRT(U682*($G$11-$E$11)*($F$11-$E$11)),$G$11-SQRT((1-U682)*($G$11-$E$11)*($G$11-$F$11))))</f>
        <v>0.095445238886026</v>
      </c>
      <c r="H682" s="39" t="n">
        <f aca="false">(('Business Case'!B11*$C682*'Business Case'!B12*$B682)-'Business Case'!B11*$C682*'Business Case'!B13*$D682-'Business Case'!B14*$E682)-MAX(0,(('Business Case'!B11*$C682*'Business Case'!B12*$B682)-'Business Case'!B11*$C682*'Business Case'!B13*$D682-'Business Case'!B14*$E682))*'Business Case'!$B$7-'Business Case'!$B$8*('Business Case'!B11*$C682*'Business Case'!B12*$B682)-'Business Case'!B15*$F682</f>
        <v>-2155364571.64067</v>
      </c>
      <c r="I682" s="39" t="n">
        <f aca="false">(('Business Case'!C11*$C682*'Business Case'!C12*$B682)-'Business Case'!C11*$C682*'Business Case'!C13*$D682-'Business Case'!C14*$E682)-MAX(0,(('Business Case'!C11*$C682*'Business Case'!C12*$B682)-'Business Case'!C11*$C682*'Business Case'!C13*$D682-'Business Case'!C14*$E682))*'Business Case'!$B$7-'Business Case'!$B$8*(('Business Case'!C11*$C682*'Business Case'!C12*$B682)-('Business Case'!B11*$C682*'Business Case'!B12*$B682))-'Business Case'!C15*$F682</f>
        <v>-4260492.94953522</v>
      </c>
      <c r="J682" s="39" t="n">
        <f aca="false">(('Business Case'!D11*$C682*'Business Case'!D12*$B682)-'Business Case'!D11*$C682*'Business Case'!D13*$D682-'Business Case'!D14*$E682)-MAX(0,(('Business Case'!D11*$C682*'Business Case'!D12*$B682)-'Business Case'!D11*$C682*'Business Case'!D13*$D682-'Business Case'!D14*$E682))*'Business Case'!$B$7-'Business Case'!$B$8*(('Business Case'!D11*$C682*'Business Case'!D12*$B682)-('Business Case'!C11*$C682*'Business Case'!C12*$B682))-'Business Case'!D15*$F682</f>
        <v>293532773.666971</v>
      </c>
      <c r="K682" s="39" t="n">
        <f aca="false">(('Business Case'!E11*$C682*'Business Case'!E12*$B682)-'Business Case'!E11*$C682*'Business Case'!E13*$D682-'Business Case'!E14*$E682)-MAX(0,(('Business Case'!E11*$C682*'Business Case'!E12*$B682)-'Business Case'!E11*$C682*'Business Case'!E13*$D682-'Business Case'!E14*$E682))*'Business Case'!$B$7-'Business Case'!$B$8*(('Business Case'!E11*$C682*'Business Case'!E12*$B682)-('Business Case'!D11*$C682*'Business Case'!D12*$B682))-'Business Case'!E15*$F682</f>
        <v>645210154.574494</v>
      </c>
      <c r="L682" s="39" t="n">
        <f aca="false">(('Business Case'!F11*$C682*'Business Case'!F12*$B682)-'Business Case'!F11*$C682*'Business Case'!F13*$D682-'Business Case'!F14*$E682)-MAX(0,(('Business Case'!F11*$C682*'Business Case'!F12*$B682)-'Business Case'!F11*$C682*'Business Case'!F13*$D682-'Business Case'!F14*$E682))*'Business Case'!$B$7-'Business Case'!$B$8*(('Business Case'!F11*$C682*'Business Case'!F12*$B682)-('Business Case'!E11*$C682*'Business Case'!E12*$B682))-'Business Case'!F15*$F682</f>
        <v>782515056.648097</v>
      </c>
      <c r="M682" s="39" t="n">
        <f aca="false">(('Business Case'!G11*$C682*'Business Case'!G12*$B682)-'Business Case'!G11*$C682*'Business Case'!G13*$D682-'Business Case'!G14*$E682)-MAX(0,(('Business Case'!G11*$C682*'Business Case'!G12*$B682)-'Business Case'!G11*$C682*'Business Case'!G13*$D682-'Business Case'!G14*$E682))*'Business Case'!$B$7-'Business Case'!$B$8*(('Business Case'!G11*$C682*'Business Case'!G12*$B682)-('Business Case'!F11*$C682*'Business Case'!F12*$B682))-'Business Case'!G15*$F682+'Business Case'!$B$8*('Business Case'!G11*$C682*'Business Case'!G12*$B682)</f>
        <v>991737695.92265</v>
      </c>
      <c r="N682" s="39" t="n">
        <f aca="false">IF(COUNT('Business Case'!B11:G11)=0,"",H682+NPV(G682,I682:M682))</f>
        <v>-251702445.992808</v>
      </c>
      <c r="P682" s="40" t="n">
        <f aca="true">RAND()</f>
        <v>0.276417524282588</v>
      </c>
      <c r="Q682" s="40" t="n">
        <f aca="true">RAND()</f>
        <v>0.998891548371891</v>
      </c>
      <c r="R682" s="40" t="n">
        <f aca="true">RAND()</f>
        <v>0.703858194592121</v>
      </c>
      <c r="S682" s="40" t="n">
        <f aca="true">RAND()</f>
        <v>0.169066238174472</v>
      </c>
      <c r="T682" s="40" t="n">
        <f aca="true">RAND()</f>
        <v>0.604088071731935</v>
      </c>
      <c r="U682" s="40" t="n">
        <f aca="true">RAND()</f>
        <v>0.23855540424641</v>
      </c>
    </row>
    <row r="683" customFormat="false" ht="15" hidden="false" customHeight="false" outlineLevel="0" collapsed="false">
      <c r="A683" s="36" t="n">
        <v>603</v>
      </c>
      <c r="B683" s="37" t="n">
        <f aca="false">1+IF($G$6=$E$6,$F$6,IF(P683&lt;($F$6-$E$6)/($G$6-$E$6),$E$6+SQRT(P683*($G$6-$E$6)*($F$6-$E$6)),$G$6-SQRT((1-P683)*($G$6-$E$6)*($G$6-$F$6))))</f>
        <v>0.946130628131354</v>
      </c>
      <c r="C683" s="37" t="n">
        <f aca="false">1+IF($G$7=$E$7,$F$7,IF(Q683&lt;($F$7-$E$7)/($G$7-$E$7),$E$7+SQRT(Q683*($G$7-$E$7)*($F$7-$E$7)),$G$7-SQRT((1-Q683)*($G$7-$E$7)*($G$7-$F$7))))</f>
        <v>0.931088857974931</v>
      </c>
      <c r="D683" s="37" t="n">
        <f aca="false">1+IF($G$8=$E$8,$F$8,IF(R683&lt;($F$8-$E$8)/($G$8-$E$8),$E$8+SQRT(R683*($G$8-$E$8)*($F$8-$E$8)),$G$8-SQRT((1-R683)*($G$8-$E$8)*($G$8-$F$8))))</f>
        <v>1.0064650439589</v>
      </c>
      <c r="E683" s="37" t="n">
        <f aca="false">1+IF($G$9=$E$9,$F$9,IF(S683&lt;($F$9-$E$9)/($G$9-$E$9),$E$9+SQRT(S683*($G$9-$E$9)*($F$9-$E$9)),$G$9-SQRT((1-S683)*($G$9-$E$9)*($G$9-$F$9))))</f>
        <v>1.05591922813797</v>
      </c>
      <c r="F683" s="37" t="n">
        <f aca="false">1+IF($G$10=$E$10,$F$10,IF(T683&lt;($F$10-$E$10)/($G$10-$E$10),$E$10+SQRT(T683*($G$10-$E$10)*($F$10-$E$10)),$G$10-SQRT((1-T683)*($G$10-$E$10)*($G$10-$F$10))))</f>
        <v>1.02917631537428</v>
      </c>
      <c r="G683" s="38" t="n">
        <f aca="false">IF($G$11=$E$11,$F$11,IF(U683&lt;($F$11-$E$11)/($G$11-$E$11),$E$11+SQRT(U683*($G$11-$E$11)*($F$11-$E$11)),$G$11-SQRT((1-U683)*($G$11-$E$11)*($G$11-$F$11))))</f>
        <v>0.0929167946672084</v>
      </c>
      <c r="H683" s="39" t="n">
        <f aca="false">(('Business Case'!B11*$C683*'Business Case'!B12*$B683)-'Business Case'!B11*$C683*'Business Case'!B13*$D683-'Business Case'!B14*$E683)-MAX(0,(('Business Case'!B11*$C683*'Business Case'!B12*$B683)-'Business Case'!B11*$C683*'Business Case'!B13*$D683-'Business Case'!B14*$E683))*'Business Case'!$B$7-'Business Case'!$B$8*('Business Case'!B11*$C683*'Business Case'!B12*$B683)-'Business Case'!B15*$F683</f>
        <v>-2058352630.74857</v>
      </c>
      <c r="I683" s="39" t="n">
        <f aca="false">(('Business Case'!C11*$C683*'Business Case'!C12*$B683)-'Business Case'!C11*$C683*'Business Case'!C13*$D683-'Business Case'!C14*$E683)-MAX(0,(('Business Case'!C11*$C683*'Business Case'!C12*$B683)-'Business Case'!C11*$C683*'Business Case'!C13*$D683-'Business Case'!C14*$E683))*'Business Case'!$B$7-'Business Case'!$B$8*(('Business Case'!C11*$C683*'Business Case'!C12*$B683)-('Business Case'!B11*$C683*'Business Case'!B12*$B683))-'Business Case'!C15*$F683</f>
        <v>-56914892.6084059</v>
      </c>
      <c r="J683" s="39" t="n">
        <f aca="false">(('Business Case'!D11*$C683*'Business Case'!D12*$B683)-'Business Case'!D11*$C683*'Business Case'!D13*$D683-'Business Case'!D14*$E683)-MAX(0,(('Business Case'!D11*$C683*'Business Case'!D12*$B683)-'Business Case'!D11*$C683*'Business Case'!D13*$D683-'Business Case'!D14*$E683))*'Business Case'!$B$7-'Business Case'!$B$8*(('Business Case'!D11*$C683*'Business Case'!D12*$B683)-('Business Case'!C11*$C683*'Business Case'!C12*$B683))-'Business Case'!D15*$F683</f>
        <v>184907059.16625</v>
      </c>
      <c r="K683" s="39" t="n">
        <f aca="false">(('Business Case'!E11*$C683*'Business Case'!E12*$B683)-'Business Case'!E11*$C683*'Business Case'!E13*$D683-'Business Case'!E14*$E683)-MAX(0,(('Business Case'!E11*$C683*'Business Case'!E12*$B683)-'Business Case'!E11*$C683*'Business Case'!E13*$D683-'Business Case'!E14*$E683))*'Business Case'!$B$7-'Business Case'!$B$8*(('Business Case'!E11*$C683*'Business Case'!E12*$B683)-('Business Case'!D11*$C683*'Business Case'!D12*$B683))-'Business Case'!E15*$F683</f>
        <v>478187826.70962</v>
      </c>
      <c r="L683" s="39" t="n">
        <f aca="false">(('Business Case'!F11*$C683*'Business Case'!F12*$B683)-'Business Case'!F11*$C683*'Business Case'!F13*$D683-'Business Case'!F14*$E683)-MAX(0,(('Business Case'!F11*$C683*'Business Case'!F12*$B683)-'Business Case'!F11*$C683*'Business Case'!F13*$D683-'Business Case'!F14*$E683))*'Business Case'!$B$7-'Business Case'!$B$8*(('Business Case'!F11*$C683*'Business Case'!F12*$B683)-('Business Case'!E11*$C683*'Business Case'!E12*$B683))-'Business Case'!F15*$F683</f>
        <v>589240143.037448</v>
      </c>
      <c r="M683" s="39" t="n">
        <f aca="false">(('Business Case'!G11*$C683*'Business Case'!G12*$B683)-'Business Case'!G11*$C683*'Business Case'!G13*$D683-'Business Case'!G14*$E683)-MAX(0,(('Business Case'!G11*$C683*'Business Case'!G12*$B683)-'Business Case'!G11*$C683*'Business Case'!G13*$D683-'Business Case'!G14*$E683))*'Business Case'!$B$7-'Business Case'!$B$8*(('Business Case'!G11*$C683*'Business Case'!G12*$B683)-('Business Case'!F11*$C683*'Business Case'!F12*$B683))-'Business Case'!G15*$F683+'Business Case'!$B$8*('Business Case'!G11*$C683*'Business Case'!G12*$B683)</f>
        <v>756687637.920298</v>
      </c>
      <c r="N683" s="39" t="n">
        <f aca="false">IF(COUNT('Business Case'!B11:G11)=0,"",H683+NPV(G683,I683:M683))</f>
        <v>-691063950.004115</v>
      </c>
      <c r="P683" s="40" t="n">
        <f aca="true">RAND()</f>
        <v>0.14186899011955</v>
      </c>
      <c r="Q683" s="40" t="n">
        <f aca="true">RAND()</f>
        <v>0.395570816890059</v>
      </c>
      <c r="R683" s="40" t="n">
        <f aca="true">RAND()</f>
        <v>0.416747466559283</v>
      </c>
      <c r="S683" s="40" t="n">
        <f aca="true">RAND()</f>
        <v>0.763968223089215</v>
      </c>
      <c r="T683" s="40" t="n">
        <f aca="true">RAND()</f>
        <v>0.349825337444291</v>
      </c>
      <c r="U683" s="40" t="n">
        <f aca="true">RAND()</f>
        <v>0.166843584474822</v>
      </c>
    </row>
    <row r="684" customFormat="false" ht="15" hidden="false" customHeight="false" outlineLevel="0" collapsed="false">
      <c r="A684" s="36" t="n">
        <v>604</v>
      </c>
      <c r="B684" s="37" t="n">
        <f aca="false">1+IF($G$6=$E$6,$F$6,IF(P684&lt;($F$6-$E$6)/($G$6-$E$6),$E$6+SQRT(P684*($G$6-$E$6)*($F$6-$E$6)),$G$6-SQRT((1-P684)*($G$6-$E$6)*($G$6-$F$6))))</f>
        <v>1.01326687710254</v>
      </c>
      <c r="C684" s="37" t="n">
        <f aca="false">1+IF($G$7=$E$7,$F$7,IF(Q684&lt;($F$7-$E$7)/($G$7-$E$7),$E$7+SQRT(Q684*($G$7-$E$7)*($F$7-$E$7)),$G$7-SQRT((1-Q684)*($G$7-$E$7)*($G$7-$F$7))))</f>
        <v>1.05337762916105</v>
      </c>
      <c r="D684" s="37" t="n">
        <f aca="false">1+IF($G$8=$E$8,$F$8,IF(R684&lt;($F$8-$E$8)/($G$8-$E$8),$E$8+SQRT(R684*($G$8-$E$8)*($F$8-$E$8)),$G$8-SQRT((1-R684)*($G$8-$E$8)*($G$8-$F$8))))</f>
        <v>1.00458247312818</v>
      </c>
      <c r="E684" s="37" t="n">
        <f aca="false">1+IF($G$9=$E$9,$F$9,IF(S684&lt;($F$9-$E$9)/($G$9-$E$9),$E$9+SQRT(S684*($G$9-$E$9)*($F$9-$E$9)),$G$9-SQRT((1-S684)*($G$9-$E$9)*($G$9-$F$9))))</f>
        <v>0.988206289520439</v>
      </c>
      <c r="F684" s="37" t="n">
        <f aca="false">1+IF($G$10=$E$10,$F$10,IF(T684&lt;($F$10-$E$10)/($G$10-$E$10),$E$10+SQRT(T684*($G$10-$E$10)*($F$10-$E$10)),$G$10-SQRT((1-T684)*($G$10-$E$10)*($G$10-$F$10))))</f>
        <v>1.1274053396262</v>
      </c>
      <c r="G684" s="38" t="n">
        <f aca="false">IF($G$11=$E$11,$F$11,IF(U684&lt;($F$11-$E$11)/($G$11-$E$11),$E$11+SQRT(U684*($G$11-$E$11)*($F$11-$E$11)),$G$11-SQRT((1-U684)*($G$11-$E$11)*($G$11-$F$11))))</f>
        <v>0.123844191100924</v>
      </c>
      <c r="H684" s="39" t="n">
        <f aca="false">(('Business Case'!B11*$C684*'Business Case'!B12*$B684)-'Business Case'!B11*$C684*'Business Case'!B13*$D684-'Business Case'!B14*$E684)-MAX(0,(('Business Case'!B11*$C684*'Business Case'!B12*$B684)-'Business Case'!B11*$C684*'Business Case'!B13*$D684-'Business Case'!B14*$E684))*'Business Case'!$B$7-'Business Case'!$B$8*('Business Case'!B11*$C684*'Business Case'!B12*$B684)-'Business Case'!B15*$F684</f>
        <v>-2254810679.25241</v>
      </c>
      <c r="I684" s="39" t="n">
        <f aca="false">(('Business Case'!C11*$C684*'Business Case'!C12*$B684)-'Business Case'!C11*$C684*'Business Case'!C13*$D684-'Business Case'!C14*$E684)-MAX(0,(('Business Case'!C11*$C684*'Business Case'!C12*$B684)-'Business Case'!C11*$C684*'Business Case'!C13*$D684-'Business Case'!C14*$E684))*'Business Case'!$B$7-'Business Case'!$B$8*(('Business Case'!C11*$C684*'Business Case'!C12*$B684)-('Business Case'!B11*$C684*'Business Case'!B12*$B684))-'Business Case'!C15*$F684</f>
        <v>23927496.2591591</v>
      </c>
      <c r="J684" s="39" t="n">
        <f aca="false">(('Business Case'!D11*$C684*'Business Case'!D12*$B684)-'Business Case'!D11*$C684*'Business Case'!D13*$D684-'Business Case'!D14*$E684)-MAX(0,(('Business Case'!D11*$C684*'Business Case'!D12*$B684)-'Business Case'!D11*$C684*'Business Case'!D13*$D684-'Business Case'!D14*$E684))*'Business Case'!$B$7-'Business Case'!$B$8*(('Business Case'!D11*$C684*'Business Case'!D12*$B684)-('Business Case'!C11*$C684*'Business Case'!C12*$B684))-'Business Case'!D15*$F684</f>
        <v>356450022.781936</v>
      </c>
      <c r="K684" s="39" t="n">
        <f aca="false">(('Business Case'!E11*$C684*'Business Case'!E12*$B684)-'Business Case'!E11*$C684*'Business Case'!E13*$D684-'Business Case'!E14*$E684)-MAX(0,(('Business Case'!E11*$C684*'Business Case'!E12*$B684)-'Business Case'!E11*$C684*'Business Case'!E13*$D684-'Business Case'!E14*$E684))*'Business Case'!$B$7-'Business Case'!$B$8*(('Business Case'!E11*$C684*'Business Case'!E12*$B684)-('Business Case'!D11*$C684*'Business Case'!D12*$B684))-'Business Case'!E15*$F684</f>
        <v>745342816.286023</v>
      </c>
      <c r="L684" s="39" t="n">
        <f aca="false">(('Business Case'!F11*$C684*'Business Case'!F12*$B684)-'Business Case'!F11*$C684*'Business Case'!F13*$D684-'Business Case'!F14*$E684)-MAX(0,(('Business Case'!F11*$C684*'Business Case'!F12*$B684)-'Business Case'!F11*$C684*'Business Case'!F13*$D684-'Business Case'!F14*$E684))*'Business Case'!$B$7-'Business Case'!$B$8*(('Business Case'!F11*$C684*'Business Case'!F12*$B684)-('Business Case'!E11*$C684*'Business Case'!E12*$B684))-'Business Case'!F15*$F684</f>
        <v>893071366.414409</v>
      </c>
      <c r="M684" s="39" t="n">
        <f aca="false">(('Business Case'!G11*$C684*'Business Case'!G12*$B684)-'Business Case'!G11*$C684*'Business Case'!G13*$D684-'Business Case'!G14*$E684)-MAX(0,(('Business Case'!G11*$C684*'Business Case'!G12*$B684)-'Business Case'!G11*$C684*'Business Case'!G13*$D684-'Business Case'!G14*$E684))*'Business Case'!$B$7-'Business Case'!$B$8*(('Business Case'!G11*$C684*'Business Case'!G12*$B684)-('Business Case'!F11*$C684*'Business Case'!F12*$B684))-'Business Case'!G15*$F684+'Business Case'!$B$8*('Business Case'!G11*$C684*'Business Case'!G12*$B684)</f>
        <v>1095953760.16211</v>
      </c>
      <c r="N684" s="39" t="n">
        <f aca="false">IF(COUNT('Business Case'!B11:G11)=0,"",H684+NPV(G684,I684:M684))</f>
        <v>-255058475.067908</v>
      </c>
      <c r="P684" s="40" t="n">
        <f aca="true">RAND()</f>
        <v>0.820090357626672</v>
      </c>
      <c r="Q684" s="40" t="n">
        <f aca="true">RAND()</f>
        <v>0.861690628940156</v>
      </c>
      <c r="R684" s="40" t="n">
        <f aca="true">RAND()</f>
        <v>0.393033037711078</v>
      </c>
      <c r="S684" s="40" t="n">
        <f aca="true">RAND()</f>
        <v>0.311213980438541</v>
      </c>
      <c r="T684" s="40" t="n">
        <f aca="true">RAND()</f>
        <v>0.799607323304448</v>
      </c>
      <c r="U684" s="40" t="n">
        <f aca="true">RAND()</f>
        <v>0.974737344532039</v>
      </c>
    </row>
    <row r="685" customFormat="false" ht="15" hidden="false" customHeight="false" outlineLevel="0" collapsed="false">
      <c r="A685" s="36" t="n">
        <v>605</v>
      </c>
      <c r="B685" s="37" t="n">
        <f aca="false">1+IF($G$6=$E$6,$F$6,IF(P685&lt;($F$6-$E$6)/($G$6-$E$6),$E$6+SQRT(P685*($G$6-$E$6)*($F$6-$E$6)),$G$6-SQRT((1-P685)*($G$6-$E$6)*($G$6-$F$6))))</f>
        <v>1.00070062980007</v>
      </c>
      <c r="C685" s="37" t="n">
        <f aca="false">1+IF($G$7=$E$7,$F$7,IF(Q685&lt;($F$7-$E$7)/($G$7-$E$7),$E$7+SQRT(Q685*($G$7-$E$7)*($F$7-$E$7)),$G$7-SQRT((1-Q685)*($G$7-$E$7)*($G$7-$F$7))))</f>
        <v>0.991997041114811</v>
      </c>
      <c r="D685" s="37" t="n">
        <f aca="false">1+IF($G$8=$E$8,$F$8,IF(R685&lt;($F$8-$E$8)/($G$8-$E$8),$E$8+SQRT(R685*($G$8-$E$8)*($F$8-$E$8)),$G$8-SQRT((1-R685)*($G$8-$E$8)*($G$8-$F$8))))</f>
        <v>1.05716807616788</v>
      </c>
      <c r="E685" s="37" t="n">
        <f aca="false">1+IF($G$9=$E$9,$F$9,IF(S685&lt;($F$9-$E$9)/($G$9-$E$9),$E$9+SQRT(S685*($G$9-$E$9)*($F$9-$E$9)),$G$9-SQRT((1-S685)*($G$9-$E$9)*($G$9-$F$9))))</f>
        <v>1.02653156542558</v>
      </c>
      <c r="F685" s="37" t="n">
        <f aca="false">1+IF($G$10=$E$10,$F$10,IF(T685&lt;($F$10-$E$10)/($G$10-$E$10),$E$10+SQRT(T685*($G$10-$E$10)*($F$10-$E$10)),$G$10-SQRT((1-T685)*($G$10-$E$10)*($G$10-$F$10))))</f>
        <v>1.13673262555696</v>
      </c>
      <c r="G685" s="38" t="n">
        <f aca="false">IF($G$11=$E$11,$F$11,IF(U685&lt;($F$11-$E$11)/($G$11-$E$11),$E$11+SQRT(U685*($G$11-$E$11)*($F$11-$E$11)),$G$11-SQRT((1-U685)*($G$11-$E$11)*($G$11-$F$11))))</f>
        <v>0.10728067431689</v>
      </c>
      <c r="H685" s="39" t="n">
        <f aca="false">(('Business Case'!B11*$C685*'Business Case'!B12*$B685)-'Business Case'!B11*$C685*'Business Case'!B13*$D685-'Business Case'!B14*$E685)-MAX(0,(('Business Case'!B11*$C685*'Business Case'!B12*$B685)-'Business Case'!B11*$C685*'Business Case'!B13*$D685-'Business Case'!B14*$E685))*'Business Case'!$B$7-'Business Case'!$B$8*('Business Case'!B11*$C685*'Business Case'!B12*$B685)-'Business Case'!B15*$F685</f>
        <v>-2273465251.11392</v>
      </c>
      <c r="I685" s="39" t="n">
        <f aca="false">(('Business Case'!C11*$C685*'Business Case'!C12*$B685)-'Business Case'!C11*$C685*'Business Case'!C13*$D685-'Business Case'!C14*$E685)-MAX(0,(('Business Case'!C11*$C685*'Business Case'!C12*$B685)-'Business Case'!C11*$C685*'Business Case'!C13*$D685-'Business Case'!C14*$E685))*'Business Case'!$B$7-'Business Case'!$B$8*(('Business Case'!C11*$C685*'Business Case'!C12*$B685)-('Business Case'!B11*$C685*'Business Case'!B12*$B685))-'Business Case'!C15*$F685</f>
        <v>-34875330.0569503</v>
      </c>
      <c r="J685" s="39" t="n">
        <f aca="false">(('Business Case'!D11*$C685*'Business Case'!D12*$B685)-'Business Case'!D11*$C685*'Business Case'!D13*$D685-'Business Case'!D14*$E685)-MAX(0,(('Business Case'!D11*$C685*'Business Case'!D12*$B685)-'Business Case'!D11*$C685*'Business Case'!D13*$D685-'Business Case'!D14*$E685))*'Business Case'!$B$7-'Business Case'!$B$8*(('Business Case'!D11*$C685*'Business Case'!D12*$B685)-('Business Case'!C11*$C685*'Business Case'!C12*$B685))-'Business Case'!D15*$F685</f>
        <v>241356547.632882</v>
      </c>
      <c r="K685" s="39" t="n">
        <f aca="false">(('Business Case'!E11*$C685*'Business Case'!E12*$B685)-'Business Case'!E11*$C685*'Business Case'!E13*$D685-'Business Case'!E14*$E685)-MAX(0,(('Business Case'!E11*$C685*'Business Case'!E12*$B685)-'Business Case'!E11*$C685*'Business Case'!E13*$D685-'Business Case'!E14*$E685))*'Business Case'!$B$7-'Business Case'!$B$8*(('Business Case'!E11*$C685*'Business Case'!E12*$B685)-('Business Case'!D11*$C685*'Business Case'!D12*$B685))-'Business Case'!E15*$F685</f>
        <v>574425056.600561</v>
      </c>
      <c r="L685" s="39" t="n">
        <f aca="false">(('Business Case'!F11*$C685*'Business Case'!F12*$B685)-'Business Case'!F11*$C685*'Business Case'!F13*$D685-'Business Case'!F14*$E685)-MAX(0,(('Business Case'!F11*$C685*'Business Case'!F12*$B685)-'Business Case'!F11*$C685*'Business Case'!F13*$D685-'Business Case'!F14*$E685))*'Business Case'!$B$7-'Business Case'!$B$8*(('Business Case'!F11*$C685*'Business Case'!F12*$B685)-('Business Case'!E11*$C685*'Business Case'!E12*$B685))-'Business Case'!F15*$F685</f>
        <v>700809786.888883</v>
      </c>
      <c r="M685" s="39" t="n">
        <f aca="false">(('Business Case'!G11*$C685*'Business Case'!G12*$B685)-'Business Case'!G11*$C685*'Business Case'!G13*$D685-'Business Case'!G14*$E685)-MAX(0,(('Business Case'!G11*$C685*'Business Case'!G12*$B685)-'Business Case'!G11*$C685*'Business Case'!G13*$D685-'Business Case'!G14*$E685))*'Business Case'!$B$7-'Business Case'!$B$8*(('Business Case'!G11*$C685*'Business Case'!G12*$B685)-('Business Case'!F11*$C685*'Business Case'!F12*$B685))-'Business Case'!G15*$F685+'Business Case'!$B$8*('Business Case'!G11*$C685*'Business Case'!G12*$B685)</f>
        <v>889500694.376633</v>
      </c>
      <c r="N685" s="39" t="n">
        <f aca="false">IF(COUNT('Business Case'!B11:G11)=0,"",H685+NPV(G685,I685:M685))</f>
        <v>-684405141.454362</v>
      </c>
      <c r="P685" s="40" t="n">
        <f aca="true">RAND()</f>
        <v>0.675942946385333</v>
      </c>
      <c r="Q685" s="40" t="n">
        <f aca="true">RAND()</f>
        <v>0.631572385331885</v>
      </c>
      <c r="R685" s="40" t="n">
        <f aca="true">RAND()</f>
        <v>0.877695086722652</v>
      </c>
      <c r="S685" s="40" t="n">
        <f aca="true">RAND()</f>
        <v>0.593481217699822</v>
      </c>
      <c r="T685" s="40" t="n">
        <f aca="true">RAND()</f>
        <v>0.828940025157071</v>
      </c>
      <c r="U685" s="40" t="n">
        <f aca="true">RAND()</f>
        <v>0.655888160336527</v>
      </c>
    </row>
    <row r="686" customFormat="false" ht="15" hidden="false" customHeight="false" outlineLevel="0" collapsed="false">
      <c r="A686" s="36" t="n">
        <v>606</v>
      </c>
      <c r="B686" s="37" t="n">
        <f aca="false">1+IF($G$6=$E$6,$F$6,IF(P686&lt;($F$6-$E$6)/($G$6-$E$6),$E$6+SQRT(P686*($G$6-$E$6)*($F$6-$E$6)),$G$6-SQRT((1-P686)*($G$6-$E$6)*($G$6-$F$6))))</f>
        <v>0.972766517510215</v>
      </c>
      <c r="C686" s="37" t="n">
        <f aca="false">1+IF($G$7=$E$7,$F$7,IF(Q686&lt;($F$7-$E$7)/($G$7-$E$7),$E$7+SQRT(Q686*($G$7-$E$7)*($F$7-$E$7)),$G$7-SQRT((1-Q686)*($G$7-$E$7)*($G$7-$F$7))))</f>
        <v>0.817991027900959</v>
      </c>
      <c r="D686" s="37" t="n">
        <f aca="false">1+IF($G$8=$E$8,$F$8,IF(R686&lt;($F$8-$E$8)/($G$8-$E$8),$E$8+SQRT(R686*($G$8-$E$8)*($F$8-$E$8)),$G$8-SQRT((1-R686)*($G$8-$E$8)*($G$8-$F$8))))</f>
        <v>1.01643447500791</v>
      </c>
      <c r="E686" s="37" t="n">
        <f aca="false">1+IF($G$9=$E$9,$F$9,IF(S686&lt;($F$9-$E$9)/($G$9-$E$9),$E$9+SQRT(S686*($G$9-$E$9)*($F$9-$E$9)),$G$9-SQRT((1-S686)*($G$9-$E$9)*($G$9-$F$9))))</f>
        <v>0.973836367316219</v>
      </c>
      <c r="F686" s="37" t="n">
        <f aca="false">1+IF($G$10=$E$10,$F$10,IF(T686&lt;($F$10-$E$10)/($G$10-$E$10),$E$10+SQRT(T686*($G$10-$E$10)*($F$10-$E$10)),$G$10-SQRT((1-T686)*($G$10-$E$10)*($G$10-$F$10))))</f>
        <v>1.05166335244896</v>
      </c>
      <c r="G686" s="38" t="n">
        <f aca="false">IF($G$11=$E$11,$F$11,IF(U686&lt;($F$11-$E$11)/($G$11-$E$11),$E$11+SQRT(U686*($G$11-$E$11)*($F$11-$E$11)),$G$11-SQRT((1-U686)*($G$11-$E$11)*($G$11-$F$11))))</f>
        <v>0.123602548046029</v>
      </c>
      <c r="H686" s="39" t="n">
        <f aca="false">(('Business Case'!B11*$C686*'Business Case'!B12*$B686)-'Business Case'!B11*$C686*'Business Case'!B13*$D686-'Business Case'!B14*$E686)-MAX(0,(('Business Case'!B11*$C686*'Business Case'!B12*$B686)-'Business Case'!B11*$C686*'Business Case'!B13*$D686-'Business Case'!B14*$E686))*'Business Case'!$B$7-'Business Case'!$B$8*('Business Case'!B11*$C686*'Business Case'!B12*$B686)-'Business Case'!B15*$F686</f>
        <v>-2103326704.89792</v>
      </c>
      <c r="I686" s="39" t="n">
        <f aca="false">(('Business Case'!C11*$C686*'Business Case'!C12*$B686)-'Business Case'!C11*$C686*'Business Case'!C13*$D686-'Business Case'!C14*$E686)-MAX(0,(('Business Case'!C11*$C686*'Business Case'!C12*$B686)-'Business Case'!C11*$C686*'Business Case'!C13*$D686-'Business Case'!C14*$E686))*'Business Case'!$B$7-'Business Case'!$B$8*(('Business Case'!C11*$C686*'Business Case'!C12*$B686)-('Business Case'!B11*$C686*'Business Case'!B12*$B686))-'Business Case'!C15*$F686</f>
        <v>-58776242.6009289</v>
      </c>
      <c r="J686" s="39" t="n">
        <f aca="false">(('Business Case'!D11*$C686*'Business Case'!D12*$B686)-'Business Case'!D11*$C686*'Business Case'!D13*$D686-'Business Case'!D14*$E686)-MAX(0,(('Business Case'!D11*$C686*'Business Case'!D12*$B686)-'Business Case'!D11*$C686*'Business Case'!D13*$D686-'Business Case'!D14*$E686))*'Business Case'!$B$7-'Business Case'!$B$8*(('Business Case'!D11*$C686*'Business Case'!D12*$B686)-('Business Case'!C11*$C686*'Business Case'!C12*$B686))-'Business Case'!D15*$F686</f>
        <v>167343209.935456</v>
      </c>
      <c r="K686" s="39" t="n">
        <f aca="false">(('Business Case'!E11*$C686*'Business Case'!E12*$B686)-'Business Case'!E11*$C686*'Business Case'!E13*$D686-'Business Case'!E14*$E686)-MAX(0,(('Business Case'!E11*$C686*'Business Case'!E12*$B686)-'Business Case'!E11*$C686*'Business Case'!E13*$D686-'Business Case'!E14*$E686))*'Business Case'!$B$7-'Business Case'!$B$8*(('Business Case'!E11*$C686*'Business Case'!E12*$B686)-('Business Case'!D11*$C686*'Business Case'!D12*$B686))-'Business Case'!E15*$F686</f>
        <v>446045830.09429</v>
      </c>
      <c r="L686" s="39" t="n">
        <f aca="false">(('Business Case'!F11*$C686*'Business Case'!F12*$B686)-'Business Case'!F11*$C686*'Business Case'!F13*$D686-'Business Case'!F14*$E686)-MAX(0,(('Business Case'!F11*$C686*'Business Case'!F12*$B686)-'Business Case'!F11*$C686*'Business Case'!F13*$D686-'Business Case'!F14*$E686))*'Business Case'!$B$7-'Business Case'!$B$8*(('Business Case'!F11*$C686*'Business Case'!F12*$B686)-('Business Case'!E11*$C686*'Business Case'!E12*$B686))-'Business Case'!F15*$F686</f>
        <v>548918866.579786</v>
      </c>
      <c r="M686" s="39" t="n">
        <f aca="false">(('Business Case'!G11*$C686*'Business Case'!G12*$B686)-'Business Case'!G11*$C686*'Business Case'!G13*$D686-'Business Case'!G14*$E686)-MAX(0,(('Business Case'!G11*$C686*'Business Case'!G12*$B686)-'Business Case'!G11*$C686*'Business Case'!G13*$D686-'Business Case'!G14*$E686))*'Business Case'!$B$7-'Business Case'!$B$8*(('Business Case'!G11*$C686*'Business Case'!G12*$B686)-('Business Case'!F11*$C686*'Business Case'!F12*$B686))-'Business Case'!G15*$F686+'Business Case'!$B$8*('Business Case'!G11*$C686*'Business Case'!G12*$B686)</f>
        <v>700168237.599976</v>
      </c>
      <c r="N686" s="39" t="n">
        <f aca="false">IF(COUNT('Business Case'!B11:G11)=0,"",H686+NPV(G686,I686:M686))</f>
        <v>-973282550.265445</v>
      </c>
      <c r="P686" s="40" t="n">
        <f aca="true">RAND()</f>
        <v>0.352997738037626</v>
      </c>
      <c r="Q686" s="40" t="n">
        <f aca="true">RAND()</f>
        <v>0.103125056778702</v>
      </c>
      <c r="R686" s="40" t="n">
        <f aca="true">RAND()</f>
        <v>0.534453535519798</v>
      </c>
      <c r="S686" s="40" t="n">
        <f aca="true">RAND()</f>
        <v>0.218072365538224</v>
      </c>
      <c r="T686" s="40" t="n">
        <f aca="true">RAND()</f>
        <v>0.475500989842854</v>
      </c>
      <c r="U686" s="40" t="n">
        <f aca="true">RAND()</f>
        <v>0.972715072331086</v>
      </c>
    </row>
    <row r="687" customFormat="false" ht="15" hidden="false" customHeight="false" outlineLevel="0" collapsed="false">
      <c r="A687" s="36" t="n">
        <v>607</v>
      </c>
      <c r="B687" s="37" t="n">
        <f aca="false">1+IF($G$6=$E$6,$F$6,IF(P687&lt;($F$6-$E$6)/($G$6-$E$6),$E$6+SQRT(P687*($G$6-$E$6)*($F$6-$E$6)),$G$6-SQRT((1-P687)*($G$6-$E$6)*($G$6-$F$6))))</f>
        <v>1.03148247938712</v>
      </c>
      <c r="C687" s="37" t="n">
        <f aca="false">1+IF($G$7=$E$7,$F$7,IF(Q687&lt;($F$7-$E$7)/($G$7-$E$7),$E$7+SQRT(Q687*($G$7-$E$7)*($F$7-$E$7)),$G$7-SQRT((1-Q687)*($G$7-$E$7)*($G$7-$F$7))))</f>
        <v>0.897847888742436</v>
      </c>
      <c r="D687" s="37" t="n">
        <f aca="false">1+IF($G$8=$E$8,$F$8,IF(R687&lt;($F$8-$E$8)/($G$8-$E$8),$E$8+SQRT(R687*($G$8-$E$8)*($F$8-$E$8)),$G$8-SQRT((1-R687)*($G$8-$E$8)*($G$8-$F$8))))</f>
        <v>1.01372948323189</v>
      </c>
      <c r="E687" s="37" t="n">
        <f aca="false">1+IF($G$9=$E$9,$F$9,IF(S687&lt;($F$9-$E$9)/($G$9-$E$9),$E$9+SQRT(S687*($G$9-$E$9)*($F$9-$E$9)),$G$9-SQRT((1-S687)*($G$9-$E$9)*($G$9-$F$9))))</f>
        <v>0.980754919573851</v>
      </c>
      <c r="F687" s="37" t="n">
        <f aca="false">1+IF($G$10=$E$10,$F$10,IF(T687&lt;($F$10-$E$10)/($G$10-$E$10),$E$10+SQRT(T687*($G$10-$E$10)*($F$10-$E$10)),$G$10-SQRT((1-T687)*($G$10-$E$10)*($G$10-$F$10))))</f>
        <v>1.08598312810639</v>
      </c>
      <c r="G687" s="38" t="n">
        <f aca="false">IF($G$11=$E$11,$F$11,IF(U687&lt;($F$11-$E$11)/($G$11-$E$11),$E$11+SQRT(U687*($G$11-$E$11)*($F$11-$E$11)),$G$11-SQRT((1-U687)*($G$11-$E$11)*($G$11-$F$11))))</f>
        <v>0.0942018114277555</v>
      </c>
      <c r="H687" s="39" t="n">
        <f aca="false">(('Business Case'!B11*$C687*'Business Case'!B12*$B687)-'Business Case'!B11*$C687*'Business Case'!B13*$D687-'Business Case'!B14*$E687)-MAX(0,(('Business Case'!B11*$C687*'Business Case'!B12*$B687)-'Business Case'!B11*$C687*'Business Case'!B13*$D687-'Business Case'!B14*$E687))*'Business Case'!$B$7-'Business Case'!$B$8*('Business Case'!B11*$C687*'Business Case'!B12*$B687)-'Business Case'!B15*$F687</f>
        <v>-2171966256.21279</v>
      </c>
      <c r="I687" s="39" t="n">
        <f aca="false">(('Business Case'!C11*$C687*'Business Case'!C12*$B687)-'Business Case'!C11*$C687*'Business Case'!C13*$D687-'Business Case'!C14*$E687)-MAX(0,(('Business Case'!C11*$C687*'Business Case'!C12*$B687)-'Business Case'!C11*$C687*'Business Case'!C13*$D687-'Business Case'!C14*$E687))*'Business Case'!$B$7-'Business Case'!$B$8*(('Business Case'!C11*$C687*'Business Case'!C12*$B687)-('Business Case'!B11*$C687*'Business Case'!B12*$B687))-'Business Case'!C15*$F687</f>
        <v>-3453807.48101883</v>
      </c>
      <c r="J687" s="39" t="n">
        <f aca="false">(('Business Case'!D11*$C687*'Business Case'!D12*$B687)-'Business Case'!D11*$C687*'Business Case'!D13*$D687-'Business Case'!D14*$E687)-MAX(0,(('Business Case'!D11*$C687*'Business Case'!D12*$B687)-'Business Case'!D11*$C687*'Business Case'!D13*$D687-'Business Case'!D14*$E687))*'Business Case'!$B$7-'Business Case'!$B$8*(('Business Case'!D11*$C687*'Business Case'!D12*$B687)-('Business Case'!C11*$C687*'Business Case'!C12*$B687))-'Business Case'!D15*$F687</f>
        <v>289163816.165793</v>
      </c>
      <c r="K687" s="39" t="n">
        <f aca="false">(('Business Case'!E11*$C687*'Business Case'!E12*$B687)-'Business Case'!E11*$C687*'Business Case'!E13*$D687-'Business Case'!E14*$E687)-MAX(0,(('Business Case'!E11*$C687*'Business Case'!E12*$B687)-'Business Case'!E11*$C687*'Business Case'!E13*$D687-'Business Case'!E14*$E687))*'Business Case'!$B$7-'Business Case'!$B$8*(('Business Case'!E11*$C687*'Business Case'!E12*$B687)-('Business Case'!D11*$C687*'Business Case'!D12*$B687))-'Business Case'!E15*$F687</f>
        <v>636080596.217924</v>
      </c>
      <c r="L687" s="39" t="n">
        <f aca="false">(('Business Case'!F11*$C687*'Business Case'!F12*$B687)-'Business Case'!F11*$C687*'Business Case'!F13*$D687-'Business Case'!F14*$E687)-MAX(0,(('Business Case'!F11*$C687*'Business Case'!F12*$B687)-'Business Case'!F11*$C687*'Business Case'!F13*$D687-'Business Case'!F14*$E687))*'Business Case'!$B$7-'Business Case'!$B$8*(('Business Case'!F11*$C687*'Business Case'!F12*$B687)-('Business Case'!E11*$C687*'Business Case'!E12*$B687))-'Business Case'!F15*$F687</f>
        <v>765626316.602721</v>
      </c>
      <c r="M687" s="39" t="n">
        <f aca="false">(('Business Case'!G11*$C687*'Business Case'!G12*$B687)-'Business Case'!G11*$C687*'Business Case'!G13*$D687-'Business Case'!G14*$E687)-MAX(0,(('Business Case'!G11*$C687*'Business Case'!G12*$B687)-'Business Case'!G11*$C687*'Business Case'!G13*$D687-'Business Case'!G14*$E687))*'Business Case'!$B$7-'Business Case'!$B$8*(('Business Case'!G11*$C687*'Business Case'!G12*$B687)-('Business Case'!F11*$C687*'Business Case'!F12*$B687))-'Business Case'!G15*$F687+'Business Case'!$B$8*('Business Case'!G11*$C687*'Business Case'!G12*$B687)</f>
        <v>941662135.366615</v>
      </c>
      <c r="N687" s="39" t="n">
        <f aca="false">IF(COUNT('Business Case'!B11:G11)=0,"",H687+NPV(G687,I687:M687))</f>
        <v>-313610345.076006</v>
      </c>
      <c r="P687" s="40" t="n">
        <f aca="true">RAND()</f>
        <v>0.954280190713561</v>
      </c>
      <c r="Q687" s="40" t="n">
        <f aca="true">RAND()</f>
        <v>0.28995397836918</v>
      </c>
      <c r="R687" s="40" t="n">
        <f aca="true">RAND()</f>
        <v>0.503826529104168</v>
      </c>
      <c r="S687" s="40" t="n">
        <f aca="true">RAND()</f>
        <v>0.260854281415163</v>
      </c>
      <c r="T687" s="40" t="n">
        <f aca="true">RAND()</f>
        <v>0.641312876456484</v>
      </c>
      <c r="U687" s="40" t="n">
        <f aca="true">RAND()</f>
        <v>0.201691447829526</v>
      </c>
    </row>
    <row r="688" customFormat="false" ht="15" hidden="false" customHeight="false" outlineLevel="0" collapsed="false">
      <c r="A688" s="36" t="n">
        <v>608</v>
      </c>
      <c r="B688" s="37" t="n">
        <f aca="false">1+IF($G$6=$E$6,$F$6,IF(P688&lt;($F$6-$E$6)/($G$6-$E$6),$E$6+SQRT(P688*($G$6-$E$6)*($F$6-$E$6)),$G$6-SQRT((1-P688)*($G$6-$E$6)*($G$6-$F$6))))</f>
        <v>1.00590171022558</v>
      </c>
      <c r="C688" s="37" t="n">
        <f aca="false">1+IF($G$7=$E$7,$F$7,IF(Q688&lt;($F$7-$E$7)/($G$7-$E$7),$E$7+SQRT(Q688*($G$7-$E$7)*($F$7-$E$7)),$G$7-SQRT((1-Q688)*($G$7-$E$7)*($G$7-$F$7))))</f>
        <v>0.990606718196711</v>
      </c>
      <c r="D688" s="37" t="n">
        <f aca="false">1+IF($G$8=$E$8,$F$8,IF(R688&lt;($F$8-$E$8)/($G$8-$E$8),$E$8+SQRT(R688*($G$8-$E$8)*($F$8-$E$8)),$G$8-SQRT((1-R688)*($G$8-$E$8)*($G$8-$F$8))))</f>
        <v>1.02683526516063</v>
      </c>
      <c r="E688" s="37" t="n">
        <f aca="false">1+IF($G$9=$E$9,$F$9,IF(S688&lt;($F$9-$E$9)/($G$9-$E$9),$E$9+SQRT(S688*($G$9-$E$9)*($F$9-$E$9)),$G$9-SQRT((1-S688)*($G$9-$E$9)*($G$9-$F$9))))</f>
        <v>0.983488777063026</v>
      </c>
      <c r="F688" s="37" t="n">
        <f aca="false">1+IF($G$10=$E$10,$F$10,IF(T688&lt;($F$10-$E$10)/($G$10-$E$10),$E$10+SQRT(T688*($G$10-$E$10)*($F$10-$E$10)),$G$10-SQRT((1-T688)*($G$10-$E$10)*($G$10-$F$10))))</f>
        <v>1.08096322435364</v>
      </c>
      <c r="G688" s="38" t="n">
        <f aca="false">IF($G$11=$E$11,$F$11,IF(U688&lt;($F$11-$E$11)/($G$11-$E$11),$E$11+SQRT(U688*($G$11-$E$11)*($F$11-$E$11)),$G$11-SQRT((1-U688)*($G$11-$E$11)*($G$11-$F$11))))</f>
        <v>0.110533148709092</v>
      </c>
      <c r="H688" s="39" t="n">
        <f aca="false">(('Business Case'!B11*$C688*'Business Case'!B12*$B688)-'Business Case'!B11*$C688*'Business Case'!B13*$D688-'Business Case'!B14*$E688)-MAX(0,(('Business Case'!B11*$C688*'Business Case'!B12*$B688)-'Business Case'!B11*$C688*'Business Case'!B13*$D688-'Business Case'!B14*$E688))*'Business Case'!$B$7-'Business Case'!$B$8*('Business Case'!B11*$C688*'Business Case'!B12*$B688)-'Business Case'!B15*$F688</f>
        <v>-2161926448.70727</v>
      </c>
      <c r="I688" s="39" t="n">
        <f aca="false">(('Business Case'!C11*$C688*'Business Case'!C12*$B688)-'Business Case'!C11*$C688*'Business Case'!C13*$D688-'Business Case'!C14*$E688)-MAX(0,(('Business Case'!C11*$C688*'Business Case'!C12*$B688)-'Business Case'!C11*$C688*'Business Case'!C13*$D688-'Business Case'!C14*$E688))*'Business Case'!$B$7-'Business Case'!$B$8*(('Business Case'!C11*$C688*'Business Case'!C12*$B688)-('Business Case'!B11*$C688*'Business Case'!B12*$B688))-'Business Case'!C15*$F688</f>
        <v>-4157664.40693836</v>
      </c>
      <c r="J688" s="39" t="n">
        <f aca="false">(('Business Case'!D11*$C688*'Business Case'!D12*$B688)-'Business Case'!D11*$C688*'Business Case'!D13*$D688-'Business Case'!D14*$E688)-MAX(0,(('Business Case'!D11*$C688*'Business Case'!D12*$B688)-'Business Case'!D11*$C688*'Business Case'!D13*$D688-'Business Case'!D14*$E688))*'Business Case'!$B$7-'Business Case'!$B$8*(('Business Case'!D11*$C688*'Business Case'!D12*$B688)-('Business Case'!C11*$C688*'Business Case'!C12*$B688))-'Business Case'!D15*$F688</f>
        <v>291289220.824871</v>
      </c>
      <c r="K688" s="39" t="n">
        <f aca="false">(('Business Case'!E11*$C688*'Business Case'!E12*$B688)-'Business Case'!E11*$C688*'Business Case'!E13*$D688-'Business Case'!E14*$E688)-MAX(0,(('Business Case'!E11*$C688*'Business Case'!E12*$B688)-'Business Case'!E11*$C688*'Business Case'!E13*$D688-'Business Case'!E14*$E688))*'Business Case'!$B$7-'Business Case'!$B$8*(('Business Case'!E11*$C688*'Business Case'!E12*$B688)-('Business Case'!D11*$C688*'Business Case'!D12*$B688))-'Business Case'!E15*$F688</f>
        <v>640784267.274362</v>
      </c>
      <c r="L688" s="39" t="n">
        <f aca="false">(('Business Case'!F11*$C688*'Business Case'!F12*$B688)-'Business Case'!F11*$C688*'Business Case'!F13*$D688-'Business Case'!F14*$E688)-MAX(0,(('Business Case'!F11*$C688*'Business Case'!F12*$B688)-'Business Case'!F11*$C688*'Business Case'!F13*$D688-'Business Case'!F14*$E688))*'Business Case'!$B$7-'Business Case'!$B$8*(('Business Case'!F11*$C688*'Business Case'!F12*$B688)-('Business Case'!E11*$C688*'Business Case'!E12*$B688))-'Business Case'!F15*$F688</f>
        <v>773703977.75498</v>
      </c>
      <c r="M688" s="39" t="n">
        <f aca="false">(('Business Case'!G11*$C688*'Business Case'!G12*$B688)-'Business Case'!G11*$C688*'Business Case'!G13*$D688-'Business Case'!G14*$E688)-MAX(0,(('Business Case'!G11*$C688*'Business Case'!G12*$B688)-'Business Case'!G11*$C688*'Business Case'!G13*$D688-'Business Case'!G14*$E688))*'Business Case'!$B$7-'Business Case'!$B$8*(('Business Case'!G11*$C688*'Business Case'!G12*$B688)-('Business Case'!F11*$C688*'Business Case'!F12*$B688))-'Business Case'!G15*$F688+'Business Case'!$B$8*('Business Case'!G11*$C688*'Business Case'!G12*$B688)</f>
        <v>963109762.473393</v>
      </c>
      <c r="N688" s="39" t="n">
        <f aca="false">IF(COUNT('Business Case'!B11:G11)=0,"",H688+NPV(G688,I688:M688))</f>
        <v>-382746063.782283</v>
      </c>
      <c r="P688" s="40" t="n">
        <f aca="true">RAND()</f>
        <v>0.740712111862789</v>
      </c>
      <c r="Q688" s="40" t="n">
        <f aca="true">RAND()</f>
        <v>0.625572330822688</v>
      </c>
      <c r="R688" s="40" t="n">
        <f aca="true">RAND()</f>
        <v>0.643128105059005</v>
      </c>
      <c r="S688" s="40" t="n">
        <f aca="true">RAND()</f>
        <v>0.278815035819186</v>
      </c>
      <c r="T688" s="40" t="n">
        <f aca="true">RAND()</f>
        <v>0.619020913054415</v>
      </c>
      <c r="U688" s="40" t="n">
        <f aca="true">RAND()</f>
        <v>0.747361133878458</v>
      </c>
    </row>
    <row r="689" customFormat="false" ht="15" hidden="false" customHeight="false" outlineLevel="0" collapsed="false">
      <c r="A689" s="36" t="n">
        <v>609</v>
      </c>
      <c r="B689" s="37" t="n">
        <f aca="false">1+IF($G$6=$E$6,$F$6,IF(P689&lt;($F$6-$E$6)/($G$6-$E$6),$E$6+SQRT(P689*($G$6-$E$6)*($F$6-$E$6)),$G$6-SQRT((1-P689)*($G$6-$E$6)*($G$6-$F$6))))</f>
        <v>0.944864242296976</v>
      </c>
      <c r="C689" s="37" t="n">
        <f aca="false">1+IF($G$7=$E$7,$F$7,IF(Q689&lt;($F$7-$E$7)/($G$7-$E$7),$E$7+SQRT(Q689*($G$7-$E$7)*($F$7-$E$7)),$G$7-SQRT((1-Q689)*($G$7-$E$7)*($G$7-$F$7))))</f>
        <v>0.991320410071532</v>
      </c>
      <c r="D689" s="37" t="n">
        <f aca="false">1+IF($G$8=$E$8,$F$8,IF(R689&lt;($F$8-$E$8)/($G$8-$E$8),$E$8+SQRT(R689*($G$8-$E$8)*($F$8-$E$8)),$G$8-SQRT((1-R689)*($G$8-$E$8)*($G$8-$F$8))))</f>
        <v>0.987459965067888</v>
      </c>
      <c r="E689" s="37" t="n">
        <f aca="false">1+IF($G$9=$E$9,$F$9,IF(S689&lt;($F$9-$E$9)/($G$9-$E$9),$E$9+SQRT(S689*($G$9-$E$9)*($F$9-$E$9)),$G$9-SQRT((1-S689)*($G$9-$E$9)*($G$9-$F$9))))</f>
        <v>0.979059446058306</v>
      </c>
      <c r="F689" s="37" t="n">
        <f aca="false">1+IF($G$10=$E$10,$F$10,IF(T689&lt;($F$10-$E$10)/($G$10-$E$10),$E$10+SQRT(T689*($G$10-$E$10)*($F$10-$E$10)),$G$10-SQRT((1-T689)*($G$10-$E$10)*($G$10-$F$10))))</f>
        <v>1.15520477861085</v>
      </c>
      <c r="G689" s="38" t="n">
        <f aca="false">IF($G$11=$E$11,$F$11,IF(U689&lt;($F$11-$E$11)/($G$11-$E$11),$E$11+SQRT(U689*($G$11-$E$11)*($F$11-$E$11)),$G$11-SQRT((1-U689)*($G$11-$E$11)*($G$11-$F$11))))</f>
        <v>0.0970460775821001</v>
      </c>
      <c r="H689" s="39" t="n">
        <f aca="false">(('Business Case'!B11*$C689*'Business Case'!B12*$B689)-'Business Case'!B11*$C689*'Business Case'!B13*$D689-'Business Case'!B14*$E689)-MAX(0,(('Business Case'!B11*$C689*'Business Case'!B12*$B689)-'Business Case'!B11*$C689*'Business Case'!B13*$D689-'Business Case'!B14*$E689))*'Business Case'!$B$7-'Business Case'!$B$8*('Business Case'!B11*$C689*'Business Case'!B12*$B689)-'Business Case'!B15*$F689</f>
        <v>-2310409557.22171</v>
      </c>
      <c r="I689" s="39" t="n">
        <f aca="false">(('Business Case'!C11*$C689*'Business Case'!C12*$B689)-'Business Case'!C11*$C689*'Business Case'!C13*$D689-'Business Case'!C14*$E689)-MAX(0,(('Business Case'!C11*$C689*'Business Case'!C12*$B689)-'Business Case'!C11*$C689*'Business Case'!C13*$D689-'Business Case'!C14*$E689))*'Business Case'!$B$7-'Business Case'!$B$8*(('Business Case'!C11*$C689*'Business Case'!C12*$B689)-('Business Case'!B11*$C689*'Business Case'!B12*$B689))-'Business Case'!C15*$F689</f>
        <v>-37217712.8089202</v>
      </c>
      <c r="J689" s="39" t="n">
        <f aca="false">(('Business Case'!D11*$C689*'Business Case'!D12*$B689)-'Business Case'!D11*$C689*'Business Case'!D13*$D689-'Business Case'!D14*$E689)-MAX(0,(('Business Case'!D11*$C689*'Business Case'!D12*$B689)-'Business Case'!D11*$C689*'Business Case'!D13*$D689-'Business Case'!D14*$E689))*'Business Case'!$B$7-'Business Case'!$B$8*(('Business Case'!D11*$C689*'Business Case'!D12*$B689)-('Business Case'!C11*$C689*'Business Case'!C12*$B689))-'Business Case'!D15*$F689</f>
        <v>228863926.182494</v>
      </c>
      <c r="K689" s="39" t="n">
        <f aca="false">(('Business Case'!E11*$C689*'Business Case'!E12*$B689)-'Business Case'!E11*$C689*'Business Case'!E13*$D689-'Business Case'!E14*$E689)-MAX(0,(('Business Case'!E11*$C689*'Business Case'!E12*$B689)-'Business Case'!E11*$C689*'Business Case'!E13*$D689-'Business Case'!E14*$E689))*'Business Case'!$B$7-'Business Case'!$B$8*(('Business Case'!E11*$C689*'Business Case'!E12*$B689)-('Business Case'!D11*$C689*'Business Case'!D12*$B689))-'Business Case'!E15*$F689</f>
        <v>552705804.104452</v>
      </c>
      <c r="L689" s="39" t="n">
        <f aca="false">(('Business Case'!F11*$C689*'Business Case'!F12*$B689)-'Business Case'!F11*$C689*'Business Case'!F13*$D689-'Business Case'!F14*$E689)-MAX(0,(('Business Case'!F11*$C689*'Business Case'!F12*$B689)-'Business Case'!F11*$C689*'Business Case'!F13*$D689-'Business Case'!F14*$E689))*'Business Case'!$B$7-'Business Case'!$B$8*(('Business Case'!F11*$C689*'Business Case'!F12*$B689)-('Business Case'!E11*$C689*'Business Case'!E12*$B689))-'Business Case'!F15*$F689</f>
        <v>673770764.241429</v>
      </c>
      <c r="M689" s="39" t="n">
        <f aca="false">(('Business Case'!G11*$C689*'Business Case'!G12*$B689)-'Business Case'!G11*$C689*'Business Case'!G13*$D689-'Business Case'!G14*$E689)-MAX(0,(('Business Case'!G11*$C689*'Business Case'!G12*$B689)-'Business Case'!G11*$C689*'Business Case'!G13*$D689-'Business Case'!G14*$E689))*'Business Case'!$B$7-'Business Case'!$B$8*(('Business Case'!G11*$C689*'Business Case'!G12*$B689)-('Business Case'!F11*$C689*'Business Case'!F12*$B689))-'Business Case'!G15*$F689+'Business Case'!$B$8*('Business Case'!G11*$C689*'Business Case'!G12*$B689)</f>
        <v>851811706.843875</v>
      </c>
      <c r="N689" s="39" t="n">
        <f aca="false">IF(COUNT('Business Case'!B11:G11)=0,"",H689+NPV(G689,I689:M689))</f>
        <v>-734313496.076345</v>
      </c>
      <c r="P689" s="40" t="n">
        <f aca="true">RAND()</f>
        <v>0.134186682458786</v>
      </c>
      <c r="Q689" s="40" t="n">
        <f aca="true">RAND()</f>
        <v>0.628648750549968</v>
      </c>
      <c r="R689" s="40" t="n">
        <f aca="true">RAND()</f>
        <v>0.187099864384987</v>
      </c>
      <c r="S689" s="40" t="n">
        <f aca="true">RAND()</f>
        <v>0.250015840441851</v>
      </c>
      <c r="T689" s="40" t="n">
        <f aca="true">RAND()</f>
        <v>0.880184880023768</v>
      </c>
      <c r="U689" s="40" t="n">
        <f aca="true">RAND()</f>
        <v>0.290568760934974</v>
      </c>
    </row>
    <row r="690" customFormat="false" ht="15" hidden="false" customHeight="false" outlineLevel="0" collapsed="false">
      <c r="A690" s="36" t="n">
        <v>610</v>
      </c>
      <c r="B690" s="37" t="n">
        <f aca="false">1+IF($G$6=$E$6,$F$6,IF(P690&lt;($F$6-$E$6)/($G$6-$E$6),$E$6+SQRT(P690*($G$6-$E$6)*($F$6-$E$6)),$G$6-SQRT((1-P690)*($G$6-$E$6)*($G$6-$F$6))))</f>
        <v>1.00777595735631</v>
      </c>
      <c r="C690" s="37" t="n">
        <f aca="false">1+IF($G$7=$E$7,$F$7,IF(Q690&lt;($F$7-$E$7)/($G$7-$E$7),$E$7+SQRT(Q690*($G$7-$E$7)*($F$7-$E$7)),$G$7-SQRT((1-Q690)*($G$7-$E$7)*($G$7-$F$7))))</f>
        <v>1.02647027297451</v>
      </c>
      <c r="D690" s="37" t="n">
        <f aca="false">1+IF($G$8=$E$8,$F$8,IF(R690&lt;($F$8-$E$8)/($G$8-$E$8),$E$8+SQRT(R690*($G$8-$E$8)*($F$8-$E$8)),$G$8-SQRT((1-R690)*($G$8-$E$8)*($G$8-$F$8))))</f>
        <v>1.02088001958144</v>
      </c>
      <c r="E690" s="37" t="n">
        <f aca="false">1+IF($G$9=$E$9,$F$9,IF(S690&lt;($F$9-$E$9)/($G$9-$E$9),$E$9+SQRT(S690*($G$9-$E$9)*($F$9-$E$9)),$G$9-SQRT((1-S690)*($G$9-$E$9)*($G$9-$F$9))))</f>
        <v>1.06464138389133</v>
      </c>
      <c r="F690" s="37" t="n">
        <f aca="false">1+IF($G$10=$E$10,$F$10,IF(T690&lt;($F$10-$E$10)/($G$10-$E$10),$E$10+SQRT(T690*($G$10-$E$10)*($F$10-$E$10)),$G$10-SQRT((1-T690)*($G$10-$E$10)*($G$10-$F$10))))</f>
        <v>0.997965374379461</v>
      </c>
      <c r="G690" s="38" t="n">
        <f aca="false">IF($G$11=$E$11,$F$11,IF(U690&lt;($F$11-$E$11)/($G$11-$E$11),$E$11+SQRT(U690*($G$11-$E$11)*($F$11-$E$11)),$G$11-SQRT((1-U690)*($G$11-$E$11)*($G$11-$F$11))))</f>
        <v>0.115548270567935</v>
      </c>
      <c r="H690" s="39" t="n">
        <f aca="false">(('Business Case'!B11*$C690*'Business Case'!B12*$B690)-'Business Case'!B11*$C690*'Business Case'!B13*$D690-'Business Case'!B14*$E690)-MAX(0,(('Business Case'!B11*$C690*'Business Case'!B12*$B690)-'Business Case'!B11*$C690*'Business Case'!B13*$D690-'Business Case'!B14*$E690))*'Business Case'!$B$7-'Business Case'!$B$8*('Business Case'!B11*$C690*'Business Case'!B12*$B690)-'Business Case'!B15*$F690</f>
        <v>-1995930748.75892</v>
      </c>
      <c r="I690" s="39" t="n">
        <f aca="false">(('Business Case'!C11*$C690*'Business Case'!C12*$B690)-'Business Case'!C11*$C690*'Business Case'!C13*$D690-'Business Case'!C14*$E690)-MAX(0,(('Business Case'!C11*$C690*'Business Case'!C12*$B690)-'Business Case'!C11*$C690*'Business Case'!C13*$D690-'Business Case'!C14*$E690))*'Business Case'!$B$7-'Business Case'!$B$8*(('Business Case'!C11*$C690*'Business Case'!C12*$B690)-('Business Case'!B11*$C690*'Business Case'!B12*$B690))-'Business Case'!C15*$F690</f>
        <v>6033682.38327999</v>
      </c>
      <c r="J690" s="39" t="n">
        <f aca="false">(('Business Case'!D11*$C690*'Business Case'!D12*$B690)-'Business Case'!D11*$C690*'Business Case'!D13*$D690-'Business Case'!D14*$E690)-MAX(0,(('Business Case'!D11*$C690*'Business Case'!D12*$B690)-'Business Case'!D11*$C690*'Business Case'!D13*$D690-'Business Case'!D14*$E690))*'Business Case'!$B$7-'Business Case'!$B$8*(('Business Case'!D11*$C690*'Business Case'!D12*$B690)-('Business Case'!C11*$C690*'Business Case'!C12*$B690))-'Business Case'!D15*$F690</f>
        <v>316881901.89025</v>
      </c>
      <c r="K690" s="39" t="n">
        <f aca="false">(('Business Case'!E11*$C690*'Business Case'!E12*$B690)-'Business Case'!E11*$C690*'Business Case'!E13*$D690-'Business Case'!E14*$E690)-MAX(0,(('Business Case'!E11*$C690*'Business Case'!E12*$B690)-'Business Case'!E11*$C690*'Business Case'!E13*$D690-'Business Case'!E14*$E690))*'Business Case'!$B$7-'Business Case'!$B$8*(('Business Case'!E11*$C690*'Business Case'!E12*$B690)-('Business Case'!D11*$C690*'Business Case'!D12*$B690))-'Business Case'!E15*$F690</f>
        <v>677628390.116193</v>
      </c>
      <c r="L690" s="39" t="n">
        <f aca="false">(('Business Case'!F11*$C690*'Business Case'!F12*$B690)-'Business Case'!F11*$C690*'Business Case'!F13*$D690-'Business Case'!F14*$E690)-MAX(0,(('Business Case'!F11*$C690*'Business Case'!F12*$B690)-'Business Case'!F11*$C690*'Business Case'!F13*$D690-'Business Case'!F14*$E690))*'Business Case'!$B$7-'Business Case'!$B$8*(('Business Case'!F11*$C690*'Business Case'!F12*$B690)-('Business Case'!E11*$C690*'Business Case'!E12*$B690))-'Business Case'!F15*$F690</f>
        <v>816995126.549447</v>
      </c>
      <c r="M690" s="39" t="n">
        <f aca="false">(('Business Case'!G11*$C690*'Business Case'!G12*$B690)-'Business Case'!G11*$C690*'Business Case'!G13*$D690-'Business Case'!G14*$E690)-MAX(0,(('Business Case'!G11*$C690*'Business Case'!G12*$B690)-'Business Case'!G11*$C690*'Business Case'!G13*$D690-'Business Case'!G14*$E690))*'Business Case'!$B$7-'Business Case'!$B$8*(('Business Case'!G11*$C690*'Business Case'!G12*$B690)-('Business Case'!F11*$C690*'Business Case'!F12*$B690))-'Business Case'!G15*$F690+'Business Case'!$B$8*('Business Case'!G11*$C690*'Business Case'!G12*$B690)</f>
        <v>1013623774.5029</v>
      </c>
      <c r="N690" s="39" t="n">
        <f aca="false">IF(COUNT('Business Case'!B11:G11)=0,"",H690+NPV(G690,I690:M690))</f>
        <v>-133487270.056422</v>
      </c>
      <c r="P690" s="40" t="n">
        <f aca="true">RAND()</f>
        <v>0.762284029709844</v>
      </c>
      <c r="Q690" s="40" t="n">
        <f aca="true">RAND()</f>
        <v>0.77393194875568</v>
      </c>
      <c r="R690" s="40" t="n">
        <f aca="true">RAND()</f>
        <v>0.582668579904463</v>
      </c>
      <c r="S690" s="40" t="n">
        <f aca="true">RAND()</f>
        <v>0.805704177493682</v>
      </c>
      <c r="T690" s="40" t="n">
        <f aca="true">RAND()</f>
        <v>0.153378475957454</v>
      </c>
      <c r="U690" s="40" t="n">
        <f aca="true">RAND()</f>
        <v>0.860765010948261</v>
      </c>
    </row>
    <row r="691" customFormat="false" ht="15" hidden="false" customHeight="false" outlineLevel="0" collapsed="false">
      <c r="A691" s="36" t="n">
        <v>611</v>
      </c>
      <c r="B691" s="37" t="n">
        <f aca="false">1+IF($G$6=$E$6,$F$6,IF(P691&lt;($F$6-$E$6)/($G$6-$E$6),$E$6+SQRT(P691*($G$6-$E$6)*($F$6-$E$6)),$G$6-SQRT((1-P691)*($G$6-$E$6)*($G$6-$F$6))))</f>
        <v>0.983491974934033</v>
      </c>
      <c r="C691" s="37" t="n">
        <f aca="false">1+IF($G$7=$E$7,$F$7,IF(Q691&lt;($F$7-$E$7)/($G$7-$E$7),$E$7+SQRT(Q691*($G$7-$E$7)*($F$7-$E$7)),$G$7-SQRT((1-Q691)*($G$7-$E$7)*($G$7-$F$7))))</f>
        <v>0.922337058029314</v>
      </c>
      <c r="D691" s="37" t="n">
        <f aca="false">1+IF($G$8=$E$8,$F$8,IF(R691&lt;($F$8-$E$8)/($G$8-$E$8),$E$8+SQRT(R691*($G$8-$E$8)*($F$8-$E$8)),$G$8-SQRT((1-R691)*($G$8-$E$8)*($G$8-$F$8))))</f>
        <v>1.02733582661351</v>
      </c>
      <c r="E691" s="37" t="n">
        <f aca="false">1+IF($G$9=$E$9,$F$9,IF(S691&lt;($F$9-$E$9)/($G$9-$E$9),$E$9+SQRT(S691*($G$9-$E$9)*($F$9-$E$9)),$G$9-SQRT((1-S691)*($G$9-$E$9)*($G$9-$F$9))))</f>
        <v>1.00468267725895</v>
      </c>
      <c r="F691" s="37" t="n">
        <f aca="false">1+IF($G$10=$E$10,$F$10,IF(T691&lt;($F$10-$E$10)/($G$10-$E$10),$E$10+SQRT(T691*($G$10-$E$10)*($F$10-$E$10)),$G$10-SQRT((1-T691)*($G$10-$E$10)*($G$10-$F$10))))</f>
        <v>1.04891530901641</v>
      </c>
      <c r="G691" s="38" t="n">
        <f aca="false">IF($G$11=$E$11,$F$11,IF(U691&lt;($F$11-$E$11)/($G$11-$E$11),$E$11+SQRT(U691*($G$11-$E$11)*($F$11-$E$11)),$G$11-SQRT((1-U691)*($G$11-$E$11)*($G$11-$F$11))))</f>
        <v>0.124320791358029</v>
      </c>
      <c r="H691" s="39" t="n">
        <f aca="false">(('Business Case'!B11*$C691*'Business Case'!B12*$B691)-'Business Case'!B11*$C691*'Business Case'!B13*$D691-'Business Case'!B14*$E691)-MAX(0,(('Business Case'!B11*$C691*'Business Case'!B12*$B691)-'Business Case'!B11*$C691*'Business Case'!B13*$D691-'Business Case'!B14*$E691))*'Business Case'!$B$7-'Business Case'!$B$8*('Business Case'!B11*$C691*'Business Case'!B12*$B691)-'Business Case'!B15*$F691</f>
        <v>-2097830618.03283</v>
      </c>
      <c r="I691" s="39" t="n">
        <f aca="false">(('Business Case'!C11*$C691*'Business Case'!C12*$B691)-'Business Case'!C11*$C691*'Business Case'!C13*$D691-'Business Case'!C14*$E691)-MAX(0,(('Business Case'!C11*$C691*'Business Case'!C12*$B691)-'Business Case'!C11*$C691*'Business Case'!C13*$D691-'Business Case'!C14*$E691))*'Business Case'!$B$7-'Business Case'!$B$8*(('Business Case'!C11*$C691*'Business Case'!C12*$B691)-('Business Case'!B11*$C691*'Business Case'!B12*$B691))-'Business Case'!C15*$F691</f>
        <v>-36862494.9741731</v>
      </c>
      <c r="J691" s="39" t="n">
        <f aca="false">(('Business Case'!D11*$C691*'Business Case'!D12*$B691)-'Business Case'!D11*$C691*'Business Case'!D13*$D691-'Business Case'!D14*$E691)-MAX(0,(('Business Case'!D11*$C691*'Business Case'!D12*$B691)-'Business Case'!D11*$C691*'Business Case'!D13*$D691-'Business Case'!D14*$E691))*'Business Case'!$B$7-'Business Case'!$B$8*(('Business Case'!D11*$C691*'Business Case'!D12*$B691)-('Business Case'!C11*$C691*'Business Case'!C12*$B691))-'Business Case'!D15*$F691</f>
        <v>221057056.811674</v>
      </c>
      <c r="K691" s="39" t="n">
        <f aca="false">(('Business Case'!E11*$C691*'Business Case'!E12*$B691)-'Business Case'!E11*$C691*'Business Case'!E13*$D691-'Business Case'!E14*$E691)-MAX(0,(('Business Case'!E11*$C691*'Business Case'!E12*$B691)-'Business Case'!E11*$C691*'Business Case'!E13*$D691-'Business Case'!E14*$E691))*'Business Case'!$B$7-'Business Case'!$B$8*(('Business Case'!E11*$C691*'Business Case'!E12*$B691)-('Business Case'!D11*$C691*'Business Case'!D12*$B691))-'Business Case'!E15*$F691</f>
        <v>531422374.048341</v>
      </c>
      <c r="L691" s="39" t="n">
        <f aca="false">(('Business Case'!F11*$C691*'Business Case'!F12*$B691)-'Business Case'!F11*$C691*'Business Case'!F13*$D691-'Business Case'!F14*$E691)-MAX(0,(('Business Case'!F11*$C691*'Business Case'!F12*$B691)-'Business Case'!F11*$C691*'Business Case'!F13*$D691-'Business Case'!F14*$E691))*'Business Case'!$B$7-'Business Case'!$B$8*(('Business Case'!F11*$C691*'Business Case'!F12*$B691)-('Business Case'!E11*$C691*'Business Case'!E12*$B691))-'Business Case'!F15*$F691</f>
        <v>648745317.411727</v>
      </c>
      <c r="M691" s="39" t="n">
        <f aca="false">(('Business Case'!G11*$C691*'Business Case'!G12*$B691)-'Business Case'!G11*$C691*'Business Case'!G13*$D691-'Business Case'!G14*$E691)-MAX(0,(('Business Case'!G11*$C691*'Business Case'!G12*$B691)-'Business Case'!G11*$C691*'Business Case'!G13*$D691-'Business Case'!G14*$E691))*'Business Case'!$B$7-'Business Case'!$B$8*(('Business Case'!G11*$C691*'Business Case'!G12*$B691)-('Business Case'!F11*$C691*'Business Case'!F12*$B691))-'Business Case'!G15*$F691+'Business Case'!$B$8*('Business Case'!G11*$C691*'Business Case'!G12*$B691)</f>
        <v>821168994.302966</v>
      </c>
      <c r="N691" s="39" t="n">
        <f aca="false">IF(COUNT('Business Case'!B11:G11)=0,"",H691+NPV(G691,I691:M691))</f>
        <v>-718775258.087536</v>
      </c>
      <c r="P691" s="40" t="n">
        <f aca="true">RAND()</f>
        <v>0.464727325225683</v>
      </c>
      <c r="Q691" s="40" t="n">
        <f aca="true">RAND()</f>
        <v>0.366176054615781</v>
      </c>
      <c r="R691" s="40" t="n">
        <f aca="true">RAND()</f>
        <v>0.647994527070573</v>
      </c>
      <c r="S691" s="40" t="n">
        <f aca="true">RAND()</f>
        <v>0.436876685636607</v>
      </c>
      <c r="T691" s="40" t="n">
        <f aca="true">RAND()</f>
        <v>0.460865960693812</v>
      </c>
      <c r="U691" s="40" t="n">
        <f aca="true">RAND()</f>
        <v>0.978497726133972</v>
      </c>
    </row>
    <row r="692" customFormat="false" ht="15" hidden="false" customHeight="false" outlineLevel="0" collapsed="false">
      <c r="A692" s="36" t="n">
        <v>612</v>
      </c>
      <c r="B692" s="37" t="n">
        <f aca="false">1+IF($G$6=$E$6,$F$6,IF(P692&lt;($F$6-$E$6)/($G$6-$E$6),$E$6+SQRT(P692*($G$6-$E$6)*($F$6-$E$6)),$G$6-SQRT((1-P692)*($G$6-$E$6)*($G$6-$F$6))))</f>
        <v>0.97174438190495</v>
      </c>
      <c r="C692" s="37" t="n">
        <f aca="false">1+IF($G$7=$E$7,$F$7,IF(Q692&lt;($F$7-$E$7)/($G$7-$E$7),$E$7+SQRT(Q692*($G$7-$E$7)*($F$7-$E$7)),$G$7-SQRT((1-Q692)*($G$7-$E$7)*($G$7-$F$7))))</f>
        <v>0.97947533997332</v>
      </c>
      <c r="D692" s="37" t="n">
        <f aca="false">1+IF($G$8=$E$8,$F$8,IF(R692&lt;($F$8-$E$8)/($G$8-$E$8),$E$8+SQRT(R692*($G$8-$E$8)*($F$8-$E$8)),$G$8-SQRT((1-R692)*($G$8-$E$8)*($G$8-$F$8))))</f>
        <v>0.992049674256275</v>
      </c>
      <c r="E692" s="37" t="n">
        <f aca="false">1+IF($G$9=$E$9,$F$9,IF(S692&lt;($F$9-$E$9)/($G$9-$E$9),$E$9+SQRT(S692*($G$9-$E$9)*($F$9-$E$9)),$G$9-SQRT((1-S692)*($G$9-$E$9)*($G$9-$F$9))))</f>
        <v>0.907774155893813</v>
      </c>
      <c r="F692" s="37" t="n">
        <f aca="false">1+IF($G$10=$E$10,$F$10,IF(T692&lt;($F$10-$E$10)/($G$10-$E$10),$E$10+SQRT(T692*($G$10-$E$10)*($F$10-$E$10)),$G$10-SQRT((1-T692)*($G$10-$E$10)*($G$10-$F$10))))</f>
        <v>0.985207081602165</v>
      </c>
      <c r="G692" s="38" t="n">
        <f aca="false">IF($G$11=$E$11,$F$11,IF(U692&lt;($F$11-$E$11)/($G$11-$E$11),$E$11+SQRT(U692*($G$11-$E$11)*($F$11-$E$11)),$G$11-SQRT((1-U692)*($G$11-$E$11)*($G$11-$F$11))))</f>
        <v>0.119916367066281</v>
      </c>
      <c r="H692" s="39" t="n">
        <f aca="false">(('Business Case'!B11*$C692*'Business Case'!B12*$B692)-'Business Case'!B11*$C692*'Business Case'!B13*$D692-'Business Case'!B14*$E692)-MAX(0,(('Business Case'!B11*$C692*'Business Case'!B12*$B692)-'Business Case'!B11*$C692*'Business Case'!B13*$D692-'Business Case'!B14*$E692))*'Business Case'!$B$7-'Business Case'!$B$8*('Business Case'!B11*$C692*'Business Case'!B12*$B692)-'Business Case'!B15*$F692</f>
        <v>-1970414163.20433</v>
      </c>
      <c r="I692" s="39" t="n">
        <f aca="false">(('Business Case'!C11*$C692*'Business Case'!C12*$B692)-'Business Case'!C11*$C692*'Business Case'!C13*$D692-'Business Case'!C14*$E692)-MAX(0,(('Business Case'!C11*$C692*'Business Case'!C12*$B692)-'Business Case'!C11*$C692*'Business Case'!C13*$D692-'Business Case'!C14*$E692))*'Business Case'!$B$7-'Business Case'!$B$8*(('Business Case'!C11*$C692*'Business Case'!C12*$B692)-('Business Case'!B11*$C692*'Business Case'!B12*$B692))-'Business Case'!C15*$F692</f>
        <v>5218343.48835142</v>
      </c>
      <c r="J692" s="39" t="n">
        <f aca="false">(('Business Case'!D11*$C692*'Business Case'!D12*$B692)-'Business Case'!D11*$C692*'Business Case'!D13*$D692-'Business Case'!D14*$E692)-MAX(0,(('Business Case'!D11*$C692*'Business Case'!D12*$B692)-'Business Case'!D11*$C692*'Business Case'!D13*$D692-'Business Case'!D14*$E692))*'Business Case'!$B$7-'Business Case'!$B$8*(('Business Case'!D11*$C692*'Business Case'!D12*$B692)-('Business Case'!C11*$C692*'Business Case'!C12*$B692))-'Business Case'!D15*$F692</f>
        <v>287384174.418949</v>
      </c>
      <c r="K692" s="39" t="n">
        <f aca="false">(('Business Case'!E11*$C692*'Business Case'!E12*$B692)-'Business Case'!E11*$C692*'Business Case'!E13*$D692-'Business Case'!E14*$E692)-MAX(0,(('Business Case'!E11*$C692*'Business Case'!E12*$B692)-'Business Case'!E11*$C692*'Business Case'!E13*$D692-'Business Case'!E14*$E692))*'Business Case'!$B$7-'Business Case'!$B$8*(('Business Case'!E11*$C692*'Business Case'!E12*$B692)-('Business Case'!D11*$C692*'Business Case'!D12*$B692))-'Business Case'!E15*$F692</f>
        <v>618810359.429655</v>
      </c>
      <c r="L692" s="39" t="n">
        <f aca="false">(('Business Case'!F11*$C692*'Business Case'!F12*$B692)-'Business Case'!F11*$C692*'Business Case'!F13*$D692-'Business Case'!F14*$E692)-MAX(0,(('Business Case'!F11*$C692*'Business Case'!F12*$B692)-'Business Case'!F11*$C692*'Business Case'!F13*$D692-'Business Case'!F14*$E692))*'Business Case'!$B$7-'Business Case'!$B$8*(('Business Case'!F11*$C692*'Business Case'!F12*$B692)-('Business Case'!E11*$C692*'Business Case'!E12*$B692))-'Business Case'!F15*$F692</f>
        <v>745759832.615807</v>
      </c>
      <c r="M692" s="39" t="n">
        <f aca="false">(('Business Case'!G11*$C692*'Business Case'!G12*$B692)-'Business Case'!G11*$C692*'Business Case'!G13*$D692-'Business Case'!G14*$E692)-MAX(0,(('Business Case'!G11*$C692*'Business Case'!G12*$B692)-'Business Case'!G11*$C692*'Business Case'!G13*$D692-'Business Case'!G14*$E692))*'Business Case'!$B$7-'Business Case'!$B$8*(('Business Case'!G11*$C692*'Business Case'!G12*$B692)-('Business Case'!F11*$C692*'Business Case'!F12*$B692))-'Business Case'!G15*$F692+'Business Case'!$B$8*('Business Case'!G11*$C692*'Business Case'!G12*$B692)</f>
        <v>926677911.766881</v>
      </c>
      <c r="N692" s="39" t="n">
        <f aca="false">IF(COUNT('Business Case'!B11:G11)=0,"",H692+NPV(G692,I692:M692))</f>
        <v>-295960038.035975</v>
      </c>
      <c r="P692" s="40" t="n">
        <f aca="true">RAND()</f>
        <v>0.343150422328221</v>
      </c>
      <c r="Q692" s="40" t="n">
        <f aca="true">RAND()</f>
        <v>0.578566412245946</v>
      </c>
      <c r="R692" s="40" t="n">
        <f aca="true">RAND()</f>
        <v>0.235756680674506</v>
      </c>
      <c r="S692" s="40" t="n">
        <f aca="true">RAND()</f>
        <v>0.00241749999445219</v>
      </c>
      <c r="T692" s="40" t="n">
        <f aca="true">RAND()</f>
        <v>0.0826359063294314</v>
      </c>
      <c r="U692" s="40" t="n">
        <f aca="true">RAND()</f>
        <v>0.932213564572011</v>
      </c>
    </row>
    <row r="693" customFormat="false" ht="15" hidden="false" customHeight="false" outlineLevel="0" collapsed="false">
      <c r="A693" s="36" t="n">
        <v>613</v>
      </c>
      <c r="B693" s="37" t="n">
        <f aca="false">1+IF($G$6=$E$6,$F$6,IF(P693&lt;($F$6-$E$6)/($G$6-$E$6),$E$6+SQRT(P693*($G$6-$E$6)*($F$6-$E$6)),$G$6-SQRT((1-P693)*($G$6-$E$6)*($G$6-$F$6))))</f>
        <v>0.986834356856873</v>
      </c>
      <c r="C693" s="37" t="n">
        <f aca="false">1+IF($G$7=$E$7,$F$7,IF(Q693&lt;($F$7-$E$7)/($G$7-$E$7),$E$7+SQRT(Q693*($G$7-$E$7)*($F$7-$E$7)),$G$7-SQRT((1-Q693)*($G$7-$E$7)*($G$7-$F$7))))</f>
        <v>0.955251445474422</v>
      </c>
      <c r="D693" s="37" t="n">
        <f aca="false">1+IF($G$8=$E$8,$F$8,IF(R693&lt;($F$8-$E$8)/($G$8-$E$8),$E$8+SQRT(R693*($G$8-$E$8)*($F$8-$E$8)),$G$8-SQRT((1-R693)*($G$8-$E$8)*($G$8-$F$8))))</f>
        <v>1.0079098574549</v>
      </c>
      <c r="E693" s="37" t="n">
        <f aca="false">1+IF($G$9=$E$9,$F$9,IF(S693&lt;($F$9-$E$9)/($G$9-$E$9),$E$9+SQRT(S693*($G$9-$E$9)*($F$9-$E$9)),$G$9-SQRT((1-S693)*($G$9-$E$9)*($G$9-$F$9))))</f>
        <v>0.995885374923927</v>
      </c>
      <c r="F693" s="37" t="n">
        <f aca="false">1+IF($G$10=$E$10,$F$10,IF(T693&lt;($F$10-$E$10)/($G$10-$E$10),$E$10+SQRT(T693*($G$10-$E$10)*($F$10-$E$10)),$G$10-SQRT((1-T693)*($G$10-$E$10)*($G$10-$F$10))))</f>
        <v>1.08646510573495</v>
      </c>
      <c r="G693" s="38" t="n">
        <f aca="false">IF($G$11=$E$11,$F$11,IF(U693&lt;($F$11-$E$11)/($G$11-$E$11),$E$11+SQRT(U693*($G$11-$E$11)*($F$11-$E$11)),$G$11-SQRT((1-U693)*($G$11-$E$11)*($G$11-$F$11))))</f>
        <v>0.0926995262370051</v>
      </c>
      <c r="H693" s="39" t="n">
        <f aca="false">(('Business Case'!B11*$C693*'Business Case'!B12*$B693)-'Business Case'!B11*$C693*'Business Case'!B13*$D693-'Business Case'!B14*$E693)-MAX(0,(('Business Case'!B11*$C693*'Business Case'!B12*$B693)-'Business Case'!B11*$C693*'Business Case'!B13*$D693-'Business Case'!B14*$E693))*'Business Case'!$B$7-'Business Case'!$B$8*('Business Case'!B11*$C693*'Business Case'!B12*$B693)-'Business Case'!B15*$F693</f>
        <v>-2172930211.46991</v>
      </c>
      <c r="I693" s="39" t="n">
        <f aca="false">(('Business Case'!C11*$C693*'Business Case'!C12*$B693)-'Business Case'!C11*$C693*'Business Case'!C13*$D693-'Business Case'!C14*$E693)-MAX(0,(('Business Case'!C11*$C693*'Business Case'!C12*$B693)-'Business Case'!C11*$C693*'Business Case'!C13*$D693-'Business Case'!C14*$E693))*'Business Case'!$B$7-'Business Case'!$B$8*(('Business Case'!C11*$C693*'Business Case'!C12*$B693)-('Business Case'!B11*$C693*'Business Case'!B12*$B693))-'Business Case'!C15*$F693</f>
        <v>-19891364.5594984</v>
      </c>
      <c r="J693" s="39" t="n">
        <f aca="false">(('Business Case'!D11*$C693*'Business Case'!D12*$B693)-'Business Case'!D11*$C693*'Business Case'!D13*$D693-'Business Case'!D14*$E693)-MAX(0,(('Business Case'!D11*$C693*'Business Case'!D12*$B693)-'Business Case'!D11*$C693*'Business Case'!D13*$D693-'Business Case'!D14*$E693))*'Business Case'!$B$7-'Business Case'!$B$8*(('Business Case'!D11*$C693*'Business Case'!D12*$B693)-('Business Case'!C11*$C693*'Business Case'!C12*$B693))-'Business Case'!D15*$F693</f>
        <v>259346950.960578</v>
      </c>
      <c r="K693" s="39" t="n">
        <f aca="false">(('Business Case'!E11*$C693*'Business Case'!E12*$B693)-'Business Case'!E11*$C693*'Business Case'!E13*$D693-'Business Case'!E14*$E693)-MAX(0,(('Business Case'!E11*$C693*'Business Case'!E12*$B693)-'Business Case'!E11*$C693*'Business Case'!E13*$D693-'Business Case'!E14*$E693))*'Business Case'!$B$7-'Business Case'!$B$8*(('Business Case'!E11*$C693*'Business Case'!E12*$B693)-('Business Case'!D11*$C693*'Business Case'!D12*$B693))-'Business Case'!E15*$F693</f>
        <v>592908521.767402</v>
      </c>
      <c r="L693" s="39" t="n">
        <f aca="false">(('Business Case'!F11*$C693*'Business Case'!F12*$B693)-'Business Case'!F11*$C693*'Business Case'!F13*$D693-'Business Case'!F14*$E693)-MAX(0,(('Business Case'!F11*$C693*'Business Case'!F12*$B693)-'Business Case'!F11*$C693*'Business Case'!F13*$D693-'Business Case'!F14*$E693))*'Business Case'!$B$7-'Business Case'!$B$8*(('Business Case'!F11*$C693*'Business Case'!F12*$B693)-('Business Case'!E11*$C693*'Business Case'!E12*$B693))-'Business Case'!F15*$F693</f>
        <v>718566806.402026</v>
      </c>
      <c r="M693" s="39" t="n">
        <f aca="false">(('Business Case'!G11*$C693*'Business Case'!G12*$B693)-'Business Case'!G11*$C693*'Business Case'!G13*$D693-'Business Case'!G14*$E693)-MAX(0,(('Business Case'!G11*$C693*'Business Case'!G12*$B693)-'Business Case'!G11*$C693*'Business Case'!G13*$D693-'Business Case'!G14*$E693))*'Business Case'!$B$7-'Business Case'!$B$8*(('Business Case'!G11*$C693*'Business Case'!G12*$B693)-('Business Case'!F11*$C693*'Business Case'!F12*$B693))-'Business Case'!G15*$F693+'Business Case'!$B$8*('Business Case'!G11*$C693*'Business Case'!G12*$B693)</f>
        <v>897750460.105649</v>
      </c>
      <c r="N693" s="39" t="n">
        <f aca="false">IF(COUNT('Business Case'!B11:G11)=0,"",H693+NPV(G693,I693:M693))</f>
        <v>-439131593.157217</v>
      </c>
      <c r="P693" s="40" t="n">
        <f aca="true">RAND()</f>
        <v>0.502680368716445</v>
      </c>
      <c r="Q693" s="40" t="n">
        <f aca="true">RAND()</f>
        <v>0.48261704012431</v>
      </c>
      <c r="R693" s="40" t="n">
        <f aca="true">RAND()</f>
        <v>0.434627043068235</v>
      </c>
      <c r="S693" s="40" t="n">
        <f aca="true">RAND()</f>
        <v>0.367760204972085</v>
      </c>
      <c r="T693" s="40" t="n">
        <f aca="true">RAND()</f>
        <v>0.6434178447696</v>
      </c>
      <c r="U693" s="40" t="n">
        <f aca="true">RAND()</f>
        <v>0.16127796664438</v>
      </c>
    </row>
    <row r="694" customFormat="false" ht="15" hidden="false" customHeight="false" outlineLevel="0" collapsed="false">
      <c r="A694" s="36" t="n">
        <v>614</v>
      </c>
      <c r="B694" s="37" t="n">
        <f aca="false">1+IF($G$6=$E$6,$F$6,IF(P694&lt;($F$6-$E$6)/($G$6-$E$6),$E$6+SQRT(P694*($G$6-$E$6)*($F$6-$E$6)),$G$6-SQRT((1-P694)*($G$6-$E$6)*($G$6-$F$6))))</f>
        <v>1.02185119850866</v>
      </c>
      <c r="C694" s="37" t="n">
        <f aca="false">1+IF($G$7=$E$7,$F$7,IF(Q694&lt;($F$7-$E$7)/($G$7-$E$7),$E$7+SQRT(Q694*($G$7-$E$7)*($F$7-$E$7)),$G$7-SQRT((1-Q694)*($G$7-$E$7)*($G$7-$F$7))))</f>
        <v>0.931329178653579</v>
      </c>
      <c r="D694" s="37" t="n">
        <f aca="false">1+IF($G$8=$E$8,$F$8,IF(R694&lt;($F$8-$E$8)/($G$8-$E$8),$E$8+SQRT(R694*($G$8-$E$8)*($F$8-$E$8)),$G$8-SQRT((1-R694)*($G$8-$E$8)*($G$8-$F$8))))</f>
        <v>1.03978059516008</v>
      </c>
      <c r="E694" s="37" t="n">
        <f aca="false">1+IF($G$9=$E$9,$F$9,IF(S694&lt;($F$9-$E$9)/($G$9-$E$9),$E$9+SQRT(S694*($G$9-$E$9)*($F$9-$E$9)),$G$9-SQRT((1-S694)*($G$9-$E$9)*($G$9-$F$9))))</f>
        <v>0.983956554113149</v>
      </c>
      <c r="F694" s="37" t="n">
        <f aca="false">1+IF($G$10=$E$10,$F$10,IF(T694&lt;($F$10-$E$10)/($G$10-$E$10),$E$10+SQRT(T694*($G$10-$E$10)*($F$10-$E$10)),$G$10-SQRT((1-T694)*($G$10-$E$10)*($G$10-$F$10))))</f>
        <v>0.995430879101241</v>
      </c>
      <c r="G694" s="38" t="n">
        <f aca="false">IF($G$11=$E$11,$F$11,IF(U694&lt;($F$11-$E$11)/($G$11-$E$11),$E$11+SQRT(U694*($G$11-$E$11)*($F$11-$E$11)),$G$11-SQRT((1-U694)*($G$11-$E$11)*($G$11-$F$11))))</f>
        <v>0.101046525332887</v>
      </c>
      <c r="H694" s="39" t="n">
        <f aca="false">(('Business Case'!B11*$C694*'Business Case'!B12*$B694)-'Business Case'!B11*$C694*'Business Case'!B13*$D694-'Business Case'!B14*$E694)-MAX(0,(('Business Case'!B11*$C694*'Business Case'!B12*$B694)-'Business Case'!B11*$C694*'Business Case'!B13*$D694-'Business Case'!B14*$E694))*'Business Case'!$B$7-'Business Case'!$B$8*('Business Case'!B11*$C694*'Business Case'!B12*$B694)-'Business Case'!B15*$F694</f>
        <v>-1990861758.20248</v>
      </c>
      <c r="I694" s="39" t="n">
        <f aca="false">(('Business Case'!C11*$C694*'Business Case'!C12*$B694)-'Business Case'!C11*$C694*'Business Case'!C13*$D694-'Business Case'!C14*$E694)-MAX(0,(('Business Case'!C11*$C694*'Business Case'!C12*$B694)-'Business Case'!C11*$C694*'Business Case'!C13*$D694-'Business Case'!C14*$E694))*'Business Case'!$B$7-'Business Case'!$B$8*(('Business Case'!C11*$C694*'Business Case'!C12*$B694)-('Business Case'!B11*$C694*'Business Case'!B12*$B694))-'Business Case'!C15*$F694</f>
        <v>-5034554.57338853</v>
      </c>
      <c r="J694" s="39" t="n">
        <f aca="false">(('Business Case'!D11*$C694*'Business Case'!D12*$B694)-'Business Case'!D11*$C694*'Business Case'!D13*$D694-'Business Case'!D14*$E694)-MAX(0,(('Business Case'!D11*$C694*'Business Case'!D12*$B694)-'Business Case'!D11*$C694*'Business Case'!D13*$D694-'Business Case'!D14*$E694))*'Business Case'!$B$7-'Business Case'!$B$8*(('Business Case'!D11*$C694*'Business Case'!D12*$B694)-('Business Case'!C11*$C694*'Business Case'!C12*$B694))-'Business Case'!D15*$F694</f>
        <v>278727683.52974</v>
      </c>
      <c r="K694" s="39" t="n">
        <f aca="false">(('Business Case'!E11*$C694*'Business Case'!E12*$B694)-'Business Case'!E11*$C694*'Business Case'!E13*$D694-'Business Case'!E14*$E694)-MAX(0,(('Business Case'!E11*$C694*'Business Case'!E12*$B694)-'Business Case'!E11*$C694*'Business Case'!E13*$D694-'Business Case'!E14*$E694))*'Business Case'!$B$7-'Business Case'!$B$8*(('Business Case'!E11*$C694*'Business Case'!E12*$B694)-('Business Case'!D11*$C694*'Business Case'!D12*$B694))-'Business Case'!E15*$F694</f>
        <v>612261465.58793</v>
      </c>
      <c r="L694" s="39" t="n">
        <f aca="false">(('Business Case'!F11*$C694*'Business Case'!F12*$B694)-'Business Case'!F11*$C694*'Business Case'!F13*$D694-'Business Case'!F14*$E694)-MAX(0,(('Business Case'!F11*$C694*'Business Case'!F12*$B694)-'Business Case'!F11*$C694*'Business Case'!F13*$D694-'Business Case'!F14*$E694))*'Business Case'!$B$7-'Business Case'!$B$8*(('Business Case'!F11*$C694*'Business Case'!F12*$B694)-('Business Case'!E11*$C694*'Business Case'!E12*$B694))-'Business Case'!F15*$F694</f>
        <v>739738933.469975</v>
      </c>
      <c r="M694" s="39" t="n">
        <f aca="false">(('Business Case'!G11*$C694*'Business Case'!G12*$B694)-'Business Case'!G11*$C694*'Business Case'!G13*$D694-'Business Case'!G14*$E694)-MAX(0,(('Business Case'!G11*$C694*'Business Case'!G12*$B694)-'Business Case'!G11*$C694*'Business Case'!G13*$D694-'Business Case'!G14*$E694))*'Business Case'!$B$7-'Business Case'!$B$8*(('Business Case'!G11*$C694*'Business Case'!G12*$B694)-('Business Case'!F11*$C694*'Business Case'!F12*$B694))-'Business Case'!G15*$F694+'Business Case'!$B$8*('Business Case'!G11*$C694*'Business Case'!G12*$B694)</f>
        <v>920634236.965485</v>
      </c>
      <c r="N694" s="39" t="n">
        <f aca="false">IF(COUNT('Business Case'!B11:G11)=0,"",H694+NPV(G694,I694:M694))</f>
        <v>-234564462.255374</v>
      </c>
      <c r="P694" s="40" t="n">
        <f aca="true">RAND()</f>
        <v>0.894352663280167</v>
      </c>
      <c r="Q694" s="40" t="n">
        <f aca="true">RAND()</f>
        <v>0.396393991826219</v>
      </c>
      <c r="R694" s="40" t="n">
        <f aca="true">RAND()</f>
        <v>0.758241552048409</v>
      </c>
      <c r="S694" s="40" t="n">
        <f aca="true">RAND()</f>
        <v>0.281948119142166</v>
      </c>
      <c r="T694" s="40" t="n">
        <f aca="true">RAND()</f>
        <v>0.137597651727439</v>
      </c>
      <c r="U694" s="40" t="n">
        <f aca="true">RAND()</f>
        <v>0.441130869800572</v>
      </c>
    </row>
    <row r="695" customFormat="false" ht="15" hidden="false" customHeight="false" outlineLevel="0" collapsed="false">
      <c r="A695" s="36" t="n">
        <v>615</v>
      </c>
      <c r="B695" s="37" t="n">
        <f aca="false">1+IF($G$6=$E$6,$F$6,IF(P695&lt;($F$6-$E$6)/($G$6-$E$6),$E$6+SQRT(P695*($G$6-$E$6)*($F$6-$E$6)),$G$6-SQRT((1-P695)*($G$6-$E$6)*($G$6-$F$6))))</f>
        <v>0.933095911596504</v>
      </c>
      <c r="C695" s="37" t="n">
        <f aca="false">1+IF($G$7=$E$7,$F$7,IF(Q695&lt;($F$7-$E$7)/($G$7-$E$7),$E$7+SQRT(Q695*($G$7-$E$7)*($F$7-$E$7)),$G$7-SQRT((1-Q695)*($G$7-$E$7)*($G$7-$F$7))))</f>
        <v>0.949520924537942</v>
      </c>
      <c r="D695" s="37" t="n">
        <f aca="false">1+IF($G$8=$E$8,$F$8,IF(R695&lt;($F$8-$E$8)/($G$8-$E$8),$E$8+SQRT(R695*($G$8-$E$8)*($F$8-$E$8)),$G$8-SQRT((1-R695)*($G$8-$E$8)*($G$8-$F$8))))</f>
        <v>1.00727955969396</v>
      </c>
      <c r="E695" s="37" t="n">
        <f aca="false">1+IF($G$9=$E$9,$F$9,IF(S695&lt;($F$9-$E$9)/($G$9-$E$9),$E$9+SQRT(S695*($G$9-$E$9)*($F$9-$E$9)),$G$9-SQRT((1-S695)*($G$9-$E$9)*($G$9-$F$9))))</f>
        <v>1.08024634260191</v>
      </c>
      <c r="F695" s="37" t="n">
        <f aca="false">1+IF($G$10=$E$10,$F$10,IF(T695&lt;($F$10-$E$10)/($G$10-$E$10),$E$10+SQRT(T695*($G$10-$E$10)*($F$10-$E$10)),$G$10-SQRT((1-T695)*($G$10-$E$10)*($G$10-$F$10))))</f>
        <v>0.954766109326369</v>
      </c>
      <c r="G695" s="38" t="n">
        <f aca="false">IF($G$11=$E$11,$F$11,IF(U695&lt;($F$11-$E$11)/($G$11-$E$11),$E$11+SQRT(U695*($G$11-$E$11)*($F$11-$E$11)),$G$11-SQRT((1-U695)*($G$11-$E$11)*($G$11-$F$11))))</f>
        <v>0.0858726037189082</v>
      </c>
      <c r="H695" s="39" t="n">
        <f aca="false">(('Business Case'!B11*$C695*'Business Case'!B12*$B695)-'Business Case'!B11*$C695*'Business Case'!B13*$D695-'Business Case'!B14*$E695)-MAX(0,(('Business Case'!B11*$C695*'Business Case'!B12*$B695)-'Business Case'!B11*$C695*'Business Case'!B13*$D695-'Business Case'!B14*$E695))*'Business Case'!$B$7-'Business Case'!$B$8*('Business Case'!B11*$C695*'Business Case'!B12*$B695)-'Business Case'!B15*$F695</f>
        <v>-1909532218.65274</v>
      </c>
      <c r="I695" s="39" t="n">
        <f aca="false">(('Business Case'!C11*$C695*'Business Case'!C12*$B695)-'Business Case'!C11*$C695*'Business Case'!C13*$D695-'Business Case'!C14*$E695)-MAX(0,(('Business Case'!C11*$C695*'Business Case'!C12*$B695)-'Business Case'!C11*$C695*'Business Case'!C13*$D695-'Business Case'!C14*$E695))*'Business Case'!$B$7-'Business Case'!$B$8*(('Business Case'!C11*$C695*'Business Case'!C12*$B695)-('Business Case'!B11*$C695*'Business Case'!B12*$B695))-'Business Case'!C15*$F695</f>
        <v>-58941812.1279717</v>
      </c>
      <c r="J695" s="39" t="n">
        <f aca="false">(('Business Case'!D11*$C695*'Business Case'!D12*$B695)-'Business Case'!D11*$C695*'Business Case'!D13*$D695-'Business Case'!D14*$E695)-MAX(0,(('Business Case'!D11*$C695*'Business Case'!D12*$B695)-'Business Case'!D11*$C695*'Business Case'!D13*$D695-'Business Case'!D14*$E695))*'Business Case'!$B$7-'Business Case'!$B$8*(('Business Case'!D11*$C695*'Business Case'!D12*$B695)-('Business Case'!C11*$C695*'Business Case'!C12*$B695))-'Business Case'!D15*$F695</f>
        <v>177133950.358267</v>
      </c>
      <c r="K695" s="39" t="n">
        <f aca="false">(('Business Case'!E11*$C695*'Business Case'!E12*$B695)-'Business Case'!E11*$C695*'Business Case'!E13*$D695-'Business Case'!E14*$E695)-MAX(0,(('Business Case'!E11*$C695*'Business Case'!E12*$B695)-'Business Case'!E11*$C695*'Business Case'!E13*$D695-'Business Case'!E14*$E695))*'Business Case'!$B$7-'Business Case'!$B$8*(('Business Case'!E11*$C695*'Business Case'!E12*$B695)-('Business Case'!D11*$C695*'Business Case'!D12*$B695))-'Business Case'!E15*$F695</f>
        <v>460948018.310824</v>
      </c>
      <c r="L695" s="39" t="n">
        <f aca="false">(('Business Case'!F11*$C695*'Business Case'!F12*$B695)-'Business Case'!F11*$C695*'Business Case'!F13*$D695-'Business Case'!F14*$E695)-MAX(0,(('Business Case'!F11*$C695*'Business Case'!F12*$B695)-'Business Case'!F11*$C695*'Business Case'!F13*$D695-'Business Case'!F14*$E695))*'Business Case'!$B$7-'Business Case'!$B$8*(('Business Case'!F11*$C695*'Business Case'!F12*$B695)-('Business Case'!E11*$C695*'Business Case'!E12*$B695))-'Business Case'!F15*$F695</f>
        <v>570259894.981959</v>
      </c>
      <c r="M695" s="39" t="n">
        <f aca="false">(('Business Case'!G11*$C695*'Business Case'!G12*$B695)-'Business Case'!G11*$C695*'Business Case'!G13*$D695-'Business Case'!G14*$E695)-MAX(0,(('Business Case'!G11*$C695*'Business Case'!G12*$B695)-'Business Case'!G11*$C695*'Business Case'!G13*$D695-'Business Case'!G14*$E695))*'Business Case'!$B$7-'Business Case'!$B$8*(('Business Case'!G11*$C695*'Business Case'!G12*$B695)-('Business Case'!F11*$C695*'Business Case'!F12*$B695))-'Business Case'!G15*$F695+'Business Case'!$B$8*('Business Case'!G11*$C695*'Business Case'!G12*$B695)</f>
        <v>738669652.115092</v>
      </c>
      <c r="N695" s="39" t="n">
        <f aca="false">IF(COUNT('Business Case'!B11:G11)=0,"",H695+NPV(G695,I695:M695))</f>
        <v>-554134538.914473</v>
      </c>
      <c r="P695" s="40" t="n">
        <f aca="true">RAND()</f>
        <v>0.073022624293572</v>
      </c>
      <c r="Q695" s="40" t="n">
        <f aca="true">RAND()</f>
        <v>0.46119030949829</v>
      </c>
      <c r="R695" s="40" t="n">
        <f aca="true">RAND()</f>
        <v>0.426861329963637</v>
      </c>
      <c r="S695" s="40" t="n">
        <f aca="true">RAND()</f>
        <v>0.8702513941224</v>
      </c>
      <c r="T695" s="40" t="n">
        <f aca="true">RAND()</f>
        <v>0.00151438654072661</v>
      </c>
      <c r="U695" s="40" t="n">
        <f aca="true">RAND()</f>
        <v>0.0344874744393348</v>
      </c>
    </row>
    <row r="696" customFormat="false" ht="15" hidden="false" customHeight="false" outlineLevel="0" collapsed="false">
      <c r="A696" s="36" t="n">
        <v>616</v>
      </c>
      <c r="B696" s="37" t="n">
        <f aca="false">1+IF($G$6=$E$6,$F$6,IF(P696&lt;($F$6-$E$6)/($G$6-$E$6),$E$6+SQRT(P696*($G$6-$E$6)*($F$6-$E$6)),$G$6-SQRT((1-P696)*($G$6-$E$6)*($G$6-$F$6))))</f>
        <v>0.975461063340584</v>
      </c>
      <c r="C696" s="37" t="n">
        <f aca="false">1+IF($G$7=$E$7,$F$7,IF(Q696&lt;($F$7-$E$7)/($G$7-$E$7),$E$7+SQRT(Q696*($G$7-$E$7)*($F$7-$E$7)),$G$7-SQRT((1-Q696)*($G$7-$E$7)*($G$7-$F$7))))</f>
        <v>0.893619948196556</v>
      </c>
      <c r="D696" s="37" t="n">
        <f aca="false">1+IF($G$8=$E$8,$F$8,IF(R696&lt;($F$8-$E$8)/($G$8-$E$8),$E$8+SQRT(R696*($G$8-$E$8)*($F$8-$E$8)),$G$8-SQRT((1-R696)*($G$8-$E$8)*($G$8-$F$8))))</f>
        <v>0.991983892054603</v>
      </c>
      <c r="E696" s="37" t="n">
        <f aca="false">1+IF($G$9=$E$9,$F$9,IF(S696&lt;($F$9-$E$9)/($G$9-$E$9),$E$9+SQRT(S696*($G$9-$E$9)*($F$9-$E$9)),$G$9-SQRT((1-S696)*($G$9-$E$9)*($G$9-$F$9))))</f>
        <v>0.957780203681524</v>
      </c>
      <c r="F696" s="37" t="n">
        <f aca="false">1+IF($G$10=$E$10,$F$10,IF(T696&lt;($F$10-$E$10)/($G$10-$E$10),$E$10+SQRT(T696*($G$10-$E$10)*($F$10-$E$10)),$G$10-SQRT((1-T696)*($G$10-$E$10)*($G$10-$F$10))))</f>
        <v>1.02365016778603</v>
      </c>
      <c r="G696" s="38" t="n">
        <f aca="false">IF($G$11=$E$11,$F$11,IF(U696&lt;($F$11-$E$11)/($G$11-$E$11),$E$11+SQRT(U696*($G$11-$E$11)*($F$11-$E$11)),$G$11-SQRT((1-U696)*($G$11-$E$11)*($G$11-$F$11))))</f>
        <v>0.105498497234642</v>
      </c>
      <c r="H696" s="39" t="n">
        <f aca="false">(('Business Case'!B11*$C696*'Business Case'!B12*$B696)-'Business Case'!B11*$C696*'Business Case'!B13*$D696-'Business Case'!B14*$E696)-MAX(0,(('Business Case'!B11*$C696*'Business Case'!B12*$B696)-'Business Case'!B11*$C696*'Business Case'!B13*$D696-'Business Case'!B14*$E696))*'Business Case'!$B$7-'Business Case'!$B$8*('Business Case'!B11*$C696*'Business Case'!B12*$B696)-'Business Case'!B15*$F696</f>
        <v>-2047300335.57206</v>
      </c>
      <c r="I696" s="39" t="n">
        <f aca="false">(('Business Case'!C11*$C696*'Business Case'!C12*$B696)-'Business Case'!C11*$C696*'Business Case'!C13*$D696-'Business Case'!C14*$E696)-MAX(0,(('Business Case'!C11*$C696*'Business Case'!C12*$B696)-'Business Case'!C11*$C696*'Business Case'!C13*$D696-'Business Case'!C14*$E696))*'Business Case'!$B$7-'Business Case'!$B$8*(('Business Case'!C11*$C696*'Business Case'!C12*$B696)-('Business Case'!B11*$C696*'Business Case'!B12*$B696))-'Business Case'!C15*$F696</f>
        <v>-23566635.4695442</v>
      </c>
      <c r="J696" s="39" t="n">
        <f aca="false">(('Business Case'!D11*$C696*'Business Case'!D12*$B696)-'Business Case'!D11*$C696*'Business Case'!D13*$D696-'Business Case'!D14*$E696)-MAX(0,(('Business Case'!D11*$C696*'Business Case'!D12*$B696)-'Business Case'!D11*$C696*'Business Case'!D13*$D696-'Business Case'!D14*$E696))*'Business Case'!$B$7-'Business Case'!$B$8*(('Business Case'!D11*$C696*'Business Case'!D12*$B696)-('Business Case'!C11*$C696*'Business Case'!C12*$B696))-'Business Case'!D15*$F696</f>
        <v>236616576.342934</v>
      </c>
      <c r="K696" s="39" t="n">
        <f aca="false">(('Business Case'!E11*$C696*'Business Case'!E12*$B696)-'Business Case'!E11*$C696*'Business Case'!E13*$D696-'Business Case'!E14*$E696)-MAX(0,(('Business Case'!E11*$C696*'Business Case'!E12*$B696)-'Business Case'!E11*$C696*'Business Case'!E13*$D696-'Business Case'!E14*$E696))*'Business Case'!$B$7-'Business Case'!$B$8*(('Business Case'!E11*$C696*'Business Case'!E12*$B696)-('Business Case'!D11*$C696*'Business Case'!D12*$B696))-'Business Case'!E15*$F696</f>
        <v>547982296.544714</v>
      </c>
      <c r="L696" s="39" t="n">
        <f aca="false">(('Business Case'!F11*$C696*'Business Case'!F12*$B696)-'Business Case'!F11*$C696*'Business Case'!F13*$D696-'Business Case'!F14*$E696)-MAX(0,(('Business Case'!F11*$C696*'Business Case'!F12*$B696)-'Business Case'!F11*$C696*'Business Case'!F13*$D696-'Business Case'!F14*$E696))*'Business Case'!$B$7-'Business Case'!$B$8*(('Business Case'!F11*$C696*'Business Case'!F12*$B696)-('Business Case'!E11*$C696*'Business Case'!E12*$B696))-'Business Case'!F15*$F696</f>
        <v>664835690.842144</v>
      </c>
      <c r="M696" s="39" t="n">
        <f aca="false">(('Business Case'!G11*$C696*'Business Case'!G12*$B696)-'Business Case'!G11*$C696*'Business Case'!G13*$D696-'Business Case'!G14*$E696)-MAX(0,(('Business Case'!G11*$C696*'Business Case'!G12*$B696)-'Business Case'!G11*$C696*'Business Case'!G13*$D696-'Business Case'!G14*$E696))*'Business Case'!$B$7-'Business Case'!$B$8*(('Business Case'!G11*$C696*'Business Case'!G12*$B696)-('Business Case'!F11*$C696*'Business Case'!F12*$B696))-'Business Case'!G15*$F696+'Business Case'!$B$8*('Business Case'!G11*$C696*'Business Case'!G12*$B696)</f>
        <v>830526804.488468</v>
      </c>
      <c r="N696" s="39" t="n">
        <f aca="false">IF(COUNT('Business Case'!B11:G11)=0,"",H696+NPV(G696,I696:M696))</f>
        <v>-521294230.665917</v>
      </c>
      <c r="P696" s="40" t="n">
        <f aca="true">RAND()</f>
        <v>0.379624805366111</v>
      </c>
      <c r="Q696" s="40" t="n">
        <f aca="true">RAND()</f>
        <v>0.277693958071387</v>
      </c>
      <c r="R696" s="40" t="n">
        <f aca="true">RAND()</f>
        <v>0.235019625607007</v>
      </c>
      <c r="S696" s="40" t="n">
        <f aca="true">RAND()</f>
        <v>0.133542077499136</v>
      </c>
      <c r="T696" s="40" t="n">
        <f aca="true">RAND()</f>
        <v>0.316876712756114</v>
      </c>
      <c r="U696" s="40" t="n">
        <f aca="true">RAND()</f>
        <v>0.599784241492775</v>
      </c>
    </row>
    <row r="697" customFormat="false" ht="15" hidden="false" customHeight="false" outlineLevel="0" collapsed="false">
      <c r="A697" s="36" t="n">
        <v>617</v>
      </c>
      <c r="B697" s="37" t="n">
        <f aca="false">1+IF($G$6=$E$6,$F$6,IF(P697&lt;($F$6-$E$6)/($G$6-$E$6),$E$6+SQRT(P697*($G$6-$E$6)*($F$6-$E$6)),$G$6-SQRT((1-P697)*($G$6-$E$6)*($G$6-$F$6))))</f>
        <v>0.988407102968146</v>
      </c>
      <c r="C697" s="37" t="n">
        <f aca="false">1+IF($G$7=$E$7,$F$7,IF(Q697&lt;($F$7-$E$7)/($G$7-$E$7),$E$7+SQRT(Q697*($G$7-$E$7)*($F$7-$E$7)),$G$7-SQRT((1-Q697)*($G$7-$E$7)*($G$7-$F$7))))</f>
        <v>1.01395745291162</v>
      </c>
      <c r="D697" s="37" t="n">
        <f aca="false">1+IF($G$8=$E$8,$F$8,IF(R697&lt;($F$8-$E$8)/($G$8-$E$8),$E$8+SQRT(R697*($G$8-$E$8)*($F$8-$E$8)),$G$8-SQRT((1-R697)*($G$8-$E$8)*($G$8-$F$8))))</f>
        <v>1.02801207898159</v>
      </c>
      <c r="E697" s="37" t="n">
        <f aca="false">1+IF($G$9=$E$9,$F$9,IF(S697&lt;($F$9-$E$9)/($G$9-$E$9),$E$9+SQRT(S697*($G$9-$E$9)*($F$9-$E$9)),$G$9-SQRT((1-S697)*($G$9-$E$9)*($G$9-$F$9))))</f>
        <v>0.997808825345502</v>
      </c>
      <c r="F697" s="37" t="n">
        <f aca="false">1+IF($G$10=$E$10,$F$10,IF(T697&lt;($F$10-$E$10)/($G$10-$E$10),$E$10+SQRT(T697*($G$10-$E$10)*($F$10-$E$10)),$G$10-SQRT((1-T697)*($G$10-$E$10)*($G$10-$F$10))))</f>
        <v>0.964064687580847</v>
      </c>
      <c r="G697" s="38" t="n">
        <f aca="false">IF($G$11=$E$11,$F$11,IF(U697&lt;($F$11-$E$11)/($G$11-$E$11),$E$11+SQRT(U697*($G$11-$E$11)*($F$11-$E$11)),$G$11-SQRT((1-U697)*($G$11-$E$11)*($G$11-$F$11))))</f>
        <v>0.102759511296997</v>
      </c>
      <c r="H697" s="39" t="n">
        <f aca="false">(('Business Case'!B11*$C697*'Business Case'!B12*$B697)-'Business Case'!B11*$C697*'Business Case'!B13*$D697-'Business Case'!B14*$E697)-MAX(0,(('Business Case'!B11*$C697*'Business Case'!B12*$B697)-'Business Case'!B11*$C697*'Business Case'!B13*$D697-'Business Case'!B14*$E697))*'Business Case'!$B$7-'Business Case'!$B$8*('Business Case'!B11*$C697*'Business Case'!B12*$B697)-'Business Case'!B15*$F697</f>
        <v>-1928129375.16169</v>
      </c>
      <c r="I697" s="39" t="n">
        <f aca="false">(('Business Case'!C11*$C697*'Business Case'!C12*$B697)-'Business Case'!C11*$C697*'Business Case'!C13*$D697-'Business Case'!C14*$E697)-MAX(0,(('Business Case'!C11*$C697*'Business Case'!C12*$B697)-'Business Case'!C11*$C697*'Business Case'!C13*$D697-'Business Case'!C14*$E697))*'Business Case'!$B$7-'Business Case'!$B$8*(('Business Case'!C11*$C697*'Business Case'!C12*$B697)-('Business Case'!B11*$C697*'Business Case'!B12*$B697))-'Business Case'!C15*$F697</f>
        <v>-2978056.3874751</v>
      </c>
      <c r="J697" s="39" t="n">
        <f aca="false">(('Business Case'!D11*$C697*'Business Case'!D12*$B697)-'Business Case'!D11*$C697*'Business Case'!D13*$D697-'Business Case'!D14*$E697)-MAX(0,(('Business Case'!D11*$C697*'Business Case'!D12*$B697)-'Business Case'!D11*$C697*'Business Case'!D13*$D697-'Business Case'!D14*$E697))*'Business Case'!$B$7-'Business Case'!$B$8*(('Business Case'!D11*$C697*'Business Case'!D12*$B697)-('Business Case'!C11*$C697*'Business Case'!C12*$B697))-'Business Case'!D15*$F697</f>
        <v>284292961.432892</v>
      </c>
      <c r="K697" s="39" t="n">
        <f aca="false">(('Business Case'!E11*$C697*'Business Case'!E12*$B697)-'Business Case'!E11*$C697*'Business Case'!E13*$D697-'Business Case'!E14*$E697)-MAX(0,(('Business Case'!E11*$C697*'Business Case'!E12*$B697)-'Business Case'!E11*$C697*'Business Case'!E13*$D697-'Business Case'!E14*$E697))*'Business Case'!$B$7-'Business Case'!$B$8*(('Business Case'!E11*$C697*'Business Case'!E12*$B697)-('Business Case'!D11*$C697*'Business Case'!D12*$B697))-'Business Case'!E15*$F697</f>
        <v>619767213.632301</v>
      </c>
      <c r="L697" s="39" t="n">
        <f aca="false">(('Business Case'!F11*$C697*'Business Case'!F12*$B697)-'Business Case'!F11*$C697*'Business Case'!F13*$D697-'Business Case'!F14*$E697)-MAX(0,(('Business Case'!F11*$C697*'Business Case'!F12*$B697)-'Business Case'!F11*$C697*'Business Case'!F13*$D697-'Business Case'!F14*$E697))*'Business Case'!$B$7-'Business Case'!$B$8*(('Business Case'!F11*$C697*'Business Case'!F12*$B697)-('Business Case'!E11*$C697*'Business Case'!E12*$B697))-'Business Case'!F15*$F697</f>
        <v>750160346.562842</v>
      </c>
      <c r="M697" s="39" t="n">
        <f aca="false">(('Business Case'!G11*$C697*'Business Case'!G12*$B697)-'Business Case'!G11*$C697*'Business Case'!G13*$D697-'Business Case'!G14*$E697)-MAX(0,(('Business Case'!G11*$C697*'Business Case'!G12*$B697)-'Business Case'!G11*$C697*'Business Case'!G13*$D697-'Business Case'!G14*$E697))*'Business Case'!$B$7-'Business Case'!$B$8*(('Business Case'!G11*$C697*'Business Case'!G12*$B697)-('Business Case'!F11*$C697*'Business Case'!F12*$B697))-'Business Case'!G15*$F697+'Business Case'!$B$8*('Business Case'!G11*$C697*'Business Case'!G12*$B697)</f>
        <v>940659045.010141</v>
      </c>
      <c r="N697" s="39" t="n">
        <f aca="false">IF(COUNT('Business Case'!B11:G11)=0,"",H697+NPV(G697,I697:M697))</f>
        <v>-150833901.746399</v>
      </c>
      <c r="P697" s="40" t="n">
        <f aca="true">RAND()</f>
        <v>0.52105439034802</v>
      </c>
      <c r="Q697" s="40" t="n">
        <f aca="true">RAND()</f>
        <v>0.725813709358622</v>
      </c>
      <c r="R697" s="40" t="n">
        <f aca="true">RAND()</f>
        <v>0.654515948496444</v>
      </c>
      <c r="S697" s="40" t="n">
        <f aca="true">RAND()</f>
        <v>0.382662652618674</v>
      </c>
      <c r="T697" s="40" t="n">
        <f aca="true">RAND()</f>
        <v>0.0131876957831228</v>
      </c>
      <c r="U697" s="40" t="n">
        <f aca="true">RAND()</f>
        <v>0.50530385014772</v>
      </c>
    </row>
    <row r="698" customFormat="false" ht="15" hidden="false" customHeight="false" outlineLevel="0" collapsed="false">
      <c r="A698" s="36" t="n">
        <v>618</v>
      </c>
      <c r="B698" s="37" t="n">
        <f aca="false">1+IF($G$6=$E$6,$F$6,IF(P698&lt;($F$6-$E$6)/($G$6-$E$6),$E$6+SQRT(P698*($G$6-$E$6)*($F$6-$E$6)),$G$6-SQRT((1-P698)*($G$6-$E$6)*($G$6-$F$6))))</f>
        <v>0.989112550532882</v>
      </c>
      <c r="C698" s="37" t="n">
        <f aca="false">1+IF($G$7=$E$7,$F$7,IF(Q698&lt;($F$7-$E$7)/($G$7-$E$7),$E$7+SQRT(Q698*($G$7-$E$7)*($F$7-$E$7)),$G$7-SQRT((1-Q698)*($G$7-$E$7)*($G$7-$F$7))))</f>
        <v>1.06556195239929</v>
      </c>
      <c r="D698" s="37" t="n">
        <f aca="false">1+IF($G$8=$E$8,$F$8,IF(R698&lt;($F$8-$E$8)/($G$8-$E$8),$E$8+SQRT(R698*($G$8-$E$8)*($F$8-$E$8)),$G$8-SQRT((1-R698)*($G$8-$E$8)*($G$8-$F$8))))</f>
        <v>0.978871758321835</v>
      </c>
      <c r="E698" s="37" t="n">
        <f aca="false">1+IF($G$9=$E$9,$F$9,IF(S698&lt;($F$9-$E$9)/($G$9-$E$9),$E$9+SQRT(S698*($G$9-$E$9)*($F$9-$E$9)),$G$9-SQRT((1-S698)*($G$9-$E$9)*($G$9-$F$9))))</f>
        <v>1.04765392257354</v>
      </c>
      <c r="F698" s="37" t="n">
        <f aca="false">1+IF($G$10=$E$10,$F$10,IF(T698&lt;($F$10-$E$10)/($G$10-$E$10),$E$10+SQRT(T698*($G$10-$E$10)*($F$10-$E$10)),$G$10-SQRT((1-T698)*($G$10-$E$10)*($G$10-$F$10))))</f>
        <v>1.07235335470061</v>
      </c>
      <c r="G698" s="38" t="n">
        <f aca="false">IF($G$11=$E$11,$F$11,IF(U698&lt;($F$11-$E$11)/($G$11-$E$11),$E$11+SQRT(U698*($G$11-$E$11)*($F$11-$E$11)),$G$11-SQRT((1-U698)*($G$11-$E$11)*($G$11-$F$11))))</f>
        <v>0.119291109872466</v>
      </c>
      <c r="H698" s="39" t="n">
        <f aca="false">(('Business Case'!B11*$C698*'Business Case'!B12*$B698)-'Business Case'!B11*$C698*'Business Case'!B13*$D698-'Business Case'!B14*$E698)-MAX(0,(('Business Case'!B11*$C698*'Business Case'!B12*$B698)-'Business Case'!B11*$C698*'Business Case'!B13*$D698-'Business Case'!B14*$E698))*'Business Case'!$B$7-'Business Case'!$B$8*('Business Case'!B11*$C698*'Business Case'!B12*$B698)-'Business Case'!B15*$F698</f>
        <v>-2144706709.40121</v>
      </c>
      <c r="I698" s="39" t="n">
        <f aca="false">(('Business Case'!C11*$C698*'Business Case'!C12*$B698)-'Business Case'!C11*$C698*'Business Case'!C13*$D698-'Business Case'!C14*$E698)-MAX(0,(('Business Case'!C11*$C698*'Business Case'!C12*$B698)-'Business Case'!C11*$C698*'Business Case'!C13*$D698-'Business Case'!C14*$E698))*'Business Case'!$B$7-'Business Case'!$B$8*(('Business Case'!C11*$C698*'Business Case'!C12*$B698)-('Business Case'!B11*$C698*'Business Case'!B12*$B698))-'Business Case'!C15*$F698</f>
        <v>18463263.7809781</v>
      </c>
      <c r="J698" s="39" t="n">
        <f aca="false">(('Business Case'!D11*$C698*'Business Case'!D12*$B698)-'Business Case'!D11*$C698*'Business Case'!D13*$D698-'Business Case'!D14*$E698)-MAX(0,(('Business Case'!D11*$C698*'Business Case'!D12*$B698)-'Business Case'!D11*$C698*'Business Case'!D13*$D698-'Business Case'!D14*$E698))*'Business Case'!$B$7-'Business Case'!$B$8*(('Business Case'!D11*$C698*'Business Case'!D12*$B698)-('Business Case'!C11*$C698*'Business Case'!C12*$B698))-'Business Case'!D15*$F698</f>
        <v>347775573.535296</v>
      </c>
      <c r="K698" s="39" t="n">
        <f aca="false">(('Business Case'!E11*$C698*'Business Case'!E12*$B698)-'Business Case'!E11*$C698*'Business Case'!E13*$D698-'Business Case'!E14*$E698)-MAX(0,(('Business Case'!E11*$C698*'Business Case'!E12*$B698)-'Business Case'!E11*$C698*'Business Case'!E13*$D698-'Business Case'!E14*$E698))*'Business Case'!$B$7-'Business Case'!$B$8*(('Business Case'!E11*$C698*'Business Case'!E12*$B698)-('Business Case'!D11*$C698*'Business Case'!D12*$B698))-'Business Case'!E15*$F698</f>
        <v>730705551.024645</v>
      </c>
      <c r="L698" s="39" t="n">
        <f aca="false">(('Business Case'!F11*$C698*'Business Case'!F12*$B698)-'Business Case'!F11*$C698*'Business Case'!F13*$D698-'Business Case'!F14*$E698)-MAX(0,(('Business Case'!F11*$C698*'Business Case'!F12*$B698)-'Business Case'!F11*$C698*'Business Case'!F13*$D698-'Business Case'!F14*$E698))*'Business Case'!$B$7-'Business Case'!$B$8*(('Business Case'!F11*$C698*'Business Case'!F12*$B698)-('Business Case'!E11*$C698*'Business Case'!E12*$B698))-'Business Case'!F15*$F698</f>
        <v>876901202.751632</v>
      </c>
      <c r="M698" s="39" t="n">
        <f aca="false">(('Business Case'!G11*$C698*'Business Case'!G12*$B698)-'Business Case'!G11*$C698*'Business Case'!G13*$D698-'Business Case'!G14*$E698)-MAX(0,(('Business Case'!G11*$C698*'Business Case'!G12*$B698)-'Business Case'!G11*$C698*'Business Case'!G13*$D698-'Business Case'!G14*$E698))*'Business Case'!$B$7-'Business Case'!$B$8*(('Business Case'!G11*$C698*'Business Case'!G12*$B698)-('Business Case'!F11*$C698*'Business Case'!F12*$B698))-'Business Case'!G15*$F698+'Business Case'!$B$8*('Business Case'!G11*$C698*'Business Case'!G12*$B698)</f>
        <v>1077238052.70048</v>
      </c>
      <c r="N698" s="39" t="n">
        <f aca="false">IF(COUNT('Business Case'!B11:G11)=0,"",H698+NPV(G698,I698:M698))</f>
        <v>-157633137.275563</v>
      </c>
      <c r="P698" s="40" t="n">
        <f aca="true">RAND()</f>
        <v>0.529403110831692</v>
      </c>
      <c r="Q698" s="40" t="n">
        <f aca="true">RAND()</f>
        <v>0.894373572109345</v>
      </c>
      <c r="R698" s="40" t="n">
        <f aca="true">RAND()</f>
        <v>0.111143790479257</v>
      </c>
      <c r="S698" s="40" t="n">
        <f aca="true">RAND()</f>
        <v>0.720674144944461</v>
      </c>
      <c r="T698" s="40" t="n">
        <f aca="true">RAND()</f>
        <v>0.579222258851624</v>
      </c>
      <c r="U698" s="40" t="n">
        <f aca="true">RAND()</f>
        <v>0.923546448157599</v>
      </c>
    </row>
    <row r="699" customFormat="false" ht="15" hidden="false" customHeight="false" outlineLevel="0" collapsed="false">
      <c r="A699" s="36" t="n">
        <v>619</v>
      </c>
      <c r="B699" s="37" t="n">
        <f aca="false">1+IF($G$6=$E$6,$F$6,IF(P699&lt;($F$6-$E$6)/($G$6-$E$6),$E$6+SQRT(P699*($G$6-$E$6)*($F$6-$E$6)),$G$6-SQRT((1-P699)*($G$6-$E$6)*($G$6-$F$6))))</f>
        <v>0.942492428153947</v>
      </c>
      <c r="C699" s="37" t="n">
        <f aca="false">1+IF($G$7=$E$7,$F$7,IF(Q699&lt;($F$7-$E$7)/($G$7-$E$7),$E$7+SQRT(Q699*($G$7-$E$7)*($F$7-$E$7)),$G$7-SQRT((1-Q699)*($G$7-$E$7)*($G$7-$F$7))))</f>
        <v>1.02353885286824</v>
      </c>
      <c r="D699" s="37" t="n">
        <f aca="false">1+IF($G$8=$E$8,$F$8,IF(R699&lt;($F$8-$E$8)/($G$8-$E$8),$E$8+SQRT(R699*($G$8-$E$8)*($F$8-$E$8)),$G$8-SQRT((1-R699)*($G$8-$E$8)*($G$8-$F$8))))</f>
        <v>0.981734852189697</v>
      </c>
      <c r="E699" s="37" t="n">
        <f aca="false">1+IF($G$9=$E$9,$F$9,IF(S699&lt;($F$9-$E$9)/($G$9-$E$9),$E$9+SQRT(S699*($G$9-$E$9)*($F$9-$E$9)),$G$9-SQRT((1-S699)*($G$9-$E$9)*($G$9-$F$9))))</f>
        <v>0.980700949604172</v>
      </c>
      <c r="F699" s="37" t="n">
        <f aca="false">1+IF($G$10=$E$10,$F$10,IF(T699&lt;($F$10-$E$10)/($G$10-$E$10),$E$10+SQRT(T699*($G$10-$E$10)*($F$10-$E$10)),$G$10-SQRT((1-T699)*($G$10-$E$10)*($G$10-$F$10))))</f>
        <v>1.06350401925755</v>
      </c>
      <c r="G699" s="38" t="n">
        <f aca="false">IF($G$11=$E$11,$F$11,IF(U699&lt;($F$11-$E$11)/($G$11-$E$11),$E$11+SQRT(U699*($G$11-$E$11)*($F$11-$E$11)),$G$11-SQRT((1-U699)*($G$11-$E$11)*($G$11-$F$11))))</f>
        <v>0.0871807432696108</v>
      </c>
      <c r="H699" s="39" t="n">
        <f aca="false">(('Business Case'!B11*$C699*'Business Case'!B12*$B699)-'Business Case'!B11*$C699*'Business Case'!B13*$D699-'Business Case'!B14*$E699)-MAX(0,(('Business Case'!B11*$C699*'Business Case'!B12*$B699)-'Business Case'!B11*$C699*'Business Case'!B13*$D699-'Business Case'!B14*$E699))*'Business Case'!$B$7-'Business Case'!$B$8*('Business Case'!B11*$C699*'Business Case'!B12*$B699)-'Business Case'!B15*$F699</f>
        <v>-2127008038.51509</v>
      </c>
      <c r="I699" s="39" t="n">
        <f aca="false">(('Business Case'!C11*$C699*'Business Case'!C12*$B699)-'Business Case'!C11*$C699*'Business Case'!C13*$D699-'Business Case'!C14*$E699)-MAX(0,(('Business Case'!C11*$C699*'Business Case'!C12*$B699)-'Business Case'!C11*$C699*'Business Case'!C13*$D699-'Business Case'!C14*$E699))*'Business Case'!$B$7-'Business Case'!$B$8*(('Business Case'!C11*$C699*'Business Case'!C12*$B699)-('Business Case'!B11*$C699*'Business Case'!B12*$B699))-'Business Case'!C15*$F699</f>
        <v>-20074158.0584269</v>
      </c>
      <c r="J699" s="39" t="n">
        <f aca="false">(('Business Case'!D11*$C699*'Business Case'!D12*$B699)-'Business Case'!D11*$C699*'Business Case'!D13*$D699-'Business Case'!D14*$E699)-MAX(0,(('Business Case'!D11*$C699*'Business Case'!D12*$B699)-'Business Case'!D11*$C699*'Business Case'!D13*$D699-'Business Case'!D14*$E699))*'Business Case'!$B$7-'Business Case'!$B$8*(('Business Case'!D11*$C699*'Business Case'!D12*$B699)-('Business Case'!C11*$C699*'Business Case'!C12*$B699))-'Business Case'!D15*$F699</f>
        <v>255666648.598598</v>
      </c>
      <c r="K699" s="39" t="n">
        <f aca="false">(('Business Case'!E11*$C699*'Business Case'!E12*$B699)-'Business Case'!E11*$C699*'Business Case'!E13*$D699-'Business Case'!E14*$E699)-MAX(0,(('Business Case'!E11*$C699*'Business Case'!E12*$B699)-'Business Case'!E11*$C699*'Business Case'!E13*$D699-'Business Case'!E14*$E699))*'Business Case'!$B$7-'Business Case'!$B$8*(('Business Case'!E11*$C699*'Business Case'!E12*$B699)-('Business Case'!D11*$C699*'Business Case'!D12*$B699))-'Business Case'!E15*$F699</f>
        <v>584582656.218501</v>
      </c>
      <c r="L699" s="39" t="n">
        <f aca="false">(('Business Case'!F11*$C699*'Business Case'!F12*$B699)-'Business Case'!F11*$C699*'Business Case'!F13*$D699-'Business Case'!F14*$E699)-MAX(0,(('Business Case'!F11*$C699*'Business Case'!F12*$B699)-'Business Case'!F11*$C699*'Business Case'!F13*$D699-'Business Case'!F14*$E699))*'Business Case'!$B$7-'Business Case'!$B$8*(('Business Case'!F11*$C699*'Business Case'!F12*$B699)-('Business Case'!E11*$C699*'Business Case'!E12*$B699))-'Business Case'!F15*$F699</f>
        <v>709835516.941499</v>
      </c>
      <c r="M699" s="39" t="n">
        <f aca="false">(('Business Case'!G11*$C699*'Business Case'!G12*$B699)-'Business Case'!G11*$C699*'Business Case'!G13*$D699-'Business Case'!G14*$E699)-MAX(0,(('Business Case'!G11*$C699*'Business Case'!G12*$B699)-'Business Case'!G11*$C699*'Business Case'!G13*$D699-'Business Case'!G14*$E699))*'Business Case'!$B$7-'Business Case'!$B$8*(('Business Case'!G11*$C699*'Business Case'!G12*$B699)-('Business Case'!F11*$C699*'Business Case'!F12*$B699))-'Business Case'!G15*$F699+'Business Case'!$B$8*('Business Case'!G11*$C699*'Business Case'!G12*$B699)</f>
        <v>893201438.713442</v>
      </c>
      <c r="N699" s="39" t="n">
        <f aca="false">IF(COUNT('Business Case'!B11:G11)=0,"",H699+NPV(G699,I699:M699))</f>
        <v>-378052008.05834</v>
      </c>
      <c r="P699" s="40" t="n">
        <f aca="true">RAND()</f>
        <v>0.120373763361221</v>
      </c>
      <c r="Q699" s="40" t="n">
        <f aca="true">RAND()</f>
        <v>0.763075233572156</v>
      </c>
      <c r="R699" s="40" t="n">
        <f aca="true">RAND()</f>
        <v>0.134280112466918</v>
      </c>
      <c r="S699" s="40" t="n">
        <f aca="true">RAND()</f>
        <v>0.260505730680605</v>
      </c>
      <c r="T699" s="40" t="n">
        <f aca="true">RAND()</f>
        <v>0.536256655558805</v>
      </c>
      <c r="U699" s="40" t="n">
        <f aca="true">RAND()</f>
        <v>0.051563073904061</v>
      </c>
    </row>
    <row r="700" customFormat="false" ht="15" hidden="false" customHeight="false" outlineLevel="0" collapsed="false">
      <c r="A700" s="36" t="n">
        <v>620</v>
      </c>
      <c r="B700" s="37" t="n">
        <f aca="false">1+IF($G$6=$E$6,$F$6,IF(P700&lt;($F$6-$E$6)/($G$6-$E$6),$E$6+SQRT(P700*($G$6-$E$6)*($F$6-$E$6)),$G$6-SQRT((1-P700)*($G$6-$E$6)*($G$6-$F$6))))</f>
        <v>0.982011889604418</v>
      </c>
      <c r="C700" s="37" t="n">
        <f aca="false">1+IF($G$7=$E$7,$F$7,IF(Q700&lt;($F$7-$E$7)/($G$7-$E$7),$E$7+SQRT(Q700*($G$7-$E$7)*($F$7-$E$7)),$G$7-SQRT((1-Q700)*($G$7-$E$7)*($G$7-$F$7))))</f>
        <v>1.10987208201896</v>
      </c>
      <c r="D700" s="37" t="n">
        <f aca="false">1+IF($G$8=$E$8,$F$8,IF(R700&lt;($F$8-$E$8)/($G$8-$E$8),$E$8+SQRT(R700*($G$8-$E$8)*($F$8-$E$8)),$G$8-SQRT((1-R700)*($G$8-$E$8)*($G$8-$F$8))))</f>
        <v>0.999092495833374</v>
      </c>
      <c r="E700" s="37" t="n">
        <f aca="false">1+IF($G$9=$E$9,$F$9,IF(S700&lt;($F$9-$E$9)/($G$9-$E$9),$E$9+SQRT(S700*($G$9-$E$9)*($F$9-$E$9)),$G$9-SQRT((1-S700)*($G$9-$E$9)*($G$9-$F$9))))</f>
        <v>0.926873963193725</v>
      </c>
      <c r="F700" s="37" t="n">
        <f aca="false">1+IF($G$10=$E$10,$F$10,IF(T700&lt;($F$10-$E$10)/($G$10-$E$10),$E$10+SQRT(T700*($G$10-$E$10)*($F$10-$E$10)),$G$10-SQRT((1-T700)*($G$10-$E$10)*($G$10-$F$10))))</f>
        <v>1.15150062671296</v>
      </c>
      <c r="G700" s="38" t="n">
        <f aca="false">IF($G$11=$E$11,$F$11,IF(U700&lt;($F$11-$E$11)/($G$11-$E$11),$E$11+SQRT(U700*($G$11-$E$11)*($F$11-$E$11)),$G$11-SQRT((1-U700)*($G$11-$E$11)*($G$11-$F$11))))</f>
        <v>0.1118029430628</v>
      </c>
      <c r="H700" s="39" t="n">
        <f aca="false">(('Business Case'!B11*$C700*'Business Case'!B12*$B700)-'Business Case'!B11*$C700*'Business Case'!B13*$D700-'Business Case'!B14*$E700)-MAX(0,(('Business Case'!B11*$C700*'Business Case'!B12*$B700)-'Business Case'!B11*$C700*'Business Case'!B13*$D700-'Business Case'!B14*$E700))*'Business Case'!$B$7-'Business Case'!$B$8*('Business Case'!B11*$C700*'Business Case'!B12*$B700)-'Business Case'!B15*$F700</f>
        <v>-2303001253.42592</v>
      </c>
      <c r="I700" s="39" t="n">
        <f aca="false">(('Business Case'!C11*$C700*'Business Case'!C12*$B700)-'Business Case'!C11*$C700*'Business Case'!C13*$D700-'Business Case'!C14*$E700)-MAX(0,(('Business Case'!C11*$C700*'Business Case'!C12*$B700)-'Business Case'!C11*$C700*'Business Case'!C13*$D700-'Business Case'!C14*$E700))*'Business Case'!$B$7-'Business Case'!$B$8*(('Business Case'!C11*$C700*'Business Case'!C12*$B700)-('Business Case'!B11*$C700*'Business Case'!B12*$B700))-'Business Case'!C15*$F700</f>
        <v>21610329.0790673</v>
      </c>
      <c r="J700" s="39" t="n">
        <f aca="false">(('Business Case'!D11*$C700*'Business Case'!D12*$B700)-'Business Case'!D11*$C700*'Business Case'!D13*$D700-'Business Case'!D14*$E700)-MAX(0,(('Business Case'!D11*$C700*'Business Case'!D12*$B700)-'Business Case'!D11*$C700*'Business Case'!D13*$D700-'Business Case'!D14*$E700))*'Business Case'!$B$7-'Business Case'!$B$8*(('Business Case'!D11*$C700*'Business Case'!D12*$B700)-('Business Case'!C11*$C700*'Business Case'!C12*$B700))-'Business Case'!D15*$F700</f>
        <v>346673007.367797</v>
      </c>
      <c r="K700" s="39" t="n">
        <f aca="false">(('Business Case'!E11*$C700*'Business Case'!E12*$B700)-'Business Case'!E11*$C700*'Business Case'!E13*$D700-'Business Case'!E14*$E700)-MAX(0,(('Business Case'!E11*$C700*'Business Case'!E12*$B700)-'Business Case'!E11*$C700*'Business Case'!E13*$D700-'Business Case'!E14*$E700))*'Business Case'!$B$7-'Business Case'!$B$8*(('Business Case'!E11*$C700*'Business Case'!E12*$B700)-('Business Case'!D11*$C700*'Business Case'!D12*$B700))-'Business Case'!E15*$F700</f>
        <v>729310716.992175</v>
      </c>
      <c r="L700" s="39" t="n">
        <f aca="false">(('Business Case'!F11*$C700*'Business Case'!F12*$B700)-'Business Case'!F11*$C700*'Business Case'!F13*$D700-'Business Case'!F14*$E700)-MAX(0,(('Business Case'!F11*$C700*'Business Case'!F12*$B700)-'Business Case'!F11*$C700*'Business Case'!F13*$D700-'Business Case'!F14*$E700))*'Business Case'!$B$7-'Business Case'!$B$8*(('Business Case'!F11*$C700*'Business Case'!F12*$B700)-('Business Case'!E11*$C700*'Business Case'!E12*$B700))-'Business Case'!F15*$F700</f>
        <v>875332149.069898</v>
      </c>
      <c r="M700" s="39" t="n">
        <f aca="false">(('Business Case'!G11*$C700*'Business Case'!G12*$B700)-'Business Case'!G11*$C700*'Business Case'!G13*$D700-'Business Case'!G14*$E700)-MAX(0,(('Business Case'!G11*$C700*'Business Case'!G12*$B700)-'Business Case'!G11*$C700*'Business Case'!G13*$D700-'Business Case'!G14*$E700))*'Business Case'!$B$7-'Business Case'!$B$8*(('Business Case'!G11*$C700*'Business Case'!G12*$B700)-('Business Case'!F11*$C700*'Business Case'!F12*$B700))-'Business Case'!G15*$F700+'Business Case'!$B$8*('Business Case'!G11*$C700*'Business Case'!G12*$B700)</f>
        <v>1082501781.96804</v>
      </c>
      <c r="N700" s="39" t="n">
        <f aca="false">IF(COUNT('Business Case'!B11:G11)=0,"",H700+NPV(G700,I700:M700))</f>
        <v>-262335193.635346</v>
      </c>
      <c r="P700" s="40" t="n">
        <f aca="true">RAND()</f>
        <v>0.448396669099145</v>
      </c>
      <c r="Q700" s="40" t="n">
        <f aca="true">RAND()</f>
        <v>0.976144447385282</v>
      </c>
      <c r="R700" s="40" t="n">
        <f aca="true">RAND()</f>
        <v>0.321343086286644</v>
      </c>
      <c r="S700" s="40" t="n">
        <f aca="true">RAND()</f>
        <v>0.0288883959095074</v>
      </c>
      <c r="T700" s="40" t="n">
        <f aca="true">RAND()</f>
        <v>0.870638312827466</v>
      </c>
      <c r="U700" s="40" t="n">
        <f aca="true">RAND()</f>
        <v>0.779244745882875</v>
      </c>
    </row>
    <row r="701" customFormat="false" ht="15" hidden="false" customHeight="false" outlineLevel="0" collapsed="false">
      <c r="A701" s="36" t="n">
        <v>621</v>
      </c>
      <c r="B701" s="37" t="n">
        <f aca="false">1+IF($G$6=$E$6,$F$6,IF(P701&lt;($F$6-$E$6)/($G$6-$E$6),$E$6+SQRT(P701*($G$6-$E$6)*($F$6-$E$6)),$G$6-SQRT((1-P701)*($G$6-$E$6)*($G$6-$F$6))))</f>
        <v>1.00384519344887</v>
      </c>
      <c r="C701" s="37" t="n">
        <f aca="false">1+IF($G$7=$E$7,$F$7,IF(Q701&lt;($F$7-$E$7)/($G$7-$E$7),$E$7+SQRT(Q701*($G$7-$E$7)*($F$7-$E$7)),$G$7-SQRT((1-Q701)*($G$7-$E$7)*($G$7-$F$7))))</f>
        <v>1.01115132290988</v>
      </c>
      <c r="D701" s="37" t="n">
        <f aca="false">1+IF($G$8=$E$8,$F$8,IF(R701&lt;($F$8-$E$8)/($G$8-$E$8),$E$8+SQRT(R701*($G$8-$E$8)*($F$8-$E$8)),$G$8-SQRT((1-R701)*($G$8-$E$8)*($G$8-$F$8))))</f>
        <v>1.00784165939994</v>
      </c>
      <c r="E701" s="37" t="n">
        <f aca="false">1+IF($G$9=$E$9,$F$9,IF(S701&lt;($F$9-$E$9)/($G$9-$E$9),$E$9+SQRT(S701*($G$9-$E$9)*($F$9-$E$9)),$G$9-SQRT((1-S701)*($G$9-$E$9)*($G$9-$F$9))))</f>
        <v>0.958664462636546</v>
      </c>
      <c r="F701" s="37" t="n">
        <f aca="false">1+IF($G$10=$E$10,$F$10,IF(T701&lt;($F$10-$E$10)/($G$10-$E$10),$E$10+SQRT(T701*($G$10-$E$10)*($F$10-$E$10)),$G$10-SQRT((1-T701)*($G$10-$E$10)*($G$10-$F$10))))</f>
        <v>1.10806327692235</v>
      </c>
      <c r="G701" s="38" t="n">
        <f aca="false">IF($G$11=$E$11,$F$11,IF(U701&lt;($F$11-$E$11)/($G$11-$E$11),$E$11+SQRT(U701*($G$11-$E$11)*($F$11-$E$11)),$G$11-SQRT((1-U701)*($G$11-$E$11)*($G$11-$F$11))))</f>
        <v>0.0990168807626062</v>
      </c>
      <c r="H701" s="39" t="n">
        <f aca="false">(('Business Case'!B11*$C701*'Business Case'!B12*$B701)-'Business Case'!B11*$C701*'Business Case'!B13*$D701-'Business Case'!B14*$E701)-MAX(0,(('Business Case'!B11*$C701*'Business Case'!B12*$B701)-'Business Case'!B11*$C701*'Business Case'!B13*$D701-'Business Case'!B14*$E701))*'Business Case'!$B$7-'Business Case'!$B$8*('Business Case'!B11*$C701*'Business Case'!B12*$B701)-'Business Case'!B15*$F701</f>
        <v>-2216126553.84471</v>
      </c>
      <c r="I701" s="39" t="n">
        <f aca="false">(('Business Case'!C11*$C701*'Business Case'!C12*$B701)-'Business Case'!C11*$C701*'Business Case'!C13*$D701-'Business Case'!C14*$E701)-MAX(0,(('Business Case'!C11*$C701*'Business Case'!C12*$B701)-'Business Case'!C11*$C701*'Business Case'!C13*$D701-'Business Case'!C14*$E701))*'Business Case'!$B$7-'Business Case'!$B$8*(('Business Case'!C11*$C701*'Business Case'!C12*$B701)-('Business Case'!B11*$C701*'Business Case'!B12*$B701))-'Business Case'!C15*$F701</f>
        <v>9954638.81095657</v>
      </c>
      <c r="J701" s="39" t="n">
        <f aca="false">(('Business Case'!D11*$C701*'Business Case'!D12*$B701)-'Business Case'!D11*$C701*'Business Case'!D13*$D701-'Business Case'!D14*$E701)-MAX(0,(('Business Case'!D11*$C701*'Business Case'!D12*$B701)-'Business Case'!D11*$C701*'Business Case'!D13*$D701-'Business Case'!D14*$E701))*'Business Case'!$B$7-'Business Case'!$B$8*(('Business Case'!D11*$C701*'Business Case'!D12*$B701)-('Business Case'!C11*$C701*'Business Case'!C12*$B701))-'Business Case'!D15*$F701</f>
        <v>319657334.156142</v>
      </c>
      <c r="K701" s="39" t="n">
        <f aca="false">(('Business Case'!E11*$C701*'Business Case'!E12*$B701)-'Business Case'!E11*$C701*'Business Case'!E13*$D701-'Business Case'!E14*$E701)-MAX(0,(('Business Case'!E11*$C701*'Business Case'!E12*$B701)-'Business Case'!E11*$C701*'Business Case'!E13*$D701-'Business Case'!E14*$E701))*'Business Case'!$B$7-'Business Case'!$B$8*(('Business Case'!E11*$C701*'Business Case'!E12*$B701)-('Business Case'!D11*$C701*'Business Case'!D12*$B701))-'Business Case'!E15*$F701</f>
        <v>684763193.347444</v>
      </c>
      <c r="L701" s="39" t="n">
        <f aca="false">(('Business Case'!F11*$C701*'Business Case'!F12*$B701)-'Business Case'!F11*$C701*'Business Case'!F13*$D701-'Business Case'!F14*$E701)-MAX(0,(('Business Case'!F11*$C701*'Business Case'!F12*$B701)-'Business Case'!F11*$C701*'Business Case'!F13*$D701-'Business Case'!F14*$E701))*'Business Case'!$B$7-'Business Case'!$B$8*(('Business Case'!F11*$C701*'Business Case'!F12*$B701)-('Business Case'!E11*$C701*'Business Case'!E12*$B701))-'Business Case'!F15*$F701</f>
        <v>823077186.632558</v>
      </c>
      <c r="M701" s="39" t="n">
        <f aca="false">(('Business Case'!G11*$C701*'Business Case'!G12*$B701)-'Business Case'!G11*$C701*'Business Case'!G13*$D701-'Business Case'!G14*$E701)-MAX(0,(('Business Case'!G11*$C701*'Business Case'!G12*$B701)-'Business Case'!G11*$C701*'Business Case'!G13*$D701-'Business Case'!G14*$E701))*'Business Case'!$B$7-'Business Case'!$B$8*(('Business Case'!G11*$C701*'Business Case'!G12*$B701)-('Business Case'!F11*$C701*'Business Case'!F12*$B701))-'Business Case'!G15*$F701+'Business Case'!$B$8*('Business Case'!G11*$C701*'Business Case'!G12*$B701)</f>
        <v>1016015874.90117</v>
      </c>
      <c r="N701" s="39" t="n">
        <f aca="false">IF(COUNT('Business Case'!B11:G11)=0,"",H701+NPV(G701,I701:M701))</f>
        <v>-228681996.91302</v>
      </c>
      <c r="P701" s="40" t="n">
        <f aca="true">RAND()</f>
        <v>0.71596451096376</v>
      </c>
      <c r="Q701" s="40" t="n">
        <f aca="true">RAND()</f>
        <v>0.714385849930738</v>
      </c>
      <c r="R701" s="40" t="n">
        <f aca="true">RAND()</f>
        <v>0.433789350522837</v>
      </c>
      <c r="S701" s="40" t="n">
        <f aca="true">RAND()</f>
        <v>0.137660767057387</v>
      </c>
      <c r="T701" s="40" t="n">
        <f aca="true">RAND()</f>
        <v>0.731386221893057</v>
      </c>
      <c r="U701" s="40" t="n">
        <f aca="true">RAND()</f>
        <v>0.361641753939183</v>
      </c>
    </row>
    <row r="702" customFormat="false" ht="15" hidden="false" customHeight="false" outlineLevel="0" collapsed="false">
      <c r="A702" s="36" t="n">
        <v>622</v>
      </c>
      <c r="B702" s="37" t="n">
        <f aca="false">1+IF($G$6=$E$6,$F$6,IF(P702&lt;($F$6-$E$6)/($G$6-$E$6),$E$6+SQRT(P702*($G$6-$E$6)*($F$6-$E$6)),$G$6-SQRT((1-P702)*($G$6-$E$6)*($G$6-$F$6))))</f>
        <v>1.02425771193037</v>
      </c>
      <c r="C702" s="37" t="n">
        <f aca="false">1+IF($G$7=$E$7,$F$7,IF(Q702&lt;($F$7-$E$7)/($G$7-$E$7),$E$7+SQRT(Q702*($G$7-$E$7)*($F$7-$E$7)),$G$7-SQRT((1-Q702)*($G$7-$E$7)*($G$7-$F$7))))</f>
        <v>1.02603424733621</v>
      </c>
      <c r="D702" s="37" t="n">
        <f aca="false">1+IF($G$8=$E$8,$F$8,IF(R702&lt;($F$8-$E$8)/($G$8-$E$8),$E$8+SQRT(R702*($G$8-$E$8)*($F$8-$E$8)),$G$8-SQRT((1-R702)*($G$8-$E$8)*($G$8-$F$8))))</f>
        <v>0.999319802249956</v>
      </c>
      <c r="E702" s="37" t="n">
        <f aca="false">1+IF($G$9=$E$9,$F$9,IF(S702&lt;($F$9-$E$9)/($G$9-$E$9),$E$9+SQRT(S702*($G$9-$E$9)*($F$9-$E$9)),$G$9-SQRT((1-S702)*($G$9-$E$9)*($G$9-$F$9))))</f>
        <v>0.962318369756937</v>
      </c>
      <c r="F702" s="37" t="n">
        <f aca="false">1+IF($G$10=$E$10,$F$10,IF(T702&lt;($F$10-$E$10)/($G$10-$E$10),$E$10+SQRT(T702*($G$10-$E$10)*($F$10-$E$10)),$G$10-SQRT((1-T702)*($G$10-$E$10)*($G$10-$F$10))))</f>
        <v>1.1796676457084</v>
      </c>
      <c r="G702" s="38" t="n">
        <f aca="false">IF($G$11=$E$11,$F$11,IF(U702&lt;($F$11-$E$11)/($G$11-$E$11),$E$11+SQRT(U702*($G$11-$E$11)*($F$11-$E$11)),$G$11-SQRT((1-U702)*($G$11-$E$11)*($G$11-$F$11))))</f>
        <v>0.0926036611480939</v>
      </c>
      <c r="H702" s="39" t="n">
        <f aca="false">(('Business Case'!B11*$C702*'Business Case'!B12*$B702)-'Business Case'!B11*$C702*'Business Case'!B13*$D702-'Business Case'!B14*$E702)-MAX(0,(('Business Case'!B11*$C702*'Business Case'!B12*$B702)-'Business Case'!B11*$C702*'Business Case'!B13*$D702-'Business Case'!B14*$E702))*'Business Case'!$B$7-'Business Case'!$B$8*('Business Case'!B11*$C702*'Business Case'!B12*$B702)-'Business Case'!B15*$F702</f>
        <v>-2359335291.41681</v>
      </c>
      <c r="I702" s="39" t="n">
        <f aca="false">(('Business Case'!C11*$C702*'Business Case'!C12*$B702)-'Business Case'!C11*$C702*'Business Case'!C13*$D702-'Business Case'!C14*$E702)-MAX(0,(('Business Case'!C11*$C702*'Business Case'!C12*$B702)-'Business Case'!C11*$C702*'Business Case'!C13*$D702-'Business Case'!C14*$E702))*'Business Case'!$B$7-'Business Case'!$B$8*(('Business Case'!C11*$C702*'Business Case'!C12*$B702)-('Business Case'!B11*$C702*'Business Case'!B12*$B702))-'Business Case'!C15*$F702</f>
        <v>26603514.9814214</v>
      </c>
      <c r="J702" s="39" t="n">
        <f aca="false">(('Business Case'!D11*$C702*'Business Case'!D12*$B702)-'Business Case'!D11*$C702*'Business Case'!D13*$D702-'Business Case'!D14*$E702)-MAX(0,(('Business Case'!D11*$C702*'Business Case'!D12*$B702)-'Business Case'!D11*$C702*'Business Case'!D13*$D702-'Business Case'!D14*$E702))*'Business Case'!$B$7-'Business Case'!$B$8*(('Business Case'!D11*$C702*'Business Case'!D12*$B702)-('Business Case'!C11*$C702*'Business Case'!C12*$B702))-'Business Case'!D15*$F702</f>
        <v>362495340.46265</v>
      </c>
      <c r="K702" s="39" t="n">
        <f aca="false">(('Business Case'!E11*$C702*'Business Case'!E12*$B702)-'Business Case'!E11*$C702*'Business Case'!E13*$D702-'Business Case'!E14*$E702)-MAX(0,(('Business Case'!E11*$C702*'Business Case'!E12*$B702)-'Business Case'!E11*$C702*'Business Case'!E13*$D702-'Business Case'!E14*$E702))*'Business Case'!$B$7-'Business Case'!$B$8*(('Business Case'!E11*$C702*'Business Case'!E12*$B702)-('Business Case'!D11*$C702*'Business Case'!D12*$B702))-'Business Case'!E15*$F702</f>
        <v>757370548.229299</v>
      </c>
      <c r="L702" s="39" t="n">
        <f aca="false">(('Business Case'!F11*$C702*'Business Case'!F12*$B702)-'Business Case'!F11*$C702*'Business Case'!F13*$D702-'Business Case'!F14*$E702)-MAX(0,(('Business Case'!F11*$C702*'Business Case'!F12*$B702)-'Business Case'!F11*$C702*'Business Case'!F13*$D702-'Business Case'!F14*$E702))*'Business Case'!$B$7-'Business Case'!$B$8*(('Business Case'!F11*$C702*'Business Case'!F12*$B702)-('Business Case'!E11*$C702*'Business Case'!E12*$B702))-'Business Case'!F15*$F702</f>
        <v>905654405.889396</v>
      </c>
      <c r="M702" s="39" t="n">
        <f aca="false">(('Business Case'!G11*$C702*'Business Case'!G12*$B702)-'Business Case'!G11*$C702*'Business Case'!G13*$D702-'Business Case'!G14*$E702)-MAX(0,(('Business Case'!G11*$C702*'Business Case'!G12*$B702)-'Business Case'!G11*$C702*'Business Case'!G13*$D702-'Business Case'!G14*$E702))*'Business Case'!$B$7-'Business Case'!$B$8*(('Business Case'!G11*$C702*'Business Case'!G12*$B702)-('Business Case'!F11*$C702*'Business Case'!F12*$B702))-'Business Case'!G15*$F702+'Business Case'!$B$8*('Business Case'!G11*$C702*'Business Case'!G12*$B702)</f>
        <v>1105413942.97101</v>
      </c>
      <c r="N702" s="39" t="n">
        <f aca="false">IF(COUNT('Business Case'!B11:G11)=0,"",H702+NPV(G702,I702:M702))</f>
        <v>-105257453.982924</v>
      </c>
      <c r="P702" s="40" t="n">
        <f aca="true">RAND()</f>
        <v>0.911644613992018</v>
      </c>
      <c r="Q702" s="40" t="n">
        <f aca="true">RAND()</f>
        <v>0.772333217281499</v>
      </c>
      <c r="R702" s="40" t="n">
        <f aca="true">RAND()</f>
        <v>0.324325719196629</v>
      </c>
      <c r="S702" s="40" t="n">
        <f aca="true">RAND()</f>
        <v>0.155343168366491</v>
      </c>
      <c r="T702" s="40" t="n">
        <f aca="true">RAND()</f>
        <v>0.93404479919735</v>
      </c>
      <c r="U702" s="40" t="n">
        <f aca="true">RAND()</f>
        <v>0.158852274335973</v>
      </c>
    </row>
    <row r="703" customFormat="false" ht="15" hidden="false" customHeight="false" outlineLevel="0" collapsed="false">
      <c r="A703" s="36" t="n">
        <v>623</v>
      </c>
      <c r="B703" s="37" t="n">
        <f aca="false">1+IF($G$6=$E$6,$F$6,IF(P703&lt;($F$6-$E$6)/($G$6-$E$6),$E$6+SQRT(P703*($G$6-$E$6)*($F$6-$E$6)),$G$6-SQRT((1-P703)*($G$6-$E$6)*($G$6-$F$6))))</f>
        <v>0.926587213147549</v>
      </c>
      <c r="C703" s="37" t="n">
        <f aca="false">1+IF($G$7=$E$7,$F$7,IF(Q703&lt;($F$7-$E$7)/($G$7-$E$7),$E$7+SQRT(Q703*($G$7-$E$7)*($F$7-$E$7)),$G$7-SQRT((1-Q703)*($G$7-$E$7)*($G$7-$F$7))))</f>
        <v>0.973944489656629</v>
      </c>
      <c r="D703" s="37" t="n">
        <f aca="false">1+IF($G$8=$E$8,$F$8,IF(R703&lt;($F$8-$E$8)/($G$8-$E$8),$E$8+SQRT(R703*($G$8-$E$8)*($F$8-$E$8)),$G$8-SQRT((1-R703)*($G$8-$E$8)*($G$8-$F$8))))</f>
        <v>1.01800435703772</v>
      </c>
      <c r="E703" s="37" t="n">
        <f aca="false">1+IF($G$9=$E$9,$F$9,IF(S703&lt;($F$9-$E$9)/($G$9-$E$9),$E$9+SQRT(S703*($G$9-$E$9)*($F$9-$E$9)),$G$9-SQRT((1-S703)*($G$9-$E$9)*($G$9-$F$9))))</f>
        <v>0.927479715281052</v>
      </c>
      <c r="F703" s="37" t="n">
        <f aca="false">1+IF($G$10=$E$10,$F$10,IF(T703&lt;($F$10-$E$10)/($G$10-$E$10),$E$10+SQRT(T703*($G$10-$E$10)*($F$10-$E$10)),$G$10-SQRT((1-T703)*($G$10-$E$10)*($G$10-$F$10))))</f>
        <v>1.00104250537414</v>
      </c>
      <c r="G703" s="38" t="n">
        <f aca="false">IF($G$11=$E$11,$F$11,IF(U703&lt;($F$11-$E$11)/($G$11-$E$11),$E$11+SQRT(U703*($G$11-$E$11)*($F$11-$E$11)),$G$11-SQRT((1-U703)*($G$11-$E$11)*($G$11-$F$11))))</f>
        <v>0.0941570484362306</v>
      </c>
      <c r="H703" s="39" t="n">
        <f aca="false">(('Business Case'!B11*$C703*'Business Case'!B12*$B703)-'Business Case'!B11*$C703*'Business Case'!B13*$D703-'Business Case'!B14*$E703)-MAX(0,(('Business Case'!B11*$C703*'Business Case'!B12*$B703)-'Business Case'!B11*$C703*'Business Case'!B13*$D703-'Business Case'!B14*$E703))*'Business Case'!$B$7-'Business Case'!$B$8*('Business Case'!B11*$C703*'Business Case'!B12*$B703)-'Business Case'!B15*$F703</f>
        <v>-2002085010.74829</v>
      </c>
      <c r="I703" s="39" t="n">
        <f aca="false">(('Business Case'!C11*$C703*'Business Case'!C12*$B703)-'Business Case'!C11*$C703*'Business Case'!C13*$D703-'Business Case'!C14*$E703)-MAX(0,(('Business Case'!C11*$C703*'Business Case'!C12*$B703)-'Business Case'!C11*$C703*'Business Case'!C13*$D703-'Business Case'!C14*$E703))*'Business Case'!$B$7-'Business Case'!$B$8*(('Business Case'!C11*$C703*'Business Case'!C12*$B703)-('Business Case'!B11*$C703*'Business Case'!B12*$B703))-'Business Case'!C15*$F703</f>
        <v>-47165864.843863</v>
      </c>
      <c r="J703" s="39" t="n">
        <f aca="false">(('Business Case'!D11*$C703*'Business Case'!D12*$B703)-'Business Case'!D11*$C703*'Business Case'!D13*$D703-'Business Case'!D14*$E703)-MAX(0,(('Business Case'!D11*$C703*'Business Case'!D12*$B703)-'Business Case'!D11*$C703*'Business Case'!D13*$D703-'Business Case'!D14*$E703))*'Business Case'!$B$7-'Business Case'!$B$8*(('Business Case'!D11*$C703*'Business Case'!D12*$B703)-('Business Case'!C11*$C703*'Business Case'!C12*$B703))-'Business Case'!D15*$F703</f>
        <v>184442859.783415</v>
      </c>
      <c r="K703" s="39" t="n">
        <f aca="false">(('Business Case'!E11*$C703*'Business Case'!E12*$B703)-'Business Case'!E11*$C703*'Business Case'!E13*$D703-'Business Case'!E14*$E703)-MAX(0,(('Business Case'!E11*$C703*'Business Case'!E12*$B703)-'Business Case'!E11*$C703*'Business Case'!E13*$D703-'Business Case'!E14*$E703))*'Business Case'!$B$7-'Business Case'!$B$8*(('Business Case'!E11*$C703*'Business Case'!E12*$B703)-('Business Case'!D11*$C703*'Business Case'!D12*$B703))-'Business Case'!E15*$F703</f>
        <v>466103709.679401</v>
      </c>
      <c r="L703" s="39" t="n">
        <f aca="false">(('Business Case'!F11*$C703*'Business Case'!F12*$B703)-'Business Case'!F11*$C703*'Business Case'!F13*$D703-'Business Case'!F14*$E703)-MAX(0,(('Business Case'!F11*$C703*'Business Case'!F12*$B703)-'Business Case'!F11*$C703*'Business Case'!F13*$D703-'Business Case'!F14*$E703))*'Business Case'!$B$7-'Business Case'!$B$8*(('Business Case'!F11*$C703*'Business Case'!F12*$B703)-('Business Case'!E11*$C703*'Business Case'!E12*$B703))-'Business Case'!F15*$F703</f>
        <v>574495100.169</v>
      </c>
      <c r="M703" s="39" t="n">
        <f aca="false">(('Business Case'!G11*$C703*'Business Case'!G12*$B703)-'Business Case'!G11*$C703*'Business Case'!G13*$D703-'Business Case'!G14*$E703)-MAX(0,(('Business Case'!G11*$C703*'Business Case'!G12*$B703)-'Business Case'!G11*$C703*'Business Case'!G13*$D703-'Business Case'!G14*$E703))*'Business Case'!$B$7-'Business Case'!$B$8*(('Business Case'!G11*$C703*'Business Case'!G12*$B703)-('Business Case'!F11*$C703*'Business Case'!F12*$B703))-'Business Case'!G15*$F703+'Business Case'!$B$8*('Business Case'!G11*$C703*'Business Case'!G12*$B703)</f>
        <v>746031752.711791</v>
      </c>
      <c r="N703" s="39" t="n">
        <f aca="false">IF(COUNT('Business Case'!B11:G11)=0,"",H703+NPV(G703,I703:M703))</f>
        <v>-658731535.275513</v>
      </c>
      <c r="P703" s="40" t="n">
        <f aca="true">RAND()</f>
        <v>0.0471253268635452</v>
      </c>
      <c r="Q703" s="40" t="n">
        <f aca="true">RAND()</f>
        <v>0.555893210468379</v>
      </c>
      <c r="R703" s="40" t="n">
        <f aca="true">RAND()</f>
        <v>0.551780969013525</v>
      </c>
      <c r="S703" s="40" t="n">
        <f aca="true">RAND()</f>
        <v>0.0302053900771076</v>
      </c>
      <c r="T703" s="40" t="n">
        <f aca="true">RAND()</f>
        <v>0.173602211594896</v>
      </c>
      <c r="U703" s="40" t="n">
        <f aca="true">RAND()</f>
        <v>0.20042202042578</v>
      </c>
    </row>
    <row r="704" customFormat="false" ht="15" hidden="false" customHeight="false" outlineLevel="0" collapsed="false">
      <c r="A704" s="36" t="n">
        <v>624</v>
      </c>
      <c r="B704" s="37" t="n">
        <f aca="false">1+IF($G$6=$E$6,$F$6,IF(P704&lt;($F$6-$E$6)/($G$6-$E$6),$E$6+SQRT(P704*($G$6-$E$6)*($F$6-$E$6)),$G$6-SQRT((1-P704)*($G$6-$E$6)*($G$6-$F$6))))</f>
        <v>0.99417042384881</v>
      </c>
      <c r="C704" s="37" t="n">
        <f aca="false">1+IF($G$7=$E$7,$F$7,IF(Q704&lt;($F$7-$E$7)/($G$7-$E$7),$E$7+SQRT(Q704*($G$7-$E$7)*($F$7-$E$7)),$G$7-SQRT((1-Q704)*($G$7-$E$7)*($G$7-$F$7))))</f>
        <v>0.949051397159282</v>
      </c>
      <c r="D704" s="37" t="n">
        <f aca="false">1+IF($G$8=$E$8,$F$8,IF(R704&lt;($F$8-$E$8)/($G$8-$E$8),$E$8+SQRT(R704*($G$8-$E$8)*($F$8-$E$8)),$G$8-SQRT((1-R704)*($G$8-$E$8)*($G$8-$F$8))))</f>
        <v>1.0492069783306</v>
      </c>
      <c r="E704" s="37" t="n">
        <f aca="false">1+IF($G$9=$E$9,$F$9,IF(S704&lt;($F$9-$E$9)/($G$9-$E$9),$E$9+SQRT(S704*($G$9-$E$9)*($F$9-$E$9)),$G$9-SQRT((1-S704)*($G$9-$E$9)*($G$9-$F$9))))</f>
        <v>0.959002543165479</v>
      </c>
      <c r="F704" s="37" t="n">
        <f aca="false">1+IF($G$10=$E$10,$F$10,IF(T704&lt;($F$10-$E$10)/($G$10-$E$10),$E$10+SQRT(T704*($G$10-$E$10)*($F$10-$E$10)),$G$10-SQRT((1-T704)*($G$10-$E$10)*($G$10-$F$10))))</f>
        <v>1.05981511352073</v>
      </c>
      <c r="G704" s="38" t="n">
        <f aca="false">IF($G$11=$E$11,$F$11,IF(U704&lt;($F$11-$E$11)/($G$11-$E$11),$E$11+SQRT(U704*($G$11-$E$11)*($F$11-$E$11)),$G$11-SQRT((1-U704)*($G$11-$E$11)*($G$11-$F$11))))</f>
        <v>0.0929707931801507</v>
      </c>
      <c r="H704" s="39" t="n">
        <f aca="false">(('Business Case'!B11*$C704*'Business Case'!B12*$B704)-'Business Case'!B11*$C704*'Business Case'!B13*$D704-'Business Case'!B14*$E704)-MAX(0,(('Business Case'!B11*$C704*'Business Case'!B12*$B704)-'Business Case'!B11*$C704*'Business Case'!B13*$D704-'Business Case'!B14*$E704))*'Business Case'!$B$7-'Business Case'!$B$8*('Business Case'!B11*$C704*'Business Case'!B12*$B704)-'Business Case'!B15*$F704</f>
        <v>-2119630227.04146</v>
      </c>
      <c r="I704" s="39" t="n">
        <f aca="false">(('Business Case'!C11*$C704*'Business Case'!C12*$B704)-'Business Case'!C11*$C704*'Business Case'!C13*$D704-'Business Case'!C14*$E704)-MAX(0,(('Business Case'!C11*$C704*'Business Case'!C12*$B704)-'Business Case'!C11*$C704*'Business Case'!C13*$D704-'Business Case'!C14*$E704))*'Business Case'!$B$7-'Business Case'!$B$8*(('Business Case'!C11*$C704*'Business Case'!C12*$B704)-('Business Case'!B11*$C704*'Business Case'!B12*$B704))-'Business Case'!C15*$F704</f>
        <v>-28198864.6129211</v>
      </c>
      <c r="J704" s="39" t="n">
        <f aca="false">(('Business Case'!D11*$C704*'Business Case'!D12*$B704)-'Business Case'!D11*$C704*'Business Case'!D13*$D704-'Business Case'!D14*$E704)-MAX(0,(('Business Case'!D11*$C704*'Business Case'!D12*$B704)-'Business Case'!D11*$C704*'Business Case'!D13*$D704-'Business Case'!D14*$E704))*'Business Case'!$B$7-'Business Case'!$B$8*(('Business Case'!D11*$C704*'Business Case'!D12*$B704)-('Business Case'!C11*$C704*'Business Case'!C12*$B704))-'Business Case'!D15*$F704</f>
        <v>234865959.899543</v>
      </c>
      <c r="K704" s="39" t="n">
        <f aca="false">(('Business Case'!E11*$C704*'Business Case'!E12*$B704)-'Business Case'!E11*$C704*'Business Case'!E13*$D704-'Business Case'!E14*$E704)-MAX(0,(('Business Case'!E11*$C704*'Business Case'!E12*$B704)-'Business Case'!E11*$C704*'Business Case'!E13*$D704-'Business Case'!E14*$E704))*'Business Case'!$B$7-'Business Case'!$B$8*(('Business Case'!E11*$C704*'Business Case'!E12*$B704)-('Business Case'!D11*$C704*'Business Case'!D12*$B704))-'Business Case'!E15*$F704</f>
        <v>550921540.088042</v>
      </c>
      <c r="L704" s="39" t="n">
        <f aca="false">(('Business Case'!F11*$C704*'Business Case'!F12*$B704)-'Business Case'!F11*$C704*'Business Case'!F13*$D704-'Business Case'!F14*$E704)-MAX(0,(('Business Case'!F11*$C704*'Business Case'!F12*$B704)-'Business Case'!F11*$C704*'Business Case'!F13*$D704-'Business Case'!F14*$E704))*'Business Case'!$B$7-'Business Case'!$B$8*(('Business Case'!F11*$C704*'Business Case'!F12*$B704)-('Business Case'!E11*$C704*'Business Case'!E12*$B704))-'Business Case'!F15*$F704</f>
        <v>671217825.682318</v>
      </c>
      <c r="M704" s="39" t="n">
        <f aca="false">(('Business Case'!G11*$C704*'Business Case'!G12*$B704)-'Business Case'!G11*$C704*'Business Case'!G13*$D704-'Business Case'!G14*$E704)-MAX(0,(('Business Case'!G11*$C704*'Business Case'!G12*$B704)-'Business Case'!G11*$C704*'Business Case'!G13*$D704-'Business Case'!G14*$E704))*'Business Case'!$B$7-'Business Case'!$B$8*(('Business Case'!G11*$C704*'Business Case'!G12*$B704)-('Business Case'!F11*$C704*'Business Case'!F12*$B704))-'Business Case'!G15*$F704+'Business Case'!$B$8*('Business Case'!G11*$C704*'Business Case'!G12*$B704)</f>
        <v>850561884.844648</v>
      </c>
      <c r="N704" s="39" t="n">
        <f aca="false">IF(COUNT('Business Case'!B11:G11)=0,"",H704+NPV(G704,I704:M704))</f>
        <v>-511175137.32538</v>
      </c>
      <c r="P704" s="40" t="n">
        <f aca="true">RAND()</f>
        <v>0.591204581857638</v>
      </c>
      <c r="Q704" s="40" t="n">
        <f aca="true">RAND()</f>
        <v>0.459456284644375</v>
      </c>
      <c r="R704" s="40" t="n">
        <f aca="true">RAND()</f>
        <v>0.828004596646123</v>
      </c>
      <c r="S704" s="40" t="n">
        <f aca="true">RAND()</f>
        <v>0.139252003999767</v>
      </c>
      <c r="T704" s="40" t="n">
        <f aca="true">RAND()</f>
        <v>0.51772945273156</v>
      </c>
      <c r="U704" s="40" t="n">
        <f aca="true">RAND()</f>
        <v>0.168241475722243</v>
      </c>
    </row>
    <row r="705" customFormat="false" ht="15" hidden="false" customHeight="false" outlineLevel="0" collapsed="false">
      <c r="A705" s="36" t="n">
        <v>625</v>
      </c>
      <c r="B705" s="37" t="n">
        <f aca="false">1+IF($G$6=$E$6,$F$6,IF(P705&lt;($F$6-$E$6)/($G$6-$E$6),$E$6+SQRT(P705*($G$6-$E$6)*($F$6-$E$6)),$G$6-SQRT((1-P705)*($G$6-$E$6)*($G$6-$F$6))))</f>
        <v>1.0140847932556</v>
      </c>
      <c r="C705" s="37" t="n">
        <f aca="false">1+IF($G$7=$E$7,$F$7,IF(Q705&lt;($F$7-$E$7)/($G$7-$E$7),$E$7+SQRT(Q705*($G$7-$E$7)*($F$7-$E$7)),$G$7-SQRT((1-Q705)*($G$7-$E$7)*($G$7-$F$7))))</f>
        <v>0.978921861661414</v>
      </c>
      <c r="D705" s="37" t="n">
        <f aca="false">1+IF($G$8=$E$8,$F$8,IF(R705&lt;($F$8-$E$8)/($G$8-$E$8),$E$8+SQRT(R705*($G$8-$E$8)*($F$8-$E$8)),$G$8-SQRT((1-R705)*($G$8-$E$8)*($G$8-$F$8))))</f>
        <v>0.976881288573234</v>
      </c>
      <c r="E705" s="37" t="n">
        <f aca="false">1+IF($G$9=$E$9,$F$9,IF(S705&lt;($F$9-$E$9)/($G$9-$E$9),$E$9+SQRT(S705*($G$9-$E$9)*($F$9-$E$9)),$G$9-SQRT((1-S705)*($G$9-$E$9)*($G$9-$F$9))))</f>
        <v>1.00180393779672</v>
      </c>
      <c r="F705" s="37" t="n">
        <f aca="false">1+IF($G$10=$E$10,$F$10,IF(T705&lt;($F$10-$E$10)/($G$10-$E$10),$E$10+SQRT(T705*($G$10-$E$10)*($F$10-$E$10)),$G$10-SQRT((1-T705)*($G$10-$E$10)*($G$10-$F$10))))</f>
        <v>1.18321198828986</v>
      </c>
      <c r="G705" s="38" t="n">
        <f aca="false">IF($G$11=$E$11,$F$11,IF(U705&lt;($F$11-$E$11)/($G$11-$E$11),$E$11+SQRT(U705*($G$11-$E$11)*($F$11-$E$11)),$G$11-SQRT((1-U705)*($G$11-$E$11)*($G$11-$F$11))))</f>
        <v>0.106328226016727</v>
      </c>
      <c r="H705" s="39" t="n">
        <f aca="false">(('Business Case'!B11*$C705*'Business Case'!B12*$B705)-'Business Case'!B11*$C705*'Business Case'!B13*$D705-'Business Case'!B14*$E705)-MAX(0,(('Business Case'!B11*$C705*'Business Case'!B12*$B705)-'Business Case'!B11*$C705*'Business Case'!B13*$D705-'Business Case'!B14*$E705))*'Business Case'!$B$7-'Business Case'!$B$8*('Business Case'!B11*$C705*'Business Case'!B12*$B705)-'Business Case'!B15*$F705</f>
        <v>-2366423976.57972</v>
      </c>
      <c r="I705" s="39" t="n">
        <f aca="false">(('Business Case'!C11*$C705*'Business Case'!C12*$B705)-'Business Case'!C11*$C705*'Business Case'!C13*$D705-'Business Case'!C14*$E705)-MAX(0,(('Business Case'!C11*$C705*'Business Case'!C12*$B705)-'Business Case'!C11*$C705*'Business Case'!C13*$D705-'Business Case'!C14*$E705))*'Business Case'!$B$7-'Business Case'!$B$8*(('Business Case'!C11*$C705*'Business Case'!C12*$B705)-('Business Case'!B11*$C705*'Business Case'!B12*$B705))-'Business Case'!C15*$F705</f>
        <v>11316779.3331095</v>
      </c>
      <c r="J705" s="39" t="n">
        <f aca="false">(('Business Case'!D11*$C705*'Business Case'!D12*$B705)-'Business Case'!D11*$C705*'Business Case'!D13*$D705-'Business Case'!D14*$E705)-MAX(0,(('Business Case'!D11*$C705*'Business Case'!D12*$B705)-'Business Case'!D11*$C705*'Business Case'!D13*$D705-'Business Case'!D14*$E705))*'Business Case'!$B$7-'Business Case'!$B$8*(('Business Case'!D11*$C705*'Business Case'!D12*$B705)-('Business Case'!C11*$C705*'Business Case'!C12*$B705))-'Business Case'!D15*$F705</f>
        <v>334873352.118315</v>
      </c>
      <c r="K705" s="39" t="n">
        <f aca="false">(('Business Case'!E11*$C705*'Business Case'!E12*$B705)-'Business Case'!E11*$C705*'Business Case'!E13*$D705-'Business Case'!E14*$E705)-MAX(0,(('Business Case'!E11*$C705*'Business Case'!E12*$B705)-'Business Case'!E11*$C705*'Business Case'!E13*$D705-'Business Case'!E14*$E705))*'Business Case'!$B$7-'Business Case'!$B$8*(('Business Case'!E11*$C705*'Business Case'!E12*$B705)-('Business Case'!D11*$C705*'Business Case'!D12*$B705))-'Business Case'!E15*$F705</f>
        <v>717590524.318013</v>
      </c>
      <c r="L705" s="39" t="n">
        <f aca="false">(('Business Case'!F11*$C705*'Business Case'!F12*$B705)-'Business Case'!F11*$C705*'Business Case'!F13*$D705-'Business Case'!F14*$E705)-MAX(0,(('Business Case'!F11*$C705*'Business Case'!F12*$B705)-'Business Case'!F11*$C705*'Business Case'!F13*$D705-'Business Case'!F14*$E705))*'Business Case'!$B$7-'Business Case'!$B$8*(('Business Case'!F11*$C705*'Business Case'!F12*$B705)-('Business Case'!E11*$C705*'Business Case'!E12*$B705))-'Business Case'!F15*$F705</f>
        <v>859750765.025358</v>
      </c>
      <c r="M705" s="39" t="n">
        <f aca="false">(('Business Case'!G11*$C705*'Business Case'!G12*$B705)-'Business Case'!G11*$C705*'Business Case'!G13*$D705-'Business Case'!G14*$E705)-MAX(0,(('Business Case'!G11*$C705*'Business Case'!G12*$B705)-'Business Case'!G11*$C705*'Business Case'!G13*$D705-'Business Case'!G14*$E705))*'Business Case'!$B$7-'Business Case'!$B$8*(('Business Case'!G11*$C705*'Business Case'!G12*$B705)-('Business Case'!F11*$C705*'Business Case'!F12*$B705))-'Business Case'!G15*$F705+'Business Case'!$B$8*('Business Case'!G11*$C705*'Business Case'!G12*$B705)</f>
        <v>1048445038.80955</v>
      </c>
      <c r="N705" s="39" t="n">
        <f aca="false">IF(COUNT('Business Case'!B11:G11)=0,"",H705+NPV(G705,I705:M705))</f>
        <v>-346164039.691398</v>
      </c>
      <c r="P705" s="40" t="n">
        <f aca="true">RAND()</f>
        <v>0.828013056600942</v>
      </c>
      <c r="Q705" s="40" t="n">
        <f aca="true">RAND()</f>
        <v>0.576277073427175</v>
      </c>
      <c r="R705" s="40" t="n">
        <f aca="true">RAND()</f>
        <v>0.0963471567143329</v>
      </c>
      <c r="S705" s="40" t="n">
        <f aca="true">RAND()</f>
        <v>0.41434472393176</v>
      </c>
      <c r="T705" s="40" t="n">
        <f aca="true">RAND()</f>
        <v>0.940524819890748</v>
      </c>
      <c r="U705" s="40" t="n">
        <f aca="true">RAND()</f>
        <v>0.626431410989881</v>
      </c>
    </row>
    <row r="706" customFormat="false" ht="15" hidden="false" customHeight="false" outlineLevel="0" collapsed="false">
      <c r="A706" s="36" t="n">
        <v>626</v>
      </c>
      <c r="B706" s="37" t="n">
        <f aca="false">1+IF($G$6=$E$6,$F$6,IF(P706&lt;($F$6-$E$6)/($G$6-$E$6),$E$6+SQRT(P706*($G$6-$E$6)*($F$6-$E$6)),$G$6-SQRT((1-P706)*($G$6-$E$6)*($G$6-$F$6))))</f>
        <v>1.02208597057944</v>
      </c>
      <c r="C706" s="37" t="n">
        <f aca="false">1+IF($G$7=$E$7,$F$7,IF(Q706&lt;($F$7-$E$7)/($G$7-$E$7),$E$7+SQRT(Q706*($G$7-$E$7)*($F$7-$E$7)),$G$7-SQRT((1-Q706)*($G$7-$E$7)*($G$7-$F$7))))</f>
        <v>0.978787092715543</v>
      </c>
      <c r="D706" s="37" t="n">
        <f aca="false">1+IF($G$8=$E$8,$F$8,IF(R706&lt;($F$8-$E$8)/($G$8-$E$8),$E$8+SQRT(R706*($G$8-$E$8)*($F$8-$E$8)),$G$8-SQRT((1-R706)*($G$8-$E$8)*($G$8-$F$8))))</f>
        <v>1.01809216684843</v>
      </c>
      <c r="E706" s="37" t="n">
        <f aca="false">1+IF($G$9=$E$9,$F$9,IF(S706&lt;($F$9-$E$9)/($G$9-$E$9),$E$9+SQRT(S706*($G$9-$E$9)*($F$9-$E$9)),$G$9-SQRT((1-S706)*($G$9-$E$9)*($G$9-$F$9))))</f>
        <v>1.05316393792132</v>
      </c>
      <c r="F706" s="37" t="n">
        <f aca="false">1+IF($G$10=$E$10,$F$10,IF(T706&lt;($F$10-$E$10)/($G$10-$E$10),$E$10+SQRT(T706*($G$10-$E$10)*($F$10-$E$10)),$G$10-SQRT((1-T706)*($G$10-$E$10)*($G$10-$F$10))))</f>
        <v>1.15005067709704</v>
      </c>
      <c r="G706" s="38" t="n">
        <f aca="false">IF($G$11=$E$11,$F$11,IF(U706&lt;($F$11-$E$11)/($G$11-$E$11),$E$11+SQRT(U706*($G$11-$E$11)*($F$11-$E$11)),$G$11-SQRT((1-U706)*($G$11-$E$11)*($G$11-$F$11))))</f>
        <v>0.117201138564339</v>
      </c>
      <c r="H706" s="39" t="n">
        <f aca="false">(('Business Case'!B11*$C706*'Business Case'!B12*$B706)-'Business Case'!B11*$C706*'Business Case'!B13*$D706-'Business Case'!B14*$E706)-MAX(0,(('Business Case'!B11*$C706*'Business Case'!B12*$B706)-'Business Case'!B11*$C706*'Business Case'!B13*$D706-'Business Case'!B14*$E706))*'Business Case'!$B$7-'Business Case'!$B$8*('Business Case'!B11*$C706*'Business Case'!B12*$B706)-'Business Case'!B15*$F706</f>
        <v>-2300101354.19408</v>
      </c>
      <c r="I706" s="39" t="n">
        <f aca="false">(('Business Case'!C11*$C706*'Business Case'!C12*$B706)-'Business Case'!C11*$C706*'Business Case'!C13*$D706-'Business Case'!C14*$E706)-MAX(0,(('Business Case'!C11*$C706*'Business Case'!C12*$B706)-'Business Case'!C11*$C706*'Business Case'!C13*$D706-'Business Case'!C14*$E706))*'Business Case'!$B$7-'Business Case'!$B$8*(('Business Case'!C11*$C706*'Business Case'!C12*$B706)-('Business Case'!B11*$C706*'Business Case'!B12*$B706))-'Business Case'!C15*$F706</f>
        <v>-7348553.72310224</v>
      </c>
      <c r="J706" s="39" t="n">
        <f aca="false">(('Business Case'!D11*$C706*'Business Case'!D12*$B706)-'Business Case'!D11*$C706*'Business Case'!D13*$D706-'Business Case'!D14*$E706)-MAX(0,(('Business Case'!D11*$C706*'Business Case'!D12*$B706)-'Business Case'!D11*$C706*'Business Case'!D13*$D706-'Business Case'!D14*$E706))*'Business Case'!$B$7-'Business Case'!$B$8*(('Business Case'!D11*$C706*'Business Case'!D12*$B706)-('Business Case'!C11*$C706*'Business Case'!C12*$B706))-'Business Case'!D15*$F706</f>
        <v>301928844.400745</v>
      </c>
      <c r="K706" s="39" t="n">
        <f aca="false">(('Business Case'!E11*$C706*'Business Case'!E12*$B706)-'Business Case'!E11*$C706*'Business Case'!E13*$D706-'Business Case'!E14*$E706)-MAX(0,(('Business Case'!E11*$C706*'Business Case'!E12*$B706)-'Business Case'!E11*$C706*'Business Case'!E13*$D706-'Business Case'!E14*$E706))*'Business Case'!$B$7-'Business Case'!$B$8*(('Business Case'!E11*$C706*'Business Case'!E12*$B706)-('Business Case'!D11*$C706*'Business Case'!D12*$B706))-'Business Case'!E15*$F706</f>
        <v>668708776.379445</v>
      </c>
      <c r="L706" s="39" t="n">
        <f aca="false">(('Business Case'!F11*$C706*'Business Case'!F12*$B706)-'Business Case'!F11*$C706*'Business Case'!F13*$D706-'Business Case'!F14*$E706)-MAX(0,(('Business Case'!F11*$C706*'Business Case'!F12*$B706)-'Business Case'!F11*$C706*'Business Case'!F13*$D706-'Business Case'!F14*$E706))*'Business Case'!$B$7-'Business Case'!$B$8*(('Business Case'!F11*$C706*'Business Case'!F12*$B706)-('Business Case'!E11*$C706*'Business Case'!E12*$B706))-'Business Case'!F15*$F706</f>
        <v>806375223.863949</v>
      </c>
      <c r="M706" s="39" t="n">
        <f aca="false">(('Business Case'!G11*$C706*'Business Case'!G12*$B706)-'Business Case'!G11*$C706*'Business Case'!G13*$D706-'Business Case'!G14*$E706)-MAX(0,(('Business Case'!G11*$C706*'Business Case'!G12*$B706)-'Business Case'!G11*$C706*'Business Case'!G13*$D706-'Business Case'!G14*$E706))*'Business Case'!$B$7-'Business Case'!$B$8*(('Business Case'!G11*$C706*'Business Case'!G12*$B706)-('Business Case'!F11*$C706*'Business Case'!F12*$B706))-'Business Case'!G15*$F706+'Business Case'!$B$8*('Business Case'!G11*$C706*'Business Case'!G12*$B706)</f>
        <v>996532121.801673</v>
      </c>
      <c r="N706" s="39" t="n">
        <f aca="false">IF(COUNT('Business Case'!B11:G11)=0,"",H706+NPV(G706,I706:M706))</f>
        <v>-495017196.100032</v>
      </c>
      <c r="P706" s="40" t="n">
        <f aca="true">RAND()</f>
        <v>0.896107594867767</v>
      </c>
      <c r="Q706" s="40" t="n">
        <f aca="true">RAND()</f>
        <v>0.575720318998406</v>
      </c>
      <c r="R706" s="40" t="n">
        <f aca="true">RAND()</f>
        <v>0.552740457894272</v>
      </c>
      <c r="S706" s="40" t="n">
        <f aca="true">RAND()</f>
        <v>0.749940722162525</v>
      </c>
      <c r="T706" s="40" t="n">
        <f aca="true">RAND()</f>
        <v>0.866801771349858</v>
      </c>
      <c r="U706" s="40" t="n">
        <f aca="true">RAND()</f>
        <v>0.890792763967173</v>
      </c>
    </row>
    <row r="707" customFormat="false" ht="15" hidden="false" customHeight="false" outlineLevel="0" collapsed="false">
      <c r="A707" s="36" t="n">
        <v>627</v>
      </c>
      <c r="B707" s="37" t="n">
        <f aca="false">1+IF($G$6=$E$6,$F$6,IF(P707&lt;($F$6-$E$6)/($G$6-$E$6),$E$6+SQRT(P707*($G$6-$E$6)*($F$6-$E$6)),$G$6-SQRT((1-P707)*($G$6-$E$6)*($G$6-$F$6))))</f>
        <v>1.0115578717895</v>
      </c>
      <c r="C707" s="37" t="n">
        <f aca="false">1+IF($G$7=$E$7,$F$7,IF(Q707&lt;($F$7-$E$7)/($G$7-$E$7),$E$7+SQRT(Q707*($G$7-$E$7)*($F$7-$E$7)),$G$7-SQRT((1-Q707)*($G$7-$E$7)*($G$7-$F$7))))</f>
        <v>0.992285864252925</v>
      </c>
      <c r="D707" s="37" t="n">
        <f aca="false">1+IF($G$8=$E$8,$F$8,IF(R707&lt;($F$8-$E$8)/($G$8-$E$8),$E$8+SQRT(R707*($G$8-$E$8)*($F$8-$E$8)),$G$8-SQRT((1-R707)*($G$8-$E$8)*($G$8-$F$8))))</f>
        <v>0.96826498002605</v>
      </c>
      <c r="E707" s="37" t="n">
        <f aca="false">1+IF($G$9=$E$9,$F$9,IF(S707&lt;($F$9-$E$9)/($G$9-$E$9),$E$9+SQRT(S707*($G$9-$E$9)*($F$9-$E$9)),$G$9-SQRT((1-S707)*($G$9-$E$9)*($G$9-$F$9))))</f>
        <v>1.07143521104385</v>
      </c>
      <c r="F707" s="37" t="n">
        <f aca="false">1+IF($G$10=$E$10,$F$10,IF(T707&lt;($F$10-$E$10)/($G$10-$E$10),$E$10+SQRT(T707*($G$10-$E$10)*($F$10-$E$10)),$G$10-SQRT((1-T707)*($G$10-$E$10)*($G$10-$F$10))))</f>
        <v>1.02796965557116</v>
      </c>
      <c r="G707" s="38" t="n">
        <f aca="false">IF($G$11=$E$11,$F$11,IF(U707&lt;($F$11-$E$11)/($G$11-$E$11),$E$11+SQRT(U707*($G$11-$E$11)*($F$11-$E$11)),$G$11-SQRT((1-U707)*($G$11-$E$11)*($G$11-$F$11))))</f>
        <v>0.120137070734803</v>
      </c>
      <c r="H707" s="39" t="n">
        <f aca="false">(('Business Case'!B11*$C707*'Business Case'!B12*$B707)-'Business Case'!B11*$C707*'Business Case'!B13*$D707-'Business Case'!B14*$E707)-MAX(0,(('Business Case'!B11*$C707*'Business Case'!B12*$B707)-'Business Case'!B11*$C707*'Business Case'!B13*$D707-'Business Case'!B14*$E707))*'Business Case'!$B$7-'Business Case'!$B$8*('Business Case'!B11*$C707*'Business Case'!B12*$B707)-'Business Case'!B15*$F707</f>
        <v>-2055939311.14232</v>
      </c>
      <c r="I707" s="39" t="n">
        <f aca="false">(('Business Case'!C11*$C707*'Business Case'!C12*$B707)-'Business Case'!C11*$C707*'Business Case'!C13*$D707-'Business Case'!C14*$E707)-MAX(0,(('Business Case'!C11*$C707*'Business Case'!C12*$B707)-'Business Case'!C11*$C707*'Business Case'!C13*$D707-'Business Case'!C14*$E707))*'Business Case'!$B$7-'Business Case'!$B$8*(('Business Case'!C11*$C707*'Business Case'!C12*$B707)-('Business Case'!B11*$C707*'Business Case'!B12*$B707))-'Business Case'!C15*$F707</f>
        <v>23107068.6483917</v>
      </c>
      <c r="J707" s="39" t="n">
        <f aca="false">(('Business Case'!D11*$C707*'Business Case'!D12*$B707)-'Business Case'!D11*$C707*'Business Case'!D13*$D707-'Business Case'!D14*$E707)-MAX(0,(('Business Case'!D11*$C707*'Business Case'!D12*$B707)-'Business Case'!D11*$C707*'Business Case'!D13*$D707-'Business Case'!D14*$E707))*'Business Case'!$B$7-'Business Case'!$B$8*(('Business Case'!D11*$C707*'Business Case'!D12*$B707)-('Business Case'!C11*$C707*'Business Case'!C12*$B707))-'Business Case'!D15*$F707</f>
        <v>353403827.138633</v>
      </c>
      <c r="K707" s="39" t="n">
        <f aca="false">(('Business Case'!E11*$C707*'Business Case'!E12*$B707)-'Business Case'!E11*$C707*'Business Case'!E13*$D707-'Business Case'!E14*$E707)-MAX(0,(('Business Case'!E11*$C707*'Business Case'!E12*$B707)-'Business Case'!E11*$C707*'Business Case'!E13*$D707-'Business Case'!E14*$E707))*'Business Case'!$B$7-'Business Case'!$B$8*(('Business Case'!E11*$C707*'Business Case'!E12*$B707)-('Business Case'!D11*$C707*'Business Case'!D12*$B707))-'Business Case'!E15*$F707</f>
        <v>735099068.407432</v>
      </c>
      <c r="L707" s="39" t="n">
        <f aca="false">(('Business Case'!F11*$C707*'Business Case'!F12*$B707)-'Business Case'!F11*$C707*'Business Case'!F13*$D707-'Business Case'!F14*$E707)-MAX(0,(('Business Case'!F11*$C707*'Business Case'!F12*$B707)-'Business Case'!F11*$C707*'Business Case'!F13*$D707-'Business Case'!F14*$E707))*'Business Case'!$B$7-'Business Case'!$B$8*(('Business Case'!F11*$C707*'Business Case'!F12*$B707)-('Business Case'!E11*$C707*'Business Case'!E12*$B707))-'Business Case'!F15*$F707</f>
        <v>879887746.087045</v>
      </c>
      <c r="M707" s="39" t="n">
        <f aca="false">(('Business Case'!G11*$C707*'Business Case'!G12*$B707)-'Business Case'!G11*$C707*'Business Case'!G13*$D707-'Business Case'!G14*$E707)-MAX(0,(('Business Case'!G11*$C707*'Business Case'!G12*$B707)-'Business Case'!G11*$C707*'Business Case'!G13*$D707-'Business Case'!G14*$E707))*'Business Case'!$B$7-'Business Case'!$B$8*(('Business Case'!G11*$C707*'Business Case'!G12*$B707)-('Business Case'!F11*$C707*'Business Case'!F12*$B707))-'Business Case'!G15*$F707+'Business Case'!$B$8*('Business Case'!G11*$C707*'Business Case'!G12*$B707)</f>
        <v>1070681416.0928</v>
      </c>
      <c r="N707" s="39" t="n">
        <f aca="false">IF(COUNT('Business Case'!B11:G11)=0,"",H707+NPV(G707,I707:M707))</f>
        <v>-64538491.7803323</v>
      </c>
      <c r="P707" s="40" t="n">
        <f aca="true">RAND()</f>
        <v>0.802960370486375</v>
      </c>
      <c r="Q707" s="40" t="n">
        <f aca="true">RAND()</f>
        <v>0.632822418089478</v>
      </c>
      <c r="R707" s="40" t="n">
        <f aca="true">RAND()</f>
        <v>0.044481266046932</v>
      </c>
      <c r="S707" s="40" t="n">
        <f aca="true">RAND()</f>
        <v>0.835401971634022</v>
      </c>
      <c r="T707" s="40" t="n">
        <f aca="true">RAND()</f>
        <v>0.342700348704142</v>
      </c>
      <c r="U707" s="40" t="n">
        <f aca="true">RAND()</f>
        <v>0.935148417539818</v>
      </c>
    </row>
    <row r="708" customFormat="false" ht="15" hidden="false" customHeight="false" outlineLevel="0" collapsed="false">
      <c r="A708" s="36" t="n">
        <v>628</v>
      </c>
      <c r="B708" s="37" t="n">
        <f aca="false">1+IF($G$6=$E$6,$F$6,IF(P708&lt;($F$6-$E$6)/($G$6-$E$6),$E$6+SQRT(P708*($G$6-$E$6)*($F$6-$E$6)),$G$6-SQRT((1-P708)*($G$6-$E$6)*($G$6-$F$6))))</f>
        <v>0.97249977259597</v>
      </c>
      <c r="C708" s="37" t="n">
        <f aca="false">1+IF($G$7=$E$7,$F$7,IF(Q708&lt;($F$7-$E$7)/($G$7-$E$7),$E$7+SQRT(Q708*($G$7-$E$7)*($F$7-$E$7)),$G$7-SQRT((1-Q708)*($G$7-$E$7)*($G$7-$F$7))))</f>
        <v>1.01087886041616</v>
      </c>
      <c r="D708" s="37" t="n">
        <f aca="false">1+IF($G$8=$E$8,$F$8,IF(R708&lt;($F$8-$E$8)/($G$8-$E$8),$E$8+SQRT(R708*($G$8-$E$8)*($F$8-$E$8)),$G$8-SQRT((1-R708)*($G$8-$E$8)*($G$8-$F$8))))</f>
        <v>1.05458934135561</v>
      </c>
      <c r="E708" s="37" t="n">
        <f aca="false">1+IF($G$9=$E$9,$F$9,IF(S708&lt;($F$9-$E$9)/($G$9-$E$9),$E$9+SQRT(S708*($G$9-$E$9)*($F$9-$E$9)),$G$9-SQRT((1-S708)*($G$9-$E$9)*($G$9-$F$9))))</f>
        <v>1.04213851847988</v>
      </c>
      <c r="F708" s="37" t="n">
        <f aca="false">1+IF($G$10=$E$10,$F$10,IF(T708&lt;($F$10-$E$10)/($G$10-$E$10),$E$10+SQRT(T708*($G$10-$E$10)*($F$10-$E$10)),$G$10-SQRT((1-T708)*($G$10-$E$10)*($G$10-$F$10))))</f>
        <v>1.02835072753614</v>
      </c>
      <c r="G708" s="38" t="n">
        <f aca="false">IF($G$11=$E$11,$F$11,IF(U708&lt;($F$11-$E$11)/($G$11-$E$11),$E$11+SQRT(U708*($G$11-$E$11)*($F$11-$E$11)),$G$11-SQRT((1-U708)*($G$11-$E$11)*($G$11-$F$11))))</f>
        <v>0.10705230181552</v>
      </c>
      <c r="H708" s="39" t="n">
        <f aca="false">(('Business Case'!B11*$C708*'Business Case'!B12*$B708)-'Business Case'!B11*$C708*'Business Case'!B13*$D708-'Business Case'!B14*$E708)-MAX(0,(('Business Case'!B11*$C708*'Business Case'!B12*$B708)-'Business Case'!B11*$C708*'Business Case'!B13*$D708-'Business Case'!B14*$E708))*'Business Case'!$B$7-'Business Case'!$B$8*('Business Case'!B11*$C708*'Business Case'!B12*$B708)-'Business Case'!B15*$F708</f>
        <v>-2056701455.07229</v>
      </c>
      <c r="I708" s="39" t="n">
        <f aca="false">(('Business Case'!C11*$C708*'Business Case'!C12*$B708)-'Business Case'!C11*$C708*'Business Case'!C13*$D708-'Business Case'!C14*$E708)-MAX(0,(('Business Case'!C11*$C708*'Business Case'!C12*$B708)-'Business Case'!C11*$C708*'Business Case'!C13*$D708-'Business Case'!C14*$E708))*'Business Case'!$B$7-'Business Case'!$B$8*(('Business Case'!C11*$C708*'Business Case'!C12*$B708)-('Business Case'!B11*$C708*'Business Case'!B12*$B708))-'Business Case'!C15*$F708</f>
        <v>-42515644.0785237</v>
      </c>
      <c r="J708" s="39" t="n">
        <f aca="false">(('Business Case'!D11*$C708*'Business Case'!D12*$B708)-'Business Case'!D11*$C708*'Business Case'!D13*$D708-'Business Case'!D14*$E708)-MAX(0,(('Business Case'!D11*$C708*'Business Case'!D12*$B708)-'Business Case'!D11*$C708*'Business Case'!D13*$D708-'Business Case'!D14*$E708))*'Business Case'!$B$7-'Business Case'!$B$8*(('Business Case'!D11*$C708*'Business Case'!D12*$B708)-('Business Case'!C11*$C708*'Business Case'!C12*$B708))-'Business Case'!D15*$F708</f>
        <v>216958721.228098</v>
      </c>
      <c r="K708" s="39" t="n">
        <f aca="false">(('Business Case'!E11*$C708*'Business Case'!E12*$B708)-'Business Case'!E11*$C708*'Business Case'!E13*$D708-'Business Case'!E14*$E708)-MAX(0,(('Business Case'!E11*$C708*'Business Case'!E12*$B708)-'Business Case'!E11*$C708*'Business Case'!E13*$D708-'Business Case'!E14*$E708))*'Business Case'!$B$7-'Business Case'!$B$8*(('Business Case'!E11*$C708*'Business Case'!E12*$B708)-('Business Case'!D11*$C708*'Business Case'!D12*$B708))-'Business Case'!E15*$F708</f>
        <v>527850622.911528</v>
      </c>
      <c r="L708" s="39" t="n">
        <f aca="false">(('Business Case'!F11*$C708*'Business Case'!F12*$B708)-'Business Case'!F11*$C708*'Business Case'!F13*$D708-'Business Case'!F14*$E708)-MAX(0,(('Business Case'!F11*$C708*'Business Case'!F12*$B708)-'Business Case'!F11*$C708*'Business Case'!F13*$D708-'Business Case'!F14*$E708))*'Business Case'!$B$7-'Business Case'!$B$8*(('Business Case'!F11*$C708*'Business Case'!F12*$B708)-('Business Case'!E11*$C708*'Business Case'!E12*$B708))-'Business Case'!F15*$F708</f>
        <v>648317304.216197</v>
      </c>
      <c r="M708" s="39" t="n">
        <f aca="false">(('Business Case'!G11*$C708*'Business Case'!G12*$B708)-'Business Case'!G11*$C708*'Business Case'!G13*$D708-'Business Case'!G14*$E708)-MAX(0,(('Business Case'!G11*$C708*'Business Case'!G12*$B708)-'Business Case'!G11*$C708*'Business Case'!G13*$D708-'Business Case'!G14*$E708))*'Business Case'!$B$7-'Business Case'!$B$8*(('Business Case'!G11*$C708*'Business Case'!G12*$B708)-('Business Case'!F11*$C708*'Business Case'!F12*$B708))-'Business Case'!G15*$F708+'Business Case'!$B$8*('Business Case'!G11*$C708*'Business Case'!G12*$B708)</f>
        <v>835181048.329737</v>
      </c>
      <c r="N708" s="39" t="n">
        <f aca="false">IF(COUNT('Business Case'!B11:G11)=0,"",H708+NPV(G708,I708:M708))</f>
        <v>-595120676.92373</v>
      </c>
      <c r="P708" s="40" t="n">
        <f aca="true">RAND()</f>
        <v>0.350414468431161</v>
      </c>
      <c r="Q708" s="40" t="n">
        <f aca="true">RAND()</f>
        <v>0.713263829939164</v>
      </c>
      <c r="R708" s="40" t="n">
        <f aca="true">RAND()</f>
        <v>0.862524805432157</v>
      </c>
      <c r="S708" s="40" t="n">
        <f aca="true">RAND()</f>
        <v>0.689757354780916</v>
      </c>
      <c r="T708" s="40" t="n">
        <f aca="true">RAND()</f>
        <v>0.344954666883238</v>
      </c>
      <c r="U708" s="40" t="n">
        <f aca="true">RAND()</f>
        <v>0.648935432022666</v>
      </c>
    </row>
    <row r="709" customFormat="false" ht="15" hidden="false" customHeight="false" outlineLevel="0" collapsed="false">
      <c r="A709" s="36" t="n">
        <v>629</v>
      </c>
      <c r="B709" s="37" t="n">
        <f aca="false">1+IF($G$6=$E$6,$F$6,IF(P709&lt;($F$6-$E$6)/($G$6-$E$6),$E$6+SQRT(P709*($G$6-$E$6)*($F$6-$E$6)),$G$6-SQRT((1-P709)*($G$6-$E$6)*($G$6-$F$6))))</f>
        <v>0.976060517058034</v>
      </c>
      <c r="C709" s="37" t="n">
        <f aca="false">1+IF($G$7=$E$7,$F$7,IF(Q709&lt;($F$7-$E$7)/($G$7-$E$7),$E$7+SQRT(Q709*($G$7-$E$7)*($F$7-$E$7)),$G$7-SQRT((1-Q709)*($G$7-$E$7)*($G$7-$F$7))))</f>
        <v>1.10715341255225</v>
      </c>
      <c r="D709" s="37" t="n">
        <f aca="false">1+IF($G$8=$E$8,$F$8,IF(R709&lt;($F$8-$E$8)/($G$8-$E$8),$E$8+SQRT(R709*($G$8-$E$8)*($F$8-$E$8)),$G$8-SQRT((1-R709)*($G$8-$E$8)*($G$8-$F$8))))</f>
        <v>1.02438298575464</v>
      </c>
      <c r="E709" s="37" t="n">
        <f aca="false">1+IF($G$9=$E$9,$F$9,IF(S709&lt;($F$9-$E$9)/($G$9-$E$9),$E$9+SQRT(S709*($G$9-$E$9)*($F$9-$E$9)),$G$9-SQRT((1-S709)*($G$9-$E$9)*($G$9-$F$9))))</f>
        <v>0.97850212652081</v>
      </c>
      <c r="F709" s="37" t="n">
        <f aca="false">1+IF($G$10=$E$10,$F$10,IF(T709&lt;($F$10-$E$10)/($G$10-$E$10),$E$10+SQRT(T709*($G$10-$E$10)*($F$10-$E$10)),$G$10-SQRT((1-T709)*($G$10-$E$10)*($G$10-$F$10))))</f>
        <v>1.01905766205627</v>
      </c>
      <c r="G709" s="38" t="n">
        <f aca="false">IF($G$11=$E$11,$F$11,IF(U709&lt;($F$11-$E$11)/($G$11-$E$11),$E$11+SQRT(U709*($G$11-$E$11)*($F$11-$E$11)),$G$11-SQRT((1-U709)*($G$11-$E$11)*($G$11-$F$11))))</f>
        <v>0.110119046973713</v>
      </c>
      <c r="H709" s="39" t="n">
        <f aca="false">(('Business Case'!B11*$C709*'Business Case'!B12*$B709)-'Business Case'!B11*$C709*'Business Case'!B13*$D709-'Business Case'!B14*$E709)-MAX(0,(('Business Case'!B11*$C709*'Business Case'!B12*$B709)-'Business Case'!B11*$C709*'Business Case'!B13*$D709-'Business Case'!B14*$E709))*'Business Case'!$B$7-'Business Case'!$B$8*('Business Case'!B11*$C709*'Business Case'!B12*$B709)-'Business Case'!B15*$F709</f>
        <v>-2038115324.11254</v>
      </c>
      <c r="I709" s="39" t="n">
        <f aca="false">(('Business Case'!C11*$C709*'Business Case'!C12*$B709)-'Business Case'!C11*$C709*'Business Case'!C13*$D709-'Business Case'!C14*$E709)-MAX(0,(('Business Case'!C11*$C709*'Business Case'!C12*$B709)-'Business Case'!C11*$C709*'Business Case'!C13*$D709-'Business Case'!C14*$E709))*'Business Case'!$B$7-'Business Case'!$B$8*(('Business Case'!C11*$C709*'Business Case'!C12*$B709)-('Business Case'!B11*$C709*'Business Case'!B12*$B709))-'Business Case'!C15*$F709</f>
        <v>7465902.88601339</v>
      </c>
      <c r="J709" s="39" t="n">
        <f aca="false">(('Business Case'!D11*$C709*'Business Case'!D12*$B709)-'Business Case'!D11*$C709*'Business Case'!D13*$D709-'Business Case'!D14*$E709)-MAX(0,(('Business Case'!D11*$C709*'Business Case'!D12*$B709)-'Business Case'!D11*$C709*'Business Case'!D13*$D709-'Business Case'!D14*$E709))*'Business Case'!$B$7-'Business Case'!$B$8*(('Business Case'!D11*$C709*'Business Case'!D12*$B709)-('Business Case'!C11*$C709*'Business Case'!C12*$B709))-'Business Case'!D15*$F709</f>
        <v>312001404.652295</v>
      </c>
      <c r="K709" s="39" t="n">
        <f aca="false">(('Business Case'!E11*$C709*'Business Case'!E12*$B709)-'Business Case'!E11*$C709*'Business Case'!E13*$D709-'Business Case'!E14*$E709)-MAX(0,(('Business Case'!E11*$C709*'Business Case'!E12*$B709)-'Business Case'!E11*$C709*'Business Case'!E13*$D709-'Business Case'!E14*$E709))*'Business Case'!$B$7-'Business Case'!$B$8*(('Business Case'!E11*$C709*'Business Case'!E12*$B709)-('Business Case'!D11*$C709*'Business Case'!D12*$B709))-'Business Case'!E15*$F709</f>
        <v>667489789.52139</v>
      </c>
      <c r="L709" s="39" t="n">
        <f aca="false">(('Business Case'!F11*$C709*'Business Case'!F12*$B709)-'Business Case'!F11*$C709*'Business Case'!F13*$D709-'Business Case'!F14*$E709)-MAX(0,(('Business Case'!F11*$C709*'Business Case'!F12*$B709)-'Business Case'!F11*$C709*'Business Case'!F13*$D709-'Business Case'!F14*$E709))*'Business Case'!$B$7-'Business Case'!$B$8*(('Business Case'!F11*$C709*'Business Case'!F12*$B709)-('Business Case'!E11*$C709*'Business Case'!E12*$B709))-'Business Case'!F15*$F709</f>
        <v>806348843.632405</v>
      </c>
      <c r="M709" s="39" t="n">
        <f aca="false">(('Business Case'!G11*$C709*'Business Case'!G12*$B709)-'Business Case'!G11*$C709*'Business Case'!G13*$D709-'Business Case'!G14*$E709)-MAX(0,(('Business Case'!G11*$C709*'Business Case'!G12*$B709)-'Business Case'!G11*$C709*'Business Case'!G13*$D709-'Business Case'!G14*$E709))*'Business Case'!$B$7-'Business Case'!$B$8*(('Business Case'!G11*$C709*'Business Case'!G12*$B709)-('Business Case'!F11*$C709*'Business Case'!F12*$B709))-'Business Case'!G15*$F709+'Business Case'!$B$8*('Business Case'!G11*$C709*'Business Case'!G12*$B709)</f>
        <v>1011758554.67147</v>
      </c>
      <c r="N709" s="39" t="n">
        <f aca="false">IF(COUNT('Business Case'!B11:G11)=0,"",H709+NPV(G709,I709:M709))</f>
        <v>-159264461.080997</v>
      </c>
      <c r="P709" s="40" t="n">
        <f aca="true">RAND()</f>
        <v>0.385680150342365</v>
      </c>
      <c r="Q709" s="40" t="n">
        <f aca="true">RAND()</f>
        <v>0.972802517690112</v>
      </c>
      <c r="R709" s="40" t="n">
        <f aca="true">RAND()</f>
        <v>0.618804477107825</v>
      </c>
      <c r="S709" s="40" t="n">
        <f aca="true">RAND()</f>
        <v>0.246503354731572</v>
      </c>
      <c r="T709" s="40" t="n">
        <f aca="true">RAND()</f>
        <v>0.288875153934457</v>
      </c>
      <c r="U709" s="40" t="n">
        <f aca="true">RAND()</f>
        <v>0.736498471177708</v>
      </c>
    </row>
    <row r="710" customFormat="false" ht="15" hidden="false" customHeight="false" outlineLevel="0" collapsed="false">
      <c r="A710" s="36" t="n">
        <v>630</v>
      </c>
      <c r="B710" s="37" t="n">
        <f aca="false">1+IF($G$6=$E$6,$F$6,IF(P710&lt;($F$6-$E$6)/($G$6-$E$6),$E$6+SQRT(P710*($G$6-$E$6)*($F$6-$E$6)),$G$6-SQRT((1-P710)*($G$6-$E$6)*($G$6-$F$6))))</f>
        <v>1.03638024947063</v>
      </c>
      <c r="C710" s="37" t="n">
        <f aca="false">1+IF($G$7=$E$7,$F$7,IF(Q710&lt;($F$7-$E$7)/($G$7-$E$7),$E$7+SQRT(Q710*($G$7-$E$7)*($F$7-$E$7)),$G$7-SQRT((1-Q710)*($G$7-$E$7)*($G$7-$F$7))))</f>
        <v>0.968048965226732</v>
      </c>
      <c r="D710" s="37" t="n">
        <f aca="false">1+IF($G$8=$E$8,$F$8,IF(R710&lt;($F$8-$E$8)/($G$8-$E$8),$E$8+SQRT(R710*($G$8-$E$8)*($F$8-$E$8)),$G$8-SQRT((1-R710)*($G$8-$E$8)*($G$8-$F$8))))</f>
        <v>1.01161164921082</v>
      </c>
      <c r="E710" s="37" t="n">
        <f aca="false">1+IF($G$9=$E$9,$F$9,IF(S710&lt;($F$9-$E$9)/($G$9-$E$9),$E$9+SQRT(S710*($G$9-$E$9)*($F$9-$E$9)),$G$9-SQRT((1-S710)*($G$9-$E$9)*($G$9-$F$9))))</f>
        <v>0.976076362670364</v>
      </c>
      <c r="F710" s="37" t="n">
        <f aca="false">1+IF($G$10=$E$10,$F$10,IF(T710&lt;($F$10-$E$10)/($G$10-$E$10),$E$10+SQRT(T710*($G$10-$E$10)*($F$10-$E$10)),$G$10-SQRT((1-T710)*($G$10-$E$10)*($G$10-$F$10))))</f>
        <v>1.10206463380031</v>
      </c>
      <c r="G710" s="38" t="n">
        <f aca="false">IF($G$11=$E$11,$F$11,IF(U710&lt;($F$11-$E$11)/($G$11-$E$11),$E$11+SQRT(U710*($G$11-$E$11)*($F$11-$E$11)),$G$11-SQRT((1-U710)*($G$11-$E$11)*($G$11-$F$11))))</f>
        <v>0.0970947255785829</v>
      </c>
      <c r="H710" s="39" t="n">
        <f aca="false">(('Business Case'!B11*$C710*'Business Case'!B12*$B710)-'Business Case'!B11*$C710*'Business Case'!B13*$D710-'Business Case'!B14*$E710)-MAX(0,(('Business Case'!B11*$C710*'Business Case'!B12*$B710)-'Business Case'!B11*$C710*'Business Case'!B13*$D710-'Business Case'!B14*$E710))*'Business Case'!$B$7-'Business Case'!$B$8*('Business Case'!B11*$C710*'Business Case'!B12*$B710)-'Business Case'!B15*$F710</f>
        <v>-2204129267.60062</v>
      </c>
      <c r="I710" s="39" t="n">
        <f aca="false">(('Business Case'!C11*$C710*'Business Case'!C12*$B710)-'Business Case'!C11*$C710*'Business Case'!C13*$D710-'Business Case'!C14*$E710)-MAX(0,(('Business Case'!C11*$C710*'Business Case'!C12*$B710)-'Business Case'!C11*$C710*'Business Case'!C13*$D710-'Business Case'!C14*$E710))*'Business Case'!$B$7-'Business Case'!$B$8*(('Business Case'!C11*$C710*'Business Case'!C12*$B710)-('Business Case'!B11*$C710*'Business Case'!B12*$B710))-'Business Case'!C15*$F710</f>
        <v>19415955.6219849</v>
      </c>
      <c r="J710" s="39" t="n">
        <f aca="false">(('Business Case'!D11*$C710*'Business Case'!D12*$B710)-'Business Case'!D11*$C710*'Business Case'!D13*$D710-'Business Case'!D14*$E710)-MAX(0,(('Business Case'!D11*$C710*'Business Case'!D12*$B710)-'Business Case'!D11*$C710*'Business Case'!D13*$D710-'Business Case'!D14*$E710))*'Business Case'!$B$7-'Business Case'!$B$8*(('Business Case'!D11*$C710*'Business Case'!D12*$B710)-('Business Case'!C11*$C710*'Business Case'!C12*$B710))-'Business Case'!D15*$F710</f>
        <v>339845785.76347</v>
      </c>
      <c r="K710" s="39" t="n">
        <f aca="false">(('Business Case'!E11*$C710*'Business Case'!E12*$B710)-'Business Case'!E11*$C710*'Business Case'!E13*$D710-'Business Case'!E14*$E710)-MAX(0,(('Business Case'!E11*$C710*'Business Case'!E12*$B710)-'Business Case'!E11*$C710*'Business Case'!E13*$D710-'Business Case'!E14*$E710))*'Business Case'!$B$7-'Business Case'!$B$8*(('Business Case'!E11*$C710*'Business Case'!E12*$B710)-('Business Case'!D11*$C710*'Business Case'!D12*$B710))-'Business Case'!E15*$F710</f>
        <v>715378847.594971</v>
      </c>
      <c r="L710" s="39" t="n">
        <f aca="false">(('Business Case'!F11*$C710*'Business Case'!F12*$B710)-'Business Case'!F11*$C710*'Business Case'!F13*$D710-'Business Case'!F14*$E710)-MAX(0,(('Business Case'!F11*$C710*'Business Case'!F12*$B710)-'Business Case'!F11*$C710*'Business Case'!F13*$D710-'Business Case'!F14*$E710))*'Business Case'!$B$7-'Business Case'!$B$8*(('Business Case'!F11*$C710*'Business Case'!F12*$B710)-('Business Case'!E11*$C710*'Business Case'!E12*$B710))-'Business Case'!F15*$F710</f>
        <v>856861692.553961</v>
      </c>
      <c r="M710" s="39" t="n">
        <f aca="false">(('Business Case'!G11*$C710*'Business Case'!G12*$B710)-'Business Case'!G11*$C710*'Business Case'!G13*$D710-'Business Case'!G14*$E710)-MAX(0,(('Business Case'!G11*$C710*'Business Case'!G12*$B710)-'Business Case'!G11*$C710*'Business Case'!G13*$D710-'Business Case'!G14*$E710))*'Business Case'!$B$7-'Business Case'!$B$8*(('Business Case'!G11*$C710*'Business Case'!G12*$B710)-('Business Case'!F11*$C710*'Business Case'!F12*$B710))-'Business Case'!G15*$F710+'Business Case'!$B$8*('Business Case'!G11*$C710*'Business Case'!G12*$B710)</f>
        <v>1047562651.23569</v>
      </c>
      <c r="N710" s="39" t="n">
        <f aca="false">IF(COUNT('Business Case'!B11:G11)=0,"",H710+NPV(G710,I710:M710))</f>
        <v>-111737609.371501</v>
      </c>
      <c r="P710" s="40" t="n">
        <f aca="true">RAND()</f>
        <v>0.975266986069038</v>
      </c>
      <c r="Q710" s="40" t="n">
        <f aca="true">RAND()</f>
        <v>0.532224057474975</v>
      </c>
      <c r="R710" s="40" t="n">
        <f aca="true">RAND()</f>
        <v>0.479166629651216</v>
      </c>
      <c r="S710" s="40" t="n">
        <f aca="true">RAND()</f>
        <v>0.231504518286113</v>
      </c>
      <c r="T710" s="40" t="n">
        <f aca="true">RAND()</f>
        <v>0.708201699031511</v>
      </c>
      <c r="U710" s="40" t="n">
        <f aca="true">RAND()</f>
        <v>0.292229642607058</v>
      </c>
    </row>
    <row r="711" customFormat="false" ht="15" hidden="false" customHeight="false" outlineLevel="0" collapsed="false">
      <c r="A711" s="36" t="n">
        <v>631</v>
      </c>
      <c r="B711" s="37" t="n">
        <f aca="false">1+IF($G$6=$E$6,$F$6,IF(P711&lt;($F$6-$E$6)/($G$6-$E$6),$E$6+SQRT(P711*($G$6-$E$6)*($F$6-$E$6)),$G$6-SQRT((1-P711)*($G$6-$E$6)*($G$6-$F$6))))</f>
        <v>0.927686200712519</v>
      </c>
      <c r="C711" s="37" t="n">
        <f aca="false">1+IF($G$7=$E$7,$F$7,IF(Q711&lt;($F$7-$E$7)/($G$7-$E$7),$E$7+SQRT(Q711*($G$7-$E$7)*($F$7-$E$7)),$G$7-SQRT((1-Q711)*($G$7-$E$7)*($G$7-$F$7))))</f>
        <v>0.786795017139728</v>
      </c>
      <c r="D711" s="37" t="n">
        <f aca="false">1+IF($G$8=$E$8,$F$8,IF(R711&lt;($F$8-$E$8)/($G$8-$E$8),$E$8+SQRT(R711*($G$8-$E$8)*($F$8-$E$8)),$G$8-SQRT((1-R711)*($G$8-$E$8)*($G$8-$F$8))))</f>
        <v>0.965241888186335</v>
      </c>
      <c r="E711" s="37" t="n">
        <f aca="false">1+IF($G$9=$E$9,$F$9,IF(S711&lt;($F$9-$E$9)/($G$9-$E$9),$E$9+SQRT(S711*($G$9-$E$9)*($F$9-$E$9)),$G$9-SQRT((1-S711)*($G$9-$E$9)*($G$9-$F$9))))</f>
        <v>1.09348258442657</v>
      </c>
      <c r="F711" s="37" t="n">
        <f aca="false">1+IF($G$10=$E$10,$F$10,IF(T711&lt;($F$10-$E$10)/($G$10-$E$10),$E$10+SQRT(T711*($G$10-$E$10)*($F$10-$E$10)),$G$10-SQRT((1-T711)*($G$10-$E$10)*($G$10-$F$10))))</f>
        <v>1.13524672987243</v>
      </c>
      <c r="G711" s="38" t="n">
        <f aca="false">IF($G$11=$E$11,$F$11,IF(U711&lt;($F$11-$E$11)/($G$11-$E$11),$E$11+SQRT(U711*($G$11-$E$11)*($F$11-$E$11)),$G$11-SQRT((1-U711)*($G$11-$E$11)*($G$11-$F$11))))</f>
        <v>0.126803980994705</v>
      </c>
      <c r="H711" s="39" t="n">
        <f aca="false">(('Business Case'!B11*$C711*'Business Case'!B12*$B711)-'Business Case'!B11*$C711*'Business Case'!B13*$D711-'Business Case'!B14*$E711)-MAX(0,(('Business Case'!B11*$C711*'Business Case'!B12*$B711)-'Business Case'!B11*$C711*'Business Case'!B13*$D711-'Business Case'!B14*$E711))*'Business Case'!$B$7-'Business Case'!$B$8*('Business Case'!B11*$C711*'Business Case'!B12*$B711)-'Business Case'!B15*$F711</f>
        <v>-2270493459.74485</v>
      </c>
      <c r="I711" s="39" t="n">
        <f aca="false">(('Business Case'!C11*$C711*'Business Case'!C12*$B711)-'Business Case'!C11*$C711*'Business Case'!C13*$D711-'Business Case'!C14*$E711)-MAX(0,(('Business Case'!C11*$C711*'Business Case'!C12*$B711)-'Business Case'!C11*$C711*'Business Case'!C13*$D711-'Business Case'!C14*$E711))*'Business Case'!$B$7-'Business Case'!$B$8*(('Business Case'!C11*$C711*'Business Case'!C12*$B711)-('Business Case'!B11*$C711*'Business Case'!B12*$B711))-'Business Case'!C15*$F711</f>
        <v>-97792487.1214997</v>
      </c>
      <c r="J711" s="39" t="n">
        <f aca="false">(('Business Case'!D11*$C711*'Business Case'!D12*$B711)-'Business Case'!D11*$C711*'Business Case'!D13*$D711-'Business Case'!D14*$E711)-MAX(0,(('Business Case'!D11*$C711*'Business Case'!D12*$B711)-'Business Case'!D11*$C711*'Business Case'!D13*$D711-'Business Case'!D14*$E711))*'Business Case'!$B$7-'Business Case'!$B$8*(('Business Case'!D11*$C711*'Business Case'!D12*$B711)-('Business Case'!C11*$C711*'Business Case'!C12*$B711))-'Business Case'!D15*$F711</f>
        <v>111270880.198745</v>
      </c>
      <c r="K711" s="39" t="n">
        <f aca="false">(('Business Case'!E11*$C711*'Business Case'!E12*$B711)-'Business Case'!E11*$C711*'Business Case'!E13*$D711-'Business Case'!E14*$E711)-MAX(0,(('Business Case'!E11*$C711*'Business Case'!E12*$B711)-'Business Case'!E11*$C711*'Business Case'!E13*$D711-'Business Case'!E14*$E711))*'Business Case'!$B$7-'Business Case'!$B$8*(('Business Case'!E11*$C711*'Business Case'!E12*$B711)-('Business Case'!D11*$C711*'Business Case'!D12*$B711))-'Business Case'!E15*$F711</f>
        <v>377096584.012612</v>
      </c>
      <c r="L711" s="39" t="n">
        <f aca="false">(('Business Case'!F11*$C711*'Business Case'!F12*$B711)-'Business Case'!F11*$C711*'Business Case'!F13*$D711-'Business Case'!F14*$E711)-MAX(0,(('Business Case'!F11*$C711*'Business Case'!F12*$B711)-'Business Case'!F11*$C711*'Business Case'!F13*$D711-'Business Case'!F14*$E711))*'Business Case'!$B$7-'Business Case'!$B$8*(('Business Case'!F11*$C711*'Business Case'!F12*$B711)-('Business Case'!E11*$C711*'Business Case'!E12*$B711))-'Business Case'!F15*$F711</f>
        <v>472009678.418723</v>
      </c>
      <c r="M711" s="39" t="n">
        <f aca="false">(('Business Case'!G11*$C711*'Business Case'!G12*$B711)-'Business Case'!G11*$C711*'Business Case'!G13*$D711-'Business Case'!G14*$E711)-MAX(0,(('Business Case'!G11*$C711*'Business Case'!G12*$B711)-'Business Case'!G11*$C711*'Business Case'!G13*$D711-'Business Case'!G14*$E711))*'Business Case'!$B$7-'Business Case'!$B$8*(('Business Case'!G11*$C711*'Business Case'!G12*$B711)-('Business Case'!F11*$C711*'Business Case'!F12*$B711))-'Business Case'!G15*$F711+'Business Case'!$B$8*('Business Case'!G11*$C711*'Business Case'!G12*$B711)</f>
        <v>610748857.565218</v>
      </c>
      <c r="N711" s="39" t="n">
        <f aca="false">IF(COUNT('Business Case'!B11:G11)=0,"",H711+NPV(G711,I711:M711))</f>
        <v>-1377058849.1692</v>
      </c>
      <c r="P711" s="40" t="n">
        <f aca="true">RAND()</f>
        <v>0.0511017139929262</v>
      </c>
      <c r="Q711" s="40" t="n">
        <f aca="true">RAND()</f>
        <v>0.0558027777798942</v>
      </c>
      <c r="R711" s="40" t="n">
        <f aca="true">RAND()</f>
        <v>0.0309753540646309</v>
      </c>
      <c r="S711" s="40" t="n">
        <f aca="true">RAND()</f>
        <v>0.914820846317332</v>
      </c>
      <c r="T711" s="40" t="n">
        <f aca="true">RAND()</f>
        <v>0.82442249326704</v>
      </c>
      <c r="U711" s="40" t="n">
        <f aca="true">RAND()</f>
        <v>0.993190308345197</v>
      </c>
    </row>
    <row r="712" customFormat="false" ht="15" hidden="false" customHeight="false" outlineLevel="0" collapsed="false">
      <c r="A712" s="36" t="n">
        <v>632</v>
      </c>
      <c r="B712" s="37" t="n">
        <f aca="false">1+IF($G$6=$E$6,$F$6,IF(P712&lt;($F$6-$E$6)/($G$6-$E$6),$E$6+SQRT(P712*($G$6-$E$6)*($F$6-$E$6)),$G$6-SQRT((1-P712)*($G$6-$E$6)*($G$6-$F$6))))</f>
        <v>0.976382018175625</v>
      </c>
      <c r="C712" s="37" t="n">
        <f aca="false">1+IF($G$7=$E$7,$F$7,IF(Q712&lt;($F$7-$E$7)/($G$7-$E$7),$E$7+SQRT(Q712*($G$7-$E$7)*($F$7-$E$7)),$G$7-SQRT((1-Q712)*($G$7-$E$7)*($G$7-$F$7))))</f>
        <v>1.05204450445238</v>
      </c>
      <c r="D712" s="37" t="n">
        <f aca="false">1+IF($G$8=$E$8,$F$8,IF(R712&lt;($F$8-$E$8)/($G$8-$E$8),$E$8+SQRT(R712*($G$8-$E$8)*($F$8-$E$8)),$G$8-SQRT((1-R712)*($G$8-$E$8)*($G$8-$F$8))))</f>
        <v>1.02364288178632</v>
      </c>
      <c r="E712" s="37" t="n">
        <f aca="false">1+IF($G$9=$E$9,$F$9,IF(S712&lt;($F$9-$E$9)/($G$9-$E$9),$E$9+SQRT(S712*($G$9-$E$9)*($F$9-$E$9)),$G$9-SQRT((1-S712)*($G$9-$E$9)*($G$9-$F$9))))</f>
        <v>1.0687178038568</v>
      </c>
      <c r="F712" s="37" t="n">
        <f aca="false">1+IF($G$10=$E$10,$F$10,IF(T712&lt;($F$10-$E$10)/($G$10-$E$10),$E$10+SQRT(T712*($G$10-$E$10)*($F$10-$E$10)),$G$10-SQRT((1-T712)*($G$10-$E$10)*($G$10-$F$10))))</f>
        <v>0.976815295776295</v>
      </c>
      <c r="G712" s="38" t="n">
        <f aca="false">IF($G$11=$E$11,$F$11,IF(U712&lt;($F$11-$E$11)/($G$11-$E$11),$E$11+SQRT(U712*($G$11-$E$11)*($F$11-$E$11)),$G$11-SQRT((1-U712)*($G$11-$E$11)*($G$11-$F$11))))</f>
        <v>0.107461301157157</v>
      </c>
      <c r="H712" s="39" t="n">
        <f aca="false">(('Business Case'!B11*$C712*'Business Case'!B12*$B712)-'Business Case'!B11*$C712*'Business Case'!B13*$D712-'Business Case'!B14*$E712)-MAX(0,(('Business Case'!B11*$C712*'Business Case'!B12*$B712)-'Business Case'!B11*$C712*'Business Case'!B13*$D712-'Business Case'!B14*$E712))*'Business Case'!$B$7-'Business Case'!$B$8*('Business Case'!B11*$C712*'Business Case'!B12*$B712)-'Business Case'!B15*$F712</f>
        <v>-1953630591.55259</v>
      </c>
      <c r="I712" s="39" t="n">
        <f aca="false">(('Business Case'!C11*$C712*'Business Case'!C12*$B712)-'Business Case'!C11*$C712*'Business Case'!C13*$D712-'Business Case'!C14*$E712)-MAX(0,(('Business Case'!C11*$C712*'Business Case'!C12*$B712)-'Business Case'!C11*$C712*'Business Case'!C13*$D712-'Business Case'!C14*$E712))*'Business Case'!$B$7-'Business Case'!$B$8*(('Business Case'!C11*$C712*'Business Case'!C12*$B712)-('Business Case'!B11*$C712*'Business Case'!B12*$B712))-'Business Case'!C15*$F712</f>
        <v>-12850329.575958</v>
      </c>
      <c r="J712" s="39" t="n">
        <f aca="false">(('Business Case'!D11*$C712*'Business Case'!D12*$B712)-'Business Case'!D11*$C712*'Business Case'!D13*$D712-'Business Case'!D14*$E712)-MAX(0,(('Business Case'!D11*$C712*'Business Case'!D12*$B712)-'Business Case'!D11*$C712*'Business Case'!D13*$D712-'Business Case'!D14*$E712))*'Business Case'!$B$7-'Business Case'!$B$8*(('Business Case'!D11*$C712*'Business Case'!D12*$B712)-('Business Case'!C11*$C712*'Business Case'!C12*$B712))-'Business Case'!D15*$F712</f>
        <v>277202452.056641</v>
      </c>
      <c r="K712" s="39" t="n">
        <f aca="false">(('Business Case'!E11*$C712*'Business Case'!E12*$B712)-'Business Case'!E11*$C712*'Business Case'!E13*$D712-'Business Case'!E14*$E712)-MAX(0,(('Business Case'!E11*$C712*'Business Case'!E12*$B712)-'Business Case'!E11*$C712*'Business Case'!E13*$D712-'Business Case'!E14*$E712))*'Business Case'!$B$7-'Business Case'!$B$8*(('Business Case'!E11*$C712*'Business Case'!E12*$B712)-('Business Case'!D11*$C712*'Business Case'!D12*$B712))-'Business Case'!E15*$F712</f>
        <v>616095998.478053</v>
      </c>
      <c r="L712" s="39" t="n">
        <f aca="false">(('Business Case'!F11*$C712*'Business Case'!F12*$B712)-'Business Case'!F11*$C712*'Business Case'!F13*$D712-'Business Case'!F14*$E712)-MAX(0,(('Business Case'!F11*$C712*'Business Case'!F12*$B712)-'Business Case'!F11*$C712*'Business Case'!F13*$D712-'Business Case'!F14*$E712))*'Business Case'!$B$7-'Business Case'!$B$8*(('Business Case'!F11*$C712*'Business Case'!F12*$B712)-('Business Case'!E11*$C712*'Business Case'!E12*$B712))-'Business Case'!F15*$F712</f>
        <v>748280198.970579</v>
      </c>
      <c r="M712" s="39" t="n">
        <f aca="false">(('Business Case'!G11*$C712*'Business Case'!G12*$B712)-'Business Case'!G11*$C712*'Business Case'!G13*$D712-'Business Case'!G14*$E712)-MAX(0,(('Business Case'!G11*$C712*'Business Case'!G12*$B712)-'Business Case'!G11*$C712*'Business Case'!G13*$D712-'Business Case'!G14*$E712))*'Business Case'!$B$7-'Business Case'!$B$8*(('Business Case'!G11*$C712*'Business Case'!G12*$B712)-('Business Case'!F11*$C712*'Business Case'!F12*$B712))-'Business Case'!G15*$F712+'Business Case'!$B$8*('Business Case'!G11*$C712*'Business Case'!G12*$B712)</f>
        <v>943529868.686376</v>
      </c>
      <c r="N712" s="39" t="n">
        <f aca="false">IF(COUNT('Business Case'!B11:G11)=0,"",H712+NPV(G712,I712:M712))</f>
        <v>-221791283.376717</v>
      </c>
      <c r="P712" s="40" t="n">
        <f aca="true">RAND()</f>
        <v>0.388947513372104</v>
      </c>
      <c r="Q712" s="40" t="n">
        <f aca="true">RAND()</f>
        <v>0.857847716918807</v>
      </c>
      <c r="R712" s="40" t="n">
        <f aca="true">RAND()</f>
        <v>0.611306033206851</v>
      </c>
      <c r="S712" s="40" t="n">
        <f aca="true">RAND()</f>
        <v>0.823818789070355</v>
      </c>
      <c r="T712" s="40" t="n">
        <f aca="true">RAND()</f>
        <v>0.0479373391713442</v>
      </c>
      <c r="U712" s="40" t="n">
        <f aca="true">RAND()</f>
        <v>0.661338036314408</v>
      </c>
    </row>
    <row r="713" customFormat="false" ht="15" hidden="false" customHeight="false" outlineLevel="0" collapsed="false">
      <c r="A713" s="36" t="n">
        <v>633</v>
      </c>
      <c r="B713" s="37" t="n">
        <f aca="false">1+IF($G$6=$E$6,$F$6,IF(P713&lt;($F$6-$E$6)/($G$6-$E$6),$E$6+SQRT(P713*($G$6-$E$6)*($F$6-$E$6)),$G$6-SQRT((1-P713)*($G$6-$E$6)*($G$6-$F$6))))</f>
        <v>0.963598600552518</v>
      </c>
      <c r="C713" s="37" t="n">
        <f aca="false">1+IF($G$7=$E$7,$F$7,IF(Q713&lt;($F$7-$E$7)/($G$7-$E$7),$E$7+SQRT(Q713*($G$7-$E$7)*($F$7-$E$7)),$G$7-SQRT((1-Q713)*($G$7-$E$7)*($G$7-$F$7))))</f>
        <v>0.979799708663788</v>
      </c>
      <c r="D713" s="37" t="n">
        <f aca="false">1+IF($G$8=$E$8,$F$8,IF(R713&lt;($F$8-$E$8)/($G$8-$E$8),$E$8+SQRT(R713*($G$8-$E$8)*($F$8-$E$8)),$G$8-SQRT((1-R713)*($G$8-$E$8)*($G$8-$F$8))))</f>
        <v>0.998754870063812</v>
      </c>
      <c r="E713" s="37" t="n">
        <f aca="false">1+IF($G$9=$E$9,$F$9,IF(S713&lt;($F$9-$E$9)/($G$9-$E$9),$E$9+SQRT(S713*($G$9-$E$9)*($F$9-$E$9)),$G$9-SQRT((1-S713)*($G$9-$E$9)*($G$9-$F$9))))</f>
        <v>1.00412621738098</v>
      </c>
      <c r="F713" s="37" t="n">
        <f aca="false">1+IF($G$10=$E$10,$F$10,IF(T713&lt;($F$10-$E$10)/($G$10-$E$10),$E$10+SQRT(T713*($G$10-$E$10)*($F$10-$E$10)),$G$10-SQRT((1-T713)*($G$10-$E$10)*($G$10-$F$10))))</f>
        <v>1.13468437680766</v>
      </c>
      <c r="G713" s="38" t="n">
        <f aca="false">IF($G$11=$E$11,$F$11,IF(U713&lt;($F$11-$E$11)/($G$11-$E$11),$E$11+SQRT(U713*($G$11-$E$11)*($F$11-$E$11)),$G$11-SQRT((1-U713)*($G$11-$E$11)*($G$11-$F$11))))</f>
        <v>0.0955265482535131</v>
      </c>
      <c r="H713" s="39" t="n">
        <f aca="false">(('Business Case'!B11*$C713*'Business Case'!B12*$B713)-'Business Case'!B11*$C713*'Business Case'!B13*$D713-'Business Case'!B14*$E713)-MAX(0,(('Business Case'!B11*$C713*'Business Case'!B12*$B713)-'Business Case'!B11*$C713*'Business Case'!B13*$D713-'Business Case'!B14*$E713))*'Business Case'!$B$7-'Business Case'!$B$8*('Business Case'!B11*$C713*'Business Case'!B12*$B713)-'Business Case'!B15*$F713</f>
        <v>-2269368753.61533</v>
      </c>
      <c r="I713" s="39" t="n">
        <f aca="false">(('Business Case'!C11*$C713*'Business Case'!C12*$B713)-'Business Case'!C11*$C713*'Business Case'!C13*$D713-'Business Case'!C14*$E713)-MAX(0,(('Business Case'!C11*$C713*'Business Case'!C12*$B713)-'Business Case'!C11*$C713*'Business Case'!C13*$D713-'Business Case'!C14*$E713))*'Business Case'!$B$7-'Business Case'!$B$8*(('Business Case'!C11*$C713*'Business Case'!C12*$B713)-('Business Case'!B11*$C713*'Business Case'!B12*$B713))-'Business Case'!C15*$F713</f>
        <v>-32840189.7931039</v>
      </c>
      <c r="J713" s="39" t="n">
        <f aca="false">(('Business Case'!D11*$C713*'Business Case'!D12*$B713)-'Business Case'!D11*$C713*'Business Case'!D13*$D713-'Business Case'!D14*$E713)-MAX(0,(('Business Case'!D11*$C713*'Business Case'!D12*$B713)-'Business Case'!D11*$C713*'Business Case'!D13*$D713-'Business Case'!D14*$E713))*'Business Case'!$B$7-'Business Case'!$B$8*(('Business Case'!D11*$C713*'Business Case'!D12*$B713)-('Business Case'!C11*$C713*'Business Case'!C12*$B713))-'Business Case'!D15*$F713</f>
        <v>239518693.48633</v>
      </c>
      <c r="K713" s="39" t="n">
        <f aca="false">(('Business Case'!E11*$C713*'Business Case'!E12*$B713)-'Business Case'!E11*$C713*'Business Case'!E13*$D713-'Business Case'!E14*$E713)-MAX(0,(('Business Case'!E11*$C713*'Business Case'!E12*$B713)-'Business Case'!E11*$C713*'Business Case'!E13*$D713-'Business Case'!E14*$E713))*'Business Case'!$B$7-'Business Case'!$B$8*(('Business Case'!E11*$C713*'Business Case'!E12*$B713)-('Business Case'!D11*$C713*'Business Case'!D12*$B713))-'Business Case'!E15*$F713</f>
        <v>568611795.606147</v>
      </c>
      <c r="L713" s="39" t="n">
        <f aca="false">(('Business Case'!F11*$C713*'Business Case'!F12*$B713)-'Business Case'!F11*$C713*'Business Case'!F13*$D713-'Business Case'!F14*$E713)-MAX(0,(('Business Case'!F11*$C713*'Business Case'!F12*$B713)-'Business Case'!F11*$C713*'Business Case'!F13*$D713-'Business Case'!F14*$E713))*'Business Case'!$B$7-'Business Case'!$B$8*(('Business Case'!F11*$C713*'Business Case'!F12*$B713)-('Business Case'!E11*$C713*'Business Case'!E12*$B713))-'Business Case'!F15*$F713</f>
        <v>692027348.219423</v>
      </c>
      <c r="M713" s="39" t="n">
        <f aca="false">(('Business Case'!G11*$C713*'Business Case'!G12*$B713)-'Business Case'!G11*$C713*'Business Case'!G13*$D713-'Business Case'!G14*$E713)-MAX(0,(('Business Case'!G11*$C713*'Business Case'!G12*$B713)-'Business Case'!G11*$C713*'Business Case'!G13*$D713-'Business Case'!G14*$E713))*'Business Case'!$B$7-'Business Case'!$B$8*(('Business Case'!G11*$C713*'Business Case'!G12*$B713)-('Business Case'!F11*$C713*'Business Case'!F12*$B713))-'Business Case'!G15*$F713+'Business Case'!$B$8*('Business Case'!G11*$C713*'Business Case'!G12*$B713)</f>
        <v>871488268.246806</v>
      </c>
      <c r="N713" s="39" t="n">
        <f aca="false">IF(COUNT('Business Case'!B11:G11)=0,"",H713+NPV(G713,I713:M713))</f>
        <v>-634618915.780807</v>
      </c>
      <c r="P713" s="40" t="n">
        <f aca="true">RAND()</f>
        <v>0.269652132815914</v>
      </c>
      <c r="Q713" s="40" t="n">
        <f aca="true">RAND()</f>
        <v>0.579910199765485</v>
      </c>
      <c r="R713" s="40" t="n">
        <f aca="true">RAND()</f>
        <v>0.316938313991888</v>
      </c>
      <c r="S713" s="40" t="n">
        <f aca="true">RAND()</f>
        <v>0.432555721184536</v>
      </c>
      <c r="T713" s="40" t="n">
        <f aca="true">RAND()</f>
        <v>0.822697427303507</v>
      </c>
      <c r="U713" s="40" t="n">
        <f aca="true">RAND()</f>
        <v>0.241073700668672</v>
      </c>
    </row>
    <row r="714" customFormat="false" ht="15" hidden="false" customHeight="false" outlineLevel="0" collapsed="false">
      <c r="A714" s="36" t="n">
        <v>634</v>
      </c>
      <c r="B714" s="37" t="n">
        <f aca="false">1+IF($G$6=$E$6,$F$6,IF(P714&lt;($F$6-$E$6)/($G$6-$E$6),$E$6+SQRT(P714*($G$6-$E$6)*($F$6-$E$6)),$G$6-SQRT((1-P714)*($G$6-$E$6)*($G$6-$F$6))))</f>
        <v>1.00053242925568</v>
      </c>
      <c r="C714" s="37" t="n">
        <f aca="false">1+IF($G$7=$E$7,$F$7,IF(Q714&lt;($F$7-$E$7)/($G$7-$E$7),$E$7+SQRT(Q714*($G$7-$E$7)*($F$7-$E$7)),$G$7-SQRT((1-Q714)*($G$7-$E$7)*($G$7-$F$7))))</f>
        <v>1.00752794763046</v>
      </c>
      <c r="D714" s="37" t="n">
        <f aca="false">1+IF($G$8=$E$8,$F$8,IF(R714&lt;($F$8-$E$8)/($G$8-$E$8),$E$8+SQRT(R714*($G$8-$E$8)*($F$8-$E$8)),$G$8-SQRT((1-R714)*($G$8-$E$8)*($G$8-$F$8))))</f>
        <v>0.990226149697285</v>
      </c>
      <c r="E714" s="37" t="n">
        <f aca="false">1+IF($G$9=$E$9,$F$9,IF(S714&lt;($F$9-$E$9)/($G$9-$E$9),$E$9+SQRT(S714*($G$9-$E$9)*($F$9-$E$9)),$G$9-SQRT((1-S714)*($G$9-$E$9)*($G$9-$F$9))))</f>
        <v>1.11007984199447</v>
      </c>
      <c r="F714" s="37" t="n">
        <f aca="false">1+IF($G$10=$E$10,$F$10,IF(T714&lt;($F$10-$E$10)/($G$10-$E$10),$E$10+SQRT(T714*($G$10-$E$10)*($F$10-$E$10)),$G$10-SQRT((1-T714)*($G$10-$E$10)*($G$10-$F$10))))</f>
        <v>1.03915686270899</v>
      </c>
      <c r="G714" s="38" t="n">
        <f aca="false">IF($G$11=$E$11,$F$11,IF(U714&lt;($F$11-$E$11)/($G$11-$E$11),$E$11+SQRT(U714*($G$11-$E$11)*($F$11-$E$11)),$G$11-SQRT((1-U714)*($G$11-$E$11)*($G$11-$F$11))))</f>
        <v>0.100905388556748</v>
      </c>
      <c r="H714" s="39" t="n">
        <f aca="false">(('Business Case'!B11*$C714*'Business Case'!B12*$B714)-'Business Case'!B11*$C714*'Business Case'!B13*$D714-'Business Case'!B14*$E714)-MAX(0,(('Business Case'!B11*$C714*'Business Case'!B12*$B714)-'Business Case'!B11*$C714*'Business Case'!B13*$D714-'Business Case'!B14*$E714))*'Business Case'!$B$7-'Business Case'!$B$8*('Business Case'!B11*$C714*'Business Case'!B12*$B714)-'Business Case'!B15*$F714</f>
        <v>-2078313725.41798</v>
      </c>
      <c r="I714" s="39" t="n">
        <f aca="false">(('Business Case'!C11*$C714*'Business Case'!C12*$B714)-'Business Case'!C11*$C714*'Business Case'!C13*$D714-'Business Case'!C14*$E714)-MAX(0,(('Business Case'!C11*$C714*'Business Case'!C12*$B714)-'Business Case'!C11*$C714*'Business Case'!C13*$D714-'Business Case'!C14*$E714))*'Business Case'!$B$7-'Business Case'!$B$8*(('Business Case'!C11*$C714*'Business Case'!C12*$B714)-('Business Case'!B11*$C714*'Business Case'!B12*$B714))-'Business Case'!C15*$F714</f>
        <v>917602.469659492</v>
      </c>
      <c r="J714" s="39" t="n">
        <f aca="false">(('Business Case'!D11*$C714*'Business Case'!D12*$B714)-'Business Case'!D11*$C714*'Business Case'!D13*$D714-'Business Case'!D14*$E714)-MAX(0,(('Business Case'!D11*$C714*'Business Case'!D12*$B714)-'Business Case'!D11*$C714*'Business Case'!D13*$D714-'Business Case'!D14*$E714))*'Business Case'!$B$7-'Business Case'!$B$8*(('Business Case'!D11*$C714*'Business Case'!D12*$B714)-('Business Case'!C11*$C714*'Business Case'!C12*$B714))-'Business Case'!D15*$F714</f>
        <v>315862302.45949</v>
      </c>
      <c r="K714" s="39" t="n">
        <f aca="false">(('Business Case'!E11*$C714*'Business Case'!E12*$B714)-'Business Case'!E11*$C714*'Business Case'!E13*$D714-'Business Case'!E14*$E714)-MAX(0,(('Business Case'!E11*$C714*'Business Case'!E12*$B714)-'Business Case'!E11*$C714*'Business Case'!E13*$D714-'Business Case'!E14*$E714))*'Business Case'!$B$7-'Business Case'!$B$8*(('Business Case'!E11*$C714*'Business Case'!E12*$B714)-('Business Case'!D11*$C714*'Business Case'!D12*$B714))-'Business Case'!E15*$F714</f>
        <v>682764845.584771</v>
      </c>
      <c r="L714" s="39" t="n">
        <f aca="false">(('Business Case'!F11*$C714*'Business Case'!F12*$B714)-'Business Case'!F11*$C714*'Business Case'!F13*$D714-'Business Case'!F14*$E714)-MAX(0,(('Business Case'!F11*$C714*'Business Case'!F12*$B714)-'Business Case'!F11*$C714*'Business Case'!F13*$D714-'Business Case'!F14*$E714))*'Business Case'!$B$7-'Business Case'!$B$8*(('Business Case'!F11*$C714*'Business Case'!F12*$B714)-('Business Case'!E11*$C714*'Business Case'!E12*$B714))-'Business Case'!F15*$F714</f>
        <v>822585117.393154</v>
      </c>
      <c r="M714" s="39" t="n">
        <f aca="false">(('Business Case'!G11*$C714*'Business Case'!G12*$B714)-'Business Case'!G11*$C714*'Business Case'!G13*$D714-'Business Case'!G14*$E714)-MAX(0,(('Business Case'!G11*$C714*'Business Case'!G12*$B714)-'Business Case'!G11*$C714*'Business Case'!G13*$D714-'Business Case'!G14*$E714))*'Business Case'!$B$7-'Business Case'!$B$8*(('Business Case'!G11*$C714*'Business Case'!G12*$B714)-('Business Case'!F11*$C714*'Business Case'!F12*$B714))-'Business Case'!G15*$F714+'Business Case'!$B$8*('Business Case'!G11*$C714*'Business Case'!G12*$B714)</f>
        <v>1014197995.69123</v>
      </c>
      <c r="N714" s="39" t="n">
        <f aca="false">IF(COUNT('Business Case'!B11:G11)=0,"",H714+NPV(G714,I714:M714))</f>
        <v>-118016742.805682</v>
      </c>
      <c r="P714" s="40" t="n">
        <f aca="true">RAND()</f>
        <v>0.673727925954067</v>
      </c>
      <c r="Q714" s="40" t="n">
        <f aca="true">RAND()</f>
        <v>0.699284656201645</v>
      </c>
      <c r="R714" s="40" t="n">
        <f aca="true">RAND()</f>
        <v>0.215752415929116</v>
      </c>
      <c r="S714" s="40" t="n">
        <f aca="true">RAND()</f>
        <v>0.957503492928367</v>
      </c>
      <c r="T714" s="40" t="n">
        <f aca="true">RAND()</f>
        <v>0.407268952763793</v>
      </c>
      <c r="U714" s="40" t="n">
        <f aca="true">RAND()</f>
        <v>0.43566905664411</v>
      </c>
    </row>
    <row r="715" customFormat="false" ht="15" hidden="false" customHeight="false" outlineLevel="0" collapsed="false">
      <c r="A715" s="36" t="n">
        <v>635</v>
      </c>
      <c r="B715" s="37" t="n">
        <f aca="false">1+IF($G$6=$E$6,$F$6,IF(P715&lt;($F$6-$E$6)/($G$6-$E$6),$E$6+SQRT(P715*($G$6-$E$6)*($F$6-$E$6)),$G$6-SQRT((1-P715)*($G$6-$E$6)*($G$6-$F$6))))</f>
        <v>0.988859790282413</v>
      </c>
      <c r="C715" s="37" t="n">
        <f aca="false">1+IF($G$7=$E$7,$F$7,IF(Q715&lt;($F$7-$E$7)/($G$7-$E$7),$E$7+SQRT(Q715*($G$7-$E$7)*($F$7-$E$7)),$G$7-SQRT((1-Q715)*($G$7-$E$7)*($G$7-$F$7))))</f>
        <v>0.954245377693828</v>
      </c>
      <c r="D715" s="37" t="n">
        <f aca="false">1+IF($G$8=$E$8,$F$8,IF(R715&lt;($F$8-$E$8)/($G$8-$E$8),$E$8+SQRT(R715*($G$8-$E$8)*($F$8-$E$8)),$G$8-SQRT((1-R715)*($G$8-$E$8)*($G$8-$F$8))))</f>
        <v>1.06152097782383</v>
      </c>
      <c r="E715" s="37" t="n">
        <f aca="false">1+IF($G$9=$E$9,$F$9,IF(S715&lt;($F$9-$E$9)/($G$9-$E$9),$E$9+SQRT(S715*($G$9-$E$9)*($F$9-$E$9)),$G$9-SQRT((1-S715)*($G$9-$E$9)*($G$9-$F$9))))</f>
        <v>1.04571048560996</v>
      </c>
      <c r="F715" s="37" t="n">
        <f aca="false">1+IF($G$10=$E$10,$F$10,IF(T715&lt;($F$10-$E$10)/($G$10-$E$10),$E$10+SQRT(T715*($G$10-$E$10)*($F$10-$E$10)),$G$10-SQRT((1-T715)*($G$10-$E$10)*($G$10-$F$10))))</f>
        <v>1.11952102021342</v>
      </c>
      <c r="G715" s="38" t="n">
        <f aca="false">IF($G$11=$E$11,$F$11,IF(U715&lt;($F$11-$E$11)/($G$11-$E$11),$E$11+SQRT(U715*($G$11-$E$11)*($F$11-$E$11)),$G$11-SQRT((1-U715)*($G$11-$E$11)*($G$11-$F$11))))</f>
        <v>0.105612769415279</v>
      </c>
      <c r="H715" s="39" t="n">
        <f aca="false">(('Business Case'!B11*$C715*'Business Case'!B12*$B715)-'Business Case'!B11*$C715*'Business Case'!B13*$D715-'Business Case'!B14*$E715)-MAX(0,(('Business Case'!B11*$C715*'Business Case'!B12*$B715)-'Business Case'!B11*$C715*'Business Case'!B13*$D715-'Business Case'!B14*$E715))*'Business Case'!$B$7-'Business Case'!$B$8*('Business Case'!B11*$C715*'Business Case'!B12*$B715)-'Business Case'!B15*$F715</f>
        <v>-2239042040.42684</v>
      </c>
      <c r="I715" s="39" t="n">
        <f aca="false">(('Business Case'!C11*$C715*'Business Case'!C12*$B715)-'Business Case'!C11*$C715*'Business Case'!C13*$D715-'Business Case'!C14*$E715)-MAX(0,(('Business Case'!C11*$C715*'Business Case'!C12*$B715)-'Business Case'!C11*$C715*'Business Case'!C13*$D715-'Business Case'!C14*$E715))*'Business Case'!$B$7-'Business Case'!$B$8*(('Business Case'!C11*$C715*'Business Case'!C12*$B715)-('Business Case'!B11*$C715*'Business Case'!B12*$B715))-'Business Case'!C15*$F715</f>
        <v>-55230723.2694328</v>
      </c>
      <c r="J715" s="39" t="n">
        <f aca="false">(('Business Case'!D11*$C715*'Business Case'!D12*$B715)-'Business Case'!D11*$C715*'Business Case'!D13*$D715-'Business Case'!D14*$E715)-MAX(0,(('Business Case'!D11*$C715*'Business Case'!D12*$B715)-'Business Case'!D11*$C715*'Business Case'!D13*$D715-'Business Case'!D14*$E715))*'Business Case'!$B$7-'Business Case'!$B$8*(('Business Case'!D11*$C715*'Business Case'!D12*$B715)-('Business Case'!C11*$C715*'Business Case'!C12*$B715))-'Business Case'!D15*$F715</f>
        <v>199107682.126105</v>
      </c>
      <c r="K715" s="39" t="n">
        <f aca="false">(('Business Case'!E11*$C715*'Business Case'!E12*$B715)-'Business Case'!E11*$C715*'Business Case'!E13*$D715-'Business Case'!E14*$E715)-MAX(0,(('Business Case'!E11*$C715*'Business Case'!E12*$B715)-'Business Case'!E11*$C715*'Business Case'!E13*$D715-'Business Case'!E14*$E715))*'Business Case'!$B$7-'Business Case'!$B$8*(('Business Case'!E11*$C715*'Business Case'!E12*$B715)-('Business Case'!D11*$C715*'Business Case'!D12*$B715))-'Business Case'!E15*$F715</f>
        <v>509422138.532313</v>
      </c>
      <c r="L715" s="39" t="n">
        <f aca="false">(('Business Case'!F11*$C715*'Business Case'!F12*$B715)-'Business Case'!F11*$C715*'Business Case'!F13*$D715-'Business Case'!F14*$E715)-MAX(0,(('Business Case'!F11*$C715*'Business Case'!F12*$B715)-'Business Case'!F11*$C715*'Business Case'!F13*$D715-'Business Case'!F14*$E715))*'Business Case'!$B$7-'Business Case'!$B$8*(('Business Case'!F11*$C715*'Business Case'!F12*$B715)-('Business Case'!E11*$C715*'Business Case'!E12*$B715))-'Business Case'!F15*$F715</f>
        <v>626812937.390754</v>
      </c>
      <c r="M715" s="39" t="n">
        <f aca="false">(('Business Case'!G11*$C715*'Business Case'!G12*$B715)-'Business Case'!G11*$C715*'Business Case'!G13*$D715-'Business Case'!G14*$E715)-MAX(0,(('Business Case'!G11*$C715*'Business Case'!G12*$B715)-'Business Case'!G11*$C715*'Business Case'!G13*$D715-'Business Case'!G14*$E715))*'Business Case'!$B$7-'Business Case'!$B$8*(('Business Case'!G11*$C715*'Business Case'!G12*$B715)-('Business Case'!F11*$C715*'Business Case'!F12*$B715))-'Business Case'!G15*$F715+'Business Case'!$B$8*('Business Case'!G11*$C715*'Business Case'!G12*$B715)</f>
        <v>806175254.553692</v>
      </c>
      <c r="N715" s="39" t="n">
        <f aca="false">IF(COUNT('Business Case'!B11:G11)=0,"",H715+NPV(G715,I715:M715))</f>
        <v>-841686927.818405</v>
      </c>
      <c r="P715" s="40" t="n">
        <f aca="true">RAND()</f>
        <v>0.526404155268966</v>
      </c>
      <c r="Q715" s="40" t="n">
        <f aca="true">RAND()</f>
        <v>0.478820089471683</v>
      </c>
      <c r="R715" s="40" t="n">
        <f aca="true">RAND()</f>
        <v>0.901290990157746</v>
      </c>
      <c r="S715" s="40" t="n">
        <f aca="true">RAND()</f>
        <v>0.70996525835437</v>
      </c>
      <c r="T715" s="40" t="n">
        <f aca="true">RAND()</f>
        <v>0.773003144451376</v>
      </c>
      <c r="U715" s="40" t="n">
        <f aca="true">RAND()</f>
        <v>0.603508656271772</v>
      </c>
    </row>
    <row r="716" customFormat="false" ht="15" hidden="false" customHeight="false" outlineLevel="0" collapsed="false">
      <c r="A716" s="36" t="n">
        <v>636</v>
      </c>
      <c r="B716" s="37" t="n">
        <f aca="false">1+IF($G$6=$E$6,$F$6,IF(P716&lt;($F$6-$E$6)/($G$6-$E$6),$E$6+SQRT(P716*($G$6-$E$6)*($F$6-$E$6)),$G$6-SQRT((1-P716)*($G$6-$E$6)*($G$6-$F$6))))</f>
        <v>0.98365903318985</v>
      </c>
      <c r="C716" s="37" t="n">
        <f aca="false">1+IF($G$7=$E$7,$F$7,IF(Q716&lt;($F$7-$E$7)/($G$7-$E$7),$E$7+SQRT(Q716*($G$7-$E$7)*($F$7-$E$7)),$G$7-SQRT((1-Q716)*($G$7-$E$7)*($G$7-$F$7))))</f>
        <v>1.01385968201323</v>
      </c>
      <c r="D716" s="37" t="n">
        <f aca="false">1+IF($G$8=$E$8,$F$8,IF(R716&lt;($F$8-$E$8)/($G$8-$E$8),$E$8+SQRT(R716*($G$8-$E$8)*($F$8-$E$8)),$G$8-SQRT((1-R716)*($G$8-$E$8)*($G$8-$F$8))))</f>
        <v>1.06650168207201</v>
      </c>
      <c r="E716" s="37" t="n">
        <f aca="false">1+IF($G$9=$E$9,$F$9,IF(S716&lt;($F$9-$E$9)/($G$9-$E$9),$E$9+SQRT(S716*($G$9-$E$9)*($F$9-$E$9)),$G$9-SQRT((1-S716)*($G$9-$E$9)*($G$9-$F$9))))</f>
        <v>0.953194536659121</v>
      </c>
      <c r="F716" s="37" t="n">
        <f aca="false">1+IF($G$10=$E$10,$F$10,IF(T716&lt;($F$10-$E$10)/($G$10-$E$10),$E$10+SQRT(T716*($G$10-$E$10)*($F$10-$E$10)),$G$10-SQRT((1-T716)*($G$10-$E$10)*($G$10-$F$10))))</f>
        <v>0.99991359735474</v>
      </c>
      <c r="G716" s="38" t="n">
        <f aca="false">IF($G$11=$E$11,$F$11,IF(U716&lt;($F$11-$E$11)/($G$11-$E$11),$E$11+SQRT(U716*($G$11-$E$11)*($F$11-$E$11)),$G$11-SQRT((1-U716)*($G$11-$E$11)*($G$11-$F$11))))</f>
        <v>0.111083530178428</v>
      </c>
      <c r="H716" s="39" t="n">
        <f aca="false">(('Business Case'!B11*$C716*'Business Case'!B12*$B716)-'Business Case'!B11*$C716*'Business Case'!B13*$D716-'Business Case'!B14*$E716)-MAX(0,(('Business Case'!B11*$C716*'Business Case'!B12*$B716)-'Business Case'!B11*$C716*'Business Case'!B13*$D716-'Business Case'!B14*$E716))*'Business Case'!$B$7-'Business Case'!$B$8*('Business Case'!B11*$C716*'Business Case'!B12*$B716)-'Business Case'!B15*$F716</f>
        <v>-1999827194.70948</v>
      </c>
      <c r="I716" s="39" t="n">
        <f aca="false">(('Business Case'!C11*$C716*'Business Case'!C12*$B716)-'Business Case'!C11*$C716*'Business Case'!C13*$D716-'Business Case'!C14*$E716)-MAX(0,(('Business Case'!C11*$C716*'Business Case'!C12*$B716)-'Business Case'!C11*$C716*'Business Case'!C13*$D716-'Business Case'!C14*$E716))*'Business Case'!$B$7-'Business Case'!$B$8*(('Business Case'!C11*$C716*'Business Case'!C12*$B716)-('Business Case'!B11*$C716*'Business Case'!B12*$B716))-'Business Case'!C15*$F716</f>
        <v>-23911529.268885</v>
      </c>
      <c r="J716" s="39" t="n">
        <f aca="false">(('Business Case'!D11*$C716*'Business Case'!D12*$B716)-'Business Case'!D11*$C716*'Business Case'!D13*$D716-'Business Case'!D14*$E716)-MAX(0,(('Business Case'!D11*$C716*'Business Case'!D12*$B716)-'Business Case'!D11*$C716*'Business Case'!D13*$D716-'Business Case'!D14*$E716))*'Business Case'!$B$7-'Business Case'!$B$8*(('Business Case'!D11*$C716*'Business Case'!D12*$B716)-('Business Case'!C11*$C716*'Business Case'!C12*$B716))-'Business Case'!D15*$F716</f>
        <v>239412193.752259</v>
      </c>
      <c r="K716" s="39" t="n">
        <f aca="false">(('Business Case'!E11*$C716*'Business Case'!E12*$B716)-'Business Case'!E11*$C716*'Business Case'!E13*$D716-'Business Case'!E14*$E716)-MAX(0,(('Business Case'!E11*$C716*'Business Case'!E12*$B716)-'Business Case'!E11*$C716*'Business Case'!E13*$D716-'Business Case'!E14*$E716))*'Business Case'!$B$7-'Business Case'!$B$8*(('Business Case'!E11*$C716*'Business Case'!E12*$B716)-('Business Case'!D11*$C716*'Business Case'!D12*$B716))-'Business Case'!E15*$F716</f>
        <v>552731596.64114</v>
      </c>
      <c r="L716" s="39" t="n">
        <f aca="false">(('Business Case'!F11*$C716*'Business Case'!F12*$B716)-'Business Case'!F11*$C716*'Business Case'!F13*$D716-'Business Case'!F14*$E716)-MAX(0,(('Business Case'!F11*$C716*'Business Case'!F12*$B716)-'Business Case'!F11*$C716*'Business Case'!F13*$D716-'Business Case'!F14*$E716))*'Business Case'!$B$7-'Business Case'!$B$8*(('Business Case'!F11*$C716*'Business Case'!F12*$B716)-('Business Case'!E11*$C716*'Business Case'!E12*$B716))-'Business Case'!F15*$F716</f>
        <v>674972590.609273</v>
      </c>
      <c r="M716" s="39" t="n">
        <f aca="false">(('Business Case'!G11*$C716*'Business Case'!G12*$B716)-'Business Case'!G11*$C716*'Business Case'!G13*$D716-'Business Case'!G14*$E716)-MAX(0,(('Business Case'!G11*$C716*'Business Case'!G12*$B716)-'Business Case'!G11*$C716*'Business Case'!G13*$D716-'Business Case'!G14*$E716))*'Business Case'!$B$7-'Business Case'!$B$8*(('Business Case'!G11*$C716*'Business Case'!G12*$B716)-('Business Case'!F11*$C716*'Business Case'!F12*$B716))-'Business Case'!G15*$F716+'Business Case'!$B$8*('Business Case'!G11*$C716*'Business Case'!G12*$B716)</f>
        <v>864537898.561908</v>
      </c>
      <c r="N716" s="39" t="n">
        <f aca="false">IF(COUNT('Business Case'!B11:G11)=0,"",H716+NPV(G716,I716:M716))</f>
        <v>-470985419.178534</v>
      </c>
      <c r="P716" s="40" t="n">
        <f aca="true">RAND()</f>
        <v>0.466588922284031</v>
      </c>
      <c r="Q716" s="40" t="n">
        <f aca="true">RAND()</f>
        <v>0.725419463977198</v>
      </c>
      <c r="R716" s="40" t="n">
        <f aca="true">RAND()</f>
        <v>0.925190846399684</v>
      </c>
      <c r="S716" s="40" t="n">
        <f aca="true">RAND()</f>
        <v>0.113186349215141</v>
      </c>
      <c r="T716" s="40" t="n">
        <f aca="true">RAND()</f>
        <v>0.166091146726073</v>
      </c>
      <c r="U716" s="40" t="n">
        <f aca="true">RAND()</f>
        <v>0.761444779659704</v>
      </c>
    </row>
    <row r="717" customFormat="false" ht="15" hidden="false" customHeight="false" outlineLevel="0" collapsed="false">
      <c r="A717" s="36" t="n">
        <v>637</v>
      </c>
      <c r="B717" s="37" t="n">
        <f aca="false">1+IF($G$6=$E$6,$F$6,IF(P717&lt;($F$6-$E$6)/($G$6-$E$6),$E$6+SQRT(P717*($G$6-$E$6)*($F$6-$E$6)),$G$6-SQRT((1-P717)*($G$6-$E$6)*($G$6-$F$6))))</f>
        <v>0.967670097893344</v>
      </c>
      <c r="C717" s="37" t="n">
        <f aca="false">1+IF($G$7=$E$7,$F$7,IF(Q717&lt;($F$7-$E$7)/($G$7-$E$7),$E$7+SQRT(Q717*($G$7-$E$7)*($F$7-$E$7)),$G$7-SQRT((1-Q717)*($G$7-$E$7)*($G$7-$F$7))))</f>
        <v>1.0028090730175</v>
      </c>
      <c r="D717" s="37" t="n">
        <f aca="false">1+IF($G$8=$E$8,$F$8,IF(R717&lt;($F$8-$E$8)/($G$8-$E$8),$E$8+SQRT(R717*($G$8-$E$8)*($F$8-$E$8)),$G$8-SQRT((1-R717)*($G$8-$E$8)*($G$8-$F$8))))</f>
        <v>1.03236594018724</v>
      </c>
      <c r="E717" s="37" t="n">
        <f aca="false">1+IF($G$9=$E$9,$F$9,IF(S717&lt;($F$9-$E$9)/($G$9-$E$9),$E$9+SQRT(S717*($G$9-$E$9)*($F$9-$E$9)),$G$9-SQRT((1-S717)*($G$9-$E$9)*($G$9-$F$9))))</f>
        <v>1.0508104047554</v>
      </c>
      <c r="F717" s="37" t="n">
        <f aca="false">1+IF($G$10=$E$10,$F$10,IF(T717&lt;($F$10-$E$10)/($G$10-$E$10),$E$10+SQRT(T717*($G$10-$E$10)*($F$10-$E$10)),$G$10-SQRT((1-T717)*($G$10-$E$10)*($G$10-$F$10))))</f>
        <v>1.16153307872007</v>
      </c>
      <c r="G717" s="38" t="n">
        <f aca="false">IF($G$11=$E$11,$F$11,IF(U717&lt;($F$11-$E$11)/($G$11-$E$11),$E$11+SQRT(U717*($G$11-$E$11)*($F$11-$E$11)),$G$11-SQRT((1-U717)*($G$11-$E$11)*($G$11-$F$11))))</f>
        <v>0.0911437593397468</v>
      </c>
      <c r="H717" s="39" t="n">
        <f aca="false">(('Business Case'!B11*$C717*'Business Case'!B12*$B717)-'Business Case'!B11*$C717*'Business Case'!B13*$D717-'Business Case'!B14*$E717)-MAX(0,(('Business Case'!B11*$C717*'Business Case'!B12*$B717)-'Business Case'!B11*$C717*'Business Case'!B13*$D717-'Business Case'!B14*$E717))*'Business Case'!$B$7-'Business Case'!$B$8*('Business Case'!B11*$C717*'Business Case'!B12*$B717)-'Business Case'!B15*$F717</f>
        <v>-2323066157.44013</v>
      </c>
      <c r="I717" s="39" t="n">
        <f aca="false">(('Business Case'!C11*$C717*'Business Case'!C12*$B717)-'Business Case'!C11*$C717*'Business Case'!C13*$D717-'Business Case'!C14*$E717)-MAX(0,(('Business Case'!C11*$C717*'Business Case'!C12*$B717)-'Business Case'!C11*$C717*'Business Case'!C13*$D717-'Business Case'!C14*$E717))*'Business Case'!$B$7-'Business Case'!$B$8*(('Business Case'!C11*$C717*'Business Case'!C12*$B717)-('Business Case'!B11*$C717*'Business Case'!B12*$B717))-'Business Case'!C15*$F717</f>
        <v>-51038885.5736211</v>
      </c>
      <c r="J717" s="39" t="n">
        <f aca="false">(('Business Case'!D11*$C717*'Business Case'!D12*$B717)-'Business Case'!D11*$C717*'Business Case'!D13*$D717-'Business Case'!D14*$E717)-MAX(0,(('Business Case'!D11*$C717*'Business Case'!D12*$B717)-'Business Case'!D11*$C717*'Business Case'!D13*$D717-'Business Case'!D14*$E717))*'Business Case'!$B$7-'Business Case'!$B$8*(('Business Case'!D11*$C717*'Business Case'!D12*$B717)-('Business Case'!C11*$C717*'Business Case'!C12*$B717))-'Business Case'!D15*$F717</f>
        <v>213805708.544834</v>
      </c>
      <c r="K717" s="39" t="n">
        <f aca="false">(('Business Case'!E11*$C717*'Business Case'!E12*$B717)-'Business Case'!E11*$C717*'Business Case'!E13*$D717-'Business Case'!E14*$E717)-MAX(0,(('Business Case'!E11*$C717*'Business Case'!E12*$B717)-'Business Case'!E11*$C717*'Business Case'!E13*$D717-'Business Case'!E14*$E717))*'Business Case'!$B$7-'Business Case'!$B$8*(('Business Case'!E11*$C717*'Business Case'!E12*$B717)-('Business Case'!D11*$C717*'Business Case'!D12*$B717))-'Business Case'!E15*$F717</f>
        <v>536726956.599293</v>
      </c>
      <c r="L717" s="39" t="n">
        <f aca="false">(('Business Case'!F11*$C717*'Business Case'!F12*$B717)-'Business Case'!F11*$C717*'Business Case'!F13*$D717-'Business Case'!F14*$E717)-MAX(0,(('Business Case'!F11*$C717*'Business Case'!F12*$B717)-'Business Case'!F11*$C717*'Business Case'!F13*$D717-'Business Case'!F14*$E717))*'Business Case'!$B$7-'Business Case'!$B$8*(('Business Case'!F11*$C717*'Business Case'!F12*$B717)-('Business Case'!E11*$C717*'Business Case'!E12*$B717))-'Business Case'!F15*$F717</f>
        <v>658545109.481346</v>
      </c>
      <c r="M717" s="39" t="n">
        <f aca="false">(('Business Case'!G11*$C717*'Business Case'!G12*$B717)-'Business Case'!G11*$C717*'Business Case'!G13*$D717-'Business Case'!G14*$E717)-MAX(0,(('Business Case'!G11*$C717*'Business Case'!G12*$B717)-'Business Case'!G11*$C717*'Business Case'!G13*$D717-'Business Case'!G14*$E717))*'Business Case'!$B$7-'Business Case'!$B$8*(('Business Case'!G11*$C717*'Business Case'!G12*$B717)-('Business Case'!F11*$C717*'Business Case'!F12*$B717))-'Business Case'!G15*$F717+'Business Case'!$B$8*('Business Case'!G11*$C717*'Business Case'!G12*$B717)</f>
        <v>842996527.782138</v>
      </c>
      <c r="N717" s="39" t="n">
        <f aca="false">IF(COUNT('Business Case'!B11:G11)=0,"",H717+NPV(G717,I717:M717))</f>
        <v>-767511783.304441</v>
      </c>
      <c r="P717" s="40" t="n">
        <f aca="true">RAND()</f>
        <v>0.305282809926317</v>
      </c>
      <c r="Q717" s="40" t="n">
        <f aca="true">RAND()</f>
        <v>0.679034533541217</v>
      </c>
      <c r="R717" s="40" t="n">
        <f aca="true">RAND()</f>
        <v>0.69504226354962</v>
      </c>
      <c r="S717" s="40" t="n">
        <f aca="true">RAND()</f>
        <v>0.737637978538974</v>
      </c>
      <c r="T717" s="40" t="n">
        <f aca="true">RAND()</f>
        <v>0.895648051190001</v>
      </c>
      <c r="U717" s="40" t="n">
        <f aca="true">RAND()</f>
        <v>0.124183372222195</v>
      </c>
    </row>
    <row r="718" customFormat="false" ht="15" hidden="false" customHeight="false" outlineLevel="0" collapsed="false">
      <c r="A718" s="36" t="n">
        <v>638</v>
      </c>
      <c r="B718" s="37" t="n">
        <f aca="false">1+IF($G$6=$E$6,$F$6,IF(P718&lt;($F$6-$E$6)/($G$6-$E$6),$E$6+SQRT(P718*($G$6-$E$6)*($F$6-$E$6)),$G$6-SQRT((1-P718)*($G$6-$E$6)*($G$6-$F$6))))</f>
        <v>1.02090717160258</v>
      </c>
      <c r="C718" s="37" t="n">
        <f aca="false">1+IF($G$7=$E$7,$F$7,IF(Q718&lt;($F$7-$E$7)/($G$7-$E$7),$E$7+SQRT(Q718*($G$7-$E$7)*($F$7-$E$7)),$G$7-SQRT((1-Q718)*($G$7-$E$7)*($G$7-$F$7))))</f>
        <v>0.8894384485865</v>
      </c>
      <c r="D718" s="37" t="n">
        <f aca="false">1+IF($G$8=$E$8,$F$8,IF(R718&lt;($F$8-$E$8)/($G$8-$E$8),$E$8+SQRT(R718*($G$8-$E$8)*($F$8-$E$8)),$G$8-SQRT((1-R718)*($G$8-$E$8)*($G$8-$F$8))))</f>
        <v>1.05294216272523</v>
      </c>
      <c r="E718" s="37" t="n">
        <f aca="false">1+IF($G$9=$E$9,$F$9,IF(S718&lt;($F$9-$E$9)/($G$9-$E$9),$E$9+SQRT(S718*($G$9-$E$9)*($F$9-$E$9)),$G$9-SQRT((1-S718)*($G$9-$E$9)*($G$9-$F$9))))</f>
        <v>1.02164087792785</v>
      </c>
      <c r="F718" s="37" t="n">
        <f aca="false">1+IF($G$10=$E$10,$F$10,IF(T718&lt;($F$10-$E$10)/($G$10-$E$10),$E$10+SQRT(T718*($G$10-$E$10)*($F$10-$E$10)),$G$10-SQRT((1-T718)*($G$10-$E$10)*($G$10-$F$10))))</f>
        <v>1.12884250520262</v>
      </c>
      <c r="G718" s="38" t="n">
        <f aca="false">IF($G$11=$E$11,$F$11,IF(U718&lt;($F$11-$E$11)/($G$11-$E$11),$E$11+SQRT(U718*($G$11-$E$11)*($F$11-$E$11)),$G$11-SQRT((1-U718)*($G$11-$E$11)*($G$11-$F$11))))</f>
        <v>0.105391713674772</v>
      </c>
      <c r="H718" s="39" t="n">
        <f aca="false">(('Business Case'!B11*$C718*'Business Case'!B12*$B718)-'Business Case'!B11*$C718*'Business Case'!B13*$D718-'Business Case'!B14*$E718)-MAX(0,(('Business Case'!B11*$C718*'Business Case'!B12*$B718)-'Business Case'!B11*$C718*'Business Case'!B13*$D718-'Business Case'!B14*$E718))*'Business Case'!$B$7-'Business Case'!$B$8*('Business Case'!B11*$C718*'Business Case'!B12*$B718)-'Business Case'!B15*$F718</f>
        <v>-2257685010.40524</v>
      </c>
      <c r="I718" s="39" t="n">
        <f aca="false">(('Business Case'!C11*$C718*'Business Case'!C12*$B718)-'Business Case'!C11*$C718*'Business Case'!C13*$D718-'Business Case'!C14*$E718)-MAX(0,(('Business Case'!C11*$C718*'Business Case'!C12*$B718)-'Business Case'!C11*$C718*'Business Case'!C13*$D718-'Business Case'!C14*$E718))*'Business Case'!$B$7-'Business Case'!$B$8*(('Business Case'!C11*$C718*'Business Case'!C12*$B718)-('Business Case'!B11*$C718*'Business Case'!B12*$B718))-'Business Case'!C15*$F718</f>
        <v>-40915798.3394271</v>
      </c>
      <c r="J718" s="39" t="n">
        <f aca="false">(('Business Case'!D11*$C718*'Business Case'!D12*$B718)-'Business Case'!D11*$C718*'Business Case'!D13*$D718-'Business Case'!D14*$E718)-MAX(0,(('Business Case'!D11*$C718*'Business Case'!D12*$B718)-'Business Case'!D11*$C718*'Business Case'!D13*$D718-'Business Case'!D14*$E718))*'Business Case'!$B$7-'Business Case'!$B$8*(('Business Case'!D11*$C718*'Business Case'!D12*$B718)-('Business Case'!C11*$C718*'Business Case'!C12*$B718))-'Business Case'!D15*$F718</f>
        <v>223402473.952984</v>
      </c>
      <c r="K718" s="39" t="n">
        <f aca="false">(('Business Case'!E11*$C718*'Business Case'!E12*$B718)-'Business Case'!E11*$C718*'Business Case'!E13*$D718-'Business Case'!E14*$E718)-MAX(0,(('Business Case'!E11*$C718*'Business Case'!E12*$B718)-'Business Case'!E11*$C718*'Business Case'!E13*$D718-'Business Case'!E14*$E718))*'Business Case'!$B$7-'Business Case'!$B$8*(('Business Case'!E11*$C718*'Business Case'!E12*$B718)-('Business Case'!D11*$C718*'Business Case'!D12*$B718))-'Business Case'!E15*$F718</f>
        <v>544162871.505525</v>
      </c>
      <c r="L718" s="39" t="n">
        <f aca="false">(('Business Case'!F11*$C718*'Business Case'!F12*$B718)-'Business Case'!F11*$C718*'Business Case'!F13*$D718-'Business Case'!F14*$E718)-MAX(0,(('Business Case'!F11*$C718*'Business Case'!F12*$B718)-'Business Case'!F11*$C718*'Business Case'!F13*$D718-'Business Case'!F14*$E718))*'Business Case'!$B$7-'Business Case'!$B$8*(('Business Case'!F11*$C718*'Business Case'!F12*$B718)-('Business Case'!E11*$C718*'Business Case'!E12*$B718))-'Business Case'!F15*$F718</f>
        <v>663650620.449819</v>
      </c>
      <c r="M718" s="39" t="n">
        <f aca="false">(('Business Case'!G11*$C718*'Business Case'!G12*$B718)-'Business Case'!G11*$C718*'Business Case'!G13*$D718-'Business Case'!G14*$E718)-MAX(0,(('Business Case'!G11*$C718*'Business Case'!G12*$B718)-'Business Case'!G11*$C718*'Business Case'!G13*$D718-'Business Case'!G14*$E718))*'Business Case'!$B$7-'Business Case'!$B$8*(('Business Case'!G11*$C718*'Business Case'!G12*$B718)-('Business Case'!F11*$C718*'Business Case'!F12*$B718))-'Business Case'!G15*$F718+'Business Case'!$B$8*('Business Case'!G11*$C718*'Business Case'!G12*$B718)</f>
        <v>836249740.440685</v>
      </c>
      <c r="N718" s="39" t="n">
        <f aca="false">IF(COUNT('Business Case'!B11:G11)=0,"",H718+NPV(G718,I718:M718))</f>
        <v>-757774358.305985</v>
      </c>
      <c r="P718" s="40" t="n">
        <f aca="true">RAND()</f>
        <v>0.887147644778466</v>
      </c>
      <c r="Q718" s="40" t="n">
        <f aca="true">RAND()</f>
        <v>0.265829080021184</v>
      </c>
      <c r="R718" s="40" t="n">
        <f aca="true">RAND()</f>
        <v>0.852370663401444</v>
      </c>
      <c r="S718" s="40" t="n">
        <f aca="true">RAND()</f>
        <v>0.560638287489775</v>
      </c>
      <c r="T718" s="40" t="n">
        <f aca="true">RAND()</f>
        <v>0.804278152725634</v>
      </c>
      <c r="U718" s="40" t="n">
        <f aca="true">RAND()</f>
        <v>0.596288162757064</v>
      </c>
    </row>
    <row r="719" customFormat="false" ht="15" hidden="false" customHeight="false" outlineLevel="0" collapsed="false">
      <c r="A719" s="36" t="n">
        <v>639</v>
      </c>
      <c r="B719" s="37" t="n">
        <f aca="false">1+IF($G$6=$E$6,$F$6,IF(P719&lt;($F$6-$E$6)/($G$6-$E$6),$E$6+SQRT(P719*($G$6-$E$6)*($F$6-$E$6)),$G$6-SQRT((1-P719)*($G$6-$E$6)*($G$6-$F$6))))</f>
        <v>0.991710664505131</v>
      </c>
      <c r="C719" s="37" t="n">
        <f aca="false">1+IF($G$7=$E$7,$F$7,IF(Q719&lt;($F$7-$E$7)/($G$7-$E$7),$E$7+SQRT(Q719*($G$7-$E$7)*($F$7-$E$7)),$G$7-SQRT((1-Q719)*($G$7-$E$7)*($G$7-$F$7))))</f>
        <v>0.984425159553609</v>
      </c>
      <c r="D719" s="37" t="n">
        <f aca="false">1+IF($G$8=$E$8,$F$8,IF(R719&lt;($F$8-$E$8)/($G$8-$E$8),$E$8+SQRT(R719*($G$8-$E$8)*($F$8-$E$8)),$G$8-SQRT((1-R719)*($G$8-$E$8)*($G$8-$F$8))))</f>
        <v>0.980392259296998</v>
      </c>
      <c r="E719" s="37" t="n">
        <f aca="false">1+IF($G$9=$E$9,$F$9,IF(S719&lt;($F$9-$E$9)/($G$9-$E$9),$E$9+SQRT(S719*($G$9-$E$9)*($F$9-$E$9)),$G$9-SQRT((1-S719)*($G$9-$E$9)*($G$9-$F$9))))</f>
        <v>1.00881804169172</v>
      </c>
      <c r="F719" s="37" t="n">
        <f aca="false">1+IF($G$10=$E$10,$F$10,IF(T719&lt;($F$10-$E$10)/($G$10-$E$10),$E$10+SQRT(T719*($G$10-$E$10)*($F$10-$E$10)),$G$10-SQRT((1-T719)*($G$10-$E$10)*($G$10-$F$10))))</f>
        <v>1.12510201969419</v>
      </c>
      <c r="G719" s="38" t="n">
        <f aca="false">IF($G$11=$E$11,$F$11,IF(U719&lt;($F$11-$E$11)/($G$11-$E$11),$E$11+SQRT(U719*($G$11-$E$11)*($F$11-$E$11)),$G$11-SQRT((1-U719)*($G$11-$E$11)*($G$11-$F$11))))</f>
        <v>0.112916435076536</v>
      </c>
      <c r="H719" s="39" t="n">
        <f aca="false">(('Business Case'!B11*$C719*'Business Case'!B12*$B719)-'Business Case'!B11*$C719*'Business Case'!B13*$D719-'Business Case'!B14*$E719)-MAX(0,(('Business Case'!B11*$C719*'Business Case'!B12*$B719)-'Business Case'!B11*$C719*'Business Case'!B13*$D719-'Business Case'!B14*$E719))*'Business Case'!$B$7-'Business Case'!$B$8*('Business Case'!B11*$C719*'Business Case'!B12*$B719)-'Business Case'!B15*$F719</f>
        <v>-2250204039.38837</v>
      </c>
      <c r="I719" s="39" t="n">
        <f aca="false">(('Business Case'!C11*$C719*'Business Case'!C12*$B719)-'Business Case'!C11*$C719*'Business Case'!C13*$D719-'Business Case'!C14*$E719)-MAX(0,(('Business Case'!C11*$C719*'Business Case'!C12*$B719)-'Business Case'!C11*$C719*'Business Case'!C13*$D719-'Business Case'!C14*$E719))*'Business Case'!$B$7-'Business Case'!$B$8*(('Business Case'!C11*$C719*'Business Case'!C12*$B719)-('Business Case'!B11*$C719*'Business Case'!B12*$B719))-'Business Case'!C15*$F719</f>
        <v>-1008100.37942708</v>
      </c>
      <c r="J719" s="39" t="n">
        <f aca="false">(('Business Case'!D11*$C719*'Business Case'!D12*$B719)-'Business Case'!D11*$C719*'Business Case'!D13*$D719-'Business Case'!D14*$E719)-MAX(0,(('Business Case'!D11*$C719*'Business Case'!D12*$B719)-'Business Case'!D11*$C719*'Business Case'!D13*$D719-'Business Case'!D14*$E719))*'Business Case'!$B$7-'Business Case'!$B$8*(('Business Case'!D11*$C719*'Business Case'!D12*$B719)-('Business Case'!C11*$C719*'Business Case'!C12*$B719))-'Business Case'!D15*$F719</f>
        <v>304557500.665561</v>
      </c>
      <c r="K719" s="39" t="n">
        <f aca="false">(('Business Case'!E11*$C719*'Business Case'!E12*$B719)-'Business Case'!E11*$C719*'Business Case'!E13*$D719-'Business Case'!E14*$E719)-MAX(0,(('Business Case'!E11*$C719*'Business Case'!E12*$B719)-'Business Case'!E11*$C719*'Business Case'!E13*$D719-'Business Case'!E14*$E719))*'Business Case'!$B$7-'Business Case'!$B$8*(('Business Case'!E11*$C719*'Business Case'!E12*$B719)-('Business Case'!D11*$C719*'Business Case'!D12*$B719))-'Business Case'!E15*$F719</f>
        <v>666378202.695259</v>
      </c>
      <c r="L719" s="39" t="n">
        <f aca="false">(('Business Case'!F11*$C719*'Business Case'!F12*$B719)-'Business Case'!F11*$C719*'Business Case'!F13*$D719-'Business Case'!F14*$E719)-MAX(0,(('Business Case'!F11*$C719*'Business Case'!F12*$B719)-'Business Case'!F11*$C719*'Business Case'!F13*$D719-'Business Case'!F14*$E719))*'Business Case'!$B$7-'Business Case'!$B$8*(('Business Case'!F11*$C719*'Business Case'!F12*$B719)-('Business Case'!E11*$C719*'Business Case'!E12*$B719))-'Business Case'!F15*$F719</f>
        <v>801973118.994545</v>
      </c>
      <c r="M719" s="39" t="n">
        <f aca="false">(('Business Case'!G11*$C719*'Business Case'!G12*$B719)-'Business Case'!G11*$C719*'Business Case'!G13*$D719-'Business Case'!G14*$E719)-MAX(0,(('Business Case'!G11*$C719*'Business Case'!G12*$B719)-'Business Case'!G11*$C719*'Business Case'!G13*$D719-'Business Case'!G14*$E719))*'Business Case'!$B$7-'Business Case'!$B$8*(('Business Case'!G11*$C719*'Business Case'!G12*$B719)-('Business Case'!F11*$C719*'Business Case'!F12*$B719))-'Business Case'!G15*$F719+'Business Case'!$B$8*('Business Case'!G11*$C719*'Business Case'!G12*$B719)</f>
        <v>987541556.724807</v>
      </c>
      <c r="N719" s="39" t="n">
        <f aca="false">IF(COUNT('Business Case'!B11:G11)=0,"",H719+NPV(G719,I719:M719))</f>
        <v>-420600734.973301</v>
      </c>
      <c r="P719" s="40" t="n">
        <f aca="true">RAND()</f>
        <v>0.560723065598177</v>
      </c>
      <c r="Q719" s="40" t="n">
        <f aca="true">RAND()</f>
        <v>0.599242010274784</v>
      </c>
      <c r="R719" s="40" t="n">
        <f aca="true">RAND()</f>
        <v>0.123158590023464</v>
      </c>
      <c r="S719" s="40" t="n">
        <f aca="true">RAND()</f>
        <v>0.46847079061968</v>
      </c>
      <c r="T719" s="40" t="n">
        <f aca="true">RAND()</f>
        <v>0.792006593540378</v>
      </c>
      <c r="U719" s="40" t="n">
        <f aca="true">RAND()</f>
        <v>0.805434539670534</v>
      </c>
    </row>
    <row r="720" customFormat="false" ht="15" hidden="false" customHeight="false" outlineLevel="0" collapsed="false">
      <c r="A720" s="36" t="n">
        <v>640</v>
      </c>
      <c r="B720" s="37" t="n">
        <f aca="false">1+IF($G$6=$E$6,$F$6,IF(P720&lt;($F$6-$E$6)/($G$6-$E$6),$E$6+SQRT(P720*($G$6-$E$6)*($F$6-$E$6)),$G$6-SQRT((1-P720)*($G$6-$E$6)*($G$6-$F$6))))</f>
        <v>0.934283793088192</v>
      </c>
      <c r="C720" s="37" t="n">
        <f aca="false">1+IF($G$7=$E$7,$F$7,IF(Q720&lt;($F$7-$E$7)/($G$7-$E$7),$E$7+SQRT(Q720*($G$7-$E$7)*($F$7-$E$7)),$G$7-SQRT((1-Q720)*($G$7-$E$7)*($G$7-$F$7))))</f>
        <v>0.946522909148252</v>
      </c>
      <c r="D720" s="37" t="n">
        <f aca="false">1+IF($G$8=$E$8,$F$8,IF(R720&lt;($F$8-$E$8)/($G$8-$E$8),$E$8+SQRT(R720*($G$8-$E$8)*($F$8-$E$8)),$G$8-SQRT((1-R720)*($G$8-$E$8)*($G$8-$F$8))))</f>
        <v>1.04635112280797</v>
      </c>
      <c r="E720" s="37" t="n">
        <f aca="false">1+IF($G$9=$E$9,$F$9,IF(S720&lt;($F$9-$E$9)/($G$9-$E$9),$E$9+SQRT(S720*($G$9-$E$9)*($F$9-$E$9)),$G$9-SQRT((1-S720)*($G$9-$E$9)*($G$9-$F$9))))</f>
        <v>1.03257596163007</v>
      </c>
      <c r="F720" s="37" t="n">
        <f aca="false">1+IF($G$10=$E$10,$F$10,IF(T720&lt;($F$10-$E$10)/($G$10-$E$10),$E$10+SQRT(T720*($G$10-$E$10)*($F$10-$E$10)),$G$10-SQRT((1-T720)*($G$10-$E$10)*($G$10-$F$10))))</f>
        <v>1.10096679374338</v>
      </c>
      <c r="G720" s="38" t="n">
        <f aca="false">IF($G$11=$E$11,$F$11,IF(U720&lt;($F$11-$E$11)/($G$11-$E$11),$E$11+SQRT(U720*($G$11-$E$11)*($F$11-$E$11)),$G$11-SQRT((1-U720)*($G$11-$E$11)*($G$11-$F$11))))</f>
        <v>0.112951755050848</v>
      </c>
      <c r="H720" s="39" t="n">
        <f aca="false">(('Business Case'!B11*$C720*'Business Case'!B12*$B720)-'Business Case'!B11*$C720*'Business Case'!B13*$D720-'Business Case'!B14*$E720)-MAX(0,(('Business Case'!B11*$C720*'Business Case'!B12*$B720)-'Business Case'!B11*$C720*'Business Case'!B13*$D720-'Business Case'!B14*$E720))*'Business Case'!$B$7-'Business Case'!$B$8*('Business Case'!B11*$C720*'Business Case'!B12*$B720)-'Business Case'!B15*$F720</f>
        <v>-2201933587.48676</v>
      </c>
      <c r="I720" s="39" t="n">
        <f aca="false">(('Business Case'!C11*$C720*'Business Case'!C12*$B720)-'Business Case'!C11*$C720*'Business Case'!C13*$D720-'Business Case'!C14*$E720)-MAX(0,(('Business Case'!C11*$C720*'Business Case'!C12*$B720)-'Business Case'!C11*$C720*'Business Case'!C13*$D720-'Business Case'!C14*$E720))*'Business Case'!$B$7-'Business Case'!$B$8*(('Business Case'!C11*$C720*'Business Case'!C12*$B720)-('Business Case'!B11*$C720*'Business Case'!B12*$B720))-'Business Case'!C15*$F720</f>
        <v>-85452767.5110188</v>
      </c>
      <c r="J720" s="39" t="n">
        <f aca="false">(('Business Case'!D11*$C720*'Business Case'!D12*$B720)-'Business Case'!D11*$C720*'Business Case'!D13*$D720-'Business Case'!D14*$E720)-MAX(0,(('Business Case'!D11*$C720*'Business Case'!D12*$B720)-'Business Case'!D11*$C720*'Business Case'!D13*$D720-'Business Case'!D14*$E720))*'Business Case'!$B$7-'Business Case'!$B$8*(('Business Case'!D11*$C720*'Business Case'!D12*$B720)-('Business Case'!C11*$C720*'Business Case'!C12*$B720))-'Business Case'!D15*$F720</f>
        <v>131866647.451691</v>
      </c>
      <c r="K720" s="39" t="n">
        <f aca="false">(('Business Case'!E11*$C720*'Business Case'!E12*$B720)-'Business Case'!E11*$C720*'Business Case'!E13*$D720-'Business Case'!E14*$E720)-MAX(0,(('Business Case'!E11*$C720*'Business Case'!E12*$B720)-'Business Case'!E11*$C720*'Business Case'!E13*$D720-'Business Case'!E14*$E720))*'Business Case'!$B$7-'Business Case'!$B$8*(('Business Case'!E11*$C720*'Business Case'!E12*$B720)-('Business Case'!D11*$C720*'Business Case'!D12*$B720))-'Business Case'!E15*$F720</f>
        <v>404234402.101569</v>
      </c>
      <c r="L720" s="39" t="n">
        <f aca="false">(('Business Case'!F11*$C720*'Business Case'!F12*$B720)-'Business Case'!F11*$C720*'Business Case'!F13*$D720-'Business Case'!F14*$E720)-MAX(0,(('Business Case'!F11*$C720*'Business Case'!F12*$B720)-'Business Case'!F11*$C720*'Business Case'!F13*$D720-'Business Case'!F14*$E720))*'Business Case'!$B$7-'Business Case'!$B$8*(('Business Case'!F11*$C720*'Business Case'!F12*$B720)-('Business Case'!E11*$C720*'Business Case'!E12*$B720))-'Business Case'!F15*$F720</f>
        <v>507236341.326202</v>
      </c>
      <c r="M720" s="39" t="n">
        <f aca="false">(('Business Case'!G11*$C720*'Business Case'!G12*$B720)-'Business Case'!G11*$C720*'Business Case'!G13*$D720-'Business Case'!G14*$E720)-MAX(0,(('Business Case'!G11*$C720*'Business Case'!G12*$B720)-'Business Case'!G11*$C720*'Business Case'!G13*$D720-'Business Case'!G14*$E720))*'Business Case'!$B$7-'Business Case'!$B$8*(('Business Case'!G11*$C720*'Business Case'!G12*$B720)-('Business Case'!F11*$C720*'Business Case'!F12*$B720))-'Business Case'!G15*$F720+'Business Case'!$B$8*('Business Case'!G11*$C720*'Business Case'!G12*$B720)</f>
        <v>675328079.630047</v>
      </c>
      <c r="N720" s="39" t="n">
        <f aca="false">IF(COUNT('Business Case'!B11:G11)=0,"",H720+NPV(G720,I720:M720))</f>
        <v>-1152938243.94541</v>
      </c>
      <c r="P720" s="40" t="n">
        <f aca="true">RAND()</f>
        <v>0.0783585645675961</v>
      </c>
      <c r="Q720" s="40" t="n">
        <f aca="true">RAND()</f>
        <v>0.450174405443833</v>
      </c>
      <c r="R720" s="40" t="n">
        <f aca="true">RAND()</f>
        <v>0.808119865068947</v>
      </c>
      <c r="S720" s="40" t="n">
        <f aca="true">RAND()</f>
        <v>0.632309205677262</v>
      </c>
      <c r="T720" s="40" t="n">
        <f aca="true">RAND()</f>
        <v>0.703854712438296</v>
      </c>
      <c r="U720" s="40" t="n">
        <f aca="true">RAND()</f>
        <v>0.806238229435816</v>
      </c>
    </row>
    <row r="721" customFormat="false" ht="15" hidden="false" customHeight="false" outlineLevel="0" collapsed="false">
      <c r="A721" s="36" t="n">
        <v>641</v>
      </c>
      <c r="B721" s="37" t="n">
        <f aca="false">1+IF($G$6=$E$6,$F$6,IF(P721&lt;($F$6-$E$6)/($G$6-$E$6),$E$6+SQRT(P721*($G$6-$E$6)*($F$6-$E$6)),$G$6-SQRT((1-P721)*($G$6-$E$6)*($G$6-$F$6))))</f>
        <v>0.98525894953925</v>
      </c>
      <c r="C721" s="37" t="n">
        <f aca="false">1+IF($G$7=$E$7,$F$7,IF(Q721&lt;($F$7-$E$7)/($G$7-$E$7),$E$7+SQRT(Q721*($G$7-$E$7)*($F$7-$E$7)),$G$7-SQRT((1-Q721)*($G$7-$E$7)*($G$7-$F$7))))</f>
        <v>1.07965991690054</v>
      </c>
      <c r="D721" s="37" t="n">
        <f aca="false">1+IF($G$8=$E$8,$F$8,IF(R721&lt;($F$8-$E$8)/($G$8-$E$8),$E$8+SQRT(R721*($G$8-$E$8)*($F$8-$E$8)),$G$8-SQRT((1-R721)*($G$8-$E$8)*($G$8-$F$8))))</f>
        <v>1.04150834213521</v>
      </c>
      <c r="E721" s="37" t="n">
        <f aca="false">1+IF($G$9=$E$9,$F$9,IF(S721&lt;($F$9-$E$9)/($G$9-$E$9),$E$9+SQRT(S721*($G$9-$E$9)*($F$9-$E$9)),$G$9-SQRT((1-S721)*($G$9-$E$9)*($G$9-$F$9))))</f>
        <v>1.01106871418282</v>
      </c>
      <c r="F721" s="37" t="n">
        <f aca="false">1+IF($G$10=$E$10,$F$10,IF(T721&lt;($F$10-$E$10)/($G$10-$E$10),$E$10+SQRT(T721*($G$10-$E$10)*($F$10-$E$10)),$G$10-SQRT((1-T721)*($G$10-$E$10)*($G$10-$F$10))))</f>
        <v>0.959756741963606</v>
      </c>
      <c r="G721" s="38" t="n">
        <f aca="false">IF($G$11=$E$11,$F$11,IF(U721&lt;($F$11-$E$11)/($G$11-$E$11),$E$11+SQRT(U721*($G$11-$E$11)*($F$11-$E$11)),$G$11-SQRT((1-U721)*($G$11-$E$11)*($G$11-$F$11))))</f>
        <v>0.10113996256013</v>
      </c>
      <c r="H721" s="39" t="n">
        <f aca="false">(('Business Case'!B11*$C721*'Business Case'!B12*$B721)-'Business Case'!B11*$C721*'Business Case'!B13*$D721-'Business Case'!B14*$E721)-MAX(0,(('Business Case'!B11*$C721*'Business Case'!B12*$B721)-'Business Case'!B11*$C721*'Business Case'!B13*$D721-'Business Case'!B14*$E721))*'Business Case'!$B$7-'Business Case'!$B$8*('Business Case'!B11*$C721*'Business Case'!B12*$B721)-'Business Case'!B15*$F721</f>
        <v>-1919513483.92721</v>
      </c>
      <c r="I721" s="39" t="n">
        <f aca="false">(('Business Case'!C11*$C721*'Business Case'!C12*$B721)-'Business Case'!C11*$C721*'Business Case'!C13*$D721-'Business Case'!C14*$E721)-MAX(0,(('Business Case'!C11*$C721*'Business Case'!C12*$B721)-'Business Case'!C11*$C721*'Business Case'!C13*$D721-'Business Case'!C14*$E721))*'Business Case'!$B$7-'Business Case'!$B$8*(('Business Case'!C11*$C721*'Business Case'!C12*$B721)-('Business Case'!B11*$C721*'Business Case'!B12*$B721))-'Business Case'!C15*$F721</f>
        <v>748103.409657657</v>
      </c>
      <c r="J721" s="39" t="n">
        <f aca="false">(('Business Case'!D11*$C721*'Business Case'!D12*$B721)-'Business Case'!D11*$C721*'Business Case'!D13*$D721-'Business Case'!D14*$E721)-MAX(0,(('Business Case'!D11*$C721*'Business Case'!D12*$B721)-'Business Case'!D11*$C721*'Business Case'!D13*$D721-'Business Case'!D14*$E721))*'Business Case'!$B$7-'Business Case'!$B$8*(('Business Case'!D11*$C721*'Business Case'!D12*$B721)-('Business Case'!C11*$C721*'Business Case'!C12*$B721))-'Business Case'!D15*$F721</f>
        <v>296390372.007603</v>
      </c>
      <c r="K721" s="39" t="n">
        <f aca="false">(('Business Case'!E11*$C721*'Business Case'!E12*$B721)-'Business Case'!E11*$C721*'Business Case'!E13*$D721-'Business Case'!E14*$E721)-MAX(0,(('Business Case'!E11*$C721*'Business Case'!E12*$B721)-'Business Case'!E11*$C721*'Business Case'!E13*$D721-'Business Case'!E14*$E721))*'Business Case'!$B$7-'Business Case'!$B$8*(('Business Case'!E11*$C721*'Business Case'!E12*$B721)-('Business Case'!D11*$C721*'Business Case'!D12*$B721))-'Business Case'!E15*$F721</f>
        <v>640020477.703729</v>
      </c>
      <c r="L721" s="39" t="n">
        <f aca="false">(('Business Case'!F11*$C721*'Business Case'!F12*$B721)-'Business Case'!F11*$C721*'Business Case'!F13*$D721-'Business Case'!F14*$E721)-MAX(0,(('Business Case'!F11*$C721*'Business Case'!F12*$B721)-'Business Case'!F11*$C721*'Business Case'!F13*$D721-'Business Case'!F14*$E721))*'Business Case'!$B$7-'Business Case'!$B$8*(('Business Case'!F11*$C721*'Business Case'!F12*$B721)-('Business Case'!E11*$C721*'Business Case'!E12*$B721))-'Business Case'!F15*$F721</f>
        <v>775330913.793131</v>
      </c>
      <c r="M721" s="39" t="n">
        <f aca="false">(('Business Case'!G11*$C721*'Business Case'!G12*$B721)-'Business Case'!G11*$C721*'Business Case'!G13*$D721-'Business Case'!G14*$E721)-MAX(0,(('Business Case'!G11*$C721*'Business Case'!G12*$B721)-'Business Case'!G11*$C721*'Business Case'!G13*$D721-'Business Case'!G14*$E721))*'Business Case'!$B$7-'Business Case'!$B$8*(('Business Case'!G11*$C721*'Business Case'!G12*$B721)-('Business Case'!F11*$C721*'Business Case'!F12*$B721))-'Business Case'!G15*$F721+'Business Case'!$B$8*('Business Case'!G11*$C721*'Business Case'!G12*$B721)</f>
        <v>977527486.52194</v>
      </c>
      <c r="N721" s="39" t="n">
        <f aca="false">IF(COUNT('Business Case'!B11:G11)=0,"",H721+NPV(G721,I721:M721))</f>
        <v>-63821068.8873146</v>
      </c>
      <c r="P721" s="40" t="n">
        <f aca="true">RAND()</f>
        <v>0.484605898435762</v>
      </c>
      <c r="Q721" s="40" t="n">
        <f aca="true">RAND()</f>
        <v>0.926700336437947</v>
      </c>
      <c r="R721" s="40" t="n">
        <f aca="true">RAND()</f>
        <v>0.771915064015228</v>
      </c>
      <c r="S721" s="40" t="n">
        <f aca="true">RAND()</f>
        <v>0.485282608564961</v>
      </c>
      <c r="T721" s="40" t="n">
        <f aca="true">RAND()</f>
        <v>0.00634626758295922</v>
      </c>
      <c r="U721" s="40" t="n">
        <f aca="true">RAND()</f>
        <v>0.444732159312855</v>
      </c>
    </row>
    <row r="722" customFormat="false" ht="15" hidden="false" customHeight="false" outlineLevel="0" collapsed="false">
      <c r="A722" s="36" t="n">
        <v>642</v>
      </c>
      <c r="B722" s="37" t="n">
        <f aca="false">1+IF($G$6=$E$6,$F$6,IF(P722&lt;($F$6-$E$6)/($G$6-$E$6),$E$6+SQRT(P722*($G$6-$E$6)*($F$6-$E$6)),$G$6-SQRT((1-P722)*($G$6-$E$6)*($G$6-$F$6))))</f>
        <v>1.04217100365562</v>
      </c>
      <c r="C722" s="37" t="n">
        <f aca="false">1+IF($G$7=$E$7,$F$7,IF(Q722&lt;($F$7-$E$7)/($G$7-$E$7),$E$7+SQRT(Q722*($G$7-$E$7)*($F$7-$E$7)),$G$7-SQRT((1-Q722)*($G$7-$E$7)*($G$7-$F$7))))</f>
        <v>0.910132812593366</v>
      </c>
      <c r="D722" s="37" t="n">
        <f aca="false">1+IF($G$8=$E$8,$F$8,IF(R722&lt;($F$8-$E$8)/($G$8-$E$8),$E$8+SQRT(R722*($G$8-$E$8)*($F$8-$E$8)),$G$8-SQRT((1-R722)*($G$8-$E$8)*($G$8-$F$8))))</f>
        <v>0.99091799535425</v>
      </c>
      <c r="E722" s="37" t="n">
        <f aca="false">1+IF($G$9=$E$9,$F$9,IF(S722&lt;($F$9-$E$9)/($G$9-$E$9),$E$9+SQRT(S722*($G$9-$E$9)*($F$9-$E$9)),$G$9-SQRT((1-S722)*($G$9-$E$9)*($G$9-$F$9))))</f>
        <v>1.01575936572309</v>
      </c>
      <c r="F722" s="37" t="n">
        <f aca="false">1+IF($G$10=$E$10,$F$10,IF(T722&lt;($F$10-$E$10)/($G$10-$E$10),$E$10+SQRT(T722*($G$10-$E$10)*($F$10-$E$10)),$G$10-SQRT((1-T722)*($G$10-$E$10)*($G$10-$F$10))))</f>
        <v>0.997627953020187</v>
      </c>
      <c r="G722" s="38" t="n">
        <f aca="false">IF($G$11=$E$11,$F$11,IF(U722&lt;($F$11-$E$11)/($G$11-$E$11),$E$11+SQRT(U722*($G$11-$E$11)*($F$11-$E$11)),$G$11-SQRT((1-U722)*($G$11-$E$11)*($G$11-$F$11))))</f>
        <v>0.0837003104837144</v>
      </c>
      <c r="H722" s="39" t="n">
        <f aca="false">(('Business Case'!B11*$C722*'Business Case'!B12*$B722)-'Business Case'!B11*$C722*'Business Case'!B13*$D722-'Business Case'!B14*$E722)-MAX(0,(('Business Case'!B11*$C722*'Business Case'!B12*$B722)-'Business Case'!B11*$C722*'Business Case'!B13*$D722-'Business Case'!B14*$E722))*'Business Case'!$B$7-'Business Case'!$B$8*('Business Case'!B11*$C722*'Business Case'!B12*$B722)-'Business Case'!B15*$F722</f>
        <v>-1995255906.04037</v>
      </c>
      <c r="I722" s="39" t="n">
        <f aca="false">(('Business Case'!C11*$C722*'Business Case'!C12*$B722)-'Business Case'!C11*$C722*'Business Case'!C13*$D722-'Business Case'!C14*$E722)-MAX(0,(('Business Case'!C11*$C722*'Business Case'!C12*$B722)-'Business Case'!C11*$C722*'Business Case'!C13*$D722-'Business Case'!C14*$E722))*'Business Case'!$B$7-'Business Case'!$B$8*(('Business Case'!C11*$C722*'Business Case'!C12*$B722)-('Business Case'!B11*$C722*'Business Case'!B12*$B722))-'Business Case'!C15*$F722</f>
        <v>21842791.1636132</v>
      </c>
      <c r="J722" s="39" t="n">
        <f aca="false">(('Business Case'!D11*$C722*'Business Case'!D12*$B722)-'Business Case'!D11*$C722*'Business Case'!D13*$D722-'Business Case'!D14*$E722)-MAX(0,(('Business Case'!D11*$C722*'Business Case'!D12*$B722)-'Business Case'!D11*$C722*'Business Case'!D13*$D722-'Business Case'!D14*$E722))*'Business Case'!$B$7-'Business Case'!$B$8*(('Business Case'!D11*$C722*'Business Case'!D12*$B722)-('Business Case'!C11*$C722*'Business Case'!C12*$B722))-'Business Case'!D15*$F722</f>
        <v>337060326.582324</v>
      </c>
      <c r="K722" s="39" t="n">
        <f aca="false">(('Business Case'!E11*$C722*'Business Case'!E12*$B722)-'Business Case'!E11*$C722*'Business Case'!E13*$D722-'Business Case'!E14*$E722)-MAX(0,(('Business Case'!E11*$C722*'Business Case'!E12*$B722)-'Business Case'!E11*$C722*'Business Case'!E13*$D722-'Business Case'!E14*$E722))*'Business Case'!$B$7-'Business Case'!$B$8*(('Business Case'!E11*$C722*'Business Case'!E12*$B722)-('Business Case'!D11*$C722*'Business Case'!D12*$B722))-'Business Case'!E15*$F722</f>
        <v>702159259.652045</v>
      </c>
      <c r="L722" s="39" t="n">
        <f aca="false">(('Business Case'!F11*$C722*'Business Case'!F12*$B722)-'Business Case'!F11*$C722*'Business Case'!F13*$D722-'Business Case'!F14*$E722)-MAX(0,(('Business Case'!F11*$C722*'Business Case'!F12*$B722)-'Business Case'!F11*$C722*'Business Case'!F13*$D722-'Business Case'!F14*$E722))*'Business Case'!$B$7-'Business Case'!$B$8*(('Business Case'!F11*$C722*'Business Case'!F12*$B722)-('Business Case'!E11*$C722*'Business Case'!E12*$B722))-'Business Case'!F15*$F722</f>
        <v>840012416.223119</v>
      </c>
      <c r="M722" s="39" t="n">
        <f aca="false">(('Business Case'!G11*$C722*'Business Case'!G12*$B722)-'Business Case'!G11*$C722*'Business Case'!G13*$D722-'Business Case'!G14*$E722)-MAX(0,(('Business Case'!G11*$C722*'Business Case'!G12*$B722)-'Business Case'!G11*$C722*'Business Case'!G13*$D722-'Business Case'!G14*$E722))*'Business Case'!$B$7-'Business Case'!$B$8*(('Business Case'!G11*$C722*'Business Case'!G12*$B722)-('Business Case'!F11*$C722*'Business Case'!F12*$B722))-'Business Case'!G15*$F722+'Business Case'!$B$8*('Business Case'!G11*$C722*'Business Case'!G12*$B722)</f>
        <v>1020305962.42972</v>
      </c>
      <c r="N722" s="39" t="n">
        <f aca="false">IF(COUNT('Business Case'!B11:G11)=0,"",H722+NPV(G722,I722:M722))</f>
        <v>155283986.068403</v>
      </c>
      <c r="P722" s="40" t="n">
        <f aca="true">RAND()</f>
        <v>0.991827575498619</v>
      </c>
      <c r="Q722" s="40" t="n">
        <f aca="true">RAND()</f>
        <v>0.327079992062213</v>
      </c>
      <c r="R722" s="40" t="n">
        <f aca="true">RAND()</f>
        <v>0.223237645841389</v>
      </c>
      <c r="S722" s="40" t="n">
        <f aca="true">RAND()</f>
        <v>0.519452056238194</v>
      </c>
      <c r="T722" s="40" t="n">
        <f aca="true">RAND()</f>
        <v>0.15122812725954</v>
      </c>
      <c r="U722" s="40" t="n">
        <f aca="true">RAND()</f>
        <v>0.0136922976758862</v>
      </c>
    </row>
    <row r="723" customFormat="false" ht="15" hidden="false" customHeight="false" outlineLevel="0" collapsed="false">
      <c r="A723" s="36" t="n">
        <v>643</v>
      </c>
      <c r="B723" s="37" t="n">
        <f aca="false">1+IF($G$6=$E$6,$F$6,IF(P723&lt;($F$6-$E$6)/($G$6-$E$6),$E$6+SQRT(P723*($G$6-$E$6)*($F$6-$E$6)),$G$6-SQRT((1-P723)*($G$6-$E$6)*($G$6-$F$6))))</f>
        <v>0.931603935240949</v>
      </c>
      <c r="C723" s="37" t="n">
        <f aca="false">1+IF($G$7=$E$7,$F$7,IF(Q723&lt;($F$7-$E$7)/($G$7-$E$7),$E$7+SQRT(Q723*($G$7-$E$7)*($F$7-$E$7)),$G$7-SQRT((1-Q723)*($G$7-$E$7)*($G$7-$F$7))))</f>
        <v>0.845144931237159</v>
      </c>
      <c r="D723" s="37" t="n">
        <f aca="false">1+IF($G$8=$E$8,$F$8,IF(R723&lt;($F$8-$E$8)/($G$8-$E$8),$E$8+SQRT(R723*($G$8-$E$8)*($F$8-$E$8)),$G$8-SQRT((1-R723)*($G$8-$E$8)*($G$8-$F$8))))</f>
        <v>1.00011702970493</v>
      </c>
      <c r="E723" s="37" t="n">
        <f aca="false">1+IF($G$9=$E$9,$F$9,IF(S723&lt;($F$9-$E$9)/($G$9-$E$9),$E$9+SQRT(S723*($G$9-$E$9)*($F$9-$E$9)),$G$9-SQRT((1-S723)*($G$9-$E$9)*($G$9-$F$9))))</f>
        <v>0.960147322535226</v>
      </c>
      <c r="F723" s="37" t="n">
        <f aca="false">1+IF($G$10=$E$10,$F$10,IF(T723&lt;($F$10-$E$10)/($G$10-$E$10),$E$10+SQRT(T723*($G$10-$E$10)*($F$10-$E$10)),$G$10-SQRT((1-T723)*($G$10-$E$10)*($G$10-$F$10))))</f>
        <v>1.03076224321108</v>
      </c>
      <c r="G723" s="38" t="n">
        <f aca="false">IF($G$11=$E$11,$F$11,IF(U723&lt;($F$11-$E$11)/($G$11-$E$11),$E$11+SQRT(U723*($G$11-$E$11)*($F$11-$E$11)),$G$11-SQRT((1-U723)*($G$11-$E$11)*($G$11-$F$11))))</f>
        <v>0.118070580546616</v>
      </c>
      <c r="H723" s="39" t="n">
        <f aca="false">(('Business Case'!B11*$C723*'Business Case'!B12*$B723)-'Business Case'!B11*$C723*'Business Case'!B13*$D723-'Business Case'!B14*$E723)-MAX(0,(('Business Case'!B11*$C723*'Business Case'!B12*$B723)-'Business Case'!B11*$C723*'Business Case'!B13*$D723-'Business Case'!B14*$E723))*'Business Case'!$B$7-'Business Case'!$B$8*('Business Case'!B11*$C723*'Business Case'!B12*$B723)-'Business Case'!B15*$F723</f>
        <v>-2061524486.42217</v>
      </c>
      <c r="I723" s="39" t="n">
        <f aca="false">(('Business Case'!C11*$C723*'Business Case'!C12*$B723)-'Business Case'!C11*$C723*'Business Case'!C13*$D723-'Business Case'!C14*$E723)-MAX(0,(('Business Case'!C11*$C723*'Business Case'!C12*$B723)-'Business Case'!C11*$C723*'Business Case'!C13*$D723-'Business Case'!C14*$E723))*'Business Case'!$B$7-'Business Case'!$B$8*(('Business Case'!C11*$C723*'Business Case'!C12*$B723)-('Business Case'!B11*$C723*'Business Case'!B12*$B723))-'Business Case'!C15*$F723</f>
        <v>-68233692.6413966</v>
      </c>
      <c r="J723" s="39" t="n">
        <f aca="false">(('Business Case'!D11*$C723*'Business Case'!D12*$B723)-'Business Case'!D11*$C723*'Business Case'!D13*$D723-'Business Case'!D14*$E723)-MAX(0,(('Business Case'!D11*$C723*'Business Case'!D12*$B723)-'Business Case'!D11*$C723*'Business Case'!D13*$D723-'Business Case'!D14*$E723))*'Business Case'!$B$7-'Business Case'!$B$8*(('Business Case'!D11*$C723*'Business Case'!D12*$B723)-('Business Case'!C11*$C723*'Business Case'!C12*$B723))-'Business Case'!D15*$F723</f>
        <v>143957511.724871</v>
      </c>
      <c r="K723" s="39" t="n">
        <f aca="false">(('Business Case'!E11*$C723*'Business Case'!E12*$B723)-'Business Case'!E11*$C723*'Business Case'!E13*$D723-'Business Case'!E14*$E723)-MAX(0,(('Business Case'!E11*$C723*'Business Case'!E12*$B723)-'Business Case'!E11*$C723*'Business Case'!E13*$D723-'Business Case'!E14*$E723))*'Business Case'!$B$7-'Business Case'!$B$8*(('Business Case'!E11*$C723*'Business Case'!E12*$B723)-('Business Case'!D11*$C723*'Business Case'!D12*$B723))-'Business Case'!E15*$F723</f>
        <v>407686828.251692</v>
      </c>
      <c r="L723" s="39" t="n">
        <f aca="false">(('Business Case'!F11*$C723*'Business Case'!F12*$B723)-'Business Case'!F11*$C723*'Business Case'!F13*$D723-'Business Case'!F14*$E723)-MAX(0,(('Business Case'!F11*$C723*'Business Case'!F12*$B723)-'Business Case'!F11*$C723*'Business Case'!F13*$D723-'Business Case'!F14*$E723))*'Business Case'!$B$7-'Business Case'!$B$8*(('Business Case'!F11*$C723*'Business Case'!F12*$B723)-('Business Case'!E11*$C723*'Business Case'!E12*$B723))-'Business Case'!F15*$F723</f>
        <v>505627711.988479</v>
      </c>
      <c r="M723" s="39" t="n">
        <f aca="false">(('Business Case'!G11*$C723*'Business Case'!G12*$B723)-'Business Case'!G11*$C723*'Business Case'!G13*$D723-'Business Case'!G14*$E723)-MAX(0,(('Business Case'!G11*$C723*'Business Case'!G12*$B723)-'Business Case'!G11*$C723*'Business Case'!G13*$D723-'Business Case'!G14*$E723))*'Business Case'!$B$7-'Business Case'!$B$8*(('Business Case'!G11*$C723*'Business Case'!G12*$B723)-('Business Case'!F11*$C723*'Business Case'!F12*$B723))-'Business Case'!G15*$F723+'Business Case'!$B$8*('Business Case'!G11*$C723*'Business Case'!G12*$B723)</f>
        <v>655285364.535983</v>
      </c>
      <c r="N723" s="39" t="n">
        <f aca="false">IF(COUNT('Business Case'!B11:G11)=0,"",H723+NPV(G723,I723:M723))</f>
        <v>-1017100553.08834</v>
      </c>
      <c r="P723" s="40" t="n">
        <f aca="true">RAND()</f>
        <v>0.0665872481809415</v>
      </c>
      <c r="Q723" s="40" t="n">
        <f aca="true">RAND()</f>
        <v>0.156052230102515</v>
      </c>
      <c r="R723" s="40" t="n">
        <f aca="true">RAND()</f>
        <v>0.334892816335645</v>
      </c>
      <c r="S723" s="40" t="n">
        <f aca="true">RAND()</f>
        <v>0.144708016326258</v>
      </c>
      <c r="T723" s="40" t="n">
        <f aca="true">RAND()</f>
        <v>0.359130746642181</v>
      </c>
      <c r="U723" s="40" t="n">
        <f aca="true">RAND()</f>
        <v>0.905125967670152</v>
      </c>
    </row>
    <row r="724" customFormat="false" ht="15" hidden="false" customHeight="false" outlineLevel="0" collapsed="false">
      <c r="A724" s="36" t="n">
        <v>644</v>
      </c>
      <c r="B724" s="37" t="n">
        <f aca="false">1+IF($G$6=$E$6,$F$6,IF(P724&lt;($F$6-$E$6)/($G$6-$E$6),$E$6+SQRT(P724*($G$6-$E$6)*($F$6-$E$6)),$G$6-SQRT((1-P724)*($G$6-$E$6)*($G$6-$F$6))))</f>
        <v>1.01446212624289</v>
      </c>
      <c r="C724" s="37" t="n">
        <f aca="false">1+IF($G$7=$E$7,$F$7,IF(Q724&lt;($F$7-$E$7)/($G$7-$E$7),$E$7+SQRT(Q724*($G$7-$E$7)*($F$7-$E$7)),$G$7-SQRT((1-Q724)*($G$7-$E$7)*($G$7-$F$7))))</f>
        <v>0.983341139731128</v>
      </c>
      <c r="D724" s="37" t="n">
        <f aca="false">1+IF($G$8=$E$8,$F$8,IF(R724&lt;($F$8-$E$8)/($G$8-$E$8),$E$8+SQRT(R724*($G$8-$E$8)*($F$8-$E$8)),$G$8-SQRT((1-R724)*($G$8-$E$8)*($G$8-$F$8))))</f>
        <v>0.977698856869733</v>
      </c>
      <c r="E724" s="37" t="n">
        <f aca="false">1+IF($G$9=$E$9,$F$9,IF(S724&lt;($F$9-$E$9)/($G$9-$E$9),$E$9+SQRT(S724*($G$9-$E$9)*($F$9-$E$9)),$G$9-SQRT((1-S724)*($G$9-$E$9)*($G$9-$F$9))))</f>
        <v>1.1207854332482</v>
      </c>
      <c r="F724" s="37" t="n">
        <f aca="false">1+IF($G$10=$E$10,$F$10,IF(T724&lt;($F$10-$E$10)/($G$10-$E$10),$E$10+SQRT(T724*($G$10-$E$10)*($F$10-$E$10)),$G$10-SQRT((1-T724)*($G$10-$E$10)*($G$10-$F$10))))</f>
        <v>1.14073498794659</v>
      </c>
      <c r="G724" s="38" t="n">
        <f aca="false">IF($G$11=$E$11,$F$11,IF(U724&lt;($F$11-$E$11)/($G$11-$E$11),$E$11+SQRT(U724*($G$11-$E$11)*($F$11-$E$11)),$G$11-SQRT((1-U724)*($G$11-$E$11)*($G$11-$F$11))))</f>
        <v>0.0973000194492532</v>
      </c>
      <c r="H724" s="39" t="n">
        <f aca="false">(('Business Case'!B11*$C724*'Business Case'!B12*$B724)-'Business Case'!B11*$C724*'Business Case'!B13*$D724-'Business Case'!B14*$E724)-MAX(0,(('Business Case'!B11*$C724*'Business Case'!B12*$B724)-'Business Case'!B11*$C724*'Business Case'!B13*$D724-'Business Case'!B14*$E724))*'Business Case'!$B$7-'Business Case'!$B$8*('Business Case'!B11*$C724*'Business Case'!B12*$B724)-'Business Case'!B15*$F724</f>
        <v>-2281469975.89317</v>
      </c>
      <c r="I724" s="39" t="n">
        <f aca="false">(('Business Case'!C11*$C724*'Business Case'!C12*$B724)-'Business Case'!C11*$C724*'Business Case'!C13*$D724-'Business Case'!C14*$E724)-MAX(0,(('Business Case'!C11*$C724*'Business Case'!C12*$B724)-'Business Case'!C11*$C724*'Business Case'!C13*$D724-'Business Case'!C14*$E724))*'Business Case'!$B$7-'Business Case'!$B$8*(('Business Case'!C11*$C724*'Business Case'!C12*$B724)-('Business Case'!B11*$C724*'Business Case'!B12*$B724))-'Business Case'!C15*$F724</f>
        <v>-253214.817323744</v>
      </c>
      <c r="J724" s="39" t="n">
        <f aca="false">(('Business Case'!D11*$C724*'Business Case'!D12*$B724)-'Business Case'!D11*$C724*'Business Case'!D13*$D724-'Business Case'!D14*$E724)-MAX(0,(('Business Case'!D11*$C724*'Business Case'!D12*$B724)-'Business Case'!D11*$C724*'Business Case'!D13*$D724-'Business Case'!D14*$E724))*'Business Case'!$B$7-'Business Case'!$B$8*(('Business Case'!D11*$C724*'Business Case'!D12*$B724)-('Business Case'!C11*$C724*'Business Case'!C12*$B724))-'Business Case'!D15*$F724</f>
        <v>324656389.651511</v>
      </c>
      <c r="K724" s="39" t="n">
        <f aca="false">(('Business Case'!E11*$C724*'Business Case'!E12*$B724)-'Business Case'!E11*$C724*'Business Case'!E13*$D724-'Business Case'!E14*$E724)-MAX(0,(('Business Case'!E11*$C724*'Business Case'!E12*$B724)-'Business Case'!E11*$C724*'Business Case'!E13*$D724-'Business Case'!E14*$E724))*'Business Case'!$B$7-'Business Case'!$B$8*(('Business Case'!E11*$C724*'Business Case'!E12*$B724)-('Business Case'!D11*$C724*'Business Case'!D12*$B724))-'Business Case'!E15*$F724</f>
        <v>706602743.517674</v>
      </c>
      <c r="L724" s="39" t="n">
        <f aca="false">(('Business Case'!F11*$C724*'Business Case'!F12*$B724)-'Business Case'!F11*$C724*'Business Case'!F13*$D724-'Business Case'!F14*$E724)-MAX(0,(('Business Case'!F11*$C724*'Business Case'!F12*$B724)-'Business Case'!F11*$C724*'Business Case'!F13*$D724-'Business Case'!F14*$E724))*'Business Case'!$B$7-'Business Case'!$B$8*(('Business Case'!F11*$C724*'Business Case'!F12*$B724)-('Business Case'!E11*$C724*'Business Case'!E12*$B724))-'Business Case'!F15*$F724</f>
        <v>849381699.596356</v>
      </c>
      <c r="M724" s="39" t="n">
        <f aca="false">(('Business Case'!G11*$C724*'Business Case'!G12*$B724)-'Business Case'!G11*$C724*'Business Case'!G13*$D724-'Business Case'!G14*$E724)-MAX(0,(('Business Case'!G11*$C724*'Business Case'!G12*$B724)-'Business Case'!G11*$C724*'Business Case'!G13*$D724-'Business Case'!G14*$E724))*'Business Case'!$B$7-'Business Case'!$B$8*(('Business Case'!G11*$C724*'Business Case'!G12*$B724)-('Business Case'!F11*$C724*'Business Case'!F12*$B724))-'Business Case'!G15*$F724+'Business Case'!$B$8*('Business Case'!G11*$C724*'Business Case'!G12*$B724)</f>
        <v>1038998349.83624</v>
      </c>
      <c r="N724" s="39" t="n">
        <f aca="false">IF(COUNT('Business Case'!B11:G11)=0,"",H724+NPV(G724,I724:M724))</f>
        <v>-238275581.551657</v>
      </c>
      <c r="P724" s="40" t="n">
        <f aca="true">RAND()</f>
        <v>0.831607937176486</v>
      </c>
      <c r="Q724" s="40" t="n">
        <f aca="true">RAND()</f>
        <v>0.594682973808404</v>
      </c>
      <c r="R724" s="40" t="n">
        <f aca="true">RAND()</f>
        <v>0.102296889585325</v>
      </c>
      <c r="S724" s="40" t="n">
        <f aca="true">RAND()</f>
        <v>0.977240242386787</v>
      </c>
      <c r="T724" s="40" t="n">
        <f aca="true">RAND()</f>
        <v>0.840815428546233</v>
      </c>
      <c r="U724" s="40" t="n">
        <f aca="true">RAND()</f>
        <v>0.299290672944539</v>
      </c>
    </row>
    <row r="725" customFormat="false" ht="15" hidden="false" customHeight="false" outlineLevel="0" collapsed="false">
      <c r="A725" s="36" t="n">
        <v>645</v>
      </c>
      <c r="B725" s="37" t="n">
        <f aca="false">1+IF($G$6=$E$6,$F$6,IF(P725&lt;($F$6-$E$6)/($G$6-$E$6),$E$6+SQRT(P725*($G$6-$E$6)*($F$6-$E$6)),$G$6-SQRT((1-P725)*($G$6-$E$6)*($G$6-$F$6))))</f>
        <v>0.973110637744305</v>
      </c>
      <c r="C725" s="37" t="n">
        <f aca="false">1+IF($G$7=$E$7,$F$7,IF(Q725&lt;($F$7-$E$7)/($G$7-$E$7),$E$7+SQRT(Q725*($G$7-$E$7)*($F$7-$E$7)),$G$7-SQRT((1-Q725)*($G$7-$E$7)*($G$7-$F$7))))</f>
        <v>0.96995900913752</v>
      </c>
      <c r="D725" s="37" t="n">
        <f aca="false">1+IF($G$8=$E$8,$F$8,IF(R725&lt;($F$8-$E$8)/($G$8-$E$8),$E$8+SQRT(R725*($G$8-$E$8)*($F$8-$E$8)),$G$8-SQRT((1-R725)*($G$8-$E$8)*($G$8-$F$8))))</f>
        <v>1.01492679793228</v>
      </c>
      <c r="E725" s="37" t="n">
        <f aca="false">1+IF($G$9=$E$9,$F$9,IF(S725&lt;($F$9-$E$9)/($G$9-$E$9),$E$9+SQRT(S725*($G$9-$E$9)*($F$9-$E$9)),$G$9-SQRT((1-S725)*($G$9-$E$9)*($G$9-$F$9))))</f>
        <v>0.994046777863897</v>
      </c>
      <c r="F725" s="37" t="n">
        <f aca="false">1+IF($G$10=$E$10,$F$10,IF(T725&lt;($F$10-$E$10)/($G$10-$E$10),$E$10+SQRT(T725*($G$10-$E$10)*($F$10-$E$10)),$G$10-SQRT((1-T725)*($G$10-$E$10)*($G$10-$F$10))))</f>
        <v>1.04194540236442</v>
      </c>
      <c r="G725" s="38" t="n">
        <f aca="false">IF($G$11=$E$11,$F$11,IF(U725&lt;($F$11-$E$11)/($G$11-$E$11),$E$11+SQRT(U725*($G$11-$E$11)*($F$11-$E$11)),$G$11-SQRT((1-U725)*($G$11-$E$11)*($G$11-$F$11))))</f>
        <v>0.0926722434114913</v>
      </c>
      <c r="H725" s="39" t="n">
        <f aca="false">(('Business Case'!B11*$C725*'Business Case'!B12*$B725)-'Business Case'!B11*$C725*'Business Case'!B13*$D725-'Business Case'!B14*$E725)-MAX(0,(('Business Case'!B11*$C725*'Business Case'!B12*$B725)-'Business Case'!B11*$C725*'Business Case'!B13*$D725-'Business Case'!B14*$E725))*'Business Case'!$B$7-'Business Case'!$B$8*('Business Case'!B11*$C725*'Business Case'!B12*$B725)-'Business Case'!B15*$F725</f>
        <v>-2083890804.72883</v>
      </c>
      <c r="I725" s="39" t="n">
        <f aca="false">(('Business Case'!C11*$C725*'Business Case'!C12*$B725)-'Business Case'!C11*$C725*'Business Case'!C13*$D725-'Business Case'!C14*$E725)-MAX(0,(('Business Case'!C11*$C725*'Business Case'!C12*$B725)-'Business Case'!C11*$C725*'Business Case'!C13*$D725-'Business Case'!C14*$E725))*'Business Case'!$B$7-'Business Case'!$B$8*(('Business Case'!C11*$C725*'Business Case'!C12*$B725)-('Business Case'!B11*$C725*'Business Case'!B12*$B725))-'Business Case'!C15*$F725</f>
        <v>-25328213.038437</v>
      </c>
      <c r="J725" s="39" t="n">
        <f aca="false">(('Business Case'!D11*$C725*'Business Case'!D12*$B725)-'Business Case'!D11*$C725*'Business Case'!D13*$D725-'Business Case'!D14*$E725)-MAX(0,(('Business Case'!D11*$C725*'Business Case'!D12*$B725)-'Business Case'!D11*$C725*'Business Case'!D13*$D725-'Business Case'!D14*$E725))*'Business Case'!$B$7-'Business Case'!$B$8*(('Business Case'!D11*$C725*'Business Case'!D12*$B725)-('Business Case'!C11*$C725*'Business Case'!C12*$B725))-'Business Case'!D15*$F725</f>
        <v>243822171.941337</v>
      </c>
      <c r="K725" s="39" t="n">
        <f aca="false">(('Business Case'!E11*$C725*'Business Case'!E12*$B725)-'Business Case'!E11*$C725*'Business Case'!E13*$D725-'Business Case'!E14*$E725)-MAX(0,(('Business Case'!E11*$C725*'Business Case'!E12*$B725)-'Business Case'!E11*$C725*'Business Case'!E13*$D725-'Business Case'!E14*$E725))*'Business Case'!$B$7-'Business Case'!$B$8*(('Business Case'!E11*$C725*'Business Case'!E12*$B725)-('Business Case'!D11*$C725*'Business Case'!D12*$B725))-'Business Case'!E15*$F725</f>
        <v>565069827.039331</v>
      </c>
      <c r="L725" s="39" t="n">
        <f aca="false">(('Business Case'!F11*$C725*'Business Case'!F12*$B725)-'Business Case'!F11*$C725*'Business Case'!F13*$D725-'Business Case'!F14*$E725)-MAX(0,(('Business Case'!F11*$C725*'Business Case'!F12*$B725)-'Business Case'!F11*$C725*'Business Case'!F13*$D725-'Business Case'!F14*$E725))*'Business Case'!$B$7-'Business Case'!$B$8*(('Business Case'!F11*$C725*'Business Case'!F12*$B725)-('Business Case'!E11*$C725*'Business Case'!E12*$B725))-'Business Case'!F15*$F725</f>
        <v>687407026.012271</v>
      </c>
      <c r="M725" s="39" t="n">
        <f aca="false">(('Business Case'!G11*$C725*'Business Case'!G12*$B725)-'Business Case'!G11*$C725*'Business Case'!G13*$D725-'Business Case'!G14*$E725)-MAX(0,(('Business Case'!G11*$C725*'Business Case'!G12*$B725)-'Business Case'!G11*$C725*'Business Case'!G13*$D725-'Business Case'!G14*$E725))*'Business Case'!$B$7-'Business Case'!$B$8*(('Business Case'!G11*$C725*'Business Case'!G12*$B725)-('Business Case'!F11*$C725*'Business Case'!F12*$B725))-'Business Case'!G15*$F725+'Business Case'!$B$8*('Business Case'!G11*$C725*'Business Case'!G12*$B725)</f>
        <v>866819247.900521</v>
      </c>
      <c r="N725" s="39" t="n">
        <f aca="false">IF(COUNT('Business Case'!B11:G11)=0,"",H725+NPV(G725,I725:M725))</f>
        <v>-430961270.152463</v>
      </c>
      <c r="P725" s="40" t="n">
        <f aca="true">RAND()</f>
        <v>0.3563443567586</v>
      </c>
      <c r="Q725" s="40" t="n">
        <f aca="true">RAND()</f>
        <v>0.539836048996382</v>
      </c>
      <c r="R725" s="40" t="n">
        <f aca="true">RAND()</f>
        <v>0.517503352662961</v>
      </c>
      <c r="S725" s="40" t="n">
        <f aca="true">RAND()</f>
        <v>0.353791857063246</v>
      </c>
      <c r="T725" s="40" t="n">
        <f aca="true">RAND()</f>
        <v>0.422843792035938</v>
      </c>
      <c r="U725" s="40" t="n">
        <f aca="true">RAND()</f>
        <v>0.160585753080084</v>
      </c>
    </row>
    <row r="726" customFormat="false" ht="15" hidden="false" customHeight="false" outlineLevel="0" collapsed="false">
      <c r="A726" s="36" t="n">
        <v>646</v>
      </c>
      <c r="B726" s="37" t="n">
        <f aca="false">1+IF($G$6=$E$6,$F$6,IF(P726&lt;($F$6-$E$6)/($G$6-$E$6),$E$6+SQRT(P726*($G$6-$E$6)*($F$6-$E$6)),$G$6-SQRT((1-P726)*($G$6-$E$6)*($G$6-$F$6))))</f>
        <v>1.02251527625232</v>
      </c>
      <c r="C726" s="37" t="n">
        <f aca="false">1+IF($G$7=$E$7,$F$7,IF(Q726&lt;($F$7-$E$7)/($G$7-$E$7),$E$7+SQRT(Q726*($G$7-$E$7)*($F$7-$E$7)),$G$7-SQRT((1-Q726)*($G$7-$E$7)*($G$7-$F$7))))</f>
        <v>0.99426291254514</v>
      </c>
      <c r="D726" s="37" t="n">
        <f aca="false">1+IF($G$8=$E$8,$F$8,IF(R726&lt;($F$8-$E$8)/($G$8-$E$8),$E$8+SQRT(R726*($G$8-$E$8)*($F$8-$E$8)),$G$8-SQRT((1-R726)*($G$8-$E$8)*($G$8-$F$8))))</f>
        <v>0.992779038001624</v>
      </c>
      <c r="E726" s="37" t="n">
        <f aca="false">1+IF($G$9=$E$9,$F$9,IF(S726&lt;($F$9-$E$9)/($G$9-$E$9),$E$9+SQRT(S726*($G$9-$E$9)*($F$9-$E$9)),$G$9-SQRT((1-S726)*($G$9-$E$9)*($G$9-$F$9))))</f>
        <v>1.09113226517046</v>
      </c>
      <c r="F726" s="37" t="n">
        <f aca="false">1+IF($G$10=$E$10,$F$10,IF(T726&lt;($F$10-$E$10)/($G$10-$E$10),$E$10+SQRT(T726*($G$10-$E$10)*($F$10-$E$10)),$G$10-SQRT((1-T726)*($G$10-$E$10)*($G$10-$F$10))))</f>
        <v>1.1269255510396</v>
      </c>
      <c r="G726" s="38" t="n">
        <f aca="false">IF($G$11=$E$11,$F$11,IF(U726&lt;($F$11-$E$11)/($G$11-$E$11),$E$11+SQRT(U726*($G$11-$E$11)*($F$11-$E$11)),$G$11-SQRT((1-U726)*($G$11-$E$11)*($G$11-$F$11))))</f>
        <v>0.0890392672909251</v>
      </c>
      <c r="H726" s="39" t="n">
        <f aca="false">(('Business Case'!B11*$C726*'Business Case'!B12*$B726)-'Business Case'!B11*$C726*'Business Case'!B13*$D726-'Business Case'!B14*$E726)-MAX(0,(('Business Case'!B11*$C726*'Business Case'!B12*$B726)-'Business Case'!B11*$C726*'Business Case'!B13*$D726-'Business Case'!B14*$E726))*'Business Case'!$B$7-'Business Case'!$B$8*('Business Case'!B11*$C726*'Business Case'!B12*$B726)-'Business Case'!B15*$F726</f>
        <v>-2253851102.0792</v>
      </c>
      <c r="I726" s="39" t="n">
        <f aca="false">(('Business Case'!C11*$C726*'Business Case'!C12*$B726)-'Business Case'!C11*$C726*'Business Case'!C13*$D726-'Business Case'!C14*$E726)-MAX(0,(('Business Case'!C11*$C726*'Business Case'!C12*$B726)-'Business Case'!C11*$C726*'Business Case'!C13*$D726-'Business Case'!C14*$E726))*'Business Case'!$B$7-'Business Case'!$B$8*(('Business Case'!C11*$C726*'Business Case'!C12*$B726)-('Business Case'!B11*$C726*'Business Case'!B12*$B726))-'Business Case'!C15*$F726</f>
        <v>6846372.37832536</v>
      </c>
      <c r="J726" s="39" t="n">
        <f aca="false">(('Business Case'!D11*$C726*'Business Case'!D12*$B726)-'Business Case'!D11*$C726*'Business Case'!D13*$D726-'Business Case'!D14*$E726)-MAX(0,(('Business Case'!D11*$C726*'Business Case'!D12*$B726)-'Business Case'!D11*$C726*'Business Case'!D13*$D726-'Business Case'!D14*$E726))*'Business Case'!$B$7-'Business Case'!$B$8*(('Business Case'!D11*$C726*'Business Case'!D12*$B726)-('Business Case'!C11*$C726*'Business Case'!C12*$B726))-'Business Case'!D15*$F726</f>
        <v>334247392.992983</v>
      </c>
      <c r="K726" s="39" t="n">
        <f aca="false">(('Business Case'!E11*$C726*'Business Case'!E12*$B726)-'Business Case'!E11*$C726*'Business Case'!E13*$D726-'Business Case'!E14*$E726)-MAX(0,(('Business Case'!E11*$C726*'Business Case'!E12*$B726)-'Business Case'!E11*$C726*'Business Case'!E13*$D726-'Business Case'!E14*$E726))*'Business Case'!$B$7-'Business Case'!$B$8*(('Business Case'!E11*$C726*'Business Case'!E12*$B726)-('Business Case'!D11*$C726*'Business Case'!D12*$B726))-'Business Case'!E15*$F726</f>
        <v>717994691.159621</v>
      </c>
      <c r="L726" s="39" t="n">
        <f aca="false">(('Business Case'!F11*$C726*'Business Case'!F12*$B726)-'Business Case'!F11*$C726*'Business Case'!F13*$D726-'Business Case'!F14*$E726)-MAX(0,(('Business Case'!F11*$C726*'Business Case'!F12*$B726)-'Business Case'!F11*$C726*'Business Case'!F13*$D726-'Business Case'!F14*$E726))*'Business Case'!$B$7-'Business Case'!$B$8*(('Business Case'!F11*$C726*'Business Case'!F12*$B726)-('Business Case'!E11*$C726*'Business Case'!E12*$B726))-'Business Case'!F15*$F726</f>
        <v>862263754.714596</v>
      </c>
      <c r="M726" s="39" t="n">
        <f aca="false">(('Business Case'!G11*$C726*'Business Case'!G12*$B726)-'Business Case'!G11*$C726*'Business Case'!G13*$D726-'Business Case'!G14*$E726)-MAX(0,(('Business Case'!G11*$C726*'Business Case'!G12*$B726)-'Business Case'!G11*$C726*'Business Case'!G13*$D726-'Business Case'!G14*$E726))*'Business Case'!$B$7-'Business Case'!$B$8*(('Business Case'!G11*$C726*'Business Case'!G12*$B726)-('Business Case'!F11*$C726*'Business Case'!F12*$B726))-'Business Case'!G15*$F726+'Business Case'!$B$8*('Business Case'!G11*$C726*'Business Case'!G12*$B726)</f>
        <v>1055508399.80675</v>
      </c>
      <c r="N726" s="39" t="n">
        <f aca="false">IF(COUNT('Business Case'!B11:G11)=0,"",H726+NPV(G726,I726:M726))</f>
        <v>-107799241.385262</v>
      </c>
      <c r="P726" s="40" t="n">
        <f aca="true">RAND()</f>
        <v>0.899278661401817</v>
      </c>
      <c r="Q726" s="40" t="n">
        <f aca="true">RAND()</f>
        <v>0.641412308885547</v>
      </c>
      <c r="R726" s="40" t="n">
        <f aca="true">RAND()</f>
        <v>0.244006145645923</v>
      </c>
      <c r="S726" s="40" t="n">
        <f aca="true">RAND()</f>
        <v>0.907589061227704</v>
      </c>
      <c r="T726" s="40" t="n">
        <f aca="true">RAND()</f>
        <v>0.798035733507912</v>
      </c>
      <c r="U726" s="40" t="n">
        <f aca="true">RAND()</f>
        <v>0.0817083531567881</v>
      </c>
    </row>
    <row r="727" customFormat="false" ht="15" hidden="false" customHeight="false" outlineLevel="0" collapsed="false">
      <c r="A727" s="36" t="n">
        <v>647</v>
      </c>
      <c r="B727" s="37" t="n">
        <f aca="false">1+IF($G$6=$E$6,$F$6,IF(P727&lt;($F$6-$E$6)/($G$6-$E$6),$E$6+SQRT(P727*($G$6-$E$6)*($F$6-$E$6)),$G$6-SQRT((1-P727)*($G$6-$E$6)*($G$6-$F$6))))</f>
        <v>1.03073247583494</v>
      </c>
      <c r="C727" s="37" t="n">
        <f aca="false">1+IF($G$7=$E$7,$F$7,IF(Q727&lt;($F$7-$E$7)/($G$7-$E$7),$E$7+SQRT(Q727*($G$7-$E$7)*($F$7-$E$7)),$G$7-SQRT((1-Q727)*($G$7-$E$7)*($G$7-$F$7))))</f>
        <v>1.02269618524177</v>
      </c>
      <c r="D727" s="37" t="n">
        <f aca="false">1+IF($G$8=$E$8,$F$8,IF(R727&lt;($F$8-$E$8)/($G$8-$E$8),$E$8+SQRT(R727*($G$8-$E$8)*($F$8-$E$8)),$G$8-SQRT((1-R727)*($G$8-$E$8)*($G$8-$F$8))))</f>
        <v>1.00988928736681</v>
      </c>
      <c r="E727" s="37" t="n">
        <f aca="false">1+IF($G$9=$E$9,$F$9,IF(S727&lt;($F$9-$E$9)/($G$9-$E$9),$E$9+SQRT(S727*($G$9-$E$9)*($F$9-$E$9)),$G$9-SQRT((1-S727)*($G$9-$E$9)*($G$9-$F$9))))</f>
        <v>1.03878799952417</v>
      </c>
      <c r="F727" s="37" t="n">
        <f aca="false">1+IF($G$10=$E$10,$F$10,IF(T727&lt;($F$10-$E$10)/($G$10-$E$10),$E$10+SQRT(T727*($G$10-$E$10)*($F$10-$E$10)),$G$10-SQRT((1-T727)*($G$10-$E$10)*($G$10-$F$10))))</f>
        <v>1.03337342757218</v>
      </c>
      <c r="G727" s="38" t="n">
        <f aca="false">IF($G$11=$E$11,$F$11,IF(U727&lt;($F$11-$E$11)/($G$11-$E$11),$E$11+SQRT(U727*($G$11-$E$11)*($F$11-$E$11)),$G$11-SQRT((1-U727)*($G$11-$E$11)*($G$11-$F$11))))</f>
        <v>0.12341331520153</v>
      </c>
      <c r="H727" s="39" t="n">
        <f aca="false">(('Business Case'!B11*$C727*'Business Case'!B12*$B727)-'Business Case'!B11*$C727*'Business Case'!B13*$D727-'Business Case'!B14*$E727)-MAX(0,(('Business Case'!B11*$C727*'Business Case'!B12*$B727)-'Business Case'!B11*$C727*'Business Case'!B13*$D727-'Business Case'!B14*$E727))*'Business Case'!$B$7-'Business Case'!$B$8*('Business Case'!B11*$C727*'Business Case'!B12*$B727)-'Business Case'!B15*$F727</f>
        <v>-2066746855.14437</v>
      </c>
      <c r="I727" s="39" t="n">
        <f aca="false">(('Business Case'!C11*$C727*'Business Case'!C12*$B727)-'Business Case'!C11*$C727*'Business Case'!C13*$D727-'Business Case'!C14*$E727)-MAX(0,(('Business Case'!C11*$C727*'Business Case'!C12*$B727)-'Business Case'!C11*$C727*'Business Case'!C13*$D727-'Business Case'!C14*$E727))*'Business Case'!$B$7-'Business Case'!$B$8*(('Business Case'!C11*$C727*'Business Case'!C12*$B727)-('Business Case'!B11*$C727*'Business Case'!B12*$B727))-'Business Case'!C15*$F727</f>
        <v>28990279.0506993</v>
      </c>
      <c r="J727" s="39" t="n">
        <f aca="false">(('Business Case'!D11*$C727*'Business Case'!D12*$B727)-'Business Case'!D11*$C727*'Business Case'!D13*$D727-'Business Case'!D14*$E727)-MAX(0,(('Business Case'!D11*$C727*'Business Case'!D12*$B727)-'Business Case'!D11*$C727*'Business Case'!D13*$D727-'Business Case'!D14*$E727))*'Business Case'!$B$7-'Business Case'!$B$8*(('Business Case'!D11*$C727*'Business Case'!D12*$B727)-('Business Case'!C11*$C727*'Business Case'!C12*$B727))-'Business Case'!D15*$F727</f>
        <v>363679455.09773</v>
      </c>
      <c r="K727" s="39" t="n">
        <f aca="false">(('Business Case'!E11*$C727*'Business Case'!E12*$B727)-'Business Case'!E11*$C727*'Business Case'!E13*$D727-'Business Case'!E14*$E727)-MAX(0,(('Business Case'!E11*$C727*'Business Case'!E12*$B727)-'Business Case'!E11*$C727*'Business Case'!E13*$D727-'Business Case'!E14*$E727))*'Business Case'!$B$7-'Business Case'!$B$8*(('Business Case'!E11*$C727*'Business Case'!E12*$B727)-('Business Case'!D11*$C727*'Business Case'!D12*$B727))-'Business Case'!E15*$F727</f>
        <v>750037302.52337</v>
      </c>
      <c r="L727" s="39" t="n">
        <f aca="false">(('Business Case'!F11*$C727*'Business Case'!F12*$B727)-'Business Case'!F11*$C727*'Business Case'!F13*$D727-'Business Case'!F14*$E727)-MAX(0,(('Business Case'!F11*$C727*'Business Case'!F12*$B727)-'Business Case'!F11*$C727*'Business Case'!F13*$D727-'Business Case'!F14*$E727))*'Business Case'!$B$7-'Business Case'!$B$8*(('Business Case'!F11*$C727*'Business Case'!F12*$B727)-('Business Case'!E11*$C727*'Business Case'!E12*$B727))-'Business Case'!F15*$F727</f>
        <v>898030961.676898</v>
      </c>
      <c r="M727" s="39" t="n">
        <f aca="false">(('Business Case'!G11*$C727*'Business Case'!G12*$B727)-'Business Case'!G11*$C727*'Business Case'!G13*$D727-'Business Case'!G14*$E727)-MAX(0,(('Business Case'!G11*$C727*'Business Case'!G12*$B727)-'Business Case'!G11*$C727*'Business Case'!G13*$D727-'Business Case'!G14*$E727))*'Business Case'!$B$7-'Business Case'!$B$8*(('Business Case'!G11*$C727*'Business Case'!G12*$B727)-('Business Case'!F11*$C727*'Business Case'!F12*$B727))-'Business Case'!G15*$F727+'Business Case'!$B$8*('Business Case'!G11*$C727*'Business Case'!G12*$B727)</f>
        <v>1098399264.26841</v>
      </c>
      <c r="N727" s="39" t="n">
        <f aca="false">IF(COUNT('Business Case'!B11:G11)=0,"",H727+NPV(G727,I727:M727))</f>
        <v>-46106498.1447675</v>
      </c>
      <c r="P727" s="40" t="n">
        <f aca="true">RAND()</f>
        <v>0.950501668339851</v>
      </c>
      <c r="Q727" s="40" t="n">
        <f aca="true">RAND()</f>
        <v>0.759907240711158</v>
      </c>
      <c r="R727" s="40" t="n">
        <f aca="true">RAND()</f>
        <v>0.458670631249291</v>
      </c>
      <c r="S727" s="40" t="n">
        <f aca="true">RAND()</f>
        <v>0.670183758671054</v>
      </c>
      <c r="T727" s="40" t="n">
        <f aca="true">RAND()</f>
        <v>0.374305708242343</v>
      </c>
      <c r="U727" s="40" t="n">
        <f aca="true">RAND()</f>
        <v>0.971077055577073</v>
      </c>
    </row>
    <row r="728" customFormat="false" ht="15" hidden="false" customHeight="false" outlineLevel="0" collapsed="false">
      <c r="A728" s="36" t="n">
        <v>648</v>
      </c>
      <c r="B728" s="37" t="n">
        <f aca="false">1+IF($G$6=$E$6,$F$6,IF(P728&lt;($F$6-$E$6)/($G$6-$E$6),$E$6+SQRT(P728*($G$6-$E$6)*($F$6-$E$6)),$G$6-SQRT((1-P728)*($G$6-$E$6)*($G$6-$F$6))))</f>
        <v>0.990503783919729</v>
      </c>
      <c r="C728" s="37" t="n">
        <f aca="false">1+IF($G$7=$E$7,$F$7,IF(Q728&lt;($F$7-$E$7)/($G$7-$E$7),$E$7+SQRT(Q728*($G$7-$E$7)*($F$7-$E$7)),$G$7-SQRT((1-Q728)*($G$7-$E$7)*($G$7-$F$7))))</f>
        <v>1.12302206918836</v>
      </c>
      <c r="D728" s="37" t="n">
        <f aca="false">1+IF($G$8=$E$8,$F$8,IF(R728&lt;($F$8-$E$8)/($G$8-$E$8),$E$8+SQRT(R728*($G$8-$E$8)*($F$8-$E$8)),$G$8-SQRT((1-R728)*($G$8-$E$8)*($G$8-$F$8))))</f>
        <v>1.00914980315875</v>
      </c>
      <c r="E728" s="37" t="n">
        <f aca="false">1+IF($G$9=$E$9,$F$9,IF(S728&lt;($F$9-$E$9)/($G$9-$E$9),$E$9+SQRT(S728*($G$9-$E$9)*($F$9-$E$9)),$G$9-SQRT((1-S728)*($G$9-$E$9)*($G$9-$F$9))))</f>
        <v>1.08449124559986</v>
      </c>
      <c r="F728" s="37" t="n">
        <f aca="false">1+IF($G$10=$E$10,$F$10,IF(T728&lt;($F$10-$E$10)/($G$10-$E$10),$E$10+SQRT(T728*($G$10-$E$10)*($F$10-$E$10)),$G$10-SQRT((1-T728)*($G$10-$E$10)*($G$10-$F$10))))</f>
        <v>1.10051971605204</v>
      </c>
      <c r="G728" s="38" t="n">
        <f aca="false">IF($G$11=$E$11,$F$11,IF(U728&lt;($F$11-$E$11)/($G$11-$E$11),$E$11+SQRT(U728*($G$11-$E$11)*($F$11-$E$11)),$G$11-SQRT((1-U728)*($G$11-$E$11)*($G$11-$F$11))))</f>
        <v>0.105108270592757</v>
      </c>
      <c r="H728" s="39" t="n">
        <f aca="false">(('Business Case'!B11*$C728*'Business Case'!B12*$B728)-'Business Case'!B11*$C728*'Business Case'!B13*$D728-'Business Case'!B14*$E728)-MAX(0,(('Business Case'!B11*$C728*'Business Case'!B12*$B728)-'Business Case'!B11*$C728*'Business Case'!B13*$D728-'Business Case'!B14*$E728))*'Business Case'!$B$7-'Business Case'!$B$8*('Business Case'!B11*$C728*'Business Case'!B12*$B728)-'Business Case'!B15*$F728</f>
        <v>-2201039432.10409</v>
      </c>
      <c r="I728" s="39" t="n">
        <f aca="false">(('Business Case'!C11*$C728*'Business Case'!C12*$B728)-'Business Case'!C11*$C728*'Business Case'!C13*$D728-'Business Case'!C14*$E728)-MAX(0,(('Business Case'!C11*$C728*'Business Case'!C12*$B728)-'Business Case'!C11*$C728*'Business Case'!C13*$D728-'Business Case'!C14*$E728))*'Business Case'!$B$7-'Business Case'!$B$8*(('Business Case'!C11*$C728*'Business Case'!C12*$B728)-('Business Case'!B11*$C728*'Business Case'!B12*$B728))-'Business Case'!C15*$F728</f>
        <v>9012070.07240938</v>
      </c>
      <c r="J728" s="39" t="n">
        <f aca="false">(('Business Case'!D11*$C728*'Business Case'!D12*$B728)-'Business Case'!D11*$C728*'Business Case'!D13*$D728-'Business Case'!D14*$E728)-MAX(0,(('Business Case'!D11*$C728*'Business Case'!D12*$B728)-'Business Case'!D11*$C728*'Business Case'!D13*$D728-'Business Case'!D14*$E728))*'Business Case'!$B$7-'Business Case'!$B$8*(('Business Case'!D11*$C728*'Business Case'!D12*$B728)-('Business Case'!C11*$C728*'Business Case'!C12*$B728))-'Business Case'!D15*$F728</f>
        <v>339955385.322624</v>
      </c>
      <c r="K728" s="39" t="n">
        <f aca="false">(('Business Case'!E11*$C728*'Business Case'!E12*$B728)-'Business Case'!E11*$C728*'Business Case'!E13*$D728-'Business Case'!E14*$E728)-MAX(0,(('Business Case'!E11*$C728*'Business Case'!E12*$B728)-'Business Case'!E11*$C728*'Business Case'!E13*$D728-'Business Case'!E14*$E728))*'Business Case'!$B$7-'Business Case'!$B$8*(('Business Case'!E11*$C728*'Business Case'!E12*$B728)-('Business Case'!D11*$C728*'Business Case'!D12*$B728))-'Business Case'!E15*$F728</f>
        <v>725924686.375441</v>
      </c>
      <c r="L728" s="39" t="n">
        <f aca="false">(('Business Case'!F11*$C728*'Business Case'!F12*$B728)-'Business Case'!F11*$C728*'Business Case'!F13*$D728-'Business Case'!F14*$E728)-MAX(0,(('Business Case'!F11*$C728*'Business Case'!F12*$B728)-'Business Case'!F11*$C728*'Business Case'!F13*$D728-'Business Case'!F14*$E728))*'Business Case'!$B$7-'Business Case'!$B$8*(('Business Case'!F11*$C728*'Business Case'!F12*$B728)-('Business Case'!E11*$C728*'Business Case'!E12*$B728))-'Business Case'!F15*$F728</f>
        <v>874682203.757714</v>
      </c>
      <c r="M728" s="39" t="n">
        <f aca="false">(('Business Case'!G11*$C728*'Business Case'!G12*$B728)-'Business Case'!G11*$C728*'Business Case'!G13*$D728-'Business Case'!G14*$E728)-MAX(0,(('Business Case'!G11*$C728*'Business Case'!G12*$B728)-'Business Case'!G11*$C728*'Business Case'!G13*$D728-'Business Case'!G14*$E728))*'Business Case'!$B$7-'Business Case'!$B$8*(('Business Case'!G11*$C728*'Business Case'!G12*$B728)-('Business Case'!F11*$C728*'Business Case'!F12*$B728))-'Business Case'!G15*$F728+'Business Case'!$B$8*('Business Case'!G11*$C728*'Business Case'!G12*$B728)</f>
        <v>1086119138.06815</v>
      </c>
      <c r="N728" s="39" t="n">
        <f aca="false">IF(COUNT('Business Case'!B11:G11)=0,"",H728+NPV(G728,I728:M728))</f>
        <v>-131250048.017502</v>
      </c>
      <c r="P728" s="40" t="n">
        <f aca="true">RAND()</f>
        <v>0.54606232691926</v>
      </c>
      <c r="Q728" s="40" t="n">
        <f aca="true">RAND()</f>
        <v>0.989217648135142</v>
      </c>
      <c r="R728" s="40" t="n">
        <f aca="true">RAND()</f>
        <v>0.449749448927026</v>
      </c>
      <c r="S728" s="40" t="n">
        <f aca="true">RAND()</f>
        <v>0.885562749251784</v>
      </c>
      <c r="T728" s="40" t="n">
        <f aca="true">RAND()</f>
        <v>0.702075262811174</v>
      </c>
      <c r="U728" s="40" t="n">
        <f aca="true">RAND()</f>
        <v>0.586934538077737</v>
      </c>
    </row>
    <row r="729" customFormat="false" ht="15" hidden="false" customHeight="false" outlineLevel="0" collapsed="false">
      <c r="A729" s="36" t="n">
        <v>649</v>
      </c>
      <c r="B729" s="37" t="n">
        <f aca="false">1+IF($G$6=$E$6,$F$6,IF(P729&lt;($F$6-$E$6)/($G$6-$E$6),$E$6+SQRT(P729*($G$6-$E$6)*($F$6-$E$6)),$G$6-SQRT((1-P729)*($G$6-$E$6)*($G$6-$F$6))))</f>
        <v>0.982070790788654</v>
      </c>
      <c r="C729" s="37" t="n">
        <f aca="false">1+IF($G$7=$E$7,$F$7,IF(Q729&lt;($F$7-$E$7)/($G$7-$E$7),$E$7+SQRT(Q729*($G$7-$E$7)*($F$7-$E$7)),$G$7-SQRT((1-Q729)*($G$7-$E$7)*($G$7-$F$7))))</f>
        <v>1.04748532201534</v>
      </c>
      <c r="D729" s="37" t="n">
        <f aca="false">1+IF($G$8=$E$8,$F$8,IF(R729&lt;($F$8-$E$8)/($G$8-$E$8),$E$8+SQRT(R729*($G$8-$E$8)*($F$8-$E$8)),$G$8-SQRT((1-R729)*($G$8-$E$8)*($G$8-$F$8))))</f>
        <v>1.06959828328832</v>
      </c>
      <c r="E729" s="37" t="n">
        <f aca="false">1+IF($G$9=$E$9,$F$9,IF(S729&lt;($F$9-$E$9)/($G$9-$E$9),$E$9+SQRT(S729*($G$9-$E$9)*($F$9-$E$9)),$G$9-SQRT((1-S729)*($G$9-$E$9)*($G$9-$F$9))))</f>
        <v>0.990621144641847</v>
      </c>
      <c r="F729" s="37" t="n">
        <f aca="false">1+IF($G$10=$E$10,$F$10,IF(T729&lt;($F$10-$E$10)/($G$10-$E$10),$E$10+SQRT(T729*($G$10-$E$10)*($F$10-$E$10)),$G$10-SQRT((1-T729)*($G$10-$E$10)*($G$10-$F$10))))</f>
        <v>1.06400170657548</v>
      </c>
      <c r="G729" s="38" t="n">
        <f aca="false">IF($G$11=$E$11,$F$11,IF(U729&lt;($F$11-$E$11)/($G$11-$E$11),$E$11+SQRT(U729*($G$11-$E$11)*($F$11-$E$11)),$G$11-SQRT((1-U729)*($G$11-$E$11)*($G$11-$F$11))))</f>
        <v>0.113249573042885</v>
      </c>
      <c r="H729" s="39" t="n">
        <f aca="false">(('Business Case'!B11*$C729*'Business Case'!B12*$B729)-'Business Case'!B11*$C729*'Business Case'!B13*$D729-'Business Case'!B14*$E729)-MAX(0,(('Business Case'!B11*$C729*'Business Case'!B12*$B729)-'Business Case'!B11*$C729*'Business Case'!B13*$D729-'Business Case'!B14*$E729))*'Business Case'!$B$7-'Business Case'!$B$8*('Business Case'!B11*$C729*'Business Case'!B12*$B729)-'Business Case'!B15*$F729</f>
        <v>-2128003413.15097</v>
      </c>
      <c r="I729" s="39" t="n">
        <f aca="false">(('Business Case'!C11*$C729*'Business Case'!C12*$B729)-'Business Case'!C11*$C729*'Business Case'!C13*$D729-'Business Case'!C14*$E729)-MAX(0,(('Business Case'!C11*$C729*'Business Case'!C12*$B729)-'Business Case'!C11*$C729*'Business Case'!C13*$D729-'Business Case'!C14*$E729))*'Business Case'!$B$7-'Business Case'!$B$8*(('Business Case'!C11*$C729*'Business Case'!C12*$B729)-('Business Case'!B11*$C729*'Business Case'!B12*$B729))-'Business Case'!C15*$F729</f>
        <v>-31560585.5177713</v>
      </c>
      <c r="J729" s="39" t="n">
        <f aca="false">(('Business Case'!D11*$C729*'Business Case'!D12*$B729)-'Business Case'!D11*$C729*'Business Case'!D13*$D729-'Business Case'!D14*$E729)-MAX(0,(('Business Case'!D11*$C729*'Business Case'!D12*$B729)-'Business Case'!D11*$C729*'Business Case'!D13*$D729-'Business Case'!D14*$E729))*'Business Case'!$B$7-'Business Case'!$B$8*(('Business Case'!D11*$C729*'Business Case'!D12*$B729)-('Business Case'!C11*$C729*'Business Case'!C12*$B729))-'Business Case'!D15*$F729</f>
        <v>237473380.035529</v>
      </c>
      <c r="K729" s="39" t="n">
        <f aca="false">(('Business Case'!E11*$C729*'Business Case'!E12*$B729)-'Business Case'!E11*$C729*'Business Case'!E13*$D729-'Business Case'!E14*$E729)-MAX(0,(('Business Case'!E11*$C729*'Business Case'!E12*$B729)-'Business Case'!E11*$C729*'Business Case'!E13*$D729-'Business Case'!E14*$E729))*'Business Case'!$B$7-'Business Case'!$B$8*(('Business Case'!E11*$C729*'Business Case'!E12*$B729)-('Business Case'!D11*$C729*'Business Case'!D12*$B729))-'Business Case'!E15*$F729</f>
        <v>559707430.917605</v>
      </c>
      <c r="L729" s="39" t="n">
        <f aca="false">(('Business Case'!F11*$C729*'Business Case'!F12*$B729)-'Business Case'!F11*$C729*'Business Case'!F13*$D729-'Business Case'!F14*$E729)-MAX(0,(('Business Case'!F11*$C729*'Business Case'!F12*$B729)-'Business Case'!F11*$C729*'Business Case'!F13*$D729-'Business Case'!F14*$E729))*'Business Case'!$B$7-'Business Case'!$B$8*(('Business Case'!F11*$C729*'Business Case'!F12*$B729)-('Business Case'!E11*$C729*'Business Case'!E12*$B729))-'Business Case'!F15*$F729</f>
        <v>684937455.199006</v>
      </c>
      <c r="M729" s="39" t="n">
        <f aca="false">(('Business Case'!G11*$C729*'Business Case'!G12*$B729)-'Business Case'!G11*$C729*'Business Case'!G13*$D729-'Business Case'!G14*$E729)-MAX(0,(('Business Case'!G11*$C729*'Business Case'!G12*$B729)-'Business Case'!G11*$C729*'Business Case'!G13*$D729-'Business Case'!G14*$E729))*'Business Case'!$B$7-'Business Case'!$B$8*(('Business Case'!G11*$C729*'Business Case'!G12*$B729)-('Business Case'!F11*$C729*'Business Case'!F12*$B729))-'Business Case'!G15*$F729+'Business Case'!$B$8*('Business Case'!G11*$C729*'Business Case'!G12*$B729)</f>
        <v>880473651.899</v>
      </c>
      <c r="N729" s="39" t="n">
        <f aca="false">IF(COUNT('Business Case'!B11:G11)=0,"",H729+NPV(G729,I729:M729))</f>
        <v>-598177392.605727</v>
      </c>
      <c r="P729" s="40" t="n">
        <f aca="true">RAND()</f>
        <v>0.449040980045002</v>
      </c>
      <c r="Q729" s="40" t="n">
        <f aca="true">RAND()</f>
        <v>0.844307271077058</v>
      </c>
      <c r="R729" s="40" t="n">
        <f aca="true">RAND()</f>
        <v>0.938382374732202</v>
      </c>
      <c r="S729" s="40" t="n">
        <f aca="true">RAND()</f>
        <v>0.328487674247944</v>
      </c>
      <c r="T729" s="40" t="n">
        <f aca="true">RAND()</f>
        <v>0.538728464575571</v>
      </c>
      <c r="U729" s="40" t="n">
        <f aca="true">RAND()</f>
        <v>0.812948797836241</v>
      </c>
    </row>
    <row r="730" customFormat="false" ht="15" hidden="false" customHeight="false" outlineLevel="0" collapsed="false">
      <c r="A730" s="36" t="n">
        <v>650</v>
      </c>
      <c r="B730" s="37" t="n">
        <f aca="false">1+IF($G$6=$E$6,$F$6,IF(P730&lt;($F$6-$E$6)/($G$6-$E$6),$E$6+SQRT(P730*($G$6-$E$6)*($F$6-$E$6)),$G$6-SQRT((1-P730)*($G$6-$E$6)*($G$6-$F$6))))</f>
        <v>1.01368650405347</v>
      </c>
      <c r="C730" s="37" t="n">
        <f aca="false">1+IF($G$7=$E$7,$F$7,IF(Q730&lt;($F$7-$E$7)/($G$7-$E$7),$E$7+SQRT(Q730*($G$7-$E$7)*($F$7-$E$7)),$G$7-SQRT((1-Q730)*($G$7-$E$7)*($G$7-$F$7))))</f>
        <v>1.0312903852724</v>
      </c>
      <c r="D730" s="37" t="n">
        <f aca="false">1+IF($G$8=$E$8,$F$8,IF(R730&lt;($F$8-$E$8)/($G$8-$E$8),$E$8+SQRT(R730*($G$8-$E$8)*($F$8-$E$8)),$G$8-SQRT((1-R730)*($G$8-$E$8)*($G$8-$F$8))))</f>
        <v>0.994152391970825</v>
      </c>
      <c r="E730" s="37" t="n">
        <f aca="false">1+IF($G$9=$E$9,$F$9,IF(S730&lt;($F$9-$E$9)/($G$9-$E$9),$E$9+SQRT(S730*($G$9-$E$9)*($F$9-$E$9)),$G$9-SQRT((1-S730)*($G$9-$E$9)*($G$9-$F$9))))</f>
        <v>1.076964502769</v>
      </c>
      <c r="F730" s="37" t="n">
        <f aca="false">1+IF($G$10=$E$10,$F$10,IF(T730&lt;($F$10-$E$10)/($G$10-$E$10),$E$10+SQRT(T730*($G$10-$E$10)*($F$10-$E$10)),$G$10-SQRT((1-T730)*($G$10-$E$10)*($G$10-$F$10))))</f>
        <v>0.974592802563436</v>
      </c>
      <c r="G730" s="38" t="n">
        <f aca="false">IF($G$11=$E$11,$F$11,IF(U730&lt;($F$11-$E$11)/($G$11-$E$11),$E$11+SQRT(U730*($G$11-$E$11)*($F$11-$E$11)),$G$11-SQRT((1-U730)*($G$11-$E$11)*($G$11-$F$11))))</f>
        <v>0.121306950995159</v>
      </c>
      <c r="H730" s="39" t="n">
        <f aca="false">(('Business Case'!B11*$C730*'Business Case'!B12*$B730)-'Business Case'!B11*$C730*'Business Case'!B13*$D730-'Business Case'!B14*$E730)-MAX(0,(('Business Case'!B11*$C730*'Business Case'!B12*$B730)-'Business Case'!B11*$C730*'Business Case'!B13*$D730-'Business Case'!B14*$E730))*'Business Case'!$B$7-'Business Case'!$B$8*('Business Case'!B11*$C730*'Business Case'!B12*$B730)-'Business Case'!B15*$F730</f>
        <v>-1949185605.12687</v>
      </c>
      <c r="I730" s="39" t="n">
        <f aca="false">(('Business Case'!C11*$C730*'Business Case'!C12*$B730)-'Business Case'!C11*$C730*'Business Case'!C13*$D730-'Business Case'!C14*$E730)-MAX(0,(('Business Case'!C11*$C730*'Business Case'!C12*$B730)-'Business Case'!C11*$C730*'Business Case'!C13*$D730-'Business Case'!C14*$E730))*'Business Case'!$B$7-'Business Case'!$B$8*(('Business Case'!C11*$C730*'Business Case'!C12*$B730)-('Business Case'!B11*$C730*'Business Case'!B12*$B730))-'Business Case'!C15*$F730</f>
        <v>26613649.3736617</v>
      </c>
      <c r="J730" s="39" t="n">
        <f aca="false">(('Business Case'!D11*$C730*'Business Case'!D12*$B730)-'Business Case'!D11*$C730*'Business Case'!D13*$D730-'Business Case'!D14*$E730)-MAX(0,(('Business Case'!D11*$C730*'Business Case'!D12*$B730)-'Business Case'!D11*$C730*'Business Case'!D13*$D730-'Business Case'!D14*$E730))*'Business Case'!$B$7-'Business Case'!$B$8*(('Business Case'!D11*$C730*'Business Case'!D12*$B730)-('Business Case'!C11*$C730*'Business Case'!C12*$B730))-'Business Case'!D15*$F730</f>
        <v>358024734.030327</v>
      </c>
      <c r="K730" s="39" t="n">
        <f aca="false">(('Business Case'!E11*$C730*'Business Case'!E12*$B730)-'Business Case'!E11*$C730*'Business Case'!E13*$D730-'Business Case'!E14*$E730)-MAX(0,(('Business Case'!E11*$C730*'Business Case'!E12*$B730)-'Business Case'!E11*$C730*'Business Case'!E13*$D730-'Business Case'!E14*$E730))*'Business Case'!$B$7-'Business Case'!$B$8*(('Business Case'!E11*$C730*'Business Case'!E12*$B730)-('Business Case'!D11*$C730*'Business Case'!D12*$B730))-'Business Case'!E15*$F730</f>
        <v>738165458.815164</v>
      </c>
      <c r="L730" s="39" t="n">
        <f aca="false">(('Business Case'!F11*$C730*'Business Case'!F12*$B730)-'Business Case'!F11*$C730*'Business Case'!F13*$D730-'Business Case'!F14*$E730)-MAX(0,(('Business Case'!F11*$C730*'Business Case'!F12*$B730)-'Business Case'!F11*$C730*'Business Case'!F13*$D730-'Business Case'!F14*$E730))*'Business Case'!$B$7-'Business Case'!$B$8*(('Business Case'!F11*$C730*'Business Case'!F12*$B730)-('Business Case'!E11*$C730*'Business Case'!E12*$B730))-'Business Case'!F15*$F730</f>
        <v>884765022.189325</v>
      </c>
      <c r="M730" s="39" t="n">
        <f aca="false">(('Business Case'!G11*$C730*'Business Case'!G12*$B730)-'Business Case'!G11*$C730*'Business Case'!G13*$D730-'Business Case'!G14*$E730)-MAX(0,(('Business Case'!G11*$C730*'Business Case'!G12*$B730)-'Business Case'!G11*$C730*'Business Case'!G13*$D730-'Business Case'!G14*$E730))*'Business Case'!$B$7-'Business Case'!$B$8*(('Business Case'!G11*$C730*'Business Case'!G12*$B730)-('Business Case'!F11*$C730*'Business Case'!F12*$B730))-'Business Case'!G15*$F730+'Business Case'!$B$8*('Business Case'!G11*$C730*'Business Case'!G12*$B730)</f>
        <v>1083475632.20999</v>
      </c>
      <c r="N730" s="39" t="n">
        <f aca="false">IF(COUNT('Business Case'!B11:G11)=0,"",H730+NPV(G730,I730:M730))</f>
        <v>53761461.5390055</v>
      </c>
      <c r="P730" s="40" t="n">
        <f aca="true">RAND()</f>
        <v>0.824177334952174</v>
      </c>
      <c r="Q730" s="40" t="n">
        <f aca="true">RAND()</f>
        <v>0.791230035129259</v>
      </c>
      <c r="R730" s="40" t="n">
        <f aca="true">RAND()</f>
        <v>0.259924495566052</v>
      </c>
      <c r="S730" s="40" t="n">
        <f aca="true">RAND()</f>
        <v>0.8577550971792</v>
      </c>
      <c r="T730" s="40" t="n">
        <f aca="true">RAND()</f>
        <v>0.0403203958616105</v>
      </c>
      <c r="U730" s="40" t="n">
        <f aca="true">RAND()</f>
        <v>0.949620599332955</v>
      </c>
    </row>
    <row r="731" customFormat="false" ht="15" hidden="false" customHeight="false" outlineLevel="0" collapsed="false">
      <c r="A731" s="36" t="n">
        <v>651</v>
      </c>
      <c r="B731" s="37" t="n">
        <f aca="false">1+IF($G$6=$E$6,$F$6,IF(P731&lt;($F$6-$E$6)/($G$6-$E$6),$E$6+SQRT(P731*($G$6-$E$6)*($F$6-$E$6)),$G$6-SQRT((1-P731)*($G$6-$E$6)*($G$6-$F$6))))</f>
        <v>0.999038022211302</v>
      </c>
      <c r="C731" s="37" t="n">
        <f aca="false">1+IF($G$7=$E$7,$F$7,IF(Q731&lt;($F$7-$E$7)/($G$7-$E$7),$E$7+SQRT(Q731*($G$7-$E$7)*($F$7-$E$7)),$G$7-SQRT((1-Q731)*($G$7-$E$7)*($G$7-$F$7))))</f>
        <v>1.04625694494414</v>
      </c>
      <c r="D731" s="37" t="n">
        <f aca="false">1+IF($G$8=$E$8,$F$8,IF(R731&lt;($F$8-$E$8)/($G$8-$E$8),$E$8+SQRT(R731*($G$8-$E$8)*($F$8-$E$8)),$G$8-SQRT((1-R731)*($G$8-$E$8)*($G$8-$F$8))))</f>
        <v>1.03710832478656</v>
      </c>
      <c r="E731" s="37" t="n">
        <f aca="false">1+IF($G$9=$E$9,$F$9,IF(S731&lt;($F$9-$E$9)/($G$9-$E$9),$E$9+SQRT(S731*($G$9-$E$9)*($F$9-$E$9)),$G$9-SQRT((1-S731)*($G$9-$E$9)*($G$9-$F$9))))</f>
        <v>0.992812677003779</v>
      </c>
      <c r="F731" s="37" t="n">
        <f aca="false">1+IF($G$10=$E$10,$F$10,IF(T731&lt;($F$10-$E$10)/($G$10-$E$10),$E$10+SQRT(T731*($G$10-$E$10)*($F$10-$E$10)),$G$10-SQRT((1-T731)*($G$10-$E$10)*($G$10-$F$10))))</f>
        <v>1.16294684437083</v>
      </c>
      <c r="G731" s="38" t="n">
        <f aca="false">IF($G$11=$E$11,$F$11,IF(U731&lt;($F$11-$E$11)/($G$11-$E$11),$E$11+SQRT(U731*($G$11-$E$11)*($F$11-$E$11)),$G$11-SQRT((1-U731)*($G$11-$E$11)*($G$11-$F$11))))</f>
        <v>0.101229760136537</v>
      </c>
      <c r="H731" s="39" t="n">
        <f aca="false">(('Business Case'!B11*$C731*'Business Case'!B12*$B731)-'Business Case'!B11*$C731*'Business Case'!B13*$D731-'Business Case'!B14*$E731)-MAX(0,(('Business Case'!B11*$C731*'Business Case'!B12*$B731)-'Business Case'!B11*$C731*'Business Case'!B13*$D731-'Business Case'!B14*$E731))*'Business Case'!$B$7-'Business Case'!$B$8*('Business Case'!B11*$C731*'Business Case'!B12*$B731)-'Business Case'!B15*$F731</f>
        <v>-2325893688.74167</v>
      </c>
      <c r="I731" s="39" t="n">
        <f aca="false">(('Business Case'!C11*$C731*'Business Case'!C12*$B731)-'Business Case'!C11*$C731*'Business Case'!C13*$D731-'Business Case'!C14*$E731)-MAX(0,(('Business Case'!C11*$C731*'Business Case'!C12*$B731)-'Business Case'!C11*$C731*'Business Case'!C13*$D731-'Business Case'!C14*$E731))*'Business Case'!$B$7-'Business Case'!$B$8*(('Business Case'!C11*$C731*'Business Case'!C12*$B731)-('Business Case'!B11*$C731*'Business Case'!B12*$B731))-'Business Case'!C15*$F731</f>
        <v>-10998107.9140766</v>
      </c>
      <c r="J731" s="39" t="n">
        <f aca="false">(('Business Case'!D11*$C731*'Business Case'!D12*$B731)-'Business Case'!D11*$C731*'Business Case'!D13*$D731-'Business Case'!D14*$E731)-MAX(0,(('Business Case'!D11*$C731*'Business Case'!D12*$B731)-'Business Case'!D11*$C731*'Business Case'!D13*$D731-'Business Case'!D14*$E731))*'Business Case'!$B$7-'Business Case'!$B$8*(('Business Case'!D11*$C731*'Business Case'!D12*$B731)-('Business Case'!C11*$C731*'Business Case'!C12*$B731))-'Business Case'!D15*$F731</f>
        <v>289662215.591922</v>
      </c>
      <c r="K731" s="39" t="n">
        <f aca="false">(('Business Case'!E11*$C731*'Business Case'!E12*$B731)-'Business Case'!E11*$C731*'Business Case'!E13*$D731-'Business Case'!E14*$E731)-MAX(0,(('Business Case'!E11*$C731*'Business Case'!E12*$B731)-'Business Case'!E11*$C731*'Business Case'!E13*$D731-'Business Case'!E14*$E731))*'Business Case'!$B$7-'Business Case'!$B$8*(('Business Case'!E11*$C731*'Business Case'!E12*$B731)-('Business Case'!D11*$C731*'Business Case'!D12*$B731))-'Business Case'!E15*$F731</f>
        <v>648469881.316463</v>
      </c>
      <c r="L731" s="39" t="n">
        <f aca="false">(('Business Case'!F11*$C731*'Business Case'!F12*$B731)-'Business Case'!F11*$C731*'Business Case'!F13*$D731-'Business Case'!F14*$E731)-MAX(0,(('Business Case'!F11*$C731*'Business Case'!F12*$B731)-'Business Case'!F11*$C731*'Business Case'!F13*$D731-'Business Case'!F14*$E731))*'Business Case'!$B$7-'Business Case'!$B$8*(('Business Case'!F11*$C731*'Business Case'!F12*$B731)-('Business Case'!E11*$C731*'Business Case'!E12*$B731))-'Business Case'!F15*$F731</f>
        <v>784813845.360499</v>
      </c>
      <c r="M731" s="39" t="n">
        <f aca="false">(('Business Case'!G11*$C731*'Business Case'!G12*$B731)-'Business Case'!G11*$C731*'Business Case'!G13*$D731-'Business Case'!G14*$E731)-MAX(0,(('Business Case'!G11*$C731*'Business Case'!G12*$B731)-'Business Case'!G11*$C731*'Business Case'!G13*$D731-'Business Case'!G14*$E731))*'Business Case'!$B$7-'Business Case'!$B$8*(('Business Case'!G11*$C731*'Business Case'!G12*$B731)-('Business Case'!F11*$C731*'Business Case'!F12*$B731))-'Business Case'!G15*$F731+'Business Case'!$B$8*('Business Case'!G11*$C731*'Business Case'!G12*$B731)</f>
        <v>983495054.508367</v>
      </c>
      <c r="N731" s="39" t="n">
        <f aca="false">IF(COUNT('Business Case'!B11:G11)=0,"",H731+NPV(G731,I731:M731))</f>
        <v>-470531339.151094</v>
      </c>
      <c r="P731" s="40" t="n">
        <f aca="true">RAND()</f>
        <v>0.653901989568422</v>
      </c>
      <c r="Q731" s="40" t="n">
        <f aca="true">RAND()</f>
        <v>0.84055375596558</v>
      </c>
      <c r="R731" s="40" t="n">
        <f aca="true">RAND()</f>
        <v>0.736309145923126</v>
      </c>
      <c r="S731" s="40" t="n">
        <f aca="true">RAND()</f>
        <v>0.344567720504313</v>
      </c>
      <c r="T731" s="40" t="n">
        <f aca="true">RAND()</f>
        <v>0.89895664126672</v>
      </c>
      <c r="U731" s="40" t="n">
        <f aca="true">RAND()</f>
        <v>0.448182198799196</v>
      </c>
    </row>
    <row r="732" customFormat="false" ht="15" hidden="false" customHeight="false" outlineLevel="0" collapsed="false">
      <c r="A732" s="36" t="n">
        <v>652</v>
      </c>
      <c r="B732" s="37" t="n">
        <f aca="false">1+IF($G$6=$E$6,$F$6,IF(P732&lt;($F$6-$E$6)/($G$6-$E$6),$E$6+SQRT(P732*($G$6-$E$6)*($F$6-$E$6)),$G$6-SQRT((1-P732)*($G$6-$E$6)*($G$6-$F$6))))</f>
        <v>0.985810145274633</v>
      </c>
      <c r="C732" s="37" t="n">
        <f aca="false">1+IF($G$7=$E$7,$F$7,IF(Q732&lt;($F$7-$E$7)/($G$7-$E$7),$E$7+SQRT(Q732*($G$7-$E$7)*($F$7-$E$7)),$G$7-SQRT((1-Q732)*($G$7-$E$7)*($G$7-$F$7))))</f>
        <v>1.04345947605763</v>
      </c>
      <c r="D732" s="37" t="n">
        <f aca="false">1+IF($G$8=$E$8,$F$8,IF(R732&lt;($F$8-$E$8)/($G$8-$E$8),$E$8+SQRT(R732*($G$8-$E$8)*($F$8-$E$8)),$G$8-SQRT((1-R732)*($G$8-$E$8)*($G$8-$F$8))))</f>
        <v>1.01299408844975</v>
      </c>
      <c r="E732" s="37" t="n">
        <f aca="false">1+IF($G$9=$E$9,$F$9,IF(S732&lt;($F$9-$E$9)/($G$9-$E$9),$E$9+SQRT(S732*($G$9-$E$9)*($F$9-$E$9)),$G$9-SQRT((1-S732)*($G$9-$E$9)*($G$9-$F$9))))</f>
        <v>0.959506364182241</v>
      </c>
      <c r="F732" s="37" t="n">
        <f aca="false">1+IF($G$10=$E$10,$F$10,IF(T732&lt;($F$10-$E$10)/($G$10-$E$10),$E$10+SQRT(T732*($G$10-$E$10)*($F$10-$E$10)),$G$10-SQRT((1-T732)*($G$10-$E$10)*($G$10-$F$10))))</f>
        <v>0.982320546143528</v>
      </c>
      <c r="G732" s="38" t="n">
        <f aca="false">IF($G$11=$E$11,$F$11,IF(U732&lt;($F$11-$E$11)/($G$11-$E$11),$E$11+SQRT(U732*($G$11-$E$11)*($F$11-$E$11)),$G$11-SQRT((1-U732)*($G$11-$E$11)*($G$11-$F$11))))</f>
        <v>0.105521715137759</v>
      </c>
      <c r="H732" s="39" t="n">
        <f aca="false">(('Business Case'!B11*$C732*'Business Case'!B12*$B732)-'Business Case'!B11*$C732*'Business Case'!B13*$D732-'Business Case'!B14*$E732)-MAX(0,(('Business Case'!B11*$C732*'Business Case'!B12*$B732)-'Business Case'!B11*$C732*'Business Case'!B13*$D732-'Business Case'!B14*$E732))*'Business Case'!$B$7-'Business Case'!$B$8*('Business Case'!B11*$C732*'Business Case'!B12*$B732)-'Business Case'!B15*$F732</f>
        <v>-1964641092.28706</v>
      </c>
      <c r="I732" s="39" t="n">
        <f aca="false">(('Business Case'!C11*$C732*'Business Case'!C12*$B732)-'Business Case'!C11*$C732*'Business Case'!C13*$D732-'Business Case'!C14*$E732)-MAX(0,(('Business Case'!C11*$C732*'Business Case'!C12*$B732)-'Business Case'!C11*$C732*'Business Case'!C13*$D732-'Business Case'!C14*$E732))*'Business Case'!$B$7-'Business Case'!$B$8*(('Business Case'!C11*$C732*'Business Case'!C12*$B732)-('Business Case'!B11*$C732*'Business Case'!B12*$B732))-'Business Case'!C15*$F732</f>
        <v>13432792.7829074</v>
      </c>
      <c r="J732" s="39" t="n">
        <f aca="false">(('Business Case'!D11*$C732*'Business Case'!D12*$B732)-'Business Case'!D11*$C732*'Business Case'!D13*$D732-'Business Case'!D14*$E732)-MAX(0,(('Business Case'!D11*$C732*'Business Case'!D12*$B732)-'Business Case'!D11*$C732*'Business Case'!D13*$D732-'Business Case'!D14*$E732))*'Business Case'!$B$7-'Business Case'!$B$8*(('Business Case'!D11*$C732*'Business Case'!D12*$B732)-('Business Case'!C11*$C732*'Business Case'!C12*$B732))-'Business Case'!D15*$F732</f>
        <v>314864813.456243</v>
      </c>
      <c r="K732" s="39" t="n">
        <f aca="false">(('Business Case'!E11*$C732*'Business Case'!E12*$B732)-'Business Case'!E11*$C732*'Business Case'!E13*$D732-'Business Case'!E14*$E732)-MAX(0,(('Business Case'!E11*$C732*'Business Case'!E12*$B732)-'Business Case'!E11*$C732*'Business Case'!E13*$D732-'Business Case'!E14*$E732))*'Business Case'!$B$7-'Business Case'!$B$8*(('Business Case'!E11*$C732*'Business Case'!E12*$B732)-('Business Case'!D11*$C732*'Business Case'!D12*$B732))-'Business Case'!E15*$F732</f>
        <v>665412861.436754</v>
      </c>
      <c r="L732" s="39" t="n">
        <f aca="false">(('Business Case'!F11*$C732*'Business Case'!F12*$B732)-'Business Case'!F11*$C732*'Business Case'!F13*$D732-'Business Case'!F14*$E732)-MAX(0,(('Business Case'!F11*$C732*'Business Case'!F12*$B732)-'Business Case'!F11*$C732*'Business Case'!F13*$D732-'Business Case'!F14*$E732))*'Business Case'!$B$7-'Business Case'!$B$8*(('Business Case'!F11*$C732*'Business Case'!F12*$B732)-('Business Case'!E11*$C732*'Business Case'!E12*$B732))-'Business Case'!F15*$F732</f>
        <v>801440447.18744</v>
      </c>
      <c r="M732" s="39" t="n">
        <f aca="false">(('Business Case'!G11*$C732*'Business Case'!G12*$B732)-'Business Case'!G11*$C732*'Business Case'!G13*$D732-'Business Case'!G14*$E732)-MAX(0,(('Business Case'!G11*$C732*'Business Case'!G12*$B732)-'Business Case'!G11*$C732*'Business Case'!G13*$D732-'Business Case'!G14*$E732))*'Business Case'!$B$7-'Business Case'!$B$8*(('Business Case'!G11*$C732*'Business Case'!G12*$B732)-('Business Case'!F11*$C732*'Business Case'!F12*$B732))-'Business Case'!G15*$F732+'Business Case'!$B$8*('Business Case'!G11*$C732*'Business Case'!G12*$B732)</f>
        <v>996966797.581762</v>
      </c>
      <c r="N732" s="39" t="n">
        <f aca="false">IF(COUNT('Business Case'!B11:G11)=0,"",H732+NPV(G732,I732:M732))</f>
        <v>-62111456.2751675</v>
      </c>
      <c r="P732" s="40" t="n">
        <f aca="true">RAND()</f>
        <v>0.49089206880357</v>
      </c>
      <c r="Q732" s="40" t="n">
        <f aca="true">RAND()</f>
        <v>0.831838766786454</v>
      </c>
      <c r="R732" s="40" t="n">
        <f aca="true">RAND()</f>
        <v>0.495331423687285</v>
      </c>
      <c r="S732" s="40" t="n">
        <f aca="true">RAND()</f>
        <v>0.141640295127579</v>
      </c>
      <c r="T732" s="40" t="n">
        <f aca="true">RAND()</f>
        <v>0.0696411802010625</v>
      </c>
      <c r="U732" s="40" t="n">
        <f aca="true">RAND()</f>
        <v>0.600542380135313</v>
      </c>
    </row>
    <row r="733" customFormat="false" ht="15" hidden="false" customHeight="false" outlineLevel="0" collapsed="false">
      <c r="A733" s="36" t="n">
        <v>653</v>
      </c>
      <c r="B733" s="37" t="n">
        <f aca="false">1+IF($G$6=$E$6,$F$6,IF(P733&lt;($F$6-$E$6)/($G$6-$E$6),$E$6+SQRT(P733*($G$6-$E$6)*($F$6-$E$6)),$G$6-SQRT((1-P733)*($G$6-$E$6)*($G$6-$F$6))))</f>
        <v>0.985165720553415</v>
      </c>
      <c r="C733" s="37" t="n">
        <f aca="false">1+IF($G$7=$E$7,$F$7,IF(Q733&lt;($F$7-$E$7)/($G$7-$E$7),$E$7+SQRT(Q733*($G$7-$E$7)*($F$7-$E$7)),$G$7-SQRT((1-Q733)*($G$7-$E$7)*($G$7-$F$7))))</f>
        <v>0.981527590713234</v>
      </c>
      <c r="D733" s="37" t="n">
        <f aca="false">1+IF($G$8=$E$8,$F$8,IF(R733&lt;($F$8-$E$8)/($G$8-$E$8),$E$8+SQRT(R733*($G$8-$E$8)*($F$8-$E$8)),$G$8-SQRT((1-R733)*($G$8-$E$8)*($G$8-$F$8))))</f>
        <v>1.05538637617766</v>
      </c>
      <c r="E733" s="37" t="n">
        <f aca="false">1+IF($G$9=$E$9,$F$9,IF(S733&lt;($F$9-$E$9)/($G$9-$E$9),$E$9+SQRT(S733*($G$9-$E$9)*($F$9-$E$9)),$G$9-SQRT((1-S733)*($G$9-$E$9)*($G$9-$F$9))))</f>
        <v>1.03504089064824</v>
      </c>
      <c r="F733" s="37" t="n">
        <f aca="false">1+IF($G$10=$E$10,$F$10,IF(T733&lt;($F$10-$E$10)/($G$10-$E$10),$E$10+SQRT(T733*($G$10-$E$10)*($F$10-$E$10)),$G$10-SQRT((1-T733)*($G$10-$E$10)*($G$10-$F$10))))</f>
        <v>1.21777573314283</v>
      </c>
      <c r="G733" s="38" t="n">
        <f aca="false">IF($G$11=$E$11,$F$11,IF(U733&lt;($F$11-$E$11)/($G$11-$E$11),$E$11+SQRT(U733*($G$11-$E$11)*($F$11-$E$11)),$G$11-SQRT((1-U733)*($G$11-$E$11)*($G$11-$F$11))))</f>
        <v>0.11333794857407</v>
      </c>
      <c r="H733" s="39" t="n">
        <f aca="false">(('Business Case'!B11*$C733*'Business Case'!B12*$B733)-'Business Case'!B11*$C733*'Business Case'!B13*$D733-'Business Case'!B14*$E733)-MAX(0,(('Business Case'!B11*$C733*'Business Case'!B12*$B733)-'Business Case'!B11*$C733*'Business Case'!B13*$D733-'Business Case'!B14*$E733))*'Business Case'!$B$7-'Business Case'!$B$8*('Business Case'!B11*$C733*'Business Case'!B12*$B733)-'Business Case'!B15*$F733</f>
        <v>-2435551466.28566</v>
      </c>
      <c r="I733" s="39" t="n">
        <f aca="false">(('Business Case'!C11*$C733*'Business Case'!C12*$B733)-'Business Case'!C11*$C733*'Business Case'!C13*$D733-'Business Case'!C14*$E733)-MAX(0,(('Business Case'!C11*$C733*'Business Case'!C12*$B733)-'Business Case'!C11*$C733*'Business Case'!C13*$D733-'Business Case'!C14*$E733))*'Business Case'!$B$7-'Business Case'!$B$8*(('Business Case'!C11*$C733*'Business Case'!C12*$B733)-('Business Case'!B11*$C733*'Business Case'!B12*$B733))-'Business Case'!C15*$F733</f>
        <v>-57365347.1547347</v>
      </c>
      <c r="J733" s="39" t="n">
        <f aca="false">(('Business Case'!D11*$C733*'Business Case'!D12*$B733)-'Business Case'!D11*$C733*'Business Case'!D13*$D733-'Business Case'!D14*$E733)-MAX(0,(('Business Case'!D11*$C733*'Business Case'!D12*$B733)-'Business Case'!D11*$C733*'Business Case'!D13*$D733-'Business Case'!D14*$E733))*'Business Case'!$B$7-'Business Case'!$B$8*(('Business Case'!D11*$C733*'Business Case'!D12*$B733)-('Business Case'!C11*$C733*'Business Case'!C12*$B733))-'Business Case'!D15*$F733</f>
        <v>204357280.360909</v>
      </c>
      <c r="K733" s="39" t="n">
        <f aca="false">(('Business Case'!E11*$C733*'Business Case'!E12*$B733)-'Business Case'!E11*$C733*'Business Case'!E13*$D733-'Business Case'!E14*$E733)-MAX(0,(('Business Case'!E11*$C733*'Business Case'!E12*$B733)-'Business Case'!E11*$C733*'Business Case'!E13*$D733-'Business Case'!E14*$E733))*'Business Case'!$B$7-'Business Case'!$B$8*(('Business Case'!E11*$C733*'Business Case'!E12*$B733)-('Business Case'!D11*$C733*'Business Case'!D12*$B733))-'Business Case'!E15*$F733</f>
        <v>526968694.533694</v>
      </c>
      <c r="L733" s="39" t="n">
        <f aca="false">(('Business Case'!F11*$C733*'Business Case'!F12*$B733)-'Business Case'!F11*$C733*'Business Case'!F13*$D733-'Business Case'!F14*$E733)-MAX(0,(('Business Case'!F11*$C733*'Business Case'!F12*$B733)-'Business Case'!F11*$C733*'Business Case'!F13*$D733-'Business Case'!F14*$E733))*'Business Case'!$B$7-'Business Case'!$B$8*(('Business Case'!F11*$C733*'Business Case'!F12*$B733)-('Business Case'!E11*$C733*'Business Case'!E12*$B733))-'Business Case'!F15*$F733</f>
        <v>647627961.509518</v>
      </c>
      <c r="M733" s="39" t="n">
        <f aca="false">(('Business Case'!G11*$C733*'Business Case'!G12*$B733)-'Business Case'!G11*$C733*'Business Case'!G13*$D733-'Business Case'!G14*$E733)-MAX(0,(('Business Case'!G11*$C733*'Business Case'!G12*$B733)-'Business Case'!G11*$C733*'Business Case'!G13*$D733-'Business Case'!G14*$E733))*'Business Case'!$B$7-'Business Case'!$B$8*(('Business Case'!G11*$C733*'Business Case'!G12*$B733)-('Business Case'!F11*$C733*'Business Case'!F12*$B733))-'Business Case'!G15*$F733+'Business Case'!$B$8*('Business Case'!G11*$C733*'Business Case'!G12*$B733)</f>
        <v>831429112.764541</v>
      </c>
      <c r="N733" s="39" t="n">
        <f aca="false">IF(COUNT('Business Case'!B11:G11)=0,"",H733+NPV(G733,I733:M733))</f>
        <v>-1032769771.04092</v>
      </c>
      <c r="P733" s="40" t="n">
        <f aca="true">RAND()</f>
        <v>0.483546663825492</v>
      </c>
      <c r="Q733" s="40" t="n">
        <f aca="true">RAND()</f>
        <v>0.587094698761468</v>
      </c>
      <c r="R733" s="40" t="n">
        <f aca="true">RAND()</f>
        <v>0.867308304629226</v>
      </c>
      <c r="S733" s="40" t="n">
        <f aca="true">RAND()</f>
        <v>0.647584084721324</v>
      </c>
      <c r="T733" s="40" t="n">
        <f aca="true">RAND()</f>
        <v>0.986154621673572</v>
      </c>
      <c r="U733" s="40" t="n">
        <f aca="true">RAND()</f>
        <v>0.814917361519783</v>
      </c>
    </row>
    <row r="734" customFormat="false" ht="15" hidden="false" customHeight="false" outlineLevel="0" collapsed="false">
      <c r="A734" s="36" t="n">
        <v>654</v>
      </c>
      <c r="B734" s="37" t="n">
        <f aca="false">1+IF($G$6=$E$6,$F$6,IF(P734&lt;($F$6-$E$6)/($G$6-$E$6),$E$6+SQRT(P734*($G$6-$E$6)*($F$6-$E$6)),$G$6-SQRT((1-P734)*($G$6-$E$6)*($G$6-$F$6))))</f>
        <v>1.00922063951266</v>
      </c>
      <c r="C734" s="37" t="n">
        <f aca="false">1+IF($G$7=$E$7,$F$7,IF(Q734&lt;($F$7-$E$7)/($G$7-$E$7),$E$7+SQRT(Q734*($G$7-$E$7)*($F$7-$E$7)),$G$7-SQRT((1-Q734)*($G$7-$E$7)*($G$7-$F$7))))</f>
        <v>0.969000337566695</v>
      </c>
      <c r="D734" s="37" t="n">
        <f aca="false">1+IF($G$8=$E$8,$F$8,IF(R734&lt;($F$8-$E$8)/($G$8-$E$8),$E$8+SQRT(R734*($G$8-$E$8)*($F$8-$E$8)),$G$8-SQRT((1-R734)*($G$8-$E$8)*($G$8-$F$8))))</f>
        <v>0.99650955384399</v>
      </c>
      <c r="E734" s="37" t="n">
        <f aca="false">1+IF($G$9=$E$9,$F$9,IF(S734&lt;($F$9-$E$9)/($G$9-$E$9),$E$9+SQRT(S734*($G$9-$E$9)*($F$9-$E$9)),$G$9-SQRT((1-S734)*($G$9-$E$9)*($G$9-$F$9))))</f>
        <v>1.02266658870125</v>
      </c>
      <c r="F734" s="37" t="n">
        <f aca="false">1+IF($G$10=$E$10,$F$10,IF(T734&lt;($F$10-$E$10)/($G$10-$E$10),$E$10+SQRT(T734*($G$10-$E$10)*($F$10-$E$10)),$G$10-SQRT((1-T734)*($G$10-$E$10)*($G$10-$F$10))))</f>
        <v>1.09690826800429</v>
      </c>
      <c r="G734" s="38" t="n">
        <f aca="false">IF($G$11=$E$11,$F$11,IF(U734&lt;($F$11-$E$11)/($G$11-$E$11),$E$11+SQRT(U734*($G$11-$E$11)*($F$11-$E$11)),$G$11-SQRT((1-U734)*($G$11-$E$11)*($G$11-$F$11))))</f>
        <v>0.10007226066459</v>
      </c>
      <c r="H734" s="39" t="n">
        <f aca="false">(('Business Case'!B11*$C734*'Business Case'!B12*$B734)-'Business Case'!B11*$C734*'Business Case'!B13*$D734-'Business Case'!B14*$E734)-MAX(0,(('Business Case'!B11*$C734*'Business Case'!B12*$B734)-'Business Case'!B11*$C734*'Business Case'!B13*$D734-'Business Case'!B14*$E734))*'Business Case'!$B$7-'Business Case'!$B$8*('Business Case'!B11*$C734*'Business Case'!B12*$B734)-'Business Case'!B15*$F734</f>
        <v>-2193816536.00859</v>
      </c>
      <c r="I734" s="39" t="n">
        <f aca="false">(('Business Case'!C11*$C734*'Business Case'!C12*$B734)-'Business Case'!C11*$C734*'Business Case'!C13*$D734-'Business Case'!C14*$E734)-MAX(0,(('Business Case'!C11*$C734*'Business Case'!C12*$B734)-'Business Case'!C11*$C734*'Business Case'!C13*$D734-'Business Case'!C14*$E734))*'Business Case'!$B$7-'Business Case'!$B$8*(('Business Case'!C11*$C734*'Business Case'!C12*$B734)-('Business Case'!B11*$C734*'Business Case'!B12*$B734))-'Business Case'!C15*$F734</f>
        <v>869903.187478125</v>
      </c>
      <c r="J734" s="39" t="n">
        <f aca="false">(('Business Case'!D11*$C734*'Business Case'!D12*$B734)-'Business Case'!D11*$C734*'Business Case'!D13*$D734-'Business Case'!D14*$E734)-MAX(0,(('Business Case'!D11*$C734*'Business Case'!D12*$B734)-'Business Case'!D11*$C734*'Business Case'!D13*$D734-'Business Case'!D14*$E734))*'Business Case'!$B$7-'Business Case'!$B$8*(('Business Case'!D11*$C734*'Business Case'!D12*$B734)-('Business Case'!C11*$C734*'Business Case'!C12*$B734))-'Business Case'!D15*$F734</f>
        <v>307549979.76533</v>
      </c>
      <c r="K734" s="39" t="n">
        <f aca="false">(('Business Case'!E11*$C734*'Business Case'!E12*$B734)-'Business Case'!E11*$C734*'Business Case'!E13*$D734-'Business Case'!E14*$E734)-MAX(0,(('Business Case'!E11*$C734*'Business Case'!E12*$B734)-'Business Case'!E11*$C734*'Business Case'!E13*$D734-'Business Case'!E14*$E734))*'Business Case'!$B$7-'Business Case'!$B$8*(('Business Case'!E11*$C734*'Business Case'!E12*$B734)-('Business Case'!D11*$C734*'Business Case'!D12*$B734))-'Business Case'!E15*$F734</f>
        <v>669075469.743397</v>
      </c>
      <c r="L734" s="39" t="n">
        <f aca="false">(('Business Case'!F11*$C734*'Business Case'!F12*$B734)-'Business Case'!F11*$C734*'Business Case'!F13*$D734-'Business Case'!F14*$E734)-MAX(0,(('Business Case'!F11*$C734*'Business Case'!F12*$B734)-'Business Case'!F11*$C734*'Business Case'!F13*$D734-'Business Case'!F14*$E734))*'Business Case'!$B$7-'Business Case'!$B$8*(('Business Case'!F11*$C734*'Business Case'!F12*$B734)-('Business Case'!E11*$C734*'Business Case'!E12*$B734))-'Business Case'!F15*$F734</f>
        <v>805099600.387099</v>
      </c>
      <c r="M734" s="39" t="n">
        <f aca="false">(('Business Case'!G11*$C734*'Business Case'!G12*$B734)-'Business Case'!G11*$C734*'Business Case'!G13*$D734-'Business Case'!G14*$E734)-MAX(0,(('Business Case'!G11*$C734*'Business Case'!G12*$B734)-'Business Case'!G11*$C734*'Business Case'!G13*$D734-'Business Case'!G14*$E734))*'Business Case'!$B$7-'Business Case'!$B$8*(('Business Case'!G11*$C734*'Business Case'!G12*$B734)-('Business Case'!F11*$C734*'Business Case'!F12*$B734))-'Business Case'!G15*$F734+'Business Case'!$B$8*('Business Case'!G11*$C734*'Business Case'!G12*$B734)</f>
        <v>990985511.868068</v>
      </c>
      <c r="N734" s="39" t="n">
        <f aca="false">IF(COUNT('Business Case'!B11:G11)=0,"",H734+NPV(G734,I734:M734))</f>
        <v>-271427013.585465</v>
      </c>
      <c r="P734" s="40" t="n">
        <f aca="true">RAND()</f>
        <v>0.778272501099184</v>
      </c>
      <c r="Q734" s="40" t="n">
        <f aca="true">RAND()</f>
        <v>0.536008752674042</v>
      </c>
      <c r="R734" s="40" t="n">
        <f aca="true">RAND()</f>
        <v>0.288418479835603</v>
      </c>
      <c r="S734" s="40" t="n">
        <f aca="true">RAND()</f>
        <v>0.56763206312059</v>
      </c>
      <c r="T734" s="40" t="n">
        <f aca="true">RAND()</f>
        <v>0.687505621260727</v>
      </c>
      <c r="U734" s="40" t="n">
        <f aca="true">RAND()</f>
        <v>0.402886945514521</v>
      </c>
    </row>
    <row r="735" customFormat="false" ht="15" hidden="false" customHeight="false" outlineLevel="0" collapsed="false">
      <c r="A735" s="36" t="n">
        <v>655</v>
      </c>
      <c r="B735" s="37" t="n">
        <f aca="false">1+IF($G$6=$E$6,$F$6,IF(P735&lt;($F$6-$E$6)/($G$6-$E$6),$E$6+SQRT(P735*($G$6-$E$6)*($F$6-$E$6)),$G$6-SQRT((1-P735)*($G$6-$E$6)*($G$6-$F$6))))</f>
        <v>0.983170141575814</v>
      </c>
      <c r="C735" s="37" t="n">
        <f aca="false">1+IF($G$7=$E$7,$F$7,IF(Q735&lt;($F$7-$E$7)/($G$7-$E$7),$E$7+SQRT(Q735*($G$7-$E$7)*($F$7-$E$7)),$G$7-SQRT((1-Q735)*($G$7-$E$7)*($G$7-$F$7))))</f>
        <v>0.784014142141119</v>
      </c>
      <c r="D735" s="37" t="n">
        <f aca="false">1+IF($G$8=$E$8,$F$8,IF(R735&lt;($F$8-$E$8)/($G$8-$E$8),$E$8+SQRT(R735*($G$8-$E$8)*($F$8-$E$8)),$G$8-SQRT((1-R735)*($G$8-$E$8)*($G$8-$F$8))))</f>
        <v>1.00145631058379</v>
      </c>
      <c r="E735" s="37" t="n">
        <f aca="false">1+IF($G$9=$E$9,$F$9,IF(S735&lt;($F$9-$E$9)/($G$9-$E$9),$E$9+SQRT(S735*($G$9-$E$9)*($F$9-$E$9)),$G$9-SQRT((1-S735)*($G$9-$E$9)*($G$9-$F$9))))</f>
        <v>0.937791131207351</v>
      </c>
      <c r="F735" s="37" t="n">
        <f aca="false">1+IF($G$10=$E$10,$F$10,IF(T735&lt;($F$10-$E$10)/($G$10-$E$10),$E$10+SQRT(T735*($G$10-$E$10)*($F$10-$E$10)),$G$10-SQRT((1-T735)*($G$10-$E$10)*($G$10-$F$10))))</f>
        <v>1.12926822631116</v>
      </c>
      <c r="G735" s="38" t="n">
        <f aca="false">IF($G$11=$E$11,$F$11,IF(U735&lt;($F$11-$E$11)/($G$11-$E$11),$E$11+SQRT(U735*($G$11-$E$11)*($F$11-$E$11)),$G$11-SQRT((1-U735)*($G$11-$E$11)*($G$11-$F$11))))</f>
        <v>0.101141230264415</v>
      </c>
      <c r="H735" s="39" t="n">
        <f aca="false">(('Business Case'!B11*$C735*'Business Case'!B12*$B735)-'Business Case'!B11*$C735*'Business Case'!B13*$D735-'Business Case'!B14*$E735)-MAX(0,(('Business Case'!B11*$C735*'Business Case'!B12*$B735)-'Business Case'!B11*$C735*'Business Case'!B13*$D735-'Business Case'!B14*$E735))*'Business Case'!$B$7-'Business Case'!$B$8*('Business Case'!B11*$C735*'Business Case'!B12*$B735)-'Business Case'!B15*$F735</f>
        <v>-2258536452.62232</v>
      </c>
      <c r="I735" s="39" t="n">
        <f aca="false">(('Business Case'!C11*$C735*'Business Case'!C12*$B735)-'Business Case'!C11*$C735*'Business Case'!C13*$D735-'Business Case'!C14*$E735)-MAX(0,(('Business Case'!C11*$C735*'Business Case'!C12*$B735)-'Business Case'!C11*$C735*'Business Case'!C13*$D735-'Business Case'!C14*$E735))*'Business Case'!$B$7-'Business Case'!$B$8*(('Business Case'!C11*$C735*'Business Case'!C12*$B735)-('Business Case'!B11*$C735*'Business Case'!B12*$B735))-'Business Case'!C15*$F735</f>
        <v>-56820505.6175107</v>
      </c>
      <c r="J735" s="39" t="n">
        <f aca="false">(('Business Case'!D11*$C735*'Business Case'!D12*$B735)-'Business Case'!D11*$C735*'Business Case'!D13*$D735-'Business Case'!D14*$E735)-MAX(0,(('Business Case'!D11*$C735*'Business Case'!D12*$B735)-'Business Case'!D11*$C735*'Business Case'!D13*$D735-'Business Case'!D14*$E735))*'Business Case'!$B$7-'Business Case'!$B$8*(('Business Case'!D11*$C735*'Business Case'!D12*$B735)-('Business Case'!C11*$C735*'Business Case'!C12*$B735))-'Business Case'!D15*$F735</f>
        <v>172598982.513128</v>
      </c>
      <c r="K735" s="39" t="n">
        <f aca="false">(('Business Case'!E11*$C735*'Business Case'!E12*$B735)-'Business Case'!E11*$C735*'Business Case'!E13*$D735-'Business Case'!E14*$E735)-MAX(0,(('Business Case'!E11*$C735*'Business Case'!E12*$B735)-'Business Case'!E11*$C735*'Business Case'!E13*$D735-'Business Case'!E14*$E735))*'Business Case'!$B$7-'Business Case'!$B$8*(('Business Case'!E11*$C735*'Business Case'!E12*$B735)-('Business Case'!D11*$C735*'Business Case'!D12*$B735))-'Business Case'!E15*$F735</f>
        <v>458481881.959325</v>
      </c>
      <c r="L735" s="39" t="n">
        <f aca="false">(('Business Case'!F11*$C735*'Business Case'!F12*$B735)-'Business Case'!F11*$C735*'Business Case'!F13*$D735-'Business Case'!F14*$E735)-MAX(0,(('Business Case'!F11*$C735*'Business Case'!F12*$B735)-'Business Case'!F11*$C735*'Business Case'!F13*$D735-'Business Case'!F14*$E735))*'Business Case'!$B$7-'Business Case'!$B$8*(('Business Case'!F11*$C735*'Business Case'!F12*$B735)-('Business Case'!E11*$C735*'Business Case'!E12*$B735))-'Business Case'!F15*$F735</f>
        <v>561594559.509104</v>
      </c>
      <c r="M735" s="39" t="n">
        <f aca="false">(('Business Case'!G11*$C735*'Business Case'!G12*$B735)-'Business Case'!G11*$C735*'Business Case'!G13*$D735-'Business Case'!G14*$E735)-MAX(0,(('Business Case'!G11*$C735*'Business Case'!G12*$B735)-'Business Case'!G11*$C735*'Business Case'!G13*$D735-'Business Case'!G14*$E735))*'Business Case'!$B$7-'Business Case'!$B$8*(('Business Case'!G11*$C735*'Business Case'!G12*$B735)-('Business Case'!F11*$C735*'Business Case'!F12*$B735))-'Business Case'!G15*$F735+'Business Case'!$B$8*('Business Case'!G11*$C735*'Business Case'!G12*$B735)</f>
        <v>708111891.126716</v>
      </c>
      <c r="N735" s="39" t="n">
        <f aca="false">IF(COUNT('Business Case'!B11:G11)=0,"",H735+NPV(G735,I735:M735))</f>
        <v>-1004998347.87384</v>
      </c>
      <c r="P735" s="40" t="n">
        <f aca="true">RAND()</f>
        <v>0.4611514966494</v>
      </c>
      <c r="Q735" s="40" t="n">
        <f aca="true">RAND()</f>
        <v>0.0522842672570968</v>
      </c>
      <c r="R735" s="40" t="n">
        <f aca="true">RAND()</f>
        <v>0.352609418416054</v>
      </c>
      <c r="S735" s="40" t="n">
        <f aca="true">RAND()</f>
        <v>0.0571267839172482</v>
      </c>
      <c r="T735" s="40" t="n">
        <f aca="true">RAND()</f>
        <v>0.805651184292618</v>
      </c>
      <c r="U735" s="40" t="n">
        <f aca="true">RAND()</f>
        <v>0.444780939565644</v>
      </c>
    </row>
    <row r="736" customFormat="false" ht="15" hidden="false" customHeight="false" outlineLevel="0" collapsed="false">
      <c r="A736" s="36" t="n">
        <v>656</v>
      </c>
      <c r="B736" s="37" t="n">
        <f aca="false">1+IF($G$6=$E$6,$F$6,IF(P736&lt;($F$6-$E$6)/($G$6-$E$6),$E$6+SQRT(P736*($G$6-$E$6)*($F$6-$E$6)),$G$6-SQRT((1-P736)*($G$6-$E$6)*($G$6-$F$6))))</f>
        <v>1.02112508595011</v>
      </c>
      <c r="C736" s="37" t="n">
        <f aca="false">1+IF($G$7=$E$7,$F$7,IF(Q736&lt;($F$7-$E$7)/($G$7-$E$7),$E$7+SQRT(Q736*($G$7-$E$7)*($F$7-$E$7)),$G$7-SQRT((1-Q736)*($G$7-$E$7)*($G$7-$F$7))))</f>
        <v>0.955109544762383</v>
      </c>
      <c r="D736" s="37" t="n">
        <f aca="false">1+IF($G$8=$E$8,$F$8,IF(R736&lt;($F$8-$E$8)/($G$8-$E$8),$E$8+SQRT(R736*($G$8-$E$8)*($F$8-$E$8)),$G$8-SQRT((1-R736)*($G$8-$E$8)*($G$8-$F$8))))</f>
        <v>1.01134377646381</v>
      </c>
      <c r="E736" s="37" t="n">
        <f aca="false">1+IF($G$9=$E$9,$F$9,IF(S736&lt;($F$9-$E$9)/($G$9-$E$9),$E$9+SQRT(S736*($G$9-$E$9)*($F$9-$E$9)),$G$9-SQRT((1-S736)*($G$9-$E$9)*($G$9-$F$9))))</f>
        <v>0.954488570854379</v>
      </c>
      <c r="F736" s="37" t="n">
        <f aca="false">1+IF($G$10=$E$10,$F$10,IF(T736&lt;($F$10-$E$10)/($G$10-$E$10),$E$10+SQRT(T736*($G$10-$E$10)*($F$10-$E$10)),$G$10-SQRT((1-T736)*($G$10-$E$10)*($G$10-$F$10))))</f>
        <v>1.05554420874509</v>
      </c>
      <c r="G736" s="38" t="n">
        <f aca="false">IF($G$11=$E$11,$F$11,IF(U736&lt;($F$11-$E$11)/($G$11-$E$11),$E$11+SQRT(U736*($G$11-$E$11)*($F$11-$E$11)),$G$11-SQRT((1-U736)*($G$11-$E$11)*($G$11-$F$11))))</f>
        <v>0.102141878407701</v>
      </c>
      <c r="H736" s="39" t="n">
        <f aca="false">(('Business Case'!B11*$C736*'Business Case'!B12*$B736)-'Business Case'!B11*$C736*'Business Case'!B13*$D736-'Business Case'!B14*$E736)-MAX(0,(('Business Case'!B11*$C736*'Business Case'!B12*$B736)-'Business Case'!B11*$C736*'Business Case'!B13*$D736-'Business Case'!B14*$E736))*'Business Case'!$B$7-'Business Case'!$B$8*('Business Case'!B11*$C736*'Business Case'!B12*$B736)-'Business Case'!B15*$F736</f>
        <v>-2111088417.49019</v>
      </c>
      <c r="I736" s="39" t="n">
        <f aca="false">(('Business Case'!C11*$C736*'Business Case'!C12*$B736)-'Business Case'!C11*$C736*'Business Case'!C13*$D736-'Business Case'!C14*$E736)-MAX(0,(('Business Case'!C11*$C736*'Business Case'!C12*$B736)-'Business Case'!C11*$C736*'Business Case'!C13*$D736-'Business Case'!C14*$E736))*'Business Case'!$B$7-'Business Case'!$B$8*(('Business Case'!C11*$C736*'Business Case'!C12*$B736)-('Business Case'!B11*$C736*'Business Case'!B12*$B736))-'Business Case'!C15*$F736</f>
        <v>12502074.5695005</v>
      </c>
      <c r="J736" s="39" t="n">
        <f aca="false">(('Business Case'!D11*$C736*'Business Case'!D12*$B736)-'Business Case'!D11*$C736*'Business Case'!D13*$D736-'Business Case'!D14*$E736)-MAX(0,(('Business Case'!D11*$C736*'Business Case'!D12*$B736)-'Business Case'!D11*$C736*'Business Case'!D13*$D736-'Business Case'!D14*$E736))*'Business Case'!$B$7-'Business Case'!$B$8*(('Business Case'!D11*$C736*'Business Case'!D12*$B736)-('Business Case'!C11*$C736*'Business Case'!C12*$B736))-'Business Case'!D15*$F736</f>
        <v>316845687.409783</v>
      </c>
      <c r="K736" s="39" t="n">
        <f aca="false">(('Business Case'!E11*$C736*'Business Case'!E12*$B736)-'Business Case'!E11*$C736*'Business Case'!E13*$D736-'Business Case'!E14*$E736)-MAX(0,(('Business Case'!E11*$C736*'Business Case'!E12*$B736)-'Business Case'!E11*$C736*'Business Case'!E13*$D736-'Business Case'!E14*$E736))*'Business Case'!$B$7-'Business Case'!$B$8*(('Business Case'!E11*$C736*'Business Case'!E12*$B736)-('Business Case'!D11*$C736*'Business Case'!D12*$B736))-'Business Case'!E15*$F736</f>
        <v>673966510.68732</v>
      </c>
      <c r="L736" s="39" t="n">
        <f aca="false">(('Business Case'!F11*$C736*'Business Case'!F12*$B736)-'Business Case'!F11*$C736*'Business Case'!F13*$D736-'Business Case'!F14*$E736)-MAX(0,(('Business Case'!F11*$C736*'Business Case'!F12*$B736)-'Business Case'!F11*$C736*'Business Case'!F13*$D736-'Business Case'!F14*$E736))*'Business Case'!$B$7-'Business Case'!$B$8*(('Business Case'!F11*$C736*'Business Case'!F12*$B736)-('Business Case'!E11*$C736*'Business Case'!E12*$B736))-'Business Case'!F15*$F736</f>
        <v>809120276.7146</v>
      </c>
      <c r="M736" s="39" t="n">
        <f aca="false">(('Business Case'!G11*$C736*'Business Case'!G12*$B736)-'Business Case'!G11*$C736*'Business Case'!G13*$D736-'Business Case'!G14*$E736)-MAX(0,(('Business Case'!G11*$C736*'Business Case'!G12*$B736)-'Business Case'!G11*$C736*'Business Case'!G13*$D736-'Business Case'!G14*$E736))*'Business Case'!$B$7-'Business Case'!$B$8*(('Business Case'!G11*$C736*'Business Case'!G12*$B736)-('Business Case'!F11*$C736*'Business Case'!F12*$B736))-'Business Case'!G15*$F736+'Business Case'!$B$8*('Business Case'!G11*$C736*'Business Case'!G12*$B736)</f>
        <v>994502699.657459</v>
      </c>
      <c r="N736" s="39" t="n">
        <f aca="false">IF(COUNT('Business Case'!B11:G11)=0,"",H736+NPV(G736,I736:M736))</f>
        <v>-175603688.546103</v>
      </c>
      <c r="P736" s="40" t="n">
        <f aca="true">RAND()</f>
        <v>0.888831911814883</v>
      </c>
      <c r="Q736" s="40" t="n">
        <f aca="true">RAND()</f>
        <v>0.482080591324966</v>
      </c>
      <c r="R736" s="40" t="n">
        <f aca="true">RAND()</f>
        <v>0.476004935220124</v>
      </c>
      <c r="S736" s="40" t="n">
        <f aca="true">RAND()</f>
        <v>0.118760174150107</v>
      </c>
      <c r="T736" s="40" t="n">
        <f aca="true">RAND()</f>
        <v>0.495825936632378</v>
      </c>
      <c r="U736" s="40" t="n">
        <f aca="true">RAND()</f>
        <v>0.482616707565797</v>
      </c>
    </row>
    <row r="737" customFormat="false" ht="15" hidden="false" customHeight="false" outlineLevel="0" collapsed="false">
      <c r="A737" s="36" t="n">
        <v>657</v>
      </c>
      <c r="B737" s="37" t="n">
        <f aca="false">1+IF($G$6=$E$6,$F$6,IF(P737&lt;($F$6-$E$6)/($G$6-$E$6),$E$6+SQRT(P737*($G$6-$E$6)*($F$6-$E$6)),$G$6-SQRT((1-P737)*($G$6-$E$6)*($G$6-$F$6))))</f>
        <v>0.940568745844447</v>
      </c>
      <c r="C737" s="37" t="n">
        <f aca="false">1+IF($G$7=$E$7,$F$7,IF(Q737&lt;($F$7-$E$7)/($G$7-$E$7),$E$7+SQRT(Q737*($G$7-$E$7)*($F$7-$E$7)),$G$7-SQRT((1-Q737)*($G$7-$E$7)*($G$7-$F$7))))</f>
        <v>0.847816969177951</v>
      </c>
      <c r="D737" s="37" t="n">
        <f aca="false">1+IF($G$8=$E$8,$F$8,IF(R737&lt;($F$8-$E$8)/($G$8-$E$8),$E$8+SQRT(R737*($G$8-$E$8)*($F$8-$E$8)),$G$8-SQRT((1-R737)*($G$8-$E$8)*($G$8-$F$8))))</f>
        <v>1.05303153136343</v>
      </c>
      <c r="E737" s="37" t="n">
        <f aca="false">1+IF($G$9=$E$9,$F$9,IF(S737&lt;($F$9-$E$9)/($G$9-$E$9),$E$9+SQRT(S737*($G$9-$E$9)*($F$9-$E$9)),$G$9-SQRT((1-S737)*($G$9-$E$9)*($G$9-$F$9))))</f>
        <v>0.950677710140562</v>
      </c>
      <c r="F737" s="37" t="n">
        <f aca="false">1+IF($G$10=$E$10,$F$10,IF(T737&lt;($F$10-$E$10)/($G$10-$E$10),$E$10+SQRT(T737*($G$10-$E$10)*($F$10-$E$10)),$G$10-SQRT((1-T737)*($G$10-$E$10)*($G$10-$F$10))))</f>
        <v>1.15089465383013</v>
      </c>
      <c r="G737" s="38" t="n">
        <f aca="false">IF($G$11=$E$11,$F$11,IF(U737&lt;($F$11-$E$11)/($G$11-$E$11),$E$11+SQRT(U737*($G$11-$E$11)*($F$11-$E$11)),$G$11-SQRT((1-U737)*($G$11-$E$11)*($G$11-$F$11))))</f>
        <v>0.0970398937664066</v>
      </c>
      <c r="H737" s="39" t="n">
        <f aca="false">(('Business Case'!B11*$C737*'Business Case'!B12*$B737)-'Business Case'!B11*$C737*'Business Case'!B13*$D737-'Business Case'!B14*$E737)-MAX(0,(('Business Case'!B11*$C737*'Business Case'!B12*$B737)-'Business Case'!B11*$C737*'Business Case'!B13*$D737-'Business Case'!B14*$E737))*'Business Case'!$B$7-'Business Case'!$B$8*('Business Case'!B11*$C737*'Business Case'!B12*$B737)-'Business Case'!B15*$F737</f>
        <v>-2301789307.66026</v>
      </c>
      <c r="I737" s="39" t="n">
        <f aca="false">(('Business Case'!C11*$C737*'Business Case'!C12*$B737)-'Business Case'!C11*$C737*'Business Case'!C13*$D737-'Business Case'!C14*$E737)-MAX(0,(('Business Case'!C11*$C737*'Business Case'!C12*$B737)-'Business Case'!C11*$C737*'Business Case'!C13*$D737-'Business Case'!C14*$E737))*'Business Case'!$B$7-'Business Case'!$B$8*(('Business Case'!C11*$C737*'Business Case'!C12*$B737)-('Business Case'!B11*$C737*'Business Case'!B12*$B737))-'Business Case'!C15*$F737</f>
        <v>-95492826.4408343</v>
      </c>
      <c r="J737" s="39" t="n">
        <f aca="false">(('Business Case'!D11*$C737*'Business Case'!D12*$B737)-'Business Case'!D11*$C737*'Business Case'!D13*$D737-'Business Case'!D14*$E737)-MAX(0,(('Business Case'!D11*$C737*'Business Case'!D12*$B737)-'Business Case'!D11*$C737*'Business Case'!D13*$D737-'Business Case'!D14*$E737))*'Business Case'!$B$7-'Business Case'!$B$8*(('Business Case'!D11*$C737*'Business Case'!D12*$B737)-('Business Case'!C11*$C737*'Business Case'!C12*$B737))-'Business Case'!D15*$F737</f>
        <v>100628961.517465</v>
      </c>
      <c r="K737" s="39" t="n">
        <f aca="false">(('Business Case'!E11*$C737*'Business Case'!E12*$B737)-'Business Case'!E11*$C737*'Business Case'!E13*$D737-'Business Case'!E14*$E737)-MAX(0,(('Business Case'!E11*$C737*'Business Case'!E12*$B737)-'Business Case'!E11*$C737*'Business Case'!E13*$D737-'Business Case'!E14*$E737))*'Business Case'!$B$7-'Business Case'!$B$8*(('Business Case'!E11*$C737*'Business Case'!E12*$B737)-('Business Case'!D11*$C737*'Business Case'!D12*$B737))-'Business Case'!E15*$F737</f>
        <v>354295482.167271</v>
      </c>
      <c r="L737" s="39" t="n">
        <f aca="false">(('Business Case'!F11*$C737*'Business Case'!F12*$B737)-'Business Case'!F11*$C737*'Business Case'!F13*$D737-'Business Case'!F14*$E737)-MAX(0,(('Business Case'!F11*$C737*'Business Case'!F12*$B737)-'Business Case'!F11*$C737*'Business Case'!F13*$D737-'Business Case'!F14*$E737))*'Business Case'!$B$7-'Business Case'!$B$8*(('Business Case'!F11*$C737*'Business Case'!F12*$B737)-('Business Case'!E11*$C737*'Business Case'!E12*$B737))-'Business Case'!F15*$F737</f>
        <v>447228597.242793</v>
      </c>
      <c r="M737" s="39" t="n">
        <f aca="false">(('Business Case'!G11*$C737*'Business Case'!G12*$B737)-'Business Case'!G11*$C737*'Business Case'!G13*$D737-'Business Case'!G14*$E737)-MAX(0,(('Business Case'!G11*$C737*'Business Case'!G12*$B737)-'Business Case'!G11*$C737*'Business Case'!G13*$D737-'Business Case'!G14*$E737))*'Business Case'!$B$7-'Business Case'!$B$8*(('Business Case'!G11*$C737*'Business Case'!G12*$B737)-('Business Case'!F11*$C737*'Business Case'!F12*$B737))-'Business Case'!G15*$F737+'Business Case'!$B$8*('Business Case'!G11*$C737*'Business Case'!G12*$B737)</f>
        <v>598804118.901281</v>
      </c>
      <c r="N737" s="39" t="n">
        <f aca="false">IF(COUNT('Business Case'!B11:G11)=0,"",H737+NPV(G737,I737:M737))</f>
        <v>-1351246373.18919</v>
      </c>
      <c r="P737" s="40" t="n">
        <f aca="true">RAND()</f>
        <v>0.109721542626087</v>
      </c>
      <c r="Q737" s="40" t="n">
        <f aca="true">RAND()</f>
        <v>0.161850787977446</v>
      </c>
      <c r="R737" s="40" t="n">
        <f aca="true">RAND()</f>
        <v>0.852930863595716</v>
      </c>
      <c r="S737" s="40" t="n">
        <f aca="true">RAND()</f>
        <v>0.102729212203631</v>
      </c>
      <c r="T737" s="40" t="n">
        <f aca="true">RAND()</f>
        <v>0.869041738140665</v>
      </c>
      <c r="U737" s="40" t="n">
        <f aca="true">RAND()</f>
        <v>0.290357979570423</v>
      </c>
    </row>
    <row r="738" customFormat="false" ht="15" hidden="false" customHeight="false" outlineLevel="0" collapsed="false">
      <c r="A738" s="36" t="n">
        <v>658</v>
      </c>
      <c r="B738" s="37" t="n">
        <f aca="false">1+IF($G$6=$E$6,$F$6,IF(P738&lt;($F$6-$E$6)/($G$6-$E$6),$E$6+SQRT(P738*($G$6-$E$6)*($F$6-$E$6)),$G$6-SQRT((1-P738)*($G$6-$E$6)*($G$6-$F$6))))</f>
        <v>1.02606093427556</v>
      </c>
      <c r="C738" s="37" t="n">
        <f aca="false">1+IF($G$7=$E$7,$F$7,IF(Q738&lt;($F$7-$E$7)/($G$7-$E$7),$E$7+SQRT(Q738*($G$7-$E$7)*($F$7-$E$7)),$G$7-SQRT((1-Q738)*($G$7-$E$7)*($G$7-$F$7))))</f>
        <v>0.974924747855218</v>
      </c>
      <c r="D738" s="37" t="n">
        <f aca="false">1+IF($G$8=$E$8,$F$8,IF(R738&lt;($F$8-$E$8)/($G$8-$E$8),$E$8+SQRT(R738*($G$8-$E$8)*($F$8-$E$8)),$G$8-SQRT((1-R738)*($G$8-$E$8)*($G$8-$F$8))))</f>
        <v>1.00212260505985</v>
      </c>
      <c r="E738" s="37" t="n">
        <f aca="false">1+IF($G$9=$E$9,$F$9,IF(S738&lt;($F$9-$E$9)/($G$9-$E$9),$E$9+SQRT(S738*($G$9-$E$9)*($F$9-$E$9)),$G$9-SQRT((1-S738)*($G$9-$E$9)*($G$9-$F$9))))</f>
        <v>1.01400115052133</v>
      </c>
      <c r="F738" s="37" t="n">
        <f aca="false">1+IF($G$10=$E$10,$F$10,IF(T738&lt;($F$10-$E$10)/($G$10-$E$10),$E$10+SQRT(T738*($G$10-$E$10)*($F$10-$E$10)),$G$10-SQRT((1-T738)*($G$10-$E$10)*($G$10-$F$10))))</f>
        <v>0.974552588419242</v>
      </c>
      <c r="G738" s="38" t="n">
        <f aca="false">IF($G$11=$E$11,$F$11,IF(U738&lt;($F$11-$E$11)/($G$11-$E$11),$E$11+SQRT(U738*($G$11-$E$11)*($F$11-$E$11)),$G$11-SQRT((1-U738)*($G$11-$E$11)*($G$11-$F$11))))</f>
        <v>0.11986638874358</v>
      </c>
      <c r="H738" s="39" t="n">
        <f aca="false">(('Business Case'!B11*$C738*'Business Case'!B12*$B738)-'Business Case'!B11*$C738*'Business Case'!B13*$D738-'Business Case'!B14*$E738)-MAX(0,(('Business Case'!B11*$C738*'Business Case'!B12*$B738)-'Business Case'!B11*$C738*'Business Case'!B13*$D738-'Business Case'!B14*$E738))*'Business Case'!$B$7-'Business Case'!$B$8*('Business Case'!B11*$C738*'Business Case'!B12*$B738)-'Business Case'!B15*$F738</f>
        <v>-1949105176.83848</v>
      </c>
      <c r="I738" s="39" t="n">
        <f aca="false">(('Business Case'!C11*$C738*'Business Case'!C12*$B738)-'Business Case'!C11*$C738*'Business Case'!C13*$D738-'Business Case'!C14*$E738)-MAX(0,(('Business Case'!C11*$C738*'Business Case'!C12*$B738)-'Business Case'!C11*$C738*'Business Case'!C13*$D738-'Business Case'!C14*$E738))*'Business Case'!$B$7-'Business Case'!$B$8*(('Business Case'!C11*$C738*'Business Case'!C12*$B738)-('Business Case'!B11*$C738*'Business Case'!B12*$B738))-'Business Case'!C15*$F738</f>
        <v>25697816.1726203</v>
      </c>
      <c r="J738" s="39" t="n">
        <f aca="false">(('Business Case'!D11*$C738*'Business Case'!D12*$B738)-'Business Case'!D11*$C738*'Business Case'!D13*$D738-'Business Case'!D14*$E738)-MAX(0,(('Business Case'!D11*$C738*'Business Case'!D12*$B738)-'Business Case'!D11*$C738*'Business Case'!D13*$D738-'Business Case'!D14*$E738))*'Business Case'!$B$7-'Business Case'!$B$8*(('Business Case'!D11*$C738*'Business Case'!D12*$B738)-('Business Case'!C11*$C738*'Business Case'!C12*$B738))-'Business Case'!D15*$F738</f>
        <v>344899075.916577</v>
      </c>
      <c r="K738" s="39" t="n">
        <f aca="false">(('Business Case'!E11*$C738*'Business Case'!E12*$B738)-'Business Case'!E11*$C738*'Business Case'!E13*$D738-'Business Case'!E14*$E738)-MAX(0,(('Business Case'!E11*$C738*'Business Case'!E12*$B738)-'Business Case'!E11*$C738*'Business Case'!E13*$D738-'Business Case'!E14*$E738))*'Business Case'!$B$7-'Business Case'!$B$8*(('Business Case'!E11*$C738*'Business Case'!E12*$B738)-('Business Case'!D11*$C738*'Business Case'!D12*$B738))-'Business Case'!E15*$F738</f>
        <v>712827965.081496</v>
      </c>
      <c r="L738" s="39" t="n">
        <f aca="false">(('Business Case'!F11*$C738*'Business Case'!F12*$B738)-'Business Case'!F11*$C738*'Business Case'!F13*$D738-'Business Case'!F14*$E738)-MAX(0,(('Business Case'!F11*$C738*'Business Case'!F12*$B738)-'Business Case'!F11*$C738*'Business Case'!F13*$D738-'Business Case'!F14*$E738))*'Business Case'!$B$7-'Business Case'!$B$8*(('Business Case'!F11*$C738*'Business Case'!F12*$B738)-('Business Case'!E11*$C738*'Business Case'!E12*$B738))-'Business Case'!F15*$F738</f>
        <v>853799865.746334</v>
      </c>
      <c r="M738" s="39" t="n">
        <f aca="false">(('Business Case'!G11*$C738*'Business Case'!G12*$B738)-'Business Case'!G11*$C738*'Business Case'!G13*$D738-'Business Case'!G14*$E738)-MAX(0,(('Business Case'!G11*$C738*'Business Case'!G12*$B738)-'Business Case'!G11*$C738*'Business Case'!G13*$D738-'Business Case'!G14*$E738))*'Business Case'!$B$7-'Business Case'!$B$8*(('Business Case'!G11*$C738*'Business Case'!G12*$B738)-('Business Case'!F11*$C738*'Business Case'!F12*$B738))-'Business Case'!G15*$F738+'Business Case'!$B$8*('Business Case'!G11*$C738*'Business Case'!G12*$B738)</f>
        <v>1043943009.87236</v>
      </c>
      <c r="N738" s="39" t="n">
        <f aca="false">IF(COUNT('Business Case'!B11:G11)=0,"",H738+NPV(G738,I738:M738))</f>
        <v>-8003416.99614644</v>
      </c>
      <c r="P738" s="40" t="n">
        <f aca="true">RAND()</f>
        <v>0.923589484298799</v>
      </c>
      <c r="Q738" s="40" t="n">
        <f aca="true">RAND()</f>
        <v>0.559878644320408</v>
      </c>
      <c r="R738" s="40" t="n">
        <f aca="true">RAND()</f>
        <v>0.361334370648692</v>
      </c>
      <c r="S738" s="40" t="n">
        <f aca="true">RAND()</f>
        <v>0.506781678412762</v>
      </c>
      <c r="T738" s="40" t="n">
        <f aca="true">RAND()</f>
        <v>0.0401886398723139</v>
      </c>
      <c r="U738" s="40" t="n">
        <f aca="true">RAND()</f>
        <v>0.931539948602504</v>
      </c>
    </row>
    <row r="739" customFormat="false" ht="15" hidden="false" customHeight="false" outlineLevel="0" collapsed="false">
      <c r="A739" s="36" t="n">
        <v>659</v>
      </c>
      <c r="B739" s="37" t="n">
        <f aca="false">1+IF($G$6=$E$6,$F$6,IF(P739&lt;($F$6-$E$6)/($G$6-$E$6),$E$6+SQRT(P739*($G$6-$E$6)*($F$6-$E$6)),$G$6-SQRT((1-P739)*($G$6-$E$6)*($G$6-$F$6))))</f>
        <v>0.976833534099556</v>
      </c>
      <c r="C739" s="37" t="n">
        <f aca="false">1+IF($G$7=$E$7,$F$7,IF(Q739&lt;($F$7-$E$7)/($G$7-$E$7),$E$7+SQRT(Q739*($G$7-$E$7)*($F$7-$E$7)),$G$7-SQRT((1-Q739)*($G$7-$E$7)*($G$7-$F$7))))</f>
        <v>0.960890505914914</v>
      </c>
      <c r="D739" s="37" t="n">
        <f aca="false">1+IF($G$8=$E$8,$F$8,IF(R739&lt;($F$8-$E$8)/($G$8-$E$8),$E$8+SQRT(R739*($G$8-$E$8)*($F$8-$E$8)),$G$8-SQRT((1-R739)*($G$8-$E$8)*($G$8-$F$8))))</f>
        <v>1.06988540819827</v>
      </c>
      <c r="E739" s="37" t="n">
        <f aca="false">1+IF($G$9=$E$9,$F$9,IF(S739&lt;($F$9-$E$9)/($G$9-$E$9),$E$9+SQRT(S739*($G$9-$E$9)*($F$9-$E$9)),$G$9-SQRT((1-S739)*($G$9-$E$9)*($G$9-$F$9))))</f>
        <v>0.949881286399885</v>
      </c>
      <c r="F739" s="37" t="n">
        <f aca="false">1+IF($G$10=$E$10,$F$10,IF(T739&lt;($F$10-$E$10)/($G$10-$E$10),$E$10+SQRT(T739*($G$10-$E$10)*($F$10-$E$10)),$G$10-SQRT((1-T739)*($G$10-$E$10)*($G$10-$F$10))))</f>
        <v>1.06843508813174</v>
      </c>
      <c r="G739" s="38" t="n">
        <f aca="false">IF($G$11=$E$11,$F$11,IF(U739&lt;($F$11-$E$11)/($G$11-$E$11),$E$11+SQRT(U739*($G$11-$E$11)*($F$11-$E$11)),$G$11-SQRT((1-U739)*($G$11-$E$11)*($G$11-$F$11))))</f>
        <v>0.0991149890285942</v>
      </c>
      <c r="H739" s="39" t="n">
        <f aca="false">(('Business Case'!B11*$C739*'Business Case'!B12*$B739)-'Business Case'!B11*$C739*'Business Case'!B13*$D739-'Business Case'!B14*$E739)-MAX(0,(('Business Case'!B11*$C739*'Business Case'!B12*$B739)-'Business Case'!B11*$C739*'Business Case'!B13*$D739-'Business Case'!B14*$E739))*'Business Case'!$B$7-'Business Case'!$B$8*('Business Case'!B11*$C739*'Business Case'!B12*$B739)-'Business Case'!B15*$F739</f>
        <v>-2136870176.26349</v>
      </c>
      <c r="I739" s="39" t="n">
        <f aca="false">(('Business Case'!C11*$C739*'Business Case'!C12*$B739)-'Business Case'!C11*$C739*'Business Case'!C13*$D739-'Business Case'!C14*$E739)-MAX(0,(('Business Case'!C11*$C739*'Business Case'!C12*$B739)-'Business Case'!C11*$C739*'Business Case'!C13*$D739-'Business Case'!C14*$E739))*'Business Case'!$B$7-'Business Case'!$B$8*(('Business Case'!C11*$C739*'Business Case'!C12*$B739)-('Business Case'!B11*$C739*'Business Case'!B12*$B739))-'Business Case'!C15*$F739</f>
        <v>-48045237.7450884</v>
      </c>
      <c r="J739" s="39" t="n">
        <f aca="false">(('Business Case'!D11*$C739*'Business Case'!D12*$B739)-'Business Case'!D11*$C739*'Business Case'!D13*$D739-'Business Case'!D14*$E739)-MAX(0,(('Business Case'!D11*$C739*'Business Case'!D12*$B739)-'Business Case'!D11*$C739*'Business Case'!D13*$D739-'Business Case'!D14*$E739))*'Business Case'!$B$7-'Business Case'!$B$8*(('Business Case'!D11*$C739*'Business Case'!D12*$B739)-('Business Case'!C11*$C739*'Business Case'!C12*$B739))-'Business Case'!D15*$F739</f>
        <v>194484735.014387</v>
      </c>
      <c r="K739" s="39" t="n">
        <f aca="false">(('Business Case'!E11*$C739*'Business Case'!E12*$B739)-'Business Case'!E11*$C739*'Business Case'!E13*$D739-'Business Case'!E14*$E739)-MAX(0,(('Business Case'!E11*$C739*'Business Case'!E12*$B739)-'Business Case'!E11*$C739*'Business Case'!E13*$D739-'Business Case'!E14*$E739))*'Business Case'!$B$7-'Business Case'!$B$8*(('Business Case'!E11*$C739*'Business Case'!E12*$B739)-('Business Case'!D11*$C739*'Business Case'!D12*$B739))-'Business Case'!E15*$F739</f>
        <v>490436462.18045</v>
      </c>
      <c r="L739" s="39" t="n">
        <f aca="false">(('Business Case'!F11*$C739*'Business Case'!F12*$B739)-'Business Case'!F11*$C739*'Business Case'!F13*$D739-'Business Case'!F14*$E739)-MAX(0,(('Business Case'!F11*$C739*'Business Case'!F12*$B739)-'Business Case'!F11*$C739*'Business Case'!F13*$D739-'Business Case'!F14*$E739))*'Business Case'!$B$7-'Business Case'!$B$8*(('Business Case'!F11*$C739*'Business Case'!F12*$B739)-('Business Case'!E11*$C739*'Business Case'!E12*$B739))-'Business Case'!F15*$F739</f>
        <v>603718841.610492</v>
      </c>
      <c r="M739" s="39" t="n">
        <f aca="false">(('Business Case'!G11*$C739*'Business Case'!G12*$B739)-'Business Case'!G11*$C739*'Business Case'!G13*$D739-'Business Case'!G14*$E739)-MAX(0,(('Business Case'!G11*$C739*'Business Case'!G12*$B739)-'Business Case'!G11*$C739*'Business Case'!G13*$D739-'Business Case'!G14*$E739))*'Business Case'!$B$7-'Business Case'!$B$8*(('Business Case'!G11*$C739*'Business Case'!G12*$B739)-('Business Case'!F11*$C739*'Business Case'!F12*$B739))-'Business Case'!G15*$F739+'Business Case'!$B$8*('Business Case'!G11*$C739*'Business Case'!G12*$B739)</f>
        <v>782133645.083354</v>
      </c>
      <c r="N739" s="39" t="n">
        <f aca="false">IF(COUNT('Business Case'!B11:G11)=0,"",H739+NPV(G739,I739:M739))</f>
        <v>-748950116.307182</v>
      </c>
      <c r="P739" s="40" t="n">
        <f aca="true">RAND()</f>
        <v>0.393559464148505</v>
      </c>
      <c r="Q739" s="40" t="n">
        <f aca="true">RAND()</f>
        <v>0.504176711678072</v>
      </c>
      <c r="R739" s="40" t="n">
        <f aca="true">RAND()</f>
        <v>0.939540757374341</v>
      </c>
      <c r="S739" s="40" t="n">
        <f aca="true">RAND()</f>
        <v>0.0995257093162961</v>
      </c>
      <c r="T739" s="40" t="n">
        <f aca="true">RAND()</f>
        <v>0.560455770376968</v>
      </c>
      <c r="U739" s="40" t="n">
        <f aca="true">RAND()</f>
        <v>0.365382805563275</v>
      </c>
    </row>
    <row r="740" customFormat="false" ht="15" hidden="false" customHeight="false" outlineLevel="0" collapsed="false">
      <c r="A740" s="36" t="n">
        <v>660</v>
      </c>
      <c r="B740" s="37" t="n">
        <f aca="false">1+IF($G$6=$E$6,$F$6,IF(P740&lt;($F$6-$E$6)/($G$6-$E$6),$E$6+SQRT(P740*($G$6-$E$6)*($F$6-$E$6)),$G$6-SQRT((1-P740)*($G$6-$E$6)*($G$6-$F$6))))</f>
        <v>0.966823682560215</v>
      </c>
      <c r="C740" s="37" t="n">
        <f aca="false">1+IF($G$7=$E$7,$F$7,IF(Q740&lt;($F$7-$E$7)/($G$7-$E$7),$E$7+SQRT(Q740*($G$7-$E$7)*($F$7-$E$7)),$G$7-SQRT((1-Q740)*($G$7-$E$7)*($G$7-$F$7))))</f>
        <v>0.907398926982572</v>
      </c>
      <c r="D740" s="37" t="n">
        <f aca="false">1+IF($G$8=$E$8,$F$8,IF(R740&lt;($F$8-$E$8)/($G$8-$E$8),$E$8+SQRT(R740*($G$8-$E$8)*($F$8-$E$8)),$G$8-SQRT((1-R740)*($G$8-$E$8)*($G$8-$F$8))))</f>
        <v>1.01334005158726</v>
      </c>
      <c r="E740" s="37" t="n">
        <f aca="false">1+IF($G$9=$E$9,$F$9,IF(S740&lt;($F$9-$E$9)/($G$9-$E$9),$E$9+SQRT(S740*($G$9-$E$9)*($F$9-$E$9)),$G$9-SQRT((1-S740)*($G$9-$E$9)*($G$9-$F$9))))</f>
        <v>1.06617073228064</v>
      </c>
      <c r="F740" s="37" t="n">
        <f aca="false">1+IF($G$10=$E$10,$F$10,IF(T740&lt;($F$10-$E$10)/($G$10-$E$10),$E$10+SQRT(T740*($G$10-$E$10)*($F$10-$E$10)),$G$10-SQRT((1-T740)*($G$10-$E$10)*($G$10-$F$10))))</f>
        <v>1.03146716947048</v>
      </c>
      <c r="G740" s="38" t="n">
        <f aca="false">IF($G$11=$E$11,$F$11,IF(U740&lt;($F$11-$E$11)/($G$11-$E$11),$E$11+SQRT(U740*($G$11-$E$11)*($F$11-$E$11)),$G$11-SQRT((1-U740)*($G$11-$E$11)*($G$11-$F$11))))</f>
        <v>0.109614230069497</v>
      </c>
      <c r="H740" s="39" t="n">
        <f aca="false">(('Business Case'!B11*$C740*'Business Case'!B12*$B740)-'Business Case'!B11*$C740*'Business Case'!B13*$D740-'Business Case'!B14*$E740)-MAX(0,(('Business Case'!B11*$C740*'Business Case'!B12*$B740)-'Business Case'!B11*$C740*'Business Case'!B13*$D740-'Business Case'!B14*$E740))*'Business Case'!$B$7-'Business Case'!$B$8*('Business Case'!B11*$C740*'Business Case'!B12*$B740)-'Business Case'!B15*$F740</f>
        <v>-2062934338.94097</v>
      </c>
      <c r="I740" s="39" t="n">
        <f aca="false">(('Business Case'!C11*$C740*'Business Case'!C12*$B740)-'Business Case'!C11*$C740*'Business Case'!C13*$D740-'Business Case'!C14*$E740)-MAX(0,(('Business Case'!C11*$C740*'Business Case'!C12*$B740)-'Business Case'!C11*$C740*'Business Case'!C13*$D740-'Business Case'!C14*$E740))*'Business Case'!$B$7-'Business Case'!$B$8*(('Business Case'!C11*$C740*'Business Case'!C12*$B740)-('Business Case'!B11*$C740*'Business Case'!B12*$B740))-'Business Case'!C15*$F740</f>
        <v>-52379894.012621</v>
      </c>
      <c r="J740" s="39" t="n">
        <f aca="false">(('Business Case'!D11*$C740*'Business Case'!D12*$B740)-'Business Case'!D11*$C740*'Business Case'!D13*$D740-'Business Case'!D14*$E740)-MAX(0,(('Business Case'!D11*$C740*'Business Case'!D12*$B740)-'Business Case'!D11*$C740*'Business Case'!D13*$D740-'Business Case'!D14*$E740))*'Business Case'!$B$7-'Business Case'!$B$8*(('Business Case'!D11*$C740*'Business Case'!D12*$B740)-('Business Case'!C11*$C740*'Business Case'!C12*$B740))-'Business Case'!D15*$F740</f>
        <v>195475368.039668</v>
      </c>
      <c r="K740" s="39" t="n">
        <f aca="false">(('Business Case'!E11*$C740*'Business Case'!E12*$B740)-'Business Case'!E11*$C740*'Business Case'!E13*$D740-'Business Case'!E14*$E740)-MAX(0,(('Business Case'!E11*$C740*'Business Case'!E12*$B740)-'Business Case'!E11*$C740*'Business Case'!E13*$D740-'Business Case'!E14*$E740))*'Business Case'!$B$7-'Business Case'!$B$8*(('Business Case'!E11*$C740*'Business Case'!E12*$B740)-('Business Case'!D11*$C740*'Business Case'!D12*$B740))-'Business Case'!E15*$F740</f>
        <v>494903988.565481</v>
      </c>
      <c r="L740" s="39" t="n">
        <f aca="false">(('Business Case'!F11*$C740*'Business Case'!F12*$B740)-'Business Case'!F11*$C740*'Business Case'!F13*$D740-'Business Case'!F14*$E740)-MAX(0,(('Business Case'!F11*$C740*'Business Case'!F12*$B740)-'Business Case'!F11*$C740*'Business Case'!F13*$D740-'Business Case'!F14*$E740))*'Business Case'!$B$7-'Business Case'!$B$8*(('Business Case'!F11*$C740*'Business Case'!F12*$B740)-('Business Case'!E11*$C740*'Business Case'!E12*$B740))-'Business Case'!F15*$F740</f>
        <v>607841716.574614</v>
      </c>
      <c r="M740" s="39" t="n">
        <f aca="false">(('Business Case'!G11*$C740*'Business Case'!G12*$B740)-'Business Case'!G11*$C740*'Business Case'!G13*$D740-'Business Case'!G14*$E740)-MAX(0,(('Business Case'!G11*$C740*'Business Case'!G12*$B740)-'Business Case'!G11*$C740*'Business Case'!G13*$D740-'Business Case'!G14*$E740))*'Business Case'!$B$7-'Business Case'!$B$8*(('Business Case'!G11*$C740*'Business Case'!G12*$B740)-('Business Case'!F11*$C740*'Business Case'!F12*$B740))-'Business Case'!G15*$F740+'Business Case'!$B$8*('Business Case'!G11*$C740*'Business Case'!G12*$B740)</f>
        <v>774597906.862316</v>
      </c>
      <c r="N740" s="39" t="n">
        <f aca="false">IF(COUNT('Business Case'!B11:G11)=0,"",H740+NPV(G740,I740:M740))</f>
        <v>-727683160.186787</v>
      </c>
      <c r="P740" s="40" t="n">
        <f aca="true">RAND()</f>
        <v>0.297693636727225</v>
      </c>
      <c r="Q740" s="40" t="n">
        <f aca="true">RAND()</f>
        <v>0.318624554914978</v>
      </c>
      <c r="R740" s="40" t="n">
        <f aca="true">RAND()</f>
        <v>0.499336889406786</v>
      </c>
      <c r="S740" s="40" t="n">
        <f aca="true">RAND()</f>
        <v>0.812604103296947</v>
      </c>
      <c r="T740" s="40" t="n">
        <f aca="true">RAND()</f>
        <v>0.363245359743436</v>
      </c>
      <c r="U740" s="40" t="n">
        <f aca="true">RAND()</f>
        <v>0.722946922893738</v>
      </c>
    </row>
    <row r="741" customFormat="false" ht="15" hidden="false" customHeight="false" outlineLevel="0" collapsed="false">
      <c r="A741" s="36" t="n">
        <v>661</v>
      </c>
      <c r="B741" s="37" t="n">
        <f aca="false">1+IF($G$6=$E$6,$F$6,IF(P741&lt;($F$6-$E$6)/($G$6-$E$6),$E$6+SQRT(P741*($G$6-$E$6)*($F$6-$E$6)),$G$6-SQRT((1-P741)*($G$6-$E$6)*($G$6-$F$6))))</f>
        <v>0.998880141505703</v>
      </c>
      <c r="C741" s="37" t="n">
        <f aca="false">1+IF($G$7=$E$7,$F$7,IF(Q741&lt;($F$7-$E$7)/($G$7-$E$7),$E$7+SQRT(Q741*($G$7-$E$7)*($F$7-$E$7)),$G$7-SQRT((1-Q741)*($G$7-$E$7)*($G$7-$F$7))))</f>
        <v>0.989409158692284</v>
      </c>
      <c r="D741" s="37" t="n">
        <f aca="false">1+IF($G$8=$E$8,$F$8,IF(R741&lt;($F$8-$E$8)/($G$8-$E$8),$E$8+SQRT(R741*($G$8-$E$8)*($F$8-$E$8)),$G$8-SQRT((1-R741)*($G$8-$E$8)*($G$8-$F$8))))</f>
        <v>1.00927344388864</v>
      </c>
      <c r="E741" s="37" t="n">
        <f aca="false">1+IF($G$9=$E$9,$F$9,IF(S741&lt;($F$9-$E$9)/($G$9-$E$9),$E$9+SQRT(S741*($G$9-$E$9)*($F$9-$E$9)),$G$9-SQRT((1-S741)*($G$9-$E$9)*($G$9-$F$9))))</f>
        <v>1.0499155222261</v>
      </c>
      <c r="F741" s="37" t="n">
        <f aca="false">1+IF($G$10=$E$10,$F$10,IF(T741&lt;($F$10-$E$10)/($G$10-$E$10),$E$10+SQRT(T741*($G$10-$E$10)*($F$10-$E$10)),$G$10-SQRT((1-T741)*($G$10-$E$10)*($G$10-$F$10))))</f>
        <v>1.0961347865208</v>
      </c>
      <c r="G741" s="38" t="n">
        <f aca="false">IF($G$11=$E$11,$F$11,IF(U741&lt;($F$11-$E$11)/($G$11-$E$11),$E$11+SQRT(U741*($G$11-$E$11)*($F$11-$E$11)),$G$11-SQRT((1-U741)*($G$11-$E$11)*($G$11-$F$11))))</f>
        <v>0.114465694342933</v>
      </c>
      <c r="H741" s="39" t="n">
        <f aca="false">(('Business Case'!B11*$C741*'Business Case'!B12*$B741)-'Business Case'!B11*$C741*'Business Case'!B13*$D741-'Business Case'!B14*$E741)-MAX(0,(('Business Case'!B11*$C741*'Business Case'!B12*$B741)-'Business Case'!B11*$C741*'Business Case'!B13*$D741-'Business Case'!B14*$E741))*'Business Case'!$B$7-'Business Case'!$B$8*('Business Case'!B11*$C741*'Business Case'!B12*$B741)-'Business Case'!B15*$F741</f>
        <v>-2192269573.0416</v>
      </c>
      <c r="I741" s="39" t="n">
        <f aca="false">(('Business Case'!C11*$C741*'Business Case'!C12*$B741)-'Business Case'!C11*$C741*'Business Case'!C13*$D741-'Business Case'!C14*$E741)-MAX(0,(('Business Case'!C11*$C741*'Business Case'!C12*$B741)-'Business Case'!C11*$C741*'Business Case'!C13*$D741-'Business Case'!C14*$E741))*'Business Case'!$B$7-'Business Case'!$B$8*(('Business Case'!C11*$C741*'Business Case'!C12*$B741)-('Business Case'!B11*$C741*'Business Case'!B12*$B741))-'Business Case'!C15*$F741</f>
        <v>-11850510.4058532</v>
      </c>
      <c r="J741" s="39" t="n">
        <f aca="false">(('Business Case'!D11*$C741*'Business Case'!D12*$B741)-'Business Case'!D11*$C741*'Business Case'!D13*$D741-'Business Case'!D14*$E741)-MAX(0,(('Business Case'!D11*$C741*'Business Case'!D12*$B741)-'Business Case'!D11*$C741*'Business Case'!D13*$D741-'Business Case'!D14*$E741))*'Business Case'!$B$7-'Business Case'!$B$8*(('Business Case'!D11*$C741*'Business Case'!D12*$B741)-('Business Case'!C11*$C741*'Business Case'!C12*$B741))-'Business Case'!D15*$F741</f>
        <v>286443977.258217</v>
      </c>
      <c r="K741" s="39" t="n">
        <f aca="false">(('Business Case'!E11*$C741*'Business Case'!E12*$B741)-'Business Case'!E11*$C741*'Business Case'!E13*$D741-'Business Case'!E14*$E741)-MAX(0,(('Business Case'!E11*$C741*'Business Case'!E12*$B741)-'Business Case'!E11*$C741*'Business Case'!E13*$D741-'Business Case'!E14*$E741))*'Business Case'!$B$7-'Business Case'!$B$8*(('Business Case'!E11*$C741*'Business Case'!E12*$B741)-('Business Case'!D11*$C741*'Business Case'!D12*$B741))-'Business Case'!E15*$F741</f>
        <v>639545204.248328</v>
      </c>
      <c r="L741" s="39" t="n">
        <f aca="false">(('Business Case'!F11*$C741*'Business Case'!F12*$B741)-'Business Case'!F11*$C741*'Business Case'!F13*$D741-'Business Case'!F14*$E741)-MAX(0,(('Business Case'!F11*$C741*'Business Case'!F12*$B741)-'Business Case'!F11*$C741*'Business Case'!F13*$D741-'Business Case'!F14*$E741))*'Business Case'!$B$7-'Business Case'!$B$8*(('Business Case'!F11*$C741*'Business Case'!F12*$B741)-('Business Case'!E11*$C741*'Business Case'!E12*$B741))-'Business Case'!F15*$F741</f>
        <v>773132388.241214</v>
      </c>
      <c r="M741" s="39" t="n">
        <f aca="false">(('Business Case'!G11*$C741*'Business Case'!G12*$B741)-'Business Case'!G11*$C741*'Business Case'!G13*$D741-'Business Case'!G14*$E741)-MAX(0,(('Business Case'!G11*$C741*'Business Case'!G12*$B741)-'Business Case'!G11*$C741*'Business Case'!G13*$D741-'Business Case'!G14*$E741))*'Business Case'!$B$7-'Business Case'!$B$8*(('Business Case'!G11*$C741*'Business Case'!G12*$B741)-('Business Case'!F11*$C741*'Business Case'!F12*$B741))-'Business Case'!G15*$F741+'Business Case'!$B$8*('Business Case'!G11*$C741*'Business Case'!G12*$B741)</f>
        <v>960988672.817951</v>
      </c>
      <c r="N741" s="39" t="n">
        <f aca="false">IF(COUNT('Business Case'!B11:G11)=0,"",H741+NPV(G741,I741:M741))</f>
        <v>-450109504.895087</v>
      </c>
      <c r="P741" s="40" t="n">
        <f aca="true">RAND()</f>
        <v>0.651818825612524</v>
      </c>
      <c r="Q741" s="40" t="n">
        <f aca="true">RAND()</f>
        <v>0.620427119518337</v>
      </c>
      <c r="R741" s="40" t="n">
        <f aca="true">RAND()</f>
        <v>0.451246134411481</v>
      </c>
      <c r="S741" s="40" t="n">
        <f aca="true">RAND()</f>
        <v>0.732882594899378</v>
      </c>
      <c r="T741" s="40" t="n">
        <f aca="true">RAND()</f>
        <v>0.684339947746666</v>
      </c>
      <c r="U741" s="40" t="n">
        <f aca="true">RAND()</f>
        <v>0.839123565168548</v>
      </c>
    </row>
    <row r="742" customFormat="false" ht="15" hidden="false" customHeight="false" outlineLevel="0" collapsed="false">
      <c r="A742" s="36" t="n">
        <v>662</v>
      </c>
      <c r="B742" s="37" t="n">
        <f aca="false">1+IF($G$6=$E$6,$F$6,IF(P742&lt;($F$6-$E$6)/($G$6-$E$6),$E$6+SQRT(P742*($G$6-$E$6)*($F$6-$E$6)),$G$6-SQRT((1-P742)*($G$6-$E$6)*($G$6-$F$6))))</f>
        <v>0.922168209215262</v>
      </c>
      <c r="C742" s="37" t="n">
        <f aca="false">1+IF($G$7=$E$7,$F$7,IF(Q742&lt;($F$7-$E$7)/($G$7-$E$7),$E$7+SQRT(Q742*($G$7-$E$7)*($F$7-$E$7)),$G$7-SQRT((1-Q742)*($G$7-$E$7)*($G$7-$F$7))))</f>
        <v>0.974081636133055</v>
      </c>
      <c r="D742" s="37" t="n">
        <f aca="false">1+IF($G$8=$E$8,$F$8,IF(R742&lt;($F$8-$E$8)/($G$8-$E$8),$E$8+SQRT(R742*($G$8-$E$8)*($F$8-$E$8)),$G$8-SQRT((1-R742)*($G$8-$E$8)*($G$8-$F$8))))</f>
        <v>1.00316716368783</v>
      </c>
      <c r="E742" s="37" t="n">
        <f aca="false">1+IF($G$9=$E$9,$F$9,IF(S742&lt;($F$9-$E$9)/($G$9-$E$9),$E$9+SQRT(S742*($G$9-$E$9)*($F$9-$E$9)),$G$9-SQRT((1-S742)*($G$9-$E$9)*($G$9-$F$9))))</f>
        <v>0.963729480832357</v>
      </c>
      <c r="F742" s="37" t="n">
        <f aca="false">1+IF($G$10=$E$10,$F$10,IF(T742&lt;($F$10-$E$10)/($G$10-$E$10),$E$10+SQRT(T742*($G$10-$E$10)*($F$10-$E$10)),$G$10-SQRT((1-T742)*($G$10-$E$10)*($G$10-$F$10))))</f>
        <v>1.05222909793964</v>
      </c>
      <c r="G742" s="38" t="n">
        <f aca="false">IF($G$11=$E$11,$F$11,IF(U742&lt;($F$11-$E$11)/($G$11-$E$11),$E$11+SQRT(U742*($G$11-$E$11)*($F$11-$E$11)),$G$11-SQRT((1-U742)*($G$11-$E$11)*($G$11-$F$11))))</f>
        <v>0.110141327465026</v>
      </c>
      <c r="H742" s="39" t="n">
        <f aca="false">(('Business Case'!B11*$C742*'Business Case'!B12*$B742)-'Business Case'!B11*$C742*'Business Case'!B13*$D742-'Business Case'!B14*$E742)-MAX(0,(('Business Case'!B11*$C742*'Business Case'!B12*$B742)-'Business Case'!B11*$C742*'Business Case'!B13*$D742-'Business Case'!B14*$E742))*'Business Case'!$B$7-'Business Case'!$B$8*('Business Case'!B11*$C742*'Business Case'!B12*$B742)-'Business Case'!B15*$F742</f>
        <v>-2104458195.87929</v>
      </c>
      <c r="I742" s="39" t="n">
        <f aca="false">(('Business Case'!C11*$C742*'Business Case'!C12*$B742)-'Business Case'!C11*$C742*'Business Case'!C13*$D742-'Business Case'!C14*$E742)-MAX(0,(('Business Case'!C11*$C742*'Business Case'!C12*$B742)-'Business Case'!C11*$C742*'Business Case'!C13*$D742-'Business Case'!C14*$E742))*'Business Case'!$B$7-'Business Case'!$B$8*(('Business Case'!C11*$C742*'Business Case'!C12*$B742)-('Business Case'!B11*$C742*'Business Case'!B12*$B742))-'Business Case'!C15*$F742</f>
        <v>-53317147.7423154</v>
      </c>
      <c r="J742" s="39" t="n">
        <f aca="false">(('Business Case'!D11*$C742*'Business Case'!D12*$B742)-'Business Case'!D11*$C742*'Business Case'!D13*$D742-'Business Case'!D14*$E742)-MAX(0,(('Business Case'!D11*$C742*'Business Case'!D12*$B742)-'Business Case'!D11*$C742*'Business Case'!D13*$D742-'Business Case'!D14*$E742))*'Business Case'!$B$7-'Business Case'!$B$8*(('Business Case'!D11*$C742*'Business Case'!D12*$B742)-('Business Case'!C11*$C742*'Business Case'!C12*$B742))-'Business Case'!D15*$F742</f>
        <v>182197113.88197</v>
      </c>
      <c r="K742" s="39" t="n">
        <f aca="false">(('Business Case'!E11*$C742*'Business Case'!E12*$B742)-'Business Case'!E11*$C742*'Business Case'!E13*$D742-'Business Case'!E14*$E742)-MAX(0,(('Business Case'!E11*$C742*'Business Case'!E12*$B742)-'Business Case'!E11*$C742*'Business Case'!E13*$D742-'Business Case'!E14*$E742))*'Business Case'!$B$7-'Business Case'!$B$8*(('Business Case'!E11*$C742*'Business Case'!E12*$B742)-('Business Case'!D11*$C742*'Business Case'!D12*$B742))-'Business Case'!E15*$F742</f>
        <v>470322830.403239</v>
      </c>
      <c r="L742" s="39" t="n">
        <f aca="false">(('Business Case'!F11*$C742*'Business Case'!F12*$B742)-'Business Case'!F11*$C742*'Business Case'!F13*$D742-'Business Case'!F14*$E742)-MAX(0,(('Business Case'!F11*$C742*'Business Case'!F12*$B742)-'Business Case'!F11*$C742*'Business Case'!F13*$D742-'Business Case'!F14*$E742))*'Business Case'!$B$7-'Business Case'!$B$8*(('Business Case'!F11*$C742*'Business Case'!F12*$B742)-('Business Case'!E11*$C742*'Business Case'!E12*$B742))-'Business Case'!F15*$F742</f>
        <v>579871695.876851</v>
      </c>
      <c r="M742" s="39" t="n">
        <f aca="false">(('Business Case'!G11*$C742*'Business Case'!G12*$B742)-'Business Case'!G11*$C742*'Business Case'!G13*$D742-'Business Case'!G14*$E742)-MAX(0,(('Business Case'!G11*$C742*'Business Case'!G12*$B742)-'Business Case'!G11*$C742*'Business Case'!G13*$D742-'Business Case'!G14*$E742))*'Business Case'!$B$7-'Business Case'!$B$8*(('Business Case'!G11*$C742*'Business Case'!G12*$B742)-('Business Case'!F11*$C742*'Business Case'!F12*$B742))-'Business Case'!G15*$F742+'Business Case'!$B$8*('Business Case'!G11*$C742*'Business Case'!G12*$B742)</f>
        <v>750614309.670528</v>
      </c>
      <c r="N742" s="39" t="n">
        <f aca="false">IF(COUNT('Business Case'!B11:G11)=0,"",H742+NPV(G742,I742:M742))</f>
        <v>-833928695.347175</v>
      </c>
      <c r="P742" s="40" t="n">
        <f aca="true">RAND()</f>
        <v>0.0327619666541082</v>
      </c>
      <c r="Q742" s="40" t="n">
        <f aca="true">RAND()</f>
        <v>0.556449950113871</v>
      </c>
      <c r="R742" s="40" t="n">
        <f aca="true">RAND()</f>
        <v>0.374893454116023</v>
      </c>
      <c r="S742" s="40" t="n">
        <f aca="true">RAND()</f>
        <v>0.162457869086471</v>
      </c>
      <c r="T742" s="40" t="n">
        <f aca="true">RAND()</f>
        <v>0.478488937309776</v>
      </c>
      <c r="U742" s="40" t="n">
        <f aca="true">RAND()</f>
        <v>0.737088750099103</v>
      </c>
    </row>
    <row r="743" customFormat="false" ht="15" hidden="false" customHeight="false" outlineLevel="0" collapsed="false">
      <c r="A743" s="36" t="n">
        <v>663</v>
      </c>
      <c r="B743" s="37" t="n">
        <f aca="false">1+IF($G$6=$E$6,$F$6,IF(P743&lt;($F$6-$E$6)/($G$6-$E$6),$E$6+SQRT(P743*($G$6-$E$6)*($F$6-$E$6)),$G$6-SQRT((1-P743)*($G$6-$E$6)*($G$6-$F$6))))</f>
        <v>0.988188246606617</v>
      </c>
      <c r="C743" s="37" t="n">
        <f aca="false">1+IF($G$7=$E$7,$F$7,IF(Q743&lt;($F$7-$E$7)/($G$7-$E$7),$E$7+SQRT(Q743*($G$7-$E$7)*($F$7-$E$7)),$G$7-SQRT((1-Q743)*($G$7-$E$7)*($G$7-$F$7))))</f>
        <v>0.917847944146516</v>
      </c>
      <c r="D743" s="37" t="n">
        <f aca="false">1+IF($G$8=$E$8,$F$8,IF(R743&lt;($F$8-$E$8)/($G$8-$E$8),$E$8+SQRT(R743*($G$8-$E$8)*($F$8-$E$8)),$G$8-SQRT((1-R743)*($G$8-$E$8)*($G$8-$F$8))))</f>
        <v>0.99378037862982</v>
      </c>
      <c r="E743" s="37" t="n">
        <f aca="false">1+IF($G$9=$E$9,$F$9,IF(S743&lt;($F$9-$E$9)/($G$9-$E$9),$E$9+SQRT(S743*($G$9-$E$9)*($F$9-$E$9)),$G$9-SQRT((1-S743)*($G$9-$E$9)*($G$9-$F$9))))</f>
        <v>1.03796622477514</v>
      </c>
      <c r="F743" s="37" t="n">
        <f aca="false">1+IF($G$10=$E$10,$F$10,IF(T743&lt;($F$10-$E$10)/($G$10-$E$10),$E$10+SQRT(T743*($G$10-$E$10)*($F$10-$E$10)),$G$10-SQRT((1-T743)*($G$10-$E$10)*($G$10-$F$10))))</f>
        <v>1.16064937593558</v>
      </c>
      <c r="G743" s="38" t="n">
        <f aca="false">IF($G$11=$E$11,$F$11,IF(U743&lt;($F$11-$E$11)/($G$11-$E$11),$E$11+SQRT(U743*($G$11-$E$11)*($F$11-$E$11)),$G$11-SQRT((1-U743)*($G$11-$E$11)*($G$11-$F$11))))</f>
        <v>0.0942199512315697</v>
      </c>
      <c r="H743" s="39" t="n">
        <f aca="false">(('Business Case'!B11*$C743*'Business Case'!B12*$B743)-'Business Case'!B11*$C743*'Business Case'!B13*$D743-'Business Case'!B14*$E743)-MAX(0,(('Business Case'!B11*$C743*'Business Case'!B12*$B743)-'Business Case'!B11*$C743*'Business Case'!B13*$D743-'Business Case'!B14*$E743))*'Business Case'!$B$7-'Business Case'!$B$8*('Business Case'!B11*$C743*'Business Case'!B12*$B743)-'Business Case'!B15*$F743</f>
        <v>-2321298751.87117</v>
      </c>
      <c r="I743" s="39" t="n">
        <f aca="false">(('Business Case'!C11*$C743*'Business Case'!C12*$B743)-'Business Case'!C11*$C743*'Business Case'!C13*$D743-'Business Case'!C14*$E743)-MAX(0,(('Business Case'!C11*$C743*'Business Case'!C12*$B743)-'Business Case'!C11*$C743*'Business Case'!C13*$D743-'Business Case'!C14*$E743))*'Business Case'!$B$7-'Business Case'!$B$8*(('Business Case'!C11*$C743*'Business Case'!C12*$B743)-('Business Case'!B11*$C743*'Business Case'!B12*$B743))-'Business Case'!C15*$F743</f>
        <v>-34721623.8603732</v>
      </c>
      <c r="J743" s="39" t="n">
        <f aca="false">(('Business Case'!D11*$C743*'Business Case'!D12*$B743)-'Business Case'!D11*$C743*'Business Case'!D13*$D743-'Business Case'!D14*$E743)-MAX(0,(('Business Case'!D11*$C743*'Business Case'!D12*$B743)-'Business Case'!D11*$C743*'Business Case'!D13*$D743-'Business Case'!D14*$E743))*'Business Case'!$B$7-'Business Case'!$B$8*(('Business Case'!D11*$C743*'Business Case'!D12*$B743)-('Business Case'!C11*$C743*'Business Case'!C12*$B743))-'Business Case'!D15*$F743</f>
        <v>241239706.617782</v>
      </c>
      <c r="K743" s="39" t="n">
        <f aca="false">(('Business Case'!E11*$C743*'Business Case'!E12*$B743)-'Business Case'!E11*$C743*'Business Case'!E13*$D743-'Business Case'!E14*$E743)-MAX(0,(('Business Case'!E11*$C743*'Business Case'!E12*$B743)-'Business Case'!E11*$C743*'Business Case'!E13*$D743-'Business Case'!E14*$E743))*'Business Case'!$B$7-'Business Case'!$B$8*(('Business Case'!E11*$C743*'Business Case'!E12*$B743)-('Business Case'!D11*$C743*'Business Case'!D12*$B743))-'Business Case'!E15*$F743</f>
        <v>575233505.892716</v>
      </c>
      <c r="L743" s="39" t="n">
        <f aca="false">(('Business Case'!F11*$C743*'Business Case'!F12*$B743)-'Business Case'!F11*$C743*'Business Case'!F13*$D743-'Business Case'!F14*$E743)-MAX(0,(('Business Case'!F11*$C743*'Business Case'!F12*$B743)-'Business Case'!F11*$C743*'Business Case'!F13*$D743-'Business Case'!F14*$E743))*'Business Case'!$B$7-'Business Case'!$B$8*(('Business Case'!F11*$C743*'Business Case'!F12*$B743)-('Business Case'!E11*$C743*'Business Case'!E12*$B743))-'Business Case'!F15*$F743</f>
        <v>698566762.440064</v>
      </c>
      <c r="M743" s="39" t="n">
        <f aca="false">(('Business Case'!G11*$C743*'Business Case'!G12*$B743)-'Business Case'!G11*$C743*'Business Case'!G13*$D743-'Business Case'!G14*$E743)-MAX(0,(('Business Case'!G11*$C743*'Business Case'!G12*$B743)-'Business Case'!G11*$C743*'Business Case'!G13*$D743-'Business Case'!G14*$E743))*'Business Case'!$B$7-'Business Case'!$B$8*(('Business Case'!G11*$C743*'Business Case'!G12*$B743)-('Business Case'!F11*$C743*'Business Case'!F12*$B743))-'Business Case'!G15*$F743+'Business Case'!$B$8*('Business Case'!G11*$C743*'Business Case'!G12*$B743)</f>
        <v>870970567.573861</v>
      </c>
      <c r="N743" s="39" t="n">
        <f aca="false">IF(COUNT('Business Case'!B11:G11)=0,"",H743+NPV(G743,I743:M743))</f>
        <v>-669948987.719637</v>
      </c>
      <c r="P743" s="40" t="n">
        <f aca="true">RAND()</f>
        <v>0.518477789303302</v>
      </c>
      <c r="Q743" s="40" t="n">
        <f aca="true">RAND()</f>
        <v>0.351538716806397</v>
      </c>
      <c r="R743" s="40" t="n">
        <f aca="true">RAND()</f>
        <v>0.255562873729383</v>
      </c>
      <c r="S743" s="40" t="n">
        <f aca="true">RAND()</f>
        <v>0.665291552236428</v>
      </c>
      <c r="T743" s="40" t="n">
        <f aca="true">RAND()</f>
        <v>0.893552879723992</v>
      </c>
      <c r="U743" s="40" t="n">
        <f aca="true">RAND()</f>
        <v>0.202207013028219</v>
      </c>
    </row>
    <row r="744" customFormat="false" ht="15" hidden="false" customHeight="false" outlineLevel="0" collapsed="false">
      <c r="A744" s="36" t="n">
        <v>664</v>
      </c>
      <c r="B744" s="37" t="n">
        <f aca="false">1+IF($G$6=$E$6,$F$6,IF(P744&lt;($F$6-$E$6)/($G$6-$E$6),$E$6+SQRT(P744*($G$6-$E$6)*($F$6-$E$6)),$G$6-SQRT((1-P744)*($G$6-$E$6)*($G$6-$F$6))))</f>
        <v>0.992887328501942</v>
      </c>
      <c r="C744" s="37" t="n">
        <f aca="false">1+IF($G$7=$E$7,$F$7,IF(Q744&lt;($F$7-$E$7)/($G$7-$E$7),$E$7+SQRT(Q744*($G$7-$E$7)*($F$7-$E$7)),$G$7-SQRT((1-Q744)*($G$7-$E$7)*($G$7-$F$7))))</f>
        <v>0.9943991143652</v>
      </c>
      <c r="D744" s="37" t="n">
        <f aca="false">1+IF($G$8=$E$8,$F$8,IF(R744&lt;($F$8-$E$8)/($G$8-$E$8),$E$8+SQRT(R744*($G$8-$E$8)*($F$8-$E$8)),$G$8-SQRT((1-R744)*($G$8-$E$8)*($G$8-$F$8))))</f>
        <v>1.00218742768256</v>
      </c>
      <c r="E744" s="37" t="n">
        <f aca="false">1+IF($G$9=$E$9,$F$9,IF(S744&lt;($F$9-$E$9)/($G$9-$E$9),$E$9+SQRT(S744*($G$9-$E$9)*($F$9-$E$9)),$G$9-SQRT((1-S744)*($G$9-$E$9)*($G$9-$F$9))))</f>
        <v>1.02008962817925</v>
      </c>
      <c r="F744" s="37" t="n">
        <f aca="false">1+IF($G$10=$E$10,$F$10,IF(T744&lt;($F$10-$E$10)/($G$10-$E$10),$E$10+SQRT(T744*($G$10-$E$10)*($F$10-$E$10)),$G$10-SQRT((1-T744)*($G$10-$E$10)*($G$10-$F$10))))</f>
        <v>1.04491110904435</v>
      </c>
      <c r="G744" s="38" t="n">
        <f aca="false">IF($G$11=$E$11,$F$11,IF(U744&lt;($F$11-$E$11)/($G$11-$E$11),$E$11+SQRT(U744*($G$11-$E$11)*($F$11-$E$11)),$G$11-SQRT((1-U744)*($G$11-$E$11)*($G$11-$F$11))))</f>
        <v>0.103753184704334</v>
      </c>
      <c r="H744" s="39" t="n">
        <f aca="false">(('Business Case'!B11*$C744*'Business Case'!B12*$B744)-'Business Case'!B11*$C744*'Business Case'!B13*$D744-'Business Case'!B14*$E744)-MAX(0,(('Business Case'!B11*$C744*'Business Case'!B12*$B744)-'Business Case'!B11*$C744*'Business Case'!B13*$D744-'Business Case'!B14*$E744))*'Business Case'!$B$7-'Business Case'!$B$8*('Business Case'!B11*$C744*'Business Case'!B12*$B744)-'Business Case'!B15*$F744</f>
        <v>-2089822218.0887</v>
      </c>
      <c r="I744" s="39" t="n">
        <f aca="false">(('Business Case'!C11*$C744*'Business Case'!C12*$B744)-'Business Case'!C11*$C744*'Business Case'!C13*$D744-'Business Case'!C14*$E744)-MAX(0,(('Business Case'!C11*$C744*'Business Case'!C12*$B744)-'Business Case'!C11*$C744*'Business Case'!C13*$D744-'Business Case'!C14*$E744))*'Business Case'!$B$7-'Business Case'!$B$8*(('Business Case'!C11*$C744*'Business Case'!C12*$B744)-('Business Case'!B11*$C744*'Business Case'!B12*$B744))-'Business Case'!C15*$F744</f>
        <v>-2205850.27799061</v>
      </c>
      <c r="J744" s="39" t="n">
        <f aca="false">(('Business Case'!D11*$C744*'Business Case'!D12*$B744)-'Business Case'!D11*$C744*'Business Case'!D13*$D744-'Business Case'!D14*$E744)-MAX(0,(('Business Case'!D11*$C744*'Business Case'!D12*$B744)-'Business Case'!D11*$C744*'Business Case'!D13*$D744-'Business Case'!D14*$E744))*'Business Case'!$B$7-'Business Case'!$B$8*(('Business Case'!D11*$C744*'Business Case'!D12*$B744)-('Business Case'!C11*$C744*'Business Case'!C12*$B744))-'Business Case'!D15*$F744</f>
        <v>296319149.837315</v>
      </c>
      <c r="K744" s="39" t="n">
        <f aca="false">(('Business Case'!E11*$C744*'Business Case'!E12*$B744)-'Business Case'!E11*$C744*'Business Case'!E13*$D744-'Business Case'!E14*$E744)-MAX(0,(('Business Case'!E11*$C744*'Business Case'!E12*$B744)-'Business Case'!E11*$C744*'Business Case'!E13*$D744-'Business Case'!E14*$E744))*'Business Case'!$B$7-'Business Case'!$B$8*(('Business Case'!E11*$C744*'Business Case'!E12*$B744)-('Business Case'!D11*$C744*'Business Case'!D12*$B744))-'Business Case'!E15*$F744</f>
        <v>647089705.404837</v>
      </c>
      <c r="L744" s="39" t="n">
        <f aca="false">(('Business Case'!F11*$C744*'Business Case'!F12*$B744)-'Business Case'!F11*$C744*'Business Case'!F13*$D744-'Business Case'!F14*$E744)-MAX(0,(('Business Case'!F11*$C744*'Business Case'!F12*$B744)-'Business Case'!F11*$C744*'Business Case'!F13*$D744-'Business Case'!F14*$E744))*'Business Case'!$B$7-'Business Case'!$B$8*(('Business Case'!F11*$C744*'Business Case'!F12*$B744)-('Business Case'!E11*$C744*'Business Case'!E12*$B744))-'Business Case'!F15*$F744</f>
        <v>780720035.017787</v>
      </c>
      <c r="M744" s="39" t="n">
        <f aca="false">(('Business Case'!G11*$C744*'Business Case'!G12*$B744)-'Business Case'!G11*$C744*'Business Case'!G13*$D744-'Business Case'!G14*$E744)-MAX(0,(('Business Case'!G11*$C744*'Business Case'!G12*$B744)-'Business Case'!G11*$C744*'Business Case'!G13*$D744-'Business Case'!G14*$E744))*'Business Case'!$B$7-'Business Case'!$B$8*(('Business Case'!G11*$C744*'Business Case'!G12*$B744)-('Business Case'!F11*$C744*'Business Case'!F12*$B744))-'Business Case'!G15*$F744+'Business Case'!$B$8*('Business Case'!G11*$C744*'Business Case'!G12*$B744)</f>
        <v>968391014.344281</v>
      </c>
      <c r="N744" s="39" t="n">
        <f aca="false">IF(COUNT('Business Case'!B11:G11)=0,"",H744+NPV(G744,I744:M744))</f>
        <v>-250198995.010017</v>
      </c>
      <c r="P744" s="40" t="n">
        <f aca="true">RAND()</f>
        <v>0.575203719748506</v>
      </c>
      <c r="Q744" s="40" t="n">
        <f aca="true">RAND()</f>
        <v>0.642006211400104</v>
      </c>
      <c r="R744" s="40" t="n">
        <f aca="true">RAND()</f>
        <v>0.362180046442987</v>
      </c>
      <c r="S744" s="40" t="n">
        <f aca="true">RAND()</f>
        <v>0.549954541157195</v>
      </c>
      <c r="T744" s="40" t="n">
        <f aca="true">RAND()</f>
        <v>0.439180624087755</v>
      </c>
      <c r="U744" s="40" t="n">
        <f aca="true">RAND()</f>
        <v>0.540736457890134</v>
      </c>
    </row>
    <row r="745" customFormat="false" ht="15" hidden="false" customHeight="false" outlineLevel="0" collapsed="false">
      <c r="A745" s="36" t="n">
        <v>665</v>
      </c>
      <c r="B745" s="37" t="n">
        <f aca="false">1+IF($G$6=$E$6,$F$6,IF(P745&lt;($F$6-$E$6)/($G$6-$E$6),$E$6+SQRT(P745*($G$6-$E$6)*($F$6-$E$6)),$G$6-SQRT((1-P745)*($G$6-$E$6)*($G$6-$F$6))))</f>
        <v>1.00902414181476</v>
      </c>
      <c r="C745" s="37" t="n">
        <f aca="false">1+IF($G$7=$E$7,$F$7,IF(Q745&lt;($F$7-$E$7)/($G$7-$E$7),$E$7+SQRT(Q745*($G$7-$E$7)*($F$7-$E$7)),$G$7-SQRT((1-Q745)*($G$7-$E$7)*($G$7-$F$7))))</f>
        <v>0.981970805747771</v>
      </c>
      <c r="D745" s="37" t="n">
        <f aca="false">1+IF($G$8=$E$8,$F$8,IF(R745&lt;($F$8-$E$8)/($G$8-$E$8),$E$8+SQRT(R745*($G$8-$E$8)*($F$8-$E$8)),$G$8-SQRT((1-R745)*($G$8-$E$8)*($G$8-$F$8))))</f>
        <v>0.995863362185093</v>
      </c>
      <c r="E745" s="37" t="n">
        <f aca="false">1+IF($G$9=$E$9,$F$9,IF(S745&lt;($F$9-$E$9)/($G$9-$E$9),$E$9+SQRT(S745*($G$9-$E$9)*($F$9-$E$9)),$G$9-SQRT((1-S745)*($G$9-$E$9)*($G$9-$F$9))))</f>
        <v>1.01242122707518</v>
      </c>
      <c r="F745" s="37" t="n">
        <f aca="false">1+IF($G$10=$E$10,$F$10,IF(T745&lt;($F$10-$E$10)/($G$10-$E$10),$E$10+SQRT(T745*($G$10-$E$10)*($F$10-$E$10)),$G$10-SQRT((1-T745)*($G$10-$E$10)*($G$10-$F$10))))</f>
        <v>1.0523019601231</v>
      </c>
      <c r="G745" s="38" t="n">
        <f aca="false">IF($G$11=$E$11,$F$11,IF(U745&lt;($F$11-$E$11)/($G$11-$E$11),$E$11+SQRT(U745*($G$11-$E$11)*($F$11-$E$11)),$G$11-SQRT((1-U745)*($G$11-$E$11)*($G$11-$F$11))))</f>
        <v>0.0865785254616881</v>
      </c>
      <c r="H745" s="39" t="n">
        <f aca="false">(('Business Case'!B11*$C745*'Business Case'!B12*$B745)-'Business Case'!B11*$C745*'Business Case'!B13*$D745-'Business Case'!B14*$E745)-MAX(0,(('Business Case'!B11*$C745*'Business Case'!B12*$B745)-'Business Case'!B11*$C745*'Business Case'!B13*$D745-'Business Case'!B14*$E745))*'Business Case'!$B$7-'Business Case'!$B$8*('Business Case'!B11*$C745*'Business Case'!B12*$B745)-'Business Case'!B15*$F745</f>
        <v>-2104603920.24619</v>
      </c>
      <c r="I745" s="39" t="n">
        <f aca="false">(('Business Case'!C11*$C745*'Business Case'!C12*$B745)-'Business Case'!C11*$C745*'Business Case'!C13*$D745-'Business Case'!C14*$E745)-MAX(0,(('Business Case'!C11*$C745*'Business Case'!C12*$B745)-'Business Case'!C11*$C745*'Business Case'!C13*$D745-'Business Case'!C14*$E745))*'Business Case'!$B$7-'Business Case'!$B$8*(('Business Case'!C11*$C745*'Business Case'!C12*$B745)-('Business Case'!B11*$C745*'Business Case'!B12*$B745))-'Business Case'!C15*$F745</f>
        <v>10390667.6214675</v>
      </c>
      <c r="J745" s="39" t="n">
        <f aca="false">(('Business Case'!D11*$C745*'Business Case'!D12*$B745)-'Business Case'!D11*$C745*'Business Case'!D13*$D745-'Business Case'!D14*$E745)-MAX(0,(('Business Case'!D11*$C745*'Business Case'!D12*$B745)-'Business Case'!D11*$C745*'Business Case'!D13*$D745-'Business Case'!D14*$E745))*'Business Case'!$B$7-'Business Case'!$B$8*(('Business Case'!D11*$C745*'Business Case'!D12*$B745)-('Business Case'!C11*$C745*'Business Case'!C12*$B745))-'Business Case'!D15*$F745</f>
        <v>321342573.562359</v>
      </c>
      <c r="K745" s="39" t="n">
        <f aca="false">(('Business Case'!E11*$C745*'Business Case'!E12*$B745)-'Business Case'!E11*$C745*'Business Case'!E13*$D745-'Business Case'!E14*$E745)-MAX(0,(('Business Case'!E11*$C745*'Business Case'!E12*$B745)-'Business Case'!E11*$C745*'Business Case'!E13*$D745-'Business Case'!E14*$E745))*'Business Case'!$B$7-'Business Case'!$B$8*(('Business Case'!E11*$C745*'Business Case'!E12*$B745)-('Business Case'!D11*$C745*'Business Case'!D12*$B745))-'Business Case'!E15*$F745</f>
        <v>684909577.509405</v>
      </c>
      <c r="L745" s="39" t="n">
        <f aca="false">(('Business Case'!F11*$C745*'Business Case'!F12*$B745)-'Business Case'!F11*$C745*'Business Case'!F13*$D745-'Business Case'!F14*$E745)-MAX(0,(('Business Case'!F11*$C745*'Business Case'!F12*$B745)-'Business Case'!F11*$C745*'Business Case'!F13*$D745-'Business Case'!F14*$E745))*'Business Case'!$B$7-'Business Case'!$B$8*(('Business Case'!F11*$C745*'Business Case'!F12*$B745)-('Business Case'!E11*$C745*'Business Case'!E12*$B745))-'Business Case'!F15*$F745</f>
        <v>822803375.367719</v>
      </c>
      <c r="M745" s="39" t="n">
        <f aca="false">(('Business Case'!G11*$C745*'Business Case'!G12*$B745)-'Business Case'!G11*$C745*'Business Case'!G13*$D745-'Business Case'!G14*$E745)-MAX(0,(('Business Case'!G11*$C745*'Business Case'!G12*$B745)-'Business Case'!G11*$C745*'Business Case'!G13*$D745-'Business Case'!G14*$E745))*'Business Case'!$B$7-'Business Case'!$B$8*(('Business Case'!G11*$C745*'Business Case'!G12*$B745)-('Business Case'!F11*$C745*'Business Case'!F12*$B745))-'Business Case'!G15*$F745+'Business Case'!$B$8*('Business Case'!G11*$C745*'Business Case'!G12*$B745)</f>
        <v>1011140769.36347</v>
      </c>
      <c r="N745" s="39" t="n">
        <f aca="false">IF(COUNT('Business Case'!B11:G11)=0,"",H745+NPV(G745,I745:M745))</f>
        <v>-31124519.1430688</v>
      </c>
      <c r="P745" s="40" t="n">
        <f aca="true">RAND()</f>
        <v>0.776130539464423</v>
      </c>
      <c r="Q745" s="40" t="n">
        <f aca="true">RAND()</f>
        <v>0.588944705881829</v>
      </c>
      <c r="R745" s="40" t="n">
        <f aca="true">RAND()</f>
        <v>0.280459732122805</v>
      </c>
      <c r="S745" s="40" t="n">
        <f aca="true">RAND()</f>
        <v>0.495255499746675</v>
      </c>
      <c r="T745" s="40" t="n">
        <f aca="true">RAND()</f>
        <v>0.478873133717731</v>
      </c>
      <c r="U745" s="40" t="n">
        <f aca="true">RAND()</f>
        <v>0.0432769972500788</v>
      </c>
    </row>
    <row r="746" customFormat="false" ht="15" hidden="false" customHeight="false" outlineLevel="0" collapsed="false">
      <c r="A746" s="36" t="n">
        <v>666</v>
      </c>
      <c r="B746" s="37" t="n">
        <f aca="false">1+IF($G$6=$E$6,$F$6,IF(P746&lt;($F$6-$E$6)/($G$6-$E$6),$E$6+SQRT(P746*($G$6-$E$6)*($F$6-$E$6)),$G$6-SQRT((1-P746)*($G$6-$E$6)*($G$6-$F$6))))</f>
        <v>1.00490457704666</v>
      </c>
      <c r="C746" s="37" t="n">
        <f aca="false">1+IF($G$7=$E$7,$F$7,IF(Q746&lt;($F$7-$E$7)/($G$7-$E$7),$E$7+SQRT(Q746*($G$7-$E$7)*($F$7-$E$7)),$G$7-SQRT((1-Q746)*($G$7-$E$7)*($G$7-$F$7))))</f>
        <v>1.01561687618988</v>
      </c>
      <c r="D746" s="37" t="n">
        <f aca="false">1+IF($G$8=$E$8,$F$8,IF(R746&lt;($F$8-$E$8)/($G$8-$E$8),$E$8+SQRT(R746*($G$8-$E$8)*($F$8-$E$8)),$G$8-SQRT((1-R746)*($G$8-$E$8)*($G$8-$F$8))))</f>
        <v>1.03586578949883</v>
      </c>
      <c r="E746" s="37" t="n">
        <f aca="false">1+IF($G$9=$E$9,$F$9,IF(S746&lt;($F$9-$E$9)/($G$9-$E$9),$E$9+SQRT(S746*($G$9-$E$9)*($F$9-$E$9)),$G$9-SQRT((1-S746)*($G$9-$E$9)*($G$9-$F$9))))</f>
        <v>1.0494137060934</v>
      </c>
      <c r="F746" s="37" t="n">
        <f aca="false">1+IF($G$10=$E$10,$F$10,IF(T746&lt;($F$10-$E$10)/($G$10-$E$10),$E$10+SQRT(T746*($G$10-$E$10)*($F$10-$E$10)),$G$10-SQRT((1-T746)*($G$10-$E$10)*($G$10-$F$10))))</f>
        <v>1.03627515879584</v>
      </c>
      <c r="G746" s="38" t="n">
        <f aca="false">IF($G$11=$E$11,$F$11,IF(U746&lt;($F$11-$E$11)/($G$11-$E$11),$E$11+SQRT(U746*($G$11-$E$11)*($F$11-$E$11)),$G$11-SQRT((1-U746)*($G$11-$E$11)*($G$11-$F$11))))</f>
        <v>0.0985355659047691</v>
      </c>
      <c r="H746" s="39" t="n">
        <f aca="false">(('Business Case'!B11*$C746*'Business Case'!B12*$B746)-'Business Case'!B11*$C746*'Business Case'!B13*$D746-'Business Case'!B14*$E746)-MAX(0,(('Business Case'!B11*$C746*'Business Case'!B12*$B746)-'Business Case'!B11*$C746*'Business Case'!B13*$D746-'Business Case'!B14*$E746))*'Business Case'!$B$7-'Business Case'!$B$8*('Business Case'!B11*$C746*'Business Case'!B12*$B746)-'Business Case'!B15*$F746</f>
        <v>-2072550317.59168</v>
      </c>
      <c r="I746" s="39" t="n">
        <f aca="false">(('Business Case'!C11*$C746*'Business Case'!C12*$B746)-'Business Case'!C11*$C746*'Business Case'!C13*$D746-'Business Case'!C14*$E746)-MAX(0,(('Business Case'!C11*$C746*'Business Case'!C12*$B746)-'Business Case'!C11*$C746*'Business Case'!C13*$D746-'Business Case'!C14*$E746))*'Business Case'!$B$7-'Business Case'!$B$8*(('Business Case'!C11*$C746*'Business Case'!C12*$B746)-('Business Case'!B11*$C746*'Business Case'!B12*$B746))-'Business Case'!C15*$F746</f>
        <v>-8380402.32292575</v>
      </c>
      <c r="J746" s="39" t="n">
        <f aca="false">(('Business Case'!D11*$C746*'Business Case'!D12*$B746)-'Business Case'!D11*$C746*'Business Case'!D13*$D746-'Business Case'!D14*$E746)-MAX(0,(('Business Case'!D11*$C746*'Business Case'!D12*$B746)-'Business Case'!D11*$C746*'Business Case'!D13*$D746-'Business Case'!D14*$E746))*'Business Case'!$B$7-'Business Case'!$B$8*(('Business Case'!D11*$C746*'Business Case'!D12*$B746)-('Business Case'!C11*$C746*'Business Case'!C12*$B746))-'Business Case'!D15*$F746</f>
        <v>289001143.017898</v>
      </c>
      <c r="K746" s="39" t="n">
        <f aca="false">(('Business Case'!E11*$C746*'Business Case'!E12*$B746)-'Business Case'!E11*$C746*'Business Case'!E13*$D746-'Business Case'!E14*$E746)-MAX(0,(('Business Case'!E11*$C746*'Business Case'!E12*$B746)-'Business Case'!E11*$C746*'Business Case'!E13*$D746-'Business Case'!E14*$E746))*'Business Case'!$B$7-'Business Case'!$B$8*(('Business Case'!E11*$C746*'Business Case'!E12*$B746)-('Business Case'!D11*$C746*'Business Case'!D12*$B746))-'Business Case'!E15*$F746</f>
        <v>638196446.298514</v>
      </c>
      <c r="L746" s="39" t="n">
        <f aca="false">(('Business Case'!F11*$C746*'Business Case'!F12*$B746)-'Business Case'!F11*$C746*'Business Case'!F13*$D746-'Business Case'!F14*$E746)-MAX(0,(('Business Case'!F11*$C746*'Business Case'!F12*$B746)-'Business Case'!F11*$C746*'Business Case'!F13*$D746-'Business Case'!F14*$E746))*'Business Case'!$B$7-'Business Case'!$B$8*(('Business Case'!F11*$C746*'Business Case'!F12*$B746)-('Business Case'!E11*$C746*'Business Case'!E12*$B746))-'Business Case'!F15*$F746</f>
        <v>772595496.597245</v>
      </c>
      <c r="M746" s="39" t="n">
        <f aca="false">(('Business Case'!G11*$C746*'Business Case'!G12*$B746)-'Business Case'!G11*$C746*'Business Case'!G13*$D746-'Business Case'!G14*$E746)-MAX(0,(('Business Case'!G11*$C746*'Business Case'!G12*$B746)-'Business Case'!G11*$C746*'Business Case'!G13*$D746-'Business Case'!G14*$E746))*'Business Case'!$B$7-'Business Case'!$B$8*(('Business Case'!G11*$C746*'Business Case'!G12*$B746)-('Business Case'!F11*$C746*'Business Case'!F12*$B746))-'Business Case'!G15*$F746+'Business Case'!$B$8*('Business Case'!G11*$C746*'Business Case'!G12*$B746)</f>
        <v>966590773.448754</v>
      </c>
      <c r="N746" s="39" t="n">
        <f aca="false">IF(COUNT('Business Case'!B11:G11)=0,"",H746+NPV(G746,I746:M746))</f>
        <v>-224590816.653546</v>
      </c>
      <c r="P746" s="40" t="n">
        <f aca="true">RAND()</f>
        <v>0.728853710487895</v>
      </c>
      <c r="Q746" s="40" t="n">
        <f aca="true">RAND()</f>
        <v>0.732461867185669</v>
      </c>
      <c r="R746" s="40" t="n">
        <f aca="true">RAND()</f>
        <v>0.725786869559414</v>
      </c>
      <c r="S746" s="40" t="n">
        <f aca="true">RAND()</f>
        <v>0.730197266083597</v>
      </c>
      <c r="T746" s="40" t="n">
        <f aca="true">RAND()</f>
        <v>0.390955896696748</v>
      </c>
      <c r="U746" s="40" t="n">
        <f aca="true">RAND()</f>
        <v>0.343567203410038</v>
      </c>
    </row>
    <row r="747" customFormat="false" ht="15" hidden="false" customHeight="false" outlineLevel="0" collapsed="false">
      <c r="A747" s="36" t="n">
        <v>667</v>
      </c>
      <c r="B747" s="37" t="n">
        <f aca="false">1+IF($G$6=$E$6,$F$6,IF(P747&lt;($F$6-$E$6)/($G$6-$E$6),$E$6+SQRT(P747*($G$6-$E$6)*($F$6-$E$6)),$G$6-SQRT((1-P747)*($G$6-$E$6)*($G$6-$F$6))))</f>
        <v>0.94448501039182</v>
      </c>
      <c r="C747" s="37" t="n">
        <f aca="false">1+IF($G$7=$E$7,$F$7,IF(Q747&lt;($F$7-$E$7)/($G$7-$E$7),$E$7+SQRT(Q747*($G$7-$E$7)*($F$7-$E$7)),$G$7-SQRT((1-Q747)*($G$7-$E$7)*($G$7-$F$7))))</f>
        <v>0.922373170597093</v>
      </c>
      <c r="D747" s="37" t="n">
        <f aca="false">1+IF($G$8=$E$8,$F$8,IF(R747&lt;($F$8-$E$8)/($G$8-$E$8),$E$8+SQRT(R747*($G$8-$E$8)*($F$8-$E$8)),$G$8-SQRT((1-R747)*($G$8-$E$8)*($G$8-$F$8))))</f>
        <v>1.07792573276694</v>
      </c>
      <c r="E747" s="37" t="n">
        <f aca="false">1+IF($G$9=$E$9,$F$9,IF(S747&lt;($F$9-$E$9)/($G$9-$E$9),$E$9+SQRT(S747*($G$9-$E$9)*($F$9-$E$9)),$G$9-SQRT((1-S747)*($G$9-$E$9)*($G$9-$F$9))))</f>
        <v>0.991517254766217</v>
      </c>
      <c r="F747" s="37" t="n">
        <f aca="false">1+IF($G$10=$E$10,$F$10,IF(T747&lt;($F$10-$E$10)/($G$10-$E$10),$E$10+SQRT(T747*($G$10-$E$10)*($F$10-$E$10)),$G$10-SQRT((1-T747)*($G$10-$E$10)*($G$10-$F$10))))</f>
        <v>0.990698422198815</v>
      </c>
      <c r="G747" s="38" t="n">
        <f aca="false">IF($G$11=$E$11,$F$11,IF(U747&lt;($F$11-$E$11)/($G$11-$E$11),$E$11+SQRT(U747*($G$11-$E$11)*($F$11-$E$11)),$G$11-SQRT((1-U747)*($G$11-$E$11)*($G$11-$F$11))))</f>
        <v>0.0967258848093349</v>
      </c>
      <c r="H747" s="39" t="n">
        <f aca="false">(('Business Case'!B11*$C747*'Business Case'!B12*$B747)-'Business Case'!B11*$C747*'Business Case'!B13*$D747-'Business Case'!B14*$E747)-MAX(0,(('Business Case'!B11*$C747*'Business Case'!B12*$B747)-'Business Case'!B11*$C747*'Business Case'!B13*$D747-'Business Case'!B14*$E747))*'Business Case'!$B$7-'Business Case'!$B$8*('Business Case'!B11*$C747*'Business Case'!B12*$B747)-'Business Case'!B15*$F747</f>
        <v>-1981396844.39763</v>
      </c>
      <c r="I747" s="39" t="n">
        <f aca="false">(('Business Case'!C11*$C747*'Business Case'!C12*$B747)-'Business Case'!C11*$C747*'Business Case'!C13*$D747-'Business Case'!C14*$E747)-MAX(0,(('Business Case'!C11*$C747*'Business Case'!C12*$B747)-'Business Case'!C11*$C747*'Business Case'!C13*$D747-'Business Case'!C14*$E747))*'Business Case'!$B$7-'Business Case'!$B$8*(('Business Case'!C11*$C747*'Business Case'!C12*$B747)-('Business Case'!B11*$C747*'Business Case'!B12*$B747))-'Business Case'!C15*$F747</f>
        <v>-80652255.2005201</v>
      </c>
      <c r="J747" s="39" t="n">
        <f aca="false">(('Business Case'!D11*$C747*'Business Case'!D12*$B747)-'Business Case'!D11*$C747*'Business Case'!D13*$D747-'Business Case'!D14*$E747)-MAX(0,(('Business Case'!D11*$C747*'Business Case'!D12*$B747)-'Business Case'!D11*$C747*'Business Case'!D13*$D747-'Business Case'!D14*$E747))*'Business Case'!$B$7-'Business Case'!$B$8*(('Business Case'!D11*$C747*'Business Case'!D12*$B747)-('Business Case'!C11*$C747*'Business Case'!C12*$B747))-'Business Case'!D15*$F747</f>
        <v>123920415.573278</v>
      </c>
      <c r="K747" s="39" t="n">
        <f aca="false">(('Business Case'!E11*$C747*'Business Case'!E12*$B747)-'Business Case'!E11*$C747*'Business Case'!E13*$D747-'Business Case'!E14*$E747)-MAX(0,(('Business Case'!E11*$C747*'Business Case'!E12*$B747)-'Business Case'!E11*$C747*'Business Case'!E13*$D747-'Business Case'!E14*$E747))*'Business Case'!$B$7-'Business Case'!$B$8*(('Business Case'!E11*$C747*'Business Case'!E12*$B747)-('Business Case'!D11*$C747*'Business Case'!D12*$B747))-'Business Case'!E15*$F747</f>
        <v>378028007.457017</v>
      </c>
      <c r="L747" s="39" t="n">
        <f aca="false">(('Business Case'!F11*$C747*'Business Case'!F12*$B747)-'Business Case'!F11*$C747*'Business Case'!F13*$D747-'Business Case'!F14*$E747)-MAX(0,(('Business Case'!F11*$C747*'Business Case'!F12*$B747)-'Business Case'!F11*$C747*'Business Case'!F13*$D747-'Business Case'!F14*$E747))*'Business Case'!$B$7-'Business Case'!$B$8*(('Business Case'!F11*$C747*'Business Case'!F12*$B747)-('Business Case'!E11*$C747*'Business Case'!E12*$B747))-'Business Case'!F15*$F747</f>
        <v>476326451.132738</v>
      </c>
      <c r="M747" s="39" t="n">
        <f aca="false">(('Business Case'!G11*$C747*'Business Case'!G12*$B747)-'Business Case'!G11*$C747*'Business Case'!G13*$D747-'Business Case'!G14*$E747)-MAX(0,(('Business Case'!G11*$C747*'Business Case'!G12*$B747)-'Business Case'!G11*$C747*'Business Case'!G13*$D747-'Business Case'!G14*$E747))*'Business Case'!$B$7-'Business Case'!$B$8*(('Business Case'!G11*$C747*'Business Case'!G12*$B747)-('Business Case'!F11*$C747*'Business Case'!F12*$B747))-'Business Case'!G15*$F747+'Business Case'!$B$8*('Business Case'!G11*$C747*'Business Case'!G12*$B747)</f>
        <v>641917994.930568</v>
      </c>
      <c r="N747" s="39" t="n">
        <f aca="false">IF(COUNT('Business Case'!B11:G11)=0,"",H747+NPV(G747,I747:M747))</f>
        <v>-931535163.799844</v>
      </c>
      <c r="P747" s="40" t="n">
        <f aca="true">RAND()</f>
        <v>0.131927743304023</v>
      </c>
      <c r="Q747" s="40" t="n">
        <f aca="true">RAND()</f>
        <v>0.366295014825215</v>
      </c>
      <c r="R747" s="40" t="n">
        <f aca="true">RAND()</f>
        <v>0.967515115074906</v>
      </c>
      <c r="S747" s="40" t="n">
        <f aca="true">RAND()</f>
        <v>0.335016316797784</v>
      </c>
      <c r="T747" s="40" t="n">
        <f aca="true">RAND()</f>
        <v>0.110424104631535</v>
      </c>
      <c r="U747" s="40" t="n">
        <f aca="true">RAND()</f>
        <v>0.279755222655141</v>
      </c>
    </row>
    <row r="748" customFormat="false" ht="15" hidden="false" customHeight="false" outlineLevel="0" collapsed="false">
      <c r="A748" s="36" t="n">
        <v>668</v>
      </c>
      <c r="B748" s="37" t="n">
        <f aca="false">1+IF($G$6=$E$6,$F$6,IF(P748&lt;($F$6-$E$6)/($G$6-$E$6),$E$6+SQRT(P748*($G$6-$E$6)*($F$6-$E$6)),$G$6-SQRT((1-P748)*($G$6-$E$6)*($G$6-$F$6))))</f>
        <v>1.03087071029953</v>
      </c>
      <c r="C748" s="37" t="n">
        <f aca="false">1+IF($G$7=$E$7,$F$7,IF(Q748&lt;($F$7-$E$7)/($G$7-$E$7),$E$7+SQRT(Q748*($G$7-$E$7)*($F$7-$E$7)),$G$7-SQRT((1-Q748)*($G$7-$E$7)*($G$7-$F$7))))</f>
        <v>1.06687026110362</v>
      </c>
      <c r="D748" s="37" t="n">
        <f aca="false">1+IF($G$8=$E$8,$F$8,IF(R748&lt;($F$8-$E$8)/($G$8-$E$8),$E$8+SQRT(R748*($G$8-$E$8)*($F$8-$E$8)),$G$8-SQRT((1-R748)*($G$8-$E$8)*($G$8-$F$8))))</f>
        <v>0.997526929745673</v>
      </c>
      <c r="E748" s="37" t="n">
        <f aca="false">1+IF($G$9=$E$9,$F$9,IF(S748&lt;($F$9-$E$9)/($G$9-$E$9),$E$9+SQRT(S748*($G$9-$E$9)*($F$9-$E$9)),$G$9-SQRT((1-S748)*($G$9-$E$9)*($G$9-$F$9))))</f>
        <v>0.962202797768338</v>
      </c>
      <c r="F748" s="37" t="n">
        <f aca="false">1+IF($G$10=$E$10,$F$10,IF(T748&lt;($F$10-$E$10)/($G$10-$E$10),$E$10+SQRT(T748*($G$10-$E$10)*($F$10-$E$10)),$G$10-SQRT((1-T748)*($G$10-$E$10)*($G$10-$F$10))))</f>
        <v>1.07101262440994</v>
      </c>
      <c r="G748" s="38" t="n">
        <f aca="false">IF($G$11=$E$11,$F$11,IF(U748&lt;($F$11-$E$11)/($G$11-$E$11),$E$11+SQRT(U748*($G$11-$E$11)*($F$11-$E$11)),$G$11-SQRT((1-U748)*($G$11-$E$11)*($G$11-$F$11))))</f>
        <v>0.122195151927015</v>
      </c>
      <c r="H748" s="39" t="n">
        <f aca="false">(('Business Case'!B11*$C748*'Business Case'!B12*$B748)-'Business Case'!B11*$C748*'Business Case'!B13*$D748-'Business Case'!B14*$E748)-MAX(0,(('Business Case'!B11*$C748*'Business Case'!B12*$B748)-'Business Case'!B11*$C748*'Business Case'!B13*$D748-'Business Case'!B14*$E748))*'Business Case'!$B$7-'Business Case'!$B$8*('Business Case'!B11*$C748*'Business Case'!B12*$B748)-'Business Case'!B15*$F748</f>
        <v>-2142025248.81989</v>
      </c>
      <c r="I748" s="39" t="n">
        <f aca="false">(('Business Case'!C11*$C748*'Business Case'!C12*$B748)-'Business Case'!C11*$C748*'Business Case'!C13*$D748-'Business Case'!C14*$E748)-MAX(0,(('Business Case'!C11*$C748*'Business Case'!C12*$B748)-'Business Case'!C11*$C748*'Business Case'!C13*$D748-'Business Case'!C14*$E748))*'Business Case'!$B$7-'Business Case'!$B$8*(('Business Case'!C11*$C748*'Business Case'!C12*$B748)-('Business Case'!B11*$C748*'Business Case'!B12*$B748))-'Business Case'!C15*$F748</f>
        <v>55077771.3639854</v>
      </c>
      <c r="J748" s="39" t="n">
        <f aca="false">(('Business Case'!D11*$C748*'Business Case'!D12*$B748)-'Business Case'!D11*$C748*'Business Case'!D13*$D748-'Business Case'!D14*$E748)-MAX(0,(('Business Case'!D11*$C748*'Business Case'!D12*$B748)-'Business Case'!D11*$C748*'Business Case'!D13*$D748-'Business Case'!D14*$E748))*'Business Case'!$B$7-'Business Case'!$B$8*(('Business Case'!D11*$C748*'Business Case'!D12*$B748)-('Business Case'!C11*$C748*'Business Case'!C12*$B748))-'Business Case'!D15*$F748</f>
        <v>411095949.963794</v>
      </c>
      <c r="K748" s="39" t="n">
        <f aca="false">(('Business Case'!E11*$C748*'Business Case'!E12*$B748)-'Business Case'!E11*$C748*'Business Case'!E13*$D748-'Business Case'!E14*$E748)-MAX(0,(('Business Case'!E11*$C748*'Business Case'!E12*$B748)-'Business Case'!E11*$C748*'Business Case'!E13*$D748-'Business Case'!E14*$E748))*'Business Case'!$B$7-'Business Case'!$B$8*(('Business Case'!E11*$C748*'Business Case'!E12*$B748)-('Business Case'!D11*$C748*'Business Case'!D12*$B748))-'Business Case'!E15*$F748</f>
        <v>820664759.7841</v>
      </c>
      <c r="L748" s="39" t="n">
        <f aca="false">(('Business Case'!F11*$C748*'Business Case'!F12*$B748)-'Business Case'!F11*$C748*'Business Case'!F13*$D748-'Business Case'!F14*$E748)-MAX(0,(('Business Case'!F11*$C748*'Business Case'!F12*$B748)-'Business Case'!F11*$C748*'Business Case'!F13*$D748-'Business Case'!F14*$E748))*'Business Case'!$B$7-'Business Case'!$B$8*(('Business Case'!F11*$C748*'Business Case'!F12*$B748)-('Business Case'!E11*$C748*'Business Case'!E12*$B748))-'Business Case'!F15*$F748</f>
        <v>977346757.285483</v>
      </c>
      <c r="M748" s="39" t="n">
        <f aca="false">(('Business Case'!G11*$C748*'Business Case'!G12*$B748)-'Business Case'!G11*$C748*'Business Case'!G13*$D748-'Business Case'!G14*$E748)-MAX(0,(('Business Case'!G11*$C748*'Business Case'!G12*$B748)-'Business Case'!G11*$C748*'Business Case'!G13*$D748-'Business Case'!G14*$E748))*'Business Case'!$B$7-'Business Case'!$B$8*(('Business Case'!G11*$C748*'Business Case'!G12*$B748)-('Business Case'!F11*$C748*'Business Case'!F12*$B748))-'Business Case'!G15*$F748+'Business Case'!$B$8*('Business Case'!G11*$C748*'Business Case'!G12*$B748)</f>
        <v>1186397749.44344</v>
      </c>
      <c r="N748" s="39" t="n">
        <f aca="false">IF(COUNT('Business Case'!B11:G11)=0,"",H748+NPV(G748,I748:M748))</f>
        <v>97120406.8193626</v>
      </c>
      <c r="P748" s="40" t="n">
        <f aca="true">RAND()</f>
        <v>0.95120937007404</v>
      </c>
      <c r="Q748" s="40" t="n">
        <f aca="true">RAND()</f>
        <v>0.897621429792884</v>
      </c>
      <c r="R748" s="40" t="n">
        <f aca="true">RAND()</f>
        <v>0.301174540140012</v>
      </c>
      <c r="S748" s="40" t="n">
        <f aca="true">RAND()</f>
        <v>0.15476752200835</v>
      </c>
      <c r="T748" s="40" t="n">
        <f aca="true">RAND()</f>
        <v>0.572846925058458</v>
      </c>
      <c r="U748" s="40" t="n">
        <f aca="true">RAND()</f>
        <v>0.959389564371748</v>
      </c>
    </row>
    <row r="749" customFormat="false" ht="15" hidden="false" customHeight="false" outlineLevel="0" collapsed="false">
      <c r="A749" s="36" t="n">
        <v>669</v>
      </c>
      <c r="B749" s="37" t="n">
        <f aca="false">1+IF($G$6=$E$6,$F$6,IF(P749&lt;($F$6-$E$6)/($G$6-$E$6),$E$6+SQRT(P749*($G$6-$E$6)*($F$6-$E$6)),$G$6-SQRT((1-P749)*($G$6-$E$6)*($G$6-$F$6))))</f>
        <v>0.93781499994595</v>
      </c>
      <c r="C749" s="37" t="n">
        <f aca="false">1+IF($G$7=$E$7,$F$7,IF(Q749&lt;($F$7-$E$7)/($G$7-$E$7),$E$7+SQRT(Q749*($G$7-$E$7)*($F$7-$E$7)),$G$7-SQRT((1-Q749)*($G$7-$E$7)*($G$7-$F$7))))</f>
        <v>1.03326861252534</v>
      </c>
      <c r="D749" s="37" t="n">
        <f aca="false">1+IF($G$8=$E$8,$F$8,IF(R749&lt;($F$8-$E$8)/($G$8-$E$8),$E$8+SQRT(R749*($G$8-$E$8)*($F$8-$E$8)),$G$8-SQRT((1-R749)*($G$8-$E$8)*($G$8-$F$8))))</f>
        <v>0.976049925582578</v>
      </c>
      <c r="E749" s="37" t="n">
        <f aca="false">1+IF($G$9=$E$9,$F$9,IF(S749&lt;($F$9-$E$9)/($G$9-$E$9),$E$9+SQRT(S749*($G$9-$E$9)*($F$9-$E$9)),$G$9-SQRT((1-S749)*($G$9-$E$9)*($G$9-$F$9))))</f>
        <v>0.974786165260891</v>
      </c>
      <c r="F749" s="37" t="n">
        <f aca="false">1+IF($G$10=$E$10,$F$10,IF(T749&lt;($F$10-$E$10)/($G$10-$E$10),$E$10+SQRT(T749*($G$10-$E$10)*($F$10-$E$10)),$G$10-SQRT((1-T749)*($G$10-$E$10)*($G$10-$F$10))))</f>
        <v>1.08310099497873</v>
      </c>
      <c r="G749" s="38" t="n">
        <f aca="false">IF($G$11=$E$11,$F$11,IF(U749&lt;($F$11-$E$11)/($G$11-$E$11),$E$11+SQRT(U749*($G$11-$E$11)*($F$11-$E$11)),$G$11-SQRT((1-U749)*($G$11-$E$11)*($G$11-$F$11))))</f>
        <v>0.10581155093404</v>
      </c>
      <c r="H749" s="39" t="n">
        <f aca="false">(('Business Case'!B11*$C749*'Business Case'!B12*$B749)-'Business Case'!B11*$C749*'Business Case'!B13*$D749-'Business Case'!B14*$E749)-MAX(0,(('Business Case'!B11*$C749*'Business Case'!B12*$B749)-'Business Case'!B11*$C749*'Business Case'!B13*$D749-'Business Case'!B14*$E749))*'Business Case'!$B$7-'Business Case'!$B$8*('Business Case'!B11*$C749*'Business Case'!B12*$B749)-'Business Case'!B15*$F749</f>
        <v>-2166201989.95746</v>
      </c>
      <c r="I749" s="39" t="n">
        <f aca="false">(('Business Case'!C11*$C749*'Business Case'!C12*$B749)-'Business Case'!C11*$C749*'Business Case'!C13*$D749-'Business Case'!C14*$E749)-MAX(0,(('Business Case'!C11*$C749*'Business Case'!C12*$B749)-'Business Case'!C11*$C749*'Business Case'!C13*$D749-'Business Case'!C14*$E749))*'Business Case'!$B$7-'Business Case'!$B$8*(('Business Case'!C11*$C749*'Business Case'!C12*$B749)-('Business Case'!B11*$C749*'Business Case'!B12*$B749))-'Business Case'!C15*$F749</f>
        <v>-19747981.7184373</v>
      </c>
      <c r="J749" s="39" t="n">
        <f aca="false">(('Business Case'!D11*$C749*'Business Case'!D12*$B749)-'Business Case'!D11*$C749*'Business Case'!D13*$D749-'Business Case'!D14*$E749)-MAX(0,(('Business Case'!D11*$C749*'Business Case'!D12*$B749)-'Business Case'!D11*$C749*'Business Case'!D13*$D749-'Business Case'!D14*$E749))*'Business Case'!$B$7-'Business Case'!$B$8*(('Business Case'!D11*$C749*'Business Case'!D12*$B749)-('Business Case'!C11*$C749*'Business Case'!C12*$B749))-'Business Case'!D15*$F749</f>
        <v>257662456.190068</v>
      </c>
      <c r="K749" s="39" t="n">
        <f aca="false">(('Business Case'!E11*$C749*'Business Case'!E12*$B749)-'Business Case'!E11*$C749*'Business Case'!E13*$D749-'Business Case'!E14*$E749)-MAX(0,(('Business Case'!E11*$C749*'Business Case'!E12*$B749)-'Business Case'!E11*$C749*'Business Case'!E13*$D749-'Business Case'!E14*$E749))*'Business Case'!$B$7-'Business Case'!$B$8*(('Business Case'!E11*$C749*'Business Case'!E12*$B749)-('Business Case'!D11*$C749*'Business Case'!D12*$B749))-'Business Case'!E15*$F749</f>
        <v>589227943.847511</v>
      </c>
      <c r="L749" s="39" t="n">
        <f aca="false">(('Business Case'!F11*$C749*'Business Case'!F12*$B749)-'Business Case'!F11*$C749*'Business Case'!F13*$D749-'Business Case'!F14*$E749)-MAX(0,(('Business Case'!F11*$C749*'Business Case'!F12*$B749)-'Business Case'!F11*$C749*'Business Case'!F13*$D749-'Business Case'!F14*$E749))*'Business Case'!$B$7-'Business Case'!$B$8*(('Business Case'!F11*$C749*'Business Case'!F12*$B749)-('Business Case'!E11*$C749*'Business Case'!E12*$B749))-'Business Case'!F15*$F749</f>
        <v>715187241.436327</v>
      </c>
      <c r="M749" s="39" t="n">
        <f aca="false">(('Business Case'!G11*$C749*'Business Case'!G12*$B749)-'Business Case'!G11*$C749*'Business Case'!G13*$D749-'Business Case'!G14*$E749)-MAX(0,(('Business Case'!G11*$C749*'Business Case'!G12*$B749)-'Business Case'!G11*$C749*'Business Case'!G13*$D749-'Business Case'!G14*$E749))*'Business Case'!$B$7-'Business Case'!$B$8*(('Business Case'!G11*$C749*'Business Case'!G12*$B749)-('Business Case'!F11*$C749*'Business Case'!F12*$B749))-'Business Case'!G15*$F749+'Business Case'!$B$8*('Business Case'!G11*$C749*'Business Case'!G12*$B749)</f>
        <v>899377575.342555</v>
      </c>
      <c r="N749" s="39" t="n">
        <f aca="false">IF(COUNT('Business Case'!B11:G11)=0,"",H749+NPV(G749,I749:M749))</f>
        <v>-515379804.882271</v>
      </c>
      <c r="P749" s="40" t="n">
        <f aca="true">RAND()</f>
        <v>0.0953316147274809</v>
      </c>
      <c r="Q749" s="40" t="n">
        <f aca="true">RAND()</f>
        <v>0.798130121159116</v>
      </c>
      <c r="R749" s="40" t="n">
        <f aca="true">RAND()</f>
        <v>0.0904798163810433</v>
      </c>
      <c r="S749" s="40" t="n">
        <f aca="true">RAND()</f>
        <v>0.223718820577171</v>
      </c>
      <c r="T749" s="40" t="n">
        <f aca="true">RAND()</f>
        <v>0.628596294972137</v>
      </c>
      <c r="U749" s="40" t="n">
        <f aca="true">RAND()</f>
        <v>0.609945954522306</v>
      </c>
    </row>
    <row r="750" customFormat="false" ht="15" hidden="false" customHeight="false" outlineLevel="0" collapsed="false">
      <c r="A750" s="36" t="n">
        <v>670</v>
      </c>
      <c r="B750" s="37" t="n">
        <f aca="false">1+IF($G$6=$E$6,$F$6,IF(P750&lt;($F$6-$E$6)/($G$6-$E$6),$E$6+SQRT(P750*($G$6-$E$6)*($F$6-$E$6)),$G$6-SQRT((1-P750)*($G$6-$E$6)*($G$6-$F$6))))</f>
        <v>0.999464107323365</v>
      </c>
      <c r="C750" s="37" t="n">
        <f aca="false">1+IF($G$7=$E$7,$F$7,IF(Q750&lt;($F$7-$E$7)/($G$7-$E$7),$E$7+SQRT(Q750*($G$7-$E$7)*($F$7-$E$7)),$G$7-SQRT((1-Q750)*($G$7-$E$7)*($G$7-$F$7))))</f>
        <v>1.10385059869756</v>
      </c>
      <c r="D750" s="37" t="n">
        <f aca="false">1+IF($G$8=$E$8,$F$8,IF(R750&lt;($F$8-$E$8)/($G$8-$E$8),$E$8+SQRT(R750*($G$8-$E$8)*($F$8-$E$8)),$G$8-SQRT((1-R750)*($G$8-$E$8)*($G$8-$F$8))))</f>
        <v>0.997961687660115</v>
      </c>
      <c r="E750" s="37" t="n">
        <f aca="false">1+IF($G$9=$E$9,$F$9,IF(S750&lt;($F$9-$E$9)/($G$9-$E$9),$E$9+SQRT(S750*($G$9-$E$9)*($F$9-$E$9)),$G$9-SQRT((1-S750)*($G$9-$E$9)*($G$9-$F$9))))</f>
        <v>1.02288555859387</v>
      </c>
      <c r="F750" s="37" t="n">
        <f aca="false">1+IF($G$10=$E$10,$F$10,IF(T750&lt;($F$10-$E$10)/($G$10-$E$10),$E$10+SQRT(T750*($G$10-$E$10)*($F$10-$E$10)),$G$10-SQRT((1-T750)*($G$10-$E$10)*($G$10-$F$10))))</f>
        <v>0.959161555689359</v>
      </c>
      <c r="G750" s="38" t="n">
        <f aca="false">IF($G$11=$E$11,$F$11,IF(U750&lt;($F$11-$E$11)/($G$11-$E$11),$E$11+SQRT(U750*($G$11-$E$11)*($F$11-$E$11)),$G$11-SQRT((1-U750)*($G$11-$E$11)*($G$11-$F$11))))</f>
        <v>0.0921332238101967</v>
      </c>
      <c r="H750" s="39" t="n">
        <f aca="false">(('Business Case'!B11*$C750*'Business Case'!B12*$B750)-'Business Case'!B11*$C750*'Business Case'!B13*$D750-'Business Case'!B14*$E750)-MAX(0,(('Business Case'!B11*$C750*'Business Case'!B12*$B750)-'Business Case'!B11*$C750*'Business Case'!B13*$D750-'Business Case'!B14*$E750))*'Business Case'!$B$7-'Business Case'!$B$8*('Business Case'!B11*$C750*'Business Case'!B12*$B750)-'Business Case'!B15*$F750</f>
        <v>-1918323111.37872</v>
      </c>
      <c r="I750" s="39" t="n">
        <f aca="false">(('Business Case'!C11*$C750*'Business Case'!C12*$B750)-'Business Case'!C11*$C750*'Business Case'!C13*$D750-'Business Case'!C14*$E750)-MAX(0,(('Business Case'!C11*$C750*'Business Case'!C12*$B750)-'Business Case'!C11*$C750*'Business Case'!C13*$D750-'Business Case'!C14*$E750))*'Business Case'!$B$7-'Business Case'!$B$8*(('Business Case'!C11*$C750*'Business Case'!C12*$B750)-('Business Case'!B11*$C750*'Business Case'!B12*$B750))-'Business Case'!C15*$F750</f>
        <v>41153785.5100387</v>
      </c>
      <c r="J750" s="39" t="n">
        <f aca="false">(('Business Case'!D11*$C750*'Business Case'!D12*$B750)-'Business Case'!D11*$C750*'Business Case'!D13*$D750-'Business Case'!D14*$E750)-MAX(0,(('Business Case'!D11*$C750*'Business Case'!D12*$B750)-'Business Case'!D11*$C750*'Business Case'!D13*$D750-'Business Case'!D14*$E750))*'Business Case'!$B$7-'Business Case'!$B$8*(('Business Case'!D11*$C750*'Business Case'!D12*$B750)-('Business Case'!C11*$C750*'Business Case'!C12*$B750))-'Business Case'!D15*$F750</f>
        <v>380871002.341315</v>
      </c>
      <c r="K750" s="39" t="n">
        <f aca="false">(('Business Case'!E11*$C750*'Business Case'!E12*$B750)-'Business Case'!E11*$C750*'Business Case'!E13*$D750-'Business Case'!E14*$E750)-MAX(0,(('Business Case'!E11*$C750*'Business Case'!E12*$B750)-'Business Case'!E11*$C750*'Business Case'!E13*$D750-'Business Case'!E14*$E750))*'Business Case'!$B$7-'Business Case'!$B$8*(('Business Case'!E11*$C750*'Business Case'!E12*$B750)-('Business Case'!D11*$C750*'Business Case'!D12*$B750))-'Business Case'!E15*$F750</f>
        <v>768546296.957058</v>
      </c>
      <c r="L750" s="39" t="n">
        <f aca="false">(('Business Case'!F11*$C750*'Business Case'!F12*$B750)-'Business Case'!F11*$C750*'Business Case'!F13*$D750-'Business Case'!F14*$E750)-MAX(0,(('Business Case'!F11*$C750*'Business Case'!F12*$B750)-'Business Case'!F11*$C750*'Business Case'!F13*$D750-'Business Case'!F14*$E750))*'Business Case'!$B$7-'Business Case'!$B$8*(('Business Case'!F11*$C750*'Business Case'!F12*$B750)-('Business Case'!E11*$C750*'Business Case'!E12*$B750))-'Business Case'!F15*$F750</f>
        <v>919914002.114319</v>
      </c>
      <c r="M750" s="39" t="n">
        <f aca="false">(('Business Case'!G11*$C750*'Business Case'!G12*$B750)-'Business Case'!G11*$C750*'Business Case'!G13*$D750-'Business Case'!G14*$E750)-MAX(0,(('Business Case'!G11*$C750*'Business Case'!G12*$B750)-'Business Case'!G11*$C750*'Business Case'!G13*$D750-'Business Case'!G14*$E750))*'Business Case'!$B$7-'Business Case'!$B$8*(('Business Case'!G11*$C750*'Business Case'!G12*$B750)-('Business Case'!F11*$C750*'Business Case'!F12*$B750))-'Business Case'!G15*$F750+'Business Case'!$B$8*('Business Case'!G11*$C750*'Business Case'!G12*$B750)</f>
        <v>1129621482.95525</v>
      </c>
      <c r="N750" s="39" t="n">
        <f aca="false">IF(COUNT('Business Case'!B11:G11)=0,"",H750+NPV(G750,I750:M750))</f>
        <v>402315002.745752</v>
      </c>
      <c r="P750" s="40" t="n">
        <f aca="true">RAND()</f>
        <v>0.659540576375594</v>
      </c>
      <c r="Q750" s="40" t="n">
        <f aca="true">RAND()</f>
        <v>0.968447892732245</v>
      </c>
      <c r="R750" s="40" t="n">
        <f aca="true">RAND()</f>
        <v>0.306709797760855</v>
      </c>
      <c r="S750" s="40" t="n">
        <f aca="true">RAND()</f>
        <v>0.569117834293528</v>
      </c>
      <c r="T750" s="40" t="n">
        <f aca="true">RAND()</f>
        <v>0.00559560684328179</v>
      </c>
      <c r="U750" s="40" t="n">
        <f aca="true">RAND()</f>
        <v>0.147215120028325</v>
      </c>
    </row>
    <row r="751" customFormat="false" ht="15" hidden="false" customHeight="false" outlineLevel="0" collapsed="false">
      <c r="A751" s="36" t="n">
        <v>671</v>
      </c>
      <c r="B751" s="37" t="n">
        <f aca="false">1+IF($G$6=$E$6,$F$6,IF(P751&lt;($F$6-$E$6)/($G$6-$E$6),$E$6+SQRT(P751*($G$6-$E$6)*($F$6-$E$6)),$G$6-SQRT((1-P751)*($G$6-$E$6)*($G$6-$F$6))))</f>
        <v>1.0158939981844</v>
      </c>
      <c r="C751" s="37" t="n">
        <f aca="false">1+IF($G$7=$E$7,$F$7,IF(Q751&lt;($F$7-$E$7)/($G$7-$E$7),$E$7+SQRT(Q751*($G$7-$E$7)*($F$7-$E$7)),$G$7-SQRT((1-Q751)*($G$7-$E$7)*($G$7-$F$7))))</f>
        <v>0.874765057757771</v>
      </c>
      <c r="D751" s="37" t="n">
        <f aca="false">1+IF($G$8=$E$8,$F$8,IF(R751&lt;($F$8-$E$8)/($G$8-$E$8),$E$8+SQRT(R751*($G$8-$E$8)*($F$8-$E$8)),$G$8-SQRT((1-R751)*($G$8-$E$8)*($G$8-$F$8))))</f>
        <v>1.05115747904656</v>
      </c>
      <c r="E751" s="37" t="n">
        <f aca="false">1+IF($G$9=$E$9,$F$9,IF(S751&lt;($F$9-$E$9)/($G$9-$E$9),$E$9+SQRT(S751*($G$9-$E$9)*($F$9-$E$9)),$G$9-SQRT((1-S751)*($G$9-$E$9)*($G$9-$F$9))))</f>
        <v>0.99130563113724</v>
      </c>
      <c r="F751" s="37" t="n">
        <f aca="false">1+IF($G$10=$E$10,$F$10,IF(T751&lt;($F$10-$E$10)/($G$10-$E$10),$E$10+SQRT(T751*($G$10-$E$10)*($F$10-$E$10)),$G$10-SQRT((1-T751)*($G$10-$E$10)*($G$10-$F$10))))</f>
        <v>0.991118941300506</v>
      </c>
      <c r="G751" s="38" t="n">
        <f aca="false">IF($G$11=$E$11,$F$11,IF(U751&lt;($F$11-$E$11)/($G$11-$E$11),$E$11+SQRT(U751*($G$11-$E$11)*($F$11-$E$11)),$G$11-SQRT((1-U751)*($G$11-$E$11)*($G$11-$F$11))))</f>
        <v>0.0967704265725176</v>
      </c>
      <c r="H751" s="39" t="n">
        <f aca="false">(('Business Case'!B11*$C751*'Business Case'!B12*$B751)-'Business Case'!B11*$C751*'Business Case'!B13*$D751-'Business Case'!B14*$E751)-MAX(0,(('Business Case'!B11*$C751*'Business Case'!B12*$B751)-'Business Case'!B11*$C751*'Business Case'!B13*$D751-'Business Case'!B14*$E751))*'Business Case'!$B$7-'Business Case'!$B$8*('Business Case'!B11*$C751*'Business Case'!B12*$B751)-'Business Case'!B15*$F751</f>
        <v>-1982237882.60101</v>
      </c>
      <c r="I751" s="39" t="n">
        <f aca="false">(('Business Case'!C11*$C751*'Business Case'!C12*$B751)-'Business Case'!C11*$C751*'Business Case'!C13*$D751-'Business Case'!C14*$E751)-MAX(0,(('Business Case'!C11*$C751*'Business Case'!C12*$B751)-'Business Case'!C11*$C751*'Business Case'!C13*$D751-'Business Case'!C14*$E751))*'Business Case'!$B$7-'Business Case'!$B$8*(('Business Case'!C11*$C751*'Business Case'!C12*$B751)-('Business Case'!B11*$C751*'Business Case'!B12*$B751))-'Business Case'!C15*$F751</f>
        <v>-28979134.2100983</v>
      </c>
      <c r="J751" s="39" t="n">
        <f aca="false">(('Business Case'!D11*$C751*'Business Case'!D12*$B751)-'Business Case'!D11*$C751*'Business Case'!D13*$D751-'Business Case'!D14*$E751)-MAX(0,(('Business Case'!D11*$C751*'Business Case'!D12*$B751)-'Business Case'!D11*$C751*'Business Case'!D13*$D751-'Business Case'!D14*$E751))*'Business Case'!$B$7-'Business Case'!$B$8*(('Business Case'!D11*$C751*'Business Case'!D12*$B751)-('Business Case'!C11*$C751*'Business Case'!C12*$B751))-'Business Case'!D15*$F751</f>
        <v>228185865.229923</v>
      </c>
      <c r="K751" s="39" t="n">
        <f aca="false">(('Business Case'!E11*$C751*'Business Case'!E12*$B751)-'Business Case'!E11*$C751*'Business Case'!E13*$D751-'Business Case'!E14*$E751)-MAX(0,(('Business Case'!E11*$C751*'Business Case'!E12*$B751)-'Business Case'!E11*$C751*'Business Case'!E13*$D751-'Business Case'!E14*$E751))*'Business Case'!$B$7-'Business Case'!$B$8*(('Business Case'!E11*$C751*'Business Case'!E12*$B751)-('Business Case'!D11*$C751*'Business Case'!D12*$B751))-'Business Case'!E15*$F751</f>
        <v>534906811.734969</v>
      </c>
      <c r="L751" s="39" t="n">
        <f aca="false">(('Business Case'!F11*$C751*'Business Case'!F12*$B751)-'Business Case'!F11*$C751*'Business Case'!F13*$D751-'Business Case'!F14*$E751)-MAX(0,(('Business Case'!F11*$C751*'Business Case'!F12*$B751)-'Business Case'!F11*$C751*'Business Case'!F13*$D751-'Business Case'!F14*$E751))*'Business Case'!$B$7-'Business Case'!$B$8*(('Business Case'!F11*$C751*'Business Case'!F12*$B751)-('Business Case'!E11*$C751*'Business Case'!E12*$B751))-'Business Case'!F15*$F751</f>
        <v>651340864.063211</v>
      </c>
      <c r="M751" s="39" t="n">
        <f aca="false">(('Business Case'!G11*$C751*'Business Case'!G12*$B751)-'Business Case'!G11*$C751*'Business Case'!G13*$D751-'Business Case'!G14*$E751)-MAX(0,(('Business Case'!G11*$C751*'Business Case'!G12*$B751)-'Business Case'!G11*$C751*'Business Case'!G13*$D751-'Business Case'!G14*$E751))*'Business Case'!$B$7-'Business Case'!$B$8*(('Business Case'!G11*$C751*'Business Case'!G12*$B751)-('Business Case'!F11*$C751*'Business Case'!F12*$B751))-'Business Case'!G15*$F751+'Business Case'!$B$8*('Business Case'!G11*$C751*'Business Case'!G12*$B751)</f>
        <v>820258986.228506</v>
      </c>
      <c r="N751" s="39" t="n">
        <f aca="false">IF(COUNT('Business Case'!B11:G11)=0,"",H751+NPV(G751,I751:M751))</f>
        <v>-446523447.791803</v>
      </c>
      <c r="P751" s="40" t="n">
        <f aca="true">RAND()</f>
        <v>0.844904085353933</v>
      </c>
      <c r="Q751" s="40" t="n">
        <f aca="true">RAND()</f>
        <v>0.226243151207978</v>
      </c>
      <c r="R751" s="40" t="n">
        <f aca="true">RAND()</f>
        <v>0.840960543127534</v>
      </c>
      <c r="S751" s="40" t="n">
        <f aca="true">RAND()</f>
        <v>0.333468731094791</v>
      </c>
      <c r="T751" s="40" t="n">
        <f aca="true">RAND()</f>
        <v>0.112717822244964</v>
      </c>
      <c r="U751" s="40" t="n">
        <f aca="true">RAND()</f>
        <v>0.281247207424205</v>
      </c>
    </row>
    <row r="752" customFormat="false" ht="15" hidden="false" customHeight="false" outlineLevel="0" collapsed="false">
      <c r="A752" s="36" t="n">
        <v>672</v>
      </c>
      <c r="B752" s="37" t="n">
        <f aca="false">1+IF($G$6=$E$6,$F$6,IF(P752&lt;($F$6-$E$6)/($G$6-$E$6),$E$6+SQRT(P752*($G$6-$E$6)*($F$6-$E$6)),$G$6-SQRT((1-P752)*($G$6-$E$6)*($G$6-$F$6))))</f>
        <v>0.995720660900929</v>
      </c>
      <c r="C752" s="37" t="n">
        <f aca="false">1+IF($G$7=$E$7,$F$7,IF(Q752&lt;($F$7-$E$7)/($G$7-$E$7),$E$7+SQRT(Q752*($G$7-$E$7)*($F$7-$E$7)),$G$7-SQRT((1-Q752)*($G$7-$E$7)*($G$7-$F$7))))</f>
        <v>1.09189857374165</v>
      </c>
      <c r="D752" s="37" t="n">
        <f aca="false">1+IF($G$8=$E$8,$F$8,IF(R752&lt;($F$8-$E$8)/($G$8-$E$8),$E$8+SQRT(R752*($G$8-$E$8)*($F$8-$E$8)),$G$8-SQRT((1-R752)*($G$8-$E$8)*($G$8-$F$8))))</f>
        <v>1.01256281922453</v>
      </c>
      <c r="E752" s="37" t="n">
        <f aca="false">1+IF($G$9=$E$9,$F$9,IF(S752&lt;($F$9-$E$9)/($G$9-$E$9),$E$9+SQRT(S752*($G$9-$E$9)*($F$9-$E$9)),$G$9-SQRT((1-S752)*($G$9-$E$9)*($G$9-$F$9))))</f>
        <v>1.02923254902743</v>
      </c>
      <c r="F752" s="37" t="n">
        <f aca="false">1+IF($G$10=$E$10,$F$10,IF(T752&lt;($F$10-$E$10)/($G$10-$E$10),$E$10+SQRT(T752*($G$10-$E$10)*($F$10-$E$10)),$G$10-SQRT((1-T752)*($G$10-$E$10)*($G$10-$F$10))))</f>
        <v>1.07322436450513</v>
      </c>
      <c r="G752" s="38" t="n">
        <f aca="false">IF($G$11=$E$11,$F$11,IF(U752&lt;($F$11-$E$11)/($G$11-$E$11),$E$11+SQRT(U752*($G$11-$E$11)*($F$11-$E$11)),$G$11-SQRT((1-U752)*($G$11-$E$11)*($G$11-$F$11))))</f>
        <v>0.114878128688377</v>
      </c>
      <c r="H752" s="39" t="n">
        <f aca="false">(('Business Case'!B11*$C752*'Business Case'!B12*$B752)-'Business Case'!B11*$C752*'Business Case'!B13*$D752-'Business Case'!B14*$E752)-MAX(0,(('Business Case'!B11*$C752*'Business Case'!B12*$B752)-'Business Case'!B11*$C752*'Business Case'!B13*$D752-'Business Case'!B14*$E752))*'Business Case'!$B$7-'Business Case'!$B$8*('Business Case'!B11*$C752*'Business Case'!B12*$B752)-'Business Case'!B15*$F752</f>
        <v>-2146448729.01026</v>
      </c>
      <c r="I752" s="39" t="n">
        <f aca="false">(('Business Case'!C11*$C752*'Business Case'!C12*$B752)-'Business Case'!C11*$C752*'Business Case'!C13*$D752-'Business Case'!C14*$E752)-MAX(0,(('Business Case'!C11*$C752*'Business Case'!C12*$B752)-'Business Case'!C11*$C752*'Business Case'!C13*$D752-'Business Case'!C14*$E752))*'Business Case'!$B$7-'Business Case'!$B$8*(('Business Case'!C11*$C752*'Business Case'!C12*$B752)-('Business Case'!B11*$C752*'Business Case'!B12*$B752))-'Business Case'!C15*$F752</f>
        <v>14488359.5227131</v>
      </c>
      <c r="J752" s="39" t="n">
        <f aca="false">(('Business Case'!D11*$C752*'Business Case'!D12*$B752)-'Business Case'!D11*$C752*'Business Case'!D13*$D752-'Business Case'!D14*$E752)-MAX(0,(('Business Case'!D11*$C752*'Business Case'!D12*$B752)-'Business Case'!D11*$C752*'Business Case'!D13*$D752-'Business Case'!D14*$E752))*'Business Case'!$B$7-'Business Case'!$B$8*(('Business Case'!D11*$C752*'Business Case'!D12*$B752)-('Business Case'!C11*$C752*'Business Case'!C12*$B752))-'Business Case'!D15*$F752</f>
        <v>339017818.225629</v>
      </c>
      <c r="K752" s="39" t="n">
        <f aca="false">(('Business Case'!E11*$C752*'Business Case'!E12*$B752)-'Business Case'!E11*$C752*'Business Case'!E13*$D752-'Business Case'!E14*$E752)-MAX(0,(('Business Case'!E11*$C752*'Business Case'!E12*$B752)-'Business Case'!E11*$C752*'Business Case'!E13*$D752-'Business Case'!E14*$E752))*'Business Case'!$B$7-'Business Case'!$B$8*(('Business Case'!E11*$C752*'Business Case'!E12*$B752)-('Business Case'!D11*$C752*'Business Case'!D12*$B752))-'Business Case'!E15*$F752</f>
        <v>717208495.153801</v>
      </c>
      <c r="L752" s="39" t="n">
        <f aca="false">(('Business Case'!F11*$C752*'Business Case'!F12*$B752)-'Business Case'!F11*$C752*'Business Case'!F13*$D752-'Business Case'!F14*$E752)-MAX(0,(('Business Case'!F11*$C752*'Business Case'!F12*$B752)-'Business Case'!F11*$C752*'Business Case'!F13*$D752-'Business Case'!F14*$E752))*'Business Case'!$B$7-'Business Case'!$B$8*(('Business Case'!F11*$C752*'Business Case'!F12*$B752)-('Business Case'!E11*$C752*'Business Case'!E12*$B752))-'Business Case'!F15*$F752</f>
        <v>862959510.893432</v>
      </c>
      <c r="M752" s="39" t="n">
        <f aca="false">(('Business Case'!G11*$C752*'Business Case'!G12*$B752)-'Business Case'!G11*$C752*'Business Case'!G13*$D752-'Business Case'!G14*$E752)-MAX(0,(('Business Case'!G11*$C752*'Business Case'!G12*$B752)-'Business Case'!G11*$C752*'Business Case'!G13*$D752-'Business Case'!G14*$E752))*'Business Case'!$B$7-'Business Case'!$B$8*(('Business Case'!G11*$C752*'Business Case'!G12*$B752)-('Business Case'!F11*$C752*'Business Case'!F12*$B752))-'Business Case'!G15*$F752+'Business Case'!$B$8*('Business Case'!G11*$C752*'Business Case'!G12*$B752)</f>
        <v>1069619423.17273</v>
      </c>
      <c r="N752" s="39" t="n">
        <f aca="false">IF(COUNT('Business Case'!B11:G11)=0,"",H752+NPV(G752,I752:M752))</f>
        <v>-163563218.630463</v>
      </c>
      <c r="P752" s="40" t="n">
        <f aca="true">RAND()</f>
        <v>0.610829661554035</v>
      </c>
      <c r="Q752" s="40" t="n">
        <f aca="true">RAND()</f>
        <v>0.949988507655484</v>
      </c>
      <c r="R752" s="40" t="n">
        <f aca="true">RAND()</f>
        <v>0.490315961202492</v>
      </c>
      <c r="S752" s="40" t="n">
        <f aca="true">RAND()</f>
        <v>0.611072607615683</v>
      </c>
      <c r="T752" s="40" t="n">
        <f aca="true">RAND()</f>
        <v>0.583338329271791</v>
      </c>
      <c r="U752" s="40" t="n">
        <f aca="true">RAND()</f>
        <v>0.847552672023139</v>
      </c>
    </row>
    <row r="753" customFormat="false" ht="15" hidden="false" customHeight="false" outlineLevel="0" collapsed="false">
      <c r="A753" s="36" t="n">
        <v>673</v>
      </c>
      <c r="B753" s="37" t="n">
        <f aca="false">1+IF($G$6=$E$6,$F$6,IF(P753&lt;($F$6-$E$6)/($G$6-$E$6),$E$6+SQRT(P753*($G$6-$E$6)*($F$6-$E$6)),$G$6-SQRT((1-P753)*($G$6-$E$6)*($G$6-$F$6))))</f>
        <v>1.0153510889816</v>
      </c>
      <c r="C753" s="37" t="n">
        <f aca="false">1+IF($G$7=$E$7,$F$7,IF(Q753&lt;($F$7-$E$7)/($G$7-$E$7),$E$7+SQRT(Q753*($G$7-$E$7)*($F$7-$E$7)),$G$7-SQRT((1-Q753)*($G$7-$E$7)*($G$7-$F$7))))</f>
        <v>0.992440901806994</v>
      </c>
      <c r="D753" s="37" t="n">
        <f aca="false">1+IF($G$8=$E$8,$F$8,IF(R753&lt;($F$8-$E$8)/($G$8-$E$8),$E$8+SQRT(R753*($G$8-$E$8)*($F$8-$E$8)),$G$8-SQRT((1-R753)*($G$8-$E$8)*($G$8-$F$8))))</f>
        <v>1.08061403227909</v>
      </c>
      <c r="E753" s="37" t="n">
        <f aca="false">1+IF($G$9=$E$9,$F$9,IF(S753&lt;($F$9-$E$9)/($G$9-$E$9),$E$9+SQRT(S753*($G$9-$E$9)*($F$9-$E$9)),$G$9-SQRT((1-S753)*($G$9-$E$9)*($G$9-$F$9))))</f>
        <v>0.933389895650083</v>
      </c>
      <c r="F753" s="37" t="n">
        <f aca="false">1+IF($G$10=$E$10,$F$10,IF(T753&lt;($F$10-$E$10)/($G$10-$E$10),$E$10+SQRT(T753*($G$10-$E$10)*($F$10-$E$10)),$G$10-SQRT((1-T753)*($G$10-$E$10)*($G$10-$F$10))))</f>
        <v>1.00315296857503</v>
      </c>
      <c r="G753" s="38" t="n">
        <f aca="false">IF($G$11=$E$11,$F$11,IF(U753&lt;($F$11-$E$11)/($G$11-$E$11),$E$11+SQRT(U753*($G$11-$E$11)*($F$11-$E$11)),$G$11-SQRT((1-U753)*($G$11-$E$11)*($G$11-$F$11))))</f>
        <v>0.102600299021175</v>
      </c>
      <c r="H753" s="39" t="n">
        <f aca="false">(('Business Case'!B11*$C753*'Business Case'!B12*$B753)-'Business Case'!B11*$C753*'Business Case'!B13*$D753-'Business Case'!B14*$E753)-MAX(0,(('Business Case'!B11*$C753*'Business Case'!B12*$B753)-'Business Case'!B11*$C753*'Business Case'!B13*$D753-'Business Case'!B14*$E753))*'Business Case'!$B$7-'Business Case'!$B$8*('Business Case'!B11*$C753*'Business Case'!B12*$B753)-'Business Case'!B15*$F753</f>
        <v>-2006305937.15007</v>
      </c>
      <c r="I753" s="39" t="n">
        <f aca="false">(('Business Case'!C11*$C753*'Business Case'!C12*$B753)-'Business Case'!C11*$C753*'Business Case'!C13*$D753-'Business Case'!C14*$E753)-MAX(0,(('Business Case'!C11*$C753*'Business Case'!C12*$B753)-'Business Case'!C11*$C753*'Business Case'!C13*$D753-'Business Case'!C14*$E753))*'Business Case'!$B$7-'Business Case'!$B$8*(('Business Case'!C11*$C753*'Business Case'!C12*$B753)-('Business Case'!B11*$C753*'Business Case'!B12*$B753))-'Business Case'!C15*$F753</f>
        <v>-8928438.72335093</v>
      </c>
      <c r="J753" s="39" t="n">
        <f aca="false">(('Business Case'!D11*$C753*'Business Case'!D12*$B753)-'Business Case'!D11*$C753*'Business Case'!D13*$D753-'Business Case'!D14*$E753)-MAX(0,(('Business Case'!D11*$C753*'Business Case'!D12*$B753)-'Business Case'!D11*$C753*'Business Case'!D13*$D753-'Business Case'!D14*$E753))*'Business Case'!$B$7-'Business Case'!$B$8*(('Business Case'!D11*$C753*'Business Case'!D12*$B753)-('Business Case'!C11*$C753*'Business Case'!C12*$B753))-'Business Case'!D15*$F753</f>
        <v>267424383.840959</v>
      </c>
      <c r="K753" s="39" t="n">
        <f aca="false">(('Business Case'!E11*$C753*'Business Case'!E12*$B753)-'Business Case'!E11*$C753*'Business Case'!E13*$D753-'Business Case'!E14*$E753)-MAX(0,(('Business Case'!E11*$C753*'Business Case'!E12*$B753)-'Business Case'!E11*$C753*'Business Case'!E13*$D753-'Business Case'!E14*$E753))*'Business Case'!$B$7-'Business Case'!$B$8*(('Business Case'!E11*$C753*'Business Case'!E12*$B753)-('Business Case'!D11*$C753*'Business Case'!D12*$B753))-'Business Case'!E15*$F753</f>
        <v>593934854.834021</v>
      </c>
      <c r="L753" s="39" t="n">
        <f aca="false">(('Business Case'!F11*$C753*'Business Case'!F12*$B753)-'Business Case'!F11*$C753*'Business Case'!F13*$D753-'Business Case'!F14*$E753)-MAX(0,(('Business Case'!F11*$C753*'Business Case'!F12*$B753)-'Business Case'!F11*$C753*'Business Case'!F13*$D753-'Business Case'!F14*$E753))*'Business Case'!$B$7-'Business Case'!$B$8*(('Business Case'!F11*$C753*'Business Case'!F12*$B753)-('Business Case'!E11*$C753*'Business Case'!E12*$B753))-'Business Case'!F15*$F753</f>
        <v>720877743.201269</v>
      </c>
      <c r="M753" s="39" t="n">
        <f aca="false">(('Business Case'!G11*$C753*'Business Case'!G12*$B753)-'Business Case'!G11*$C753*'Business Case'!G13*$D753-'Business Case'!G14*$E753)-MAX(0,(('Business Case'!G11*$C753*'Business Case'!G12*$B753)-'Business Case'!G11*$C753*'Business Case'!G13*$D753-'Business Case'!G14*$E753))*'Business Case'!$B$7-'Business Case'!$B$8*(('Business Case'!G11*$C753*'Business Case'!G12*$B753)-('Business Case'!F11*$C753*'Business Case'!F12*$B753))-'Business Case'!G15*$F753+'Business Case'!$B$8*('Business Case'!G11*$C753*'Business Case'!G12*$B753)</f>
        <v>912416787.853227</v>
      </c>
      <c r="N753" s="39" t="n">
        <f aca="false">IF(COUNT('Business Case'!B11:G11)=0,"",H753+NPV(G753,I753:M753))</f>
        <v>-303719530.082679</v>
      </c>
      <c r="P753" s="40" t="n">
        <f aca="true">RAND()</f>
        <v>0.839927062031881</v>
      </c>
      <c r="Q753" s="40" t="n">
        <f aca="true">RAND()</f>
        <v>0.633493933701394</v>
      </c>
      <c r="R753" s="40" t="n">
        <f aca="true">RAND()</f>
        <v>0.974945617034913</v>
      </c>
      <c r="S753" s="40" t="n">
        <f aca="true">RAND()</f>
        <v>0.0445954052609377</v>
      </c>
      <c r="T753" s="40" t="n">
        <f aca="true">RAND()</f>
        <v>0.187553907689092</v>
      </c>
      <c r="U753" s="40" t="n">
        <f aca="true">RAND()</f>
        <v>0.499504257513983</v>
      </c>
    </row>
    <row r="754" customFormat="false" ht="15" hidden="false" customHeight="false" outlineLevel="0" collapsed="false">
      <c r="A754" s="36" t="n">
        <v>674</v>
      </c>
      <c r="B754" s="37" t="n">
        <f aca="false">1+IF($G$6=$E$6,$F$6,IF(P754&lt;($F$6-$E$6)/($G$6-$E$6),$E$6+SQRT(P754*($G$6-$E$6)*($F$6-$E$6)),$G$6-SQRT((1-P754)*($G$6-$E$6)*($G$6-$F$6))))</f>
        <v>0.949085104866075</v>
      </c>
      <c r="C754" s="37" t="n">
        <f aca="false">1+IF($G$7=$E$7,$F$7,IF(Q754&lt;($F$7-$E$7)/($G$7-$E$7),$E$7+SQRT(Q754*($G$7-$E$7)*($F$7-$E$7)),$G$7-SQRT((1-Q754)*($G$7-$E$7)*($G$7-$F$7))))</f>
        <v>0.77223223105646</v>
      </c>
      <c r="D754" s="37" t="n">
        <f aca="false">1+IF($G$8=$E$8,$F$8,IF(R754&lt;($F$8-$E$8)/($G$8-$E$8),$E$8+SQRT(R754*($G$8-$E$8)*($F$8-$E$8)),$G$8-SQRT((1-R754)*($G$8-$E$8)*($G$8-$F$8))))</f>
        <v>1.05127227946557</v>
      </c>
      <c r="E754" s="37" t="n">
        <f aca="false">1+IF($G$9=$E$9,$F$9,IF(S754&lt;($F$9-$E$9)/($G$9-$E$9),$E$9+SQRT(S754*($G$9-$E$9)*($F$9-$E$9)),$G$9-SQRT((1-S754)*($G$9-$E$9)*($G$9-$F$9))))</f>
        <v>1.01756577246021</v>
      </c>
      <c r="F754" s="37" t="n">
        <f aca="false">1+IF($G$10=$E$10,$F$10,IF(T754&lt;($F$10-$E$10)/($G$10-$E$10),$E$10+SQRT(T754*($G$10-$E$10)*($F$10-$E$10)),$G$10-SQRT((1-T754)*($G$10-$E$10)*($G$10-$F$10))))</f>
        <v>1.01468699621408</v>
      </c>
      <c r="G754" s="38" t="n">
        <f aca="false">IF($G$11=$E$11,$F$11,IF(U754&lt;($F$11-$E$11)/($G$11-$E$11),$E$11+SQRT(U754*($G$11-$E$11)*($F$11-$E$11)),$G$11-SQRT((1-U754)*($G$11-$E$11)*($G$11-$F$11))))</f>
        <v>0.101952133974669</v>
      </c>
      <c r="H754" s="39" t="n">
        <f aca="false">(('Business Case'!B11*$C754*'Business Case'!B12*$B754)-'Business Case'!B11*$C754*'Business Case'!B13*$D754-'Business Case'!B14*$E754)-MAX(0,(('Business Case'!B11*$C754*'Business Case'!B12*$B754)-'Business Case'!B11*$C754*'Business Case'!B13*$D754-'Business Case'!B14*$E754))*'Business Case'!$B$7-'Business Case'!$B$8*('Business Case'!B11*$C754*'Business Case'!B12*$B754)-'Business Case'!B15*$F754</f>
        <v>-2029373992.42817</v>
      </c>
      <c r="I754" s="39" t="n">
        <f aca="false">(('Business Case'!C11*$C754*'Business Case'!C12*$B754)-'Business Case'!C11*$C754*'Business Case'!C13*$D754-'Business Case'!C14*$E754)-MAX(0,(('Business Case'!C11*$C754*'Business Case'!C12*$B754)-'Business Case'!C11*$C754*'Business Case'!C13*$D754-'Business Case'!C14*$E754))*'Business Case'!$B$7-'Business Case'!$B$8*(('Business Case'!C11*$C754*'Business Case'!C12*$B754)-('Business Case'!B11*$C754*'Business Case'!B12*$B754))-'Business Case'!C15*$F754</f>
        <v>-99441534.4179851</v>
      </c>
      <c r="J754" s="39" t="n">
        <f aca="false">(('Business Case'!D11*$C754*'Business Case'!D12*$B754)-'Business Case'!D11*$C754*'Business Case'!D13*$D754-'Business Case'!D14*$E754)-MAX(0,(('Business Case'!D11*$C754*'Business Case'!D12*$B754)-'Business Case'!D11*$C754*'Business Case'!D13*$D754-'Business Case'!D14*$E754))*'Business Case'!$B$7-'Business Case'!$B$8*(('Business Case'!D11*$C754*'Business Case'!D12*$B754)-('Business Case'!C11*$C754*'Business Case'!C12*$B754))-'Business Case'!D15*$F754</f>
        <v>85277750.9876466</v>
      </c>
      <c r="K754" s="39" t="n">
        <f aca="false">(('Business Case'!E11*$C754*'Business Case'!E12*$B754)-'Business Case'!E11*$C754*'Business Case'!E13*$D754-'Business Case'!E14*$E754)-MAX(0,(('Business Case'!E11*$C754*'Business Case'!E12*$B754)-'Business Case'!E11*$C754*'Business Case'!E13*$D754-'Business Case'!E14*$E754))*'Business Case'!$B$7-'Business Case'!$B$8*(('Business Case'!E11*$C754*'Business Case'!E12*$B754)-('Business Case'!D11*$C754*'Business Case'!D12*$B754))-'Business Case'!E15*$F754</f>
        <v>320731386.203982</v>
      </c>
      <c r="L754" s="39" t="n">
        <f aca="false">(('Business Case'!F11*$C754*'Business Case'!F12*$B754)-'Business Case'!F11*$C754*'Business Case'!F13*$D754-'Business Case'!F14*$E754)-MAX(0,(('Business Case'!F11*$C754*'Business Case'!F12*$B754)-'Business Case'!F11*$C754*'Business Case'!F13*$D754-'Business Case'!F14*$E754))*'Business Case'!$B$7-'Business Case'!$B$8*(('Business Case'!F11*$C754*'Business Case'!F12*$B754)-('Business Case'!E11*$C754*'Business Case'!E12*$B754))-'Business Case'!F15*$F754</f>
        <v>407633992.911437</v>
      </c>
      <c r="M754" s="39" t="n">
        <f aca="false">(('Business Case'!G11*$C754*'Business Case'!G12*$B754)-'Business Case'!G11*$C754*'Business Case'!G13*$D754-'Business Case'!G14*$E754)-MAX(0,(('Business Case'!G11*$C754*'Business Case'!G12*$B754)-'Business Case'!G11*$C754*'Business Case'!G13*$D754-'Business Case'!G14*$E754))*'Business Case'!$B$7-'Business Case'!$B$8*(('Business Case'!G11*$C754*'Business Case'!G12*$B754)-('Business Case'!F11*$C754*'Business Case'!F12*$B754))-'Business Case'!G15*$F754+'Business Case'!$B$8*('Business Case'!G11*$C754*'Business Case'!G12*$B754)</f>
        <v>546946306.558782</v>
      </c>
      <c r="N754" s="39" t="n">
        <f aca="false">IF(COUNT('Business Case'!B11:G11)=0,"",H754+NPV(G754,I754:M754))</f>
        <v>-1196630436.74891</v>
      </c>
      <c r="P754" s="40" t="n">
        <f aca="true">RAND()</f>
        <v>0.160623167980907</v>
      </c>
      <c r="Q754" s="40" t="n">
        <f aca="true">RAND()</f>
        <v>0.0386481126177316</v>
      </c>
      <c r="R754" s="40" t="n">
        <f aca="true">RAND()</f>
        <v>0.841707283434547</v>
      </c>
      <c r="S754" s="40" t="n">
        <f aca="true">RAND()</f>
        <v>0.532298010025038</v>
      </c>
      <c r="T754" s="40" t="n">
        <f aca="true">RAND()</f>
        <v>0.261703869989996</v>
      </c>
      <c r="U754" s="40" t="n">
        <f aca="true">RAND()</f>
        <v>0.475544807616705</v>
      </c>
    </row>
    <row r="755" customFormat="false" ht="15" hidden="false" customHeight="false" outlineLevel="0" collapsed="false">
      <c r="A755" s="36" t="n">
        <v>675</v>
      </c>
      <c r="B755" s="37" t="n">
        <f aca="false">1+IF($G$6=$E$6,$F$6,IF(P755&lt;($F$6-$E$6)/($G$6-$E$6),$E$6+SQRT(P755*($G$6-$E$6)*($F$6-$E$6)),$G$6-SQRT((1-P755)*($G$6-$E$6)*($G$6-$F$6))))</f>
        <v>1.03112236023038</v>
      </c>
      <c r="C755" s="37" t="n">
        <f aca="false">1+IF($G$7=$E$7,$F$7,IF(Q755&lt;($F$7-$E$7)/($G$7-$E$7),$E$7+SQRT(Q755*($G$7-$E$7)*($F$7-$E$7)),$G$7-SQRT((1-Q755)*($G$7-$E$7)*($G$7-$F$7))))</f>
        <v>0.79595865922155</v>
      </c>
      <c r="D755" s="37" t="n">
        <f aca="false">1+IF($G$8=$E$8,$F$8,IF(R755&lt;($F$8-$E$8)/($G$8-$E$8),$E$8+SQRT(R755*($G$8-$E$8)*($F$8-$E$8)),$G$8-SQRT((1-R755)*($G$8-$E$8)*($G$8-$F$8))))</f>
        <v>0.998741078029441</v>
      </c>
      <c r="E755" s="37" t="n">
        <f aca="false">1+IF($G$9=$E$9,$F$9,IF(S755&lt;($F$9-$E$9)/($G$9-$E$9),$E$9+SQRT(S755*($G$9-$E$9)*($F$9-$E$9)),$G$9-SQRT((1-S755)*($G$9-$E$9)*($G$9-$F$9))))</f>
        <v>0.993690439460242</v>
      </c>
      <c r="F755" s="37" t="n">
        <f aca="false">1+IF($G$10=$E$10,$F$10,IF(T755&lt;($F$10-$E$10)/($G$10-$E$10),$E$10+SQRT(T755*($G$10-$E$10)*($F$10-$E$10)),$G$10-SQRT((1-T755)*($G$10-$E$10)*($G$10-$F$10))))</f>
        <v>0.966935421413368</v>
      </c>
      <c r="G755" s="38" t="n">
        <f aca="false">IF($G$11=$E$11,$F$11,IF(U755&lt;($F$11-$E$11)/($G$11-$E$11),$E$11+SQRT(U755*($G$11-$E$11)*($F$11-$E$11)),$G$11-SQRT((1-U755)*($G$11-$E$11)*($G$11-$F$11))))</f>
        <v>0.100560573221132</v>
      </c>
      <c r="H755" s="39" t="n">
        <f aca="false">(('Business Case'!B11*$C755*'Business Case'!B12*$B755)-'Business Case'!B11*$C755*'Business Case'!B13*$D755-'Business Case'!B14*$E755)-MAX(0,(('Business Case'!B11*$C755*'Business Case'!B12*$B755)-'Business Case'!B11*$C755*'Business Case'!B13*$D755-'Business Case'!B14*$E755))*'Business Case'!$B$7-'Business Case'!$B$8*('Business Case'!B11*$C755*'Business Case'!B12*$B755)-'Business Case'!B15*$F755</f>
        <v>-1933870842.82674</v>
      </c>
      <c r="I755" s="39" t="n">
        <f aca="false">(('Business Case'!C11*$C755*'Business Case'!C12*$B755)-'Business Case'!C11*$C755*'Business Case'!C13*$D755-'Business Case'!C14*$E755)-MAX(0,(('Business Case'!C11*$C755*'Business Case'!C12*$B755)-'Business Case'!C11*$C755*'Business Case'!C13*$D755-'Business Case'!C14*$E755))*'Business Case'!$B$7-'Business Case'!$B$8*(('Business Case'!C11*$C755*'Business Case'!C12*$B755)-('Business Case'!B11*$C755*'Business Case'!B12*$B755))-'Business Case'!C15*$F755</f>
        <v>-15259598.9467429</v>
      </c>
      <c r="J755" s="39" t="n">
        <f aca="false">(('Business Case'!D11*$C755*'Business Case'!D12*$B755)-'Business Case'!D11*$C755*'Business Case'!D13*$D755-'Business Case'!D14*$E755)-MAX(0,(('Business Case'!D11*$C755*'Business Case'!D12*$B755)-'Business Case'!D11*$C755*'Business Case'!D13*$D755-'Business Case'!D14*$E755))*'Business Case'!$B$7-'Business Case'!$B$8*(('Business Case'!D11*$C755*'Business Case'!D12*$B755)-('Business Case'!C11*$C755*'Business Case'!C12*$B755))-'Business Case'!D15*$F755</f>
        <v>250023807.925484</v>
      </c>
      <c r="K755" s="39" t="n">
        <f aca="false">(('Business Case'!E11*$C755*'Business Case'!E12*$B755)-'Business Case'!E11*$C755*'Business Case'!E13*$D755-'Business Case'!E14*$E755)-MAX(0,(('Business Case'!E11*$C755*'Business Case'!E12*$B755)-'Business Case'!E11*$C755*'Business Case'!E13*$D755-'Business Case'!E14*$E755))*'Business Case'!$B$7-'Business Case'!$B$8*(('Business Case'!E11*$C755*'Business Case'!E12*$B755)-('Business Case'!D11*$C755*'Business Case'!D12*$B755))-'Business Case'!E15*$F755</f>
        <v>563653985.86838</v>
      </c>
      <c r="L755" s="39" t="n">
        <f aca="false">(('Business Case'!F11*$C755*'Business Case'!F12*$B755)-'Business Case'!F11*$C755*'Business Case'!F13*$D755-'Business Case'!F14*$E755)-MAX(0,(('Business Case'!F11*$C755*'Business Case'!F12*$B755)-'Business Case'!F11*$C755*'Business Case'!F13*$D755-'Business Case'!F14*$E755))*'Business Case'!$B$7-'Business Case'!$B$8*(('Business Case'!F11*$C755*'Business Case'!F12*$B755)-('Business Case'!E11*$C755*'Business Case'!E12*$B755))-'Business Case'!F15*$F755</f>
        <v>680446243.616713</v>
      </c>
      <c r="M755" s="39" t="n">
        <f aca="false">(('Business Case'!G11*$C755*'Business Case'!G12*$B755)-'Business Case'!G11*$C755*'Business Case'!G13*$D755-'Business Case'!G14*$E755)-MAX(0,(('Business Case'!G11*$C755*'Business Case'!G12*$B755)-'Business Case'!G11*$C755*'Business Case'!G13*$D755-'Business Case'!G14*$E755))*'Business Case'!$B$7-'Business Case'!$B$8*(('Business Case'!G11*$C755*'Business Case'!G12*$B755)-('Business Case'!F11*$C755*'Business Case'!F12*$B755))-'Business Case'!G15*$F755+'Business Case'!$B$8*('Business Case'!G11*$C755*'Business Case'!G12*$B755)</f>
        <v>836450748.633464</v>
      </c>
      <c r="N755" s="39" t="n">
        <f aca="false">IF(COUNT('Business Case'!B11:G11)=0,"",H755+NPV(G755,I755:M755))</f>
        <v>-336624019.303518</v>
      </c>
      <c r="P755" s="40" t="n">
        <f aca="true">RAND()</f>
        <v>0.952484628897147</v>
      </c>
      <c r="Q755" s="40" t="n">
        <f aca="true">RAND()</f>
        <v>0.0682078835525752</v>
      </c>
      <c r="R755" s="40" t="n">
        <f aca="true">RAND()</f>
        <v>0.316759024996277</v>
      </c>
      <c r="S755" s="40" t="n">
        <f aca="true">RAND()</f>
        <v>0.351115937850134</v>
      </c>
      <c r="T755" s="40" t="n">
        <f aca="true">RAND()</f>
        <v>0.0191205665632243</v>
      </c>
      <c r="U755" s="40" t="n">
        <f aca="true">RAND()</f>
        <v>0.422213433954439</v>
      </c>
    </row>
    <row r="756" customFormat="false" ht="15" hidden="false" customHeight="false" outlineLevel="0" collapsed="false">
      <c r="A756" s="36" t="n">
        <v>676</v>
      </c>
      <c r="B756" s="37" t="n">
        <f aca="false">1+IF($G$6=$E$6,$F$6,IF(P756&lt;($F$6-$E$6)/($G$6-$E$6),$E$6+SQRT(P756*($G$6-$E$6)*($F$6-$E$6)),$G$6-SQRT((1-P756)*($G$6-$E$6)*($G$6-$F$6))))</f>
        <v>0.926789461033752</v>
      </c>
      <c r="C756" s="37" t="n">
        <f aca="false">1+IF($G$7=$E$7,$F$7,IF(Q756&lt;($F$7-$E$7)/($G$7-$E$7),$E$7+SQRT(Q756*($G$7-$E$7)*($F$7-$E$7)),$G$7-SQRT((1-Q756)*($G$7-$E$7)*($G$7-$F$7))))</f>
        <v>1.03714969847885</v>
      </c>
      <c r="D756" s="37" t="n">
        <f aca="false">1+IF($G$8=$E$8,$F$8,IF(R756&lt;($F$8-$E$8)/($G$8-$E$8),$E$8+SQRT(R756*($G$8-$E$8)*($F$8-$E$8)),$G$8-SQRT((1-R756)*($G$8-$E$8)*($G$8-$F$8))))</f>
        <v>0.998260888545429</v>
      </c>
      <c r="E756" s="37" t="n">
        <f aca="false">1+IF($G$9=$E$9,$F$9,IF(S756&lt;($F$9-$E$9)/($G$9-$E$9),$E$9+SQRT(S756*($G$9-$E$9)*($F$9-$E$9)),$G$9-SQRT((1-S756)*($G$9-$E$9)*($G$9-$F$9))))</f>
        <v>1.08564841235516</v>
      </c>
      <c r="F756" s="37" t="n">
        <f aca="false">1+IF($G$10=$E$10,$F$10,IF(T756&lt;($F$10-$E$10)/($G$10-$E$10),$E$10+SQRT(T756*($G$10-$E$10)*($F$10-$E$10)),$G$10-SQRT((1-T756)*($G$10-$E$10)*($G$10-$F$10))))</f>
        <v>1.07958793901032</v>
      </c>
      <c r="G756" s="38" t="n">
        <f aca="false">IF($G$11=$E$11,$F$11,IF(U756&lt;($F$11-$E$11)/($G$11-$E$11),$E$11+SQRT(U756*($G$11-$E$11)*($F$11-$E$11)),$G$11-SQRT((1-U756)*($G$11-$E$11)*($G$11-$F$11))))</f>
        <v>0.100292537056416</v>
      </c>
      <c r="H756" s="39" t="n">
        <f aca="false">(('Business Case'!B11*$C756*'Business Case'!B12*$B756)-'Business Case'!B11*$C756*'Business Case'!B13*$D756-'Business Case'!B14*$E756)-MAX(0,(('Business Case'!B11*$C756*'Business Case'!B12*$B756)-'Business Case'!B11*$C756*'Business Case'!B13*$D756-'Business Case'!B14*$E756))*'Business Case'!$B$7-'Business Case'!$B$8*('Business Case'!B11*$C756*'Business Case'!B12*$B756)-'Business Case'!B15*$F756</f>
        <v>-2159175878.02065</v>
      </c>
      <c r="I756" s="39" t="n">
        <f aca="false">(('Business Case'!C11*$C756*'Business Case'!C12*$B756)-'Business Case'!C11*$C756*'Business Case'!C13*$D756-'Business Case'!C14*$E756)-MAX(0,(('Business Case'!C11*$C756*'Business Case'!C12*$B756)-'Business Case'!C11*$C756*'Business Case'!C13*$D756-'Business Case'!C14*$E756))*'Business Case'!$B$7-'Business Case'!$B$8*(('Business Case'!C11*$C756*'Business Case'!C12*$B756)-('Business Case'!B11*$C756*'Business Case'!B12*$B756))-'Business Case'!C15*$F756</f>
        <v>-54874021.5706982</v>
      </c>
      <c r="J756" s="39" t="n">
        <f aca="false">(('Business Case'!D11*$C756*'Business Case'!D12*$B756)-'Business Case'!D11*$C756*'Business Case'!D13*$D756-'Business Case'!D14*$E756)-MAX(0,(('Business Case'!D11*$C756*'Business Case'!D12*$B756)-'Business Case'!D11*$C756*'Business Case'!D13*$D756-'Business Case'!D14*$E756))*'Business Case'!$B$7-'Business Case'!$B$8*(('Business Case'!D11*$C756*'Business Case'!D12*$B756)-('Business Case'!C11*$C756*'Business Case'!C12*$B756))-'Business Case'!D15*$F756</f>
        <v>202419569.214285</v>
      </c>
      <c r="K756" s="39" t="n">
        <f aca="false">(('Business Case'!E11*$C756*'Business Case'!E12*$B756)-'Business Case'!E11*$C756*'Business Case'!E13*$D756-'Business Case'!E14*$E756)-MAX(0,(('Business Case'!E11*$C756*'Business Case'!E12*$B756)-'Business Case'!E11*$C756*'Business Case'!E13*$D756-'Business Case'!E14*$E756))*'Business Case'!$B$7-'Business Case'!$B$8*(('Business Case'!E11*$C756*'Business Case'!E12*$B756)-('Business Case'!D11*$C756*'Business Case'!D12*$B756))-'Business Case'!E15*$F756</f>
        <v>513692556.949784</v>
      </c>
      <c r="L756" s="39" t="n">
        <f aca="false">(('Business Case'!F11*$C756*'Business Case'!F12*$B756)-'Business Case'!F11*$C756*'Business Case'!F13*$D756-'Business Case'!F14*$E756)-MAX(0,(('Business Case'!F11*$C756*'Business Case'!F12*$B756)-'Business Case'!F11*$C756*'Business Case'!F13*$D756-'Business Case'!F14*$E756))*'Business Case'!$B$7-'Business Case'!$B$8*(('Business Case'!F11*$C756*'Business Case'!F12*$B756)-('Business Case'!E11*$C756*'Business Case'!E12*$B756))-'Business Case'!F15*$F756</f>
        <v>632676830.023275</v>
      </c>
      <c r="M756" s="39" t="n">
        <f aca="false">(('Business Case'!G11*$C756*'Business Case'!G12*$B756)-'Business Case'!G11*$C756*'Business Case'!G13*$D756-'Business Case'!G14*$E756)-MAX(0,(('Business Case'!G11*$C756*'Business Case'!G12*$B756)-'Business Case'!G11*$C756*'Business Case'!G13*$D756-'Business Case'!G14*$E756))*'Business Case'!$B$7-'Business Case'!$B$8*(('Business Case'!G11*$C756*'Business Case'!G12*$B756)-('Business Case'!F11*$C756*'Business Case'!F12*$B756))-'Business Case'!G15*$F756+'Business Case'!$B$8*('Business Case'!G11*$C756*'Business Case'!G12*$B756)</f>
        <v>815385415.488342</v>
      </c>
      <c r="N756" s="39" t="n">
        <f aca="false">IF(COUNT('Business Case'!B11:G11)=0,"",H756+NPV(G756,I756:M756))</f>
        <v>-718926148.832727</v>
      </c>
      <c r="P756" s="40" t="n">
        <f aca="true">RAND()</f>
        <v>0.0478450148319282</v>
      </c>
      <c r="Q756" s="40" t="n">
        <f aca="true">RAND()</f>
        <v>0.811330510319784</v>
      </c>
      <c r="R756" s="40" t="n">
        <f aca="true">RAND()</f>
        <v>0.310548448425914</v>
      </c>
      <c r="S756" s="40" t="n">
        <f aca="true">RAND()</f>
        <v>0.889569951135683</v>
      </c>
      <c r="T756" s="40" t="n">
        <f aca="true">RAND()</f>
        <v>0.612796392923347</v>
      </c>
      <c r="U756" s="40" t="n">
        <f aca="true">RAND()</f>
        <v>0.41164443030374</v>
      </c>
    </row>
    <row r="757" customFormat="false" ht="15" hidden="false" customHeight="false" outlineLevel="0" collapsed="false">
      <c r="A757" s="36" t="n">
        <v>677</v>
      </c>
      <c r="B757" s="37" t="n">
        <f aca="false">1+IF($G$6=$E$6,$F$6,IF(P757&lt;($F$6-$E$6)/($G$6-$E$6),$E$6+SQRT(P757*($G$6-$E$6)*($F$6-$E$6)),$G$6-SQRT((1-P757)*($G$6-$E$6)*($G$6-$F$6))))</f>
        <v>1.01065095653858</v>
      </c>
      <c r="C757" s="37" t="n">
        <f aca="false">1+IF($G$7=$E$7,$F$7,IF(Q757&lt;($F$7-$E$7)/($G$7-$E$7),$E$7+SQRT(Q757*($G$7-$E$7)*($F$7-$E$7)),$G$7-SQRT((1-Q757)*($G$7-$E$7)*($G$7-$F$7))))</f>
        <v>0.75101764311999</v>
      </c>
      <c r="D757" s="37" t="n">
        <f aca="false">1+IF($G$8=$E$8,$F$8,IF(R757&lt;($F$8-$E$8)/($G$8-$E$8),$E$8+SQRT(R757*($G$8-$E$8)*($F$8-$E$8)),$G$8-SQRT((1-R757)*($G$8-$E$8)*($G$8-$F$8))))</f>
        <v>1.02284665961455</v>
      </c>
      <c r="E757" s="37" t="n">
        <f aca="false">1+IF($G$9=$E$9,$F$9,IF(S757&lt;($F$9-$E$9)/($G$9-$E$9),$E$9+SQRT(S757*($G$9-$E$9)*($F$9-$E$9)),$G$9-SQRT((1-S757)*($G$9-$E$9)*($G$9-$F$9))))</f>
        <v>0.976390528657847</v>
      </c>
      <c r="F757" s="37" t="n">
        <f aca="false">1+IF($G$10=$E$10,$F$10,IF(T757&lt;($F$10-$E$10)/($G$10-$E$10),$E$10+SQRT(T757*($G$10-$E$10)*($F$10-$E$10)),$G$10-SQRT((1-T757)*($G$10-$E$10)*($G$10-$F$10))))</f>
        <v>1.07232395002754</v>
      </c>
      <c r="G757" s="38" t="n">
        <f aca="false">IF($G$11=$E$11,$F$11,IF(U757&lt;($F$11-$E$11)/($G$11-$E$11),$E$11+SQRT(U757*($G$11-$E$11)*($F$11-$E$11)),$G$11-SQRT((1-U757)*($G$11-$E$11)*($G$11-$F$11))))</f>
        <v>0.0942009487532623</v>
      </c>
      <c r="H757" s="39" t="n">
        <f aca="false">(('Business Case'!B11*$C757*'Business Case'!B12*$B757)-'Business Case'!B11*$C757*'Business Case'!B13*$D757-'Business Case'!B14*$E757)-MAX(0,(('Business Case'!B11*$C757*'Business Case'!B12*$B757)-'Business Case'!B11*$C757*'Business Case'!B13*$D757-'Business Case'!B14*$E757))*'Business Case'!$B$7-'Business Case'!$B$8*('Business Case'!B11*$C757*'Business Case'!B12*$B757)-'Business Case'!B15*$F757</f>
        <v>-2144647900.05507</v>
      </c>
      <c r="I757" s="39" t="n">
        <f aca="false">(('Business Case'!C11*$C757*'Business Case'!C12*$B757)-'Business Case'!C11*$C757*'Business Case'!C13*$D757-'Business Case'!C14*$E757)-MAX(0,(('Business Case'!C11*$C757*'Business Case'!C12*$B757)-'Business Case'!C11*$C757*'Business Case'!C13*$D757-'Business Case'!C14*$E757))*'Business Case'!$B$7-'Business Case'!$B$8*(('Business Case'!C11*$C757*'Business Case'!C12*$B757)-('Business Case'!B11*$C757*'Business Case'!B12*$B757))-'Business Case'!C15*$F757</f>
        <v>-56977828.2348254</v>
      </c>
      <c r="J757" s="39" t="n">
        <f aca="false">(('Business Case'!D11*$C757*'Business Case'!D12*$B757)-'Business Case'!D11*$C757*'Business Case'!D13*$D757-'Business Case'!D14*$E757)-MAX(0,(('Business Case'!D11*$C757*'Business Case'!D12*$B757)-'Business Case'!D11*$C757*'Business Case'!D13*$D757-'Business Case'!D14*$E757))*'Business Case'!$B$7-'Business Case'!$B$8*(('Business Case'!D11*$C757*'Business Case'!D12*$B757)-('Business Case'!C11*$C757*'Business Case'!C12*$B757))-'Business Case'!D15*$F757</f>
        <v>171466897.404967</v>
      </c>
      <c r="K757" s="39" t="n">
        <f aca="false">(('Business Case'!E11*$C757*'Business Case'!E12*$B757)-'Business Case'!E11*$C757*'Business Case'!E13*$D757-'Business Case'!E14*$E757)-MAX(0,(('Business Case'!E11*$C757*'Business Case'!E12*$B757)-'Business Case'!E11*$C757*'Business Case'!E13*$D757-'Business Case'!E14*$E757))*'Business Case'!$B$7-'Business Case'!$B$8*(('Business Case'!E11*$C757*'Business Case'!E12*$B757)-('Business Case'!D11*$C757*'Business Case'!D12*$B757))-'Business Case'!E15*$F757</f>
        <v>453527820.546136</v>
      </c>
      <c r="L757" s="39" t="n">
        <f aca="false">(('Business Case'!F11*$C757*'Business Case'!F12*$B757)-'Business Case'!F11*$C757*'Business Case'!F13*$D757-'Business Case'!F14*$E757)-MAX(0,(('Business Case'!F11*$C757*'Business Case'!F12*$B757)-'Business Case'!F11*$C757*'Business Case'!F13*$D757-'Business Case'!F14*$E757))*'Business Case'!$B$7-'Business Case'!$B$8*(('Business Case'!F11*$C757*'Business Case'!F12*$B757)-('Business Case'!E11*$C757*'Business Case'!E12*$B757))-'Business Case'!F15*$F757</f>
        <v>555907679.557212</v>
      </c>
      <c r="M757" s="39" t="n">
        <f aca="false">(('Business Case'!G11*$C757*'Business Case'!G12*$B757)-'Business Case'!G11*$C757*'Business Case'!G13*$D757-'Business Case'!G14*$E757)-MAX(0,(('Business Case'!G11*$C757*'Business Case'!G12*$B757)-'Business Case'!G11*$C757*'Business Case'!G13*$D757-'Business Case'!G14*$E757))*'Business Case'!$B$7-'Business Case'!$B$8*(('Business Case'!G11*$C757*'Business Case'!G12*$B757)-('Business Case'!F11*$C757*'Business Case'!F12*$B757))-'Business Case'!G15*$F757+'Business Case'!$B$8*('Business Case'!G11*$C757*'Business Case'!G12*$B757)</f>
        <v>700181573.778512</v>
      </c>
      <c r="N757" s="39" t="n">
        <f aca="false">IF(COUNT('Business Case'!B11:G11)=0,"",H757+NPV(G757,I757:M757))</f>
        <v>-873110797.200936</v>
      </c>
      <c r="P757" s="40" t="n">
        <f aca="true">RAND()</f>
        <v>0.793553703822847</v>
      </c>
      <c r="Q757" s="40" t="n">
        <f aca="true">RAND()</f>
        <v>0.0192799993297677</v>
      </c>
      <c r="R757" s="40" t="n">
        <f aca="true">RAND()</f>
        <v>0.603157471157809</v>
      </c>
      <c r="S757" s="40" t="n">
        <f aca="true">RAND()</f>
        <v>0.233420514745016</v>
      </c>
      <c r="T757" s="40" t="n">
        <f aca="true">RAND()</f>
        <v>0.579082950215763</v>
      </c>
      <c r="U757" s="40" t="n">
        <f aca="true">RAND()</f>
        <v>0.201666945492781</v>
      </c>
    </row>
    <row r="758" customFormat="false" ht="15" hidden="false" customHeight="false" outlineLevel="0" collapsed="false">
      <c r="A758" s="36" t="n">
        <v>678</v>
      </c>
      <c r="B758" s="37" t="n">
        <f aca="false">1+IF($G$6=$E$6,$F$6,IF(P758&lt;($F$6-$E$6)/($G$6-$E$6),$E$6+SQRT(P758*($G$6-$E$6)*($F$6-$E$6)),$G$6-SQRT((1-P758)*($G$6-$E$6)*($G$6-$F$6))))</f>
        <v>0.925407346407427</v>
      </c>
      <c r="C758" s="37" t="n">
        <f aca="false">1+IF($G$7=$E$7,$F$7,IF(Q758&lt;($F$7-$E$7)/($G$7-$E$7),$E$7+SQRT(Q758*($G$7-$E$7)*($F$7-$E$7)),$G$7-SQRT((1-Q758)*($G$7-$E$7)*($G$7-$F$7))))</f>
        <v>1.09601666780187</v>
      </c>
      <c r="D758" s="37" t="n">
        <f aca="false">1+IF($G$8=$E$8,$F$8,IF(R758&lt;($F$8-$E$8)/($G$8-$E$8),$E$8+SQRT(R758*($G$8-$E$8)*($F$8-$E$8)),$G$8-SQRT((1-R758)*($G$8-$E$8)*($G$8-$F$8))))</f>
        <v>0.981763177895437</v>
      </c>
      <c r="E758" s="37" t="n">
        <f aca="false">1+IF($G$9=$E$9,$F$9,IF(S758&lt;($F$9-$E$9)/($G$9-$E$9),$E$9+SQRT(S758*($G$9-$E$9)*($F$9-$E$9)),$G$9-SQRT((1-S758)*($G$9-$E$9)*($G$9-$F$9))))</f>
        <v>1.00116960556636</v>
      </c>
      <c r="F758" s="37" t="n">
        <f aca="false">1+IF($G$10=$E$10,$F$10,IF(T758&lt;($F$10-$E$10)/($G$10-$E$10),$E$10+SQRT(T758*($G$10-$E$10)*($F$10-$E$10)),$G$10-SQRT((1-T758)*($G$10-$E$10)*($G$10-$F$10))))</f>
        <v>1.03817442604884</v>
      </c>
      <c r="G758" s="38" t="n">
        <f aca="false">IF($G$11=$E$11,$F$11,IF(U758&lt;($F$11-$E$11)/($G$11-$E$11),$E$11+SQRT(U758*($G$11-$E$11)*($F$11-$E$11)),$G$11-SQRT((1-U758)*($G$11-$E$11)*($G$11-$F$11))))</f>
        <v>0.0852099546405335</v>
      </c>
      <c r="H758" s="39" t="n">
        <f aca="false">(('Business Case'!B11*$C758*'Business Case'!B12*$B758)-'Business Case'!B11*$C758*'Business Case'!B13*$D758-'Business Case'!B14*$E758)-MAX(0,(('Business Case'!B11*$C758*'Business Case'!B12*$B758)-'Business Case'!B11*$C758*'Business Case'!B13*$D758-'Business Case'!B14*$E758))*'Business Case'!$B$7-'Business Case'!$B$8*('Business Case'!B11*$C758*'Business Case'!B12*$B758)-'Business Case'!B15*$F758</f>
        <v>-2076348852.09768</v>
      </c>
      <c r="I758" s="39" t="n">
        <f aca="false">(('Business Case'!C11*$C758*'Business Case'!C12*$B758)-'Business Case'!C11*$C758*'Business Case'!C13*$D758-'Business Case'!C14*$E758)-MAX(0,(('Business Case'!C11*$C758*'Business Case'!C12*$B758)-'Business Case'!C11*$C758*'Business Case'!C13*$D758-'Business Case'!C14*$E758))*'Business Case'!$B$7-'Business Case'!$B$8*(('Business Case'!C11*$C758*'Business Case'!C12*$B758)-('Business Case'!B11*$C758*'Business Case'!B12*$B758))-'Business Case'!C15*$F758</f>
        <v>-18850259.5205625</v>
      </c>
      <c r="J758" s="39" t="n">
        <f aca="false">(('Business Case'!D11*$C758*'Business Case'!D12*$B758)-'Business Case'!D11*$C758*'Business Case'!D13*$D758-'Business Case'!D14*$E758)-MAX(0,(('Business Case'!D11*$C758*'Business Case'!D12*$B758)-'Business Case'!D11*$C758*'Business Case'!D13*$D758-'Business Case'!D14*$E758))*'Business Case'!$B$7-'Business Case'!$B$8*(('Business Case'!D11*$C758*'Business Case'!D12*$B758)-('Business Case'!C11*$C758*'Business Case'!C12*$B758))-'Business Case'!D15*$F758</f>
        <v>261062577.135888</v>
      </c>
      <c r="K758" s="39" t="n">
        <f aca="false">(('Business Case'!E11*$C758*'Business Case'!E12*$B758)-'Business Case'!E11*$C758*'Business Case'!E13*$D758-'Business Case'!E14*$E758)-MAX(0,(('Business Case'!E11*$C758*'Business Case'!E12*$B758)-'Business Case'!E11*$C758*'Business Case'!E13*$D758-'Business Case'!E14*$E758))*'Business Case'!$B$7-'Business Case'!$B$8*(('Business Case'!E11*$C758*'Business Case'!E12*$B758)-('Business Case'!D11*$C758*'Business Case'!D12*$B758))-'Business Case'!E15*$F758</f>
        <v>592884135.094781</v>
      </c>
      <c r="L758" s="39" t="n">
        <f aca="false">(('Business Case'!F11*$C758*'Business Case'!F12*$B758)-'Business Case'!F11*$C758*'Business Case'!F13*$D758-'Business Case'!F14*$E758)-MAX(0,(('Business Case'!F11*$C758*'Business Case'!F12*$B758)-'Business Case'!F11*$C758*'Business Case'!F13*$D758-'Business Case'!F14*$E758))*'Business Case'!$B$7-'Business Case'!$B$8*(('Business Case'!F11*$C758*'Business Case'!F12*$B758)-('Business Case'!E11*$C758*'Business Case'!E12*$B758))-'Business Case'!F15*$F758</f>
        <v>721241304.42066</v>
      </c>
      <c r="M758" s="39" t="n">
        <f aca="false">(('Business Case'!G11*$C758*'Business Case'!G12*$B758)-'Business Case'!G11*$C758*'Business Case'!G13*$D758-'Business Case'!G14*$E758)-MAX(0,(('Business Case'!G11*$C758*'Business Case'!G12*$B758)-'Business Case'!G11*$C758*'Business Case'!G13*$D758-'Business Case'!G14*$E758))*'Business Case'!$B$7-'Business Case'!$B$8*(('Business Case'!G11*$C758*'Business Case'!G12*$B758)-('Business Case'!F11*$C758*'Business Case'!F12*$B758))-'Business Case'!G15*$F758+'Business Case'!$B$8*('Business Case'!G11*$C758*'Business Case'!G12*$B758)</f>
        <v>914032201.842832</v>
      </c>
      <c r="N758" s="39" t="n">
        <f aca="false">IF(COUNT('Business Case'!B11:G11)=0,"",H758+NPV(G758,I758:M758))</f>
        <v>-280827698.405836</v>
      </c>
      <c r="P758" s="40" t="n">
        <f aca="true">RAND()</f>
        <v>0.0430355500978008</v>
      </c>
      <c r="Q758" s="40" t="n">
        <f aca="true">RAND()</f>
        <v>0.956826664367197</v>
      </c>
      <c r="R758" s="40" t="n">
        <f aca="true">RAND()</f>
        <v>0.134519929335626</v>
      </c>
      <c r="S758" s="40" t="n">
        <f aca="true">RAND()</f>
        <v>0.409320365139422</v>
      </c>
      <c r="T758" s="40" t="n">
        <f aca="true">RAND()</f>
        <v>0.401732349603477</v>
      </c>
      <c r="U758" s="40" t="n">
        <f aca="true">RAND()</f>
        <v>0.0271436273564163</v>
      </c>
    </row>
    <row r="759" customFormat="false" ht="15" hidden="false" customHeight="false" outlineLevel="0" collapsed="false">
      <c r="A759" s="36" t="n">
        <v>679</v>
      </c>
      <c r="B759" s="37" t="n">
        <f aca="false">1+IF($G$6=$E$6,$F$6,IF(P759&lt;($F$6-$E$6)/($G$6-$E$6),$E$6+SQRT(P759*($G$6-$E$6)*($F$6-$E$6)),$G$6-SQRT((1-P759)*($G$6-$E$6)*($G$6-$F$6))))</f>
        <v>1.01474597013027</v>
      </c>
      <c r="C759" s="37" t="n">
        <f aca="false">1+IF($G$7=$E$7,$F$7,IF(Q759&lt;($F$7-$E$7)/($G$7-$E$7),$E$7+SQRT(Q759*($G$7-$E$7)*($F$7-$E$7)),$G$7-SQRT((1-Q759)*($G$7-$E$7)*($G$7-$F$7))))</f>
        <v>1.00445584189885</v>
      </c>
      <c r="D759" s="37" t="n">
        <f aca="false">1+IF($G$8=$E$8,$F$8,IF(R759&lt;($F$8-$E$8)/($G$8-$E$8),$E$8+SQRT(R759*($G$8-$E$8)*($F$8-$E$8)),$G$8-SQRT((1-R759)*($G$8-$E$8)*($G$8-$F$8))))</f>
        <v>0.999966564099903</v>
      </c>
      <c r="E759" s="37" t="n">
        <f aca="false">1+IF($G$9=$E$9,$F$9,IF(S759&lt;($F$9-$E$9)/($G$9-$E$9),$E$9+SQRT(S759*($G$9-$E$9)*($F$9-$E$9)),$G$9-SQRT((1-S759)*($G$9-$E$9)*($G$9-$F$9))))</f>
        <v>1.04042528672944</v>
      </c>
      <c r="F759" s="37" t="n">
        <f aca="false">1+IF($G$10=$E$10,$F$10,IF(T759&lt;($F$10-$E$10)/($G$10-$E$10),$E$10+SQRT(T759*($G$10-$E$10)*($F$10-$E$10)),$G$10-SQRT((1-T759)*($G$10-$E$10)*($G$10-$F$10))))</f>
        <v>1.19570767006361</v>
      </c>
      <c r="G759" s="38" t="n">
        <f aca="false">IF($G$11=$E$11,$F$11,IF(U759&lt;($F$11-$E$11)/($G$11-$E$11),$E$11+SQRT(U759*($G$11-$E$11)*($F$11-$E$11)),$G$11-SQRT((1-U759)*($G$11-$E$11)*($G$11-$F$11))))</f>
        <v>0.105708811237714</v>
      </c>
      <c r="H759" s="39" t="n">
        <f aca="false">(('Business Case'!B11*$C759*'Business Case'!B12*$B759)-'Business Case'!B11*$C759*'Business Case'!B13*$D759-'Business Case'!B14*$E759)-MAX(0,(('Business Case'!B11*$C759*'Business Case'!B12*$B759)-'Business Case'!B11*$C759*'Business Case'!B13*$D759-'Business Case'!B14*$E759))*'Business Case'!$B$7-'Business Case'!$B$8*('Business Case'!B11*$C759*'Business Case'!B12*$B759)-'Business Case'!B15*$F759</f>
        <v>-2391415340.12722</v>
      </c>
      <c r="I759" s="39" t="n">
        <f aca="false">(('Business Case'!C11*$C759*'Business Case'!C12*$B759)-'Business Case'!C11*$C759*'Business Case'!C13*$D759-'Business Case'!C14*$E759)-MAX(0,(('Business Case'!C11*$C759*'Business Case'!C12*$B759)-'Business Case'!C11*$C759*'Business Case'!C13*$D759-'Business Case'!C14*$E759))*'Business Case'!$B$7-'Business Case'!$B$8*(('Business Case'!C11*$C759*'Business Case'!C12*$B759)-('Business Case'!B11*$C759*'Business Case'!B12*$B759))-'Business Case'!C15*$F759</f>
        <v>311571.581477895</v>
      </c>
      <c r="J759" s="39" t="n">
        <f aca="false">(('Business Case'!D11*$C759*'Business Case'!D12*$B759)-'Business Case'!D11*$C759*'Business Case'!D13*$D759-'Business Case'!D14*$E759)-MAX(0,(('Business Case'!D11*$C759*'Business Case'!D12*$B759)-'Business Case'!D11*$C759*'Business Case'!D13*$D759-'Business Case'!D14*$E759))*'Business Case'!$B$7-'Business Case'!$B$8*(('Business Case'!D11*$C759*'Business Case'!D12*$B759)-('Business Case'!C11*$C759*'Business Case'!C12*$B759))-'Business Case'!D15*$F759</f>
        <v>320981214.061918</v>
      </c>
      <c r="K759" s="39" t="n">
        <f aca="false">(('Business Case'!E11*$C759*'Business Case'!E12*$B759)-'Business Case'!E11*$C759*'Business Case'!E13*$D759-'Business Case'!E14*$E759)-MAX(0,(('Business Case'!E11*$C759*'Business Case'!E12*$B759)-'Business Case'!E11*$C759*'Business Case'!E13*$D759-'Business Case'!E14*$E759))*'Business Case'!$B$7-'Business Case'!$B$8*(('Business Case'!E11*$C759*'Business Case'!E12*$B759)-('Business Case'!D11*$C759*'Business Case'!D12*$B759))-'Business Case'!E15*$F759</f>
        <v>701436240.04554</v>
      </c>
      <c r="L759" s="39" t="n">
        <f aca="false">(('Business Case'!F11*$C759*'Business Case'!F12*$B759)-'Business Case'!F11*$C759*'Business Case'!F13*$D759-'Business Case'!F14*$E759)-MAX(0,(('Business Case'!F11*$C759*'Business Case'!F12*$B759)-'Business Case'!F11*$C759*'Business Case'!F13*$D759-'Business Case'!F14*$E759))*'Business Case'!$B$7-'Business Case'!$B$8*(('Business Case'!F11*$C759*'Business Case'!F12*$B759)-('Business Case'!E11*$C759*'Business Case'!E12*$B759))-'Business Case'!F15*$F759</f>
        <v>843552006.28547</v>
      </c>
      <c r="M759" s="39" t="n">
        <f aca="false">(('Business Case'!G11*$C759*'Business Case'!G12*$B759)-'Business Case'!G11*$C759*'Business Case'!G13*$D759-'Business Case'!G14*$E759)-MAX(0,(('Business Case'!G11*$C759*'Business Case'!G12*$B759)-'Business Case'!G11*$C759*'Business Case'!G13*$D759-'Business Case'!G14*$E759))*'Business Case'!$B$7-'Business Case'!$B$8*(('Business Case'!G11*$C759*'Business Case'!G12*$B759)-('Business Case'!F11*$C759*'Business Case'!F12*$B759))-'Business Case'!G15*$F759+'Business Case'!$B$8*('Business Case'!G11*$C759*'Business Case'!G12*$B759)</f>
        <v>1037294376.05761</v>
      </c>
      <c r="N759" s="39" t="n">
        <f aca="false">IF(COUNT('Business Case'!B11:G11)=0,"",H759+NPV(G759,I759:M759))</f>
        <v>-417740888.206671</v>
      </c>
      <c r="P759" s="40" t="n">
        <f aca="true">RAND()</f>
        <v>0.83428711705919</v>
      </c>
      <c r="Q759" s="40" t="n">
        <f aca="true">RAND()</f>
        <v>0.686176267298163</v>
      </c>
      <c r="R759" s="40" t="n">
        <f aca="true">RAND()</f>
        <v>0.332887670393299</v>
      </c>
      <c r="S759" s="40" t="n">
        <f aca="true">RAND()</f>
        <v>0.679823525644649</v>
      </c>
      <c r="T759" s="40" t="n">
        <f aca="true">RAND()</f>
        <v>0.960697905467706</v>
      </c>
      <c r="U759" s="40" t="n">
        <f aca="true">RAND()</f>
        <v>0.606625432343317</v>
      </c>
    </row>
    <row r="760" customFormat="false" ht="15" hidden="false" customHeight="false" outlineLevel="0" collapsed="false">
      <c r="A760" s="36" t="n">
        <v>680</v>
      </c>
      <c r="B760" s="37" t="n">
        <f aca="false">1+IF($G$6=$E$6,$F$6,IF(P760&lt;($F$6-$E$6)/($G$6-$E$6),$E$6+SQRT(P760*($G$6-$E$6)*($F$6-$E$6)),$G$6-SQRT((1-P760)*($G$6-$E$6)*($G$6-$F$6))))</f>
        <v>0.997106812850288</v>
      </c>
      <c r="C760" s="37" t="n">
        <f aca="false">1+IF($G$7=$E$7,$F$7,IF(Q760&lt;($F$7-$E$7)/($G$7-$E$7),$E$7+SQRT(Q760*($G$7-$E$7)*($F$7-$E$7)),$G$7-SQRT((1-Q760)*($G$7-$E$7)*($G$7-$F$7))))</f>
        <v>0.932305145562723</v>
      </c>
      <c r="D760" s="37" t="n">
        <f aca="false">1+IF($G$8=$E$8,$F$8,IF(R760&lt;($F$8-$E$8)/($G$8-$E$8),$E$8+SQRT(R760*($G$8-$E$8)*($F$8-$E$8)),$G$8-SQRT((1-R760)*($G$8-$E$8)*($G$8-$F$8))))</f>
        <v>1.00952397972684</v>
      </c>
      <c r="E760" s="37" t="n">
        <f aca="false">1+IF($G$9=$E$9,$F$9,IF(S760&lt;($F$9-$E$9)/($G$9-$E$9),$E$9+SQRT(S760*($G$9-$E$9)*($F$9-$E$9)),$G$9-SQRT((1-S760)*($G$9-$E$9)*($G$9-$F$9))))</f>
        <v>1.10093694174124</v>
      </c>
      <c r="F760" s="37" t="n">
        <f aca="false">1+IF($G$10=$E$10,$F$10,IF(T760&lt;($F$10-$E$10)/($G$10-$E$10),$E$10+SQRT(T760*($G$10-$E$10)*($F$10-$E$10)),$G$10-SQRT((1-T760)*($G$10-$E$10)*($G$10-$F$10))))</f>
        <v>1.18067755883524</v>
      </c>
      <c r="G760" s="38" t="n">
        <f aca="false">IF($G$11=$E$11,$F$11,IF(U760&lt;($F$11-$E$11)/($G$11-$E$11),$E$11+SQRT(U760*($G$11-$E$11)*($F$11-$E$11)),$G$11-SQRT((1-U760)*($G$11-$E$11)*($G$11-$F$11))))</f>
        <v>0.0996641711430254</v>
      </c>
      <c r="H760" s="39" t="n">
        <f aca="false">(('Business Case'!B11*$C760*'Business Case'!B12*$B760)-'Business Case'!B11*$C760*'Business Case'!B13*$D760-'Business Case'!B14*$E760)-MAX(0,(('Business Case'!B11*$C760*'Business Case'!B12*$B760)-'Business Case'!B11*$C760*'Business Case'!B13*$D760-'Business Case'!B14*$E760))*'Business Case'!$B$7-'Business Case'!$B$8*('Business Case'!B11*$C760*'Business Case'!B12*$B760)-'Business Case'!B15*$F760</f>
        <v>-2361355117.67049</v>
      </c>
      <c r="I760" s="39" t="n">
        <f aca="false">(('Business Case'!C11*$C760*'Business Case'!C12*$B760)-'Business Case'!C11*$C760*'Business Case'!C13*$D760-'Business Case'!C14*$E760)-MAX(0,(('Business Case'!C11*$C760*'Business Case'!C12*$B760)-'Business Case'!C11*$C760*'Business Case'!C13*$D760-'Business Case'!C14*$E760))*'Business Case'!$B$7-'Business Case'!$B$8*(('Business Case'!C11*$C760*'Business Case'!C12*$B760)-('Business Case'!B11*$C760*'Business Case'!B12*$B760))-'Business Case'!C15*$F760</f>
        <v>-43207246.4481602</v>
      </c>
      <c r="J760" s="39" t="n">
        <f aca="false">(('Business Case'!D11*$C760*'Business Case'!D12*$B760)-'Business Case'!D11*$C760*'Business Case'!D13*$D760-'Business Case'!D14*$E760)-MAX(0,(('Business Case'!D11*$C760*'Business Case'!D12*$B760)-'Business Case'!D11*$C760*'Business Case'!D13*$D760-'Business Case'!D14*$E760))*'Business Case'!$B$7-'Business Case'!$B$8*(('Business Case'!D11*$C760*'Business Case'!D12*$B760)-('Business Case'!C11*$C760*'Business Case'!C12*$B760))-'Business Case'!D15*$F760</f>
        <v>236397365.092232</v>
      </c>
      <c r="K760" s="39" t="n">
        <f aca="false">(('Business Case'!E11*$C760*'Business Case'!E12*$B760)-'Business Case'!E11*$C760*'Business Case'!E13*$D760-'Business Case'!E14*$E760)-MAX(0,(('Business Case'!E11*$C760*'Business Case'!E12*$B760)-'Business Case'!E11*$C760*'Business Case'!E13*$D760-'Business Case'!E14*$E760))*'Business Case'!$B$7-'Business Case'!$B$8*(('Business Case'!E11*$C760*'Business Case'!E12*$B760)-('Business Case'!D11*$C760*'Business Case'!D12*$B760))-'Business Case'!E15*$F760</f>
        <v>575035854.574386</v>
      </c>
      <c r="L760" s="39" t="n">
        <f aca="false">(('Business Case'!F11*$C760*'Business Case'!F12*$B760)-'Business Case'!F11*$C760*'Business Case'!F13*$D760-'Business Case'!F14*$E760)-MAX(0,(('Business Case'!F11*$C760*'Business Case'!F12*$B760)-'Business Case'!F11*$C760*'Business Case'!F13*$D760-'Business Case'!F14*$E760))*'Business Case'!$B$7-'Business Case'!$B$8*(('Business Case'!F11*$C760*'Business Case'!F12*$B760)-('Business Case'!E11*$C760*'Business Case'!E12*$B760))-'Business Case'!F15*$F760</f>
        <v>700364637.747465</v>
      </c>
      <c r="M760" s="39" t="n">
        <f aca="false">(('Business Case'!G11*$C760*'Business Case'!G12*$B760)-'Business Case'!G11*$C760*'Business Case'!G13*$D760-'Business Case'!G14*$E760)-MAX(0,(('Business Case'!G11*$C760*'Business Case'!G12*$B760)-'Business Case'!G11*$C760*'Business Case'!G13*$D760-'Business Case'!G14*$E760))*'Business Case'!$B$7-'Business Case'!$B$8*(('Business Case'!G11*$C760*'Business Case'!G12*$B760)-('Business Case'!F11*$C760*'Business Case'!F12*$B760))-'Business Case'!G15*$F760+'Business Case'!$B$8*('Business Case'!G11*$C760*'Business Case'!G12*$B760)</f>
        <v>877064490.708684</v>
      </c>
      <c r="N760" s="39" t="n">
        <f aca="false">IF(COUNT('Business Case'!B11:G11)=0,"",H760+NPV(G760,I760:M760))</f>
        <v>-748365266.552368</v>
      </c>
      <c r="P760" s="40" t="n">
        <f aca="true">RAND()</f>
        <v>0.628648873462727</v>
      </c>
      <c r="Q760" s="40" t="n">
        <f aca="true">RAND()</f>
        <v>0.399745782629021</v>
      </c>
      <c r="R760" s="40" t="n">
        <f aca="true">RAND()</f>
        <v>0.454272650368662</v>
      </c>
      <c r="S760" s="40" t="n">
        <f aca="true">RAND()</f>
        <v>0.935808435047945</v>
      </c>
      <c r="T760" s="40" t="n">
        <f aca="true">RAND()</f>
        <v>0.935925322012784</v>
      </c>
      <c r="U760" s="40" t="n">
        <f aca="true">RAND()</f>
        <v>0.386679626742191</v>
      </c>
    </row>
    <row r="761" customFormat="false" ht="15" hidden="false" customHeight="false" outlineLevel="0" collapsed="false">
      <c r="A761" s="36" t="n">
        <v>681</v>
      </c>
      <c r="B761" s="37" t="n">
        <f aca="false">1+IF($G$6=$E$6,$F$6,IF(P761&lt;($F$6-$E$6)/($G$6-$E$6),$E$6+SQRT(P761*($G$6-$E$6)*($F$6-$E$6)),$G$6-SQRT((1-P761)*($G$6-$E$6)*($G$6-$F$6))))</f>
        <v>0.923722645016625</v>
      </c>
      <c r="C761" s="37" t="n">
        <f aca="false">1+IF($G$7=$E$7,$F$7,IF(Q761&lt;($F$7-$E$7)/($G$7-$E$7),$E$7+SQRT(Q761*($G$7-$E$7)*($F$7-$E$7)),$G$7-SQRT((1-Q761)*($G$7-$E$7)*($G$7-$F$7))))</f>
        <v>1.05714324606931</v>
      </c>
      <c r="D761" s="37" t="n">
        <f aca="false">1+IF($G$8=$E$8,$F$8,IF(R761&lt;($F$8-$E$8)/($G$8-$E$8),$E$8+SQRT(R761*($G$8-$E$8)*($F$8-$E$8)),$G$8-SQRT((1-R761)*($G$8-$E$8)*($G$8-$F$8))))</f>
        <v>1.06966957341176</v>
      </c>
      <c r="E761" s="37" t="n">
        <f aca="false">1+IF($G$9=$E$9,$F$9,IF(S761&lt;($F$9-$E$9)/($G$9-$E$9),$E$9+SQRT(S761*($G$9-$E$9)*($F$9-$E$9)),$G$9-SQRT((1-S761)*($G$9-$E$9)*($G$9-$F$9))))</f>
        <v>1.06302306507552</v>
      </c>
      <c r="F761" s="37" t="n">
        <f aca="false">1+IF($G$10=$E$10,$F$10,IF(T761&lt;($F$10-$E$10)/($G$10-$E$10),$E$10+SQRT(T761*($G$10-$E$10)*($F$10-$E$10)),$G$10-SQRT((1-T761)*($G$10-$E$10)*($G$10-$F$10))))</f>
        <v>1.06329670083008</v>
      </c>
      <c r="G761" s="38" t="n">
        <f aca="false">IF($G$11=$E$11,$F$11,IF(U761&lt;($F$11-$E$11)/($G$11-$E$11),$E$11+SQRT(U761*($G$11-$E$11)*($F$11-$E$11)),$G$11-SQRT((1-U761)*($G$11-$E$11)*($G$11-$F$11))))</f>
        <v>0.109444529319103</v>
      </c>
      <c r="H761" s="39" t="n">
        <f aca="false">(('Business Case'!B11*$C761*'Business Case'!B12*$B761)-'Business Case'!B11*$C761*'Business Case'!B13*$D761-'Business Case'!B14*$E761)-MAX(0,(('Business Case'!B11*$C761*'Business Case'!B12*$B761)-'Business Case'!B11*$C761*'Business Case'!B13*$D761-'Business Case'!B14*$E761))*'Business Case'!$B$7-'Business Case'!$B$8*('Business Case'!B11*$C761*'Business Case'!B12*$B761)-'Business Case'!B15*$F761</f>
        <v>-2126593401.66017</v>
      </c>
      <c r="I761" s="39" t="n">
        <f aca="false">(('Business Case'!C11*$C761*'Business Case'!C12*$B761)-'Business Case'!C11*$C761*'Business Case'!C13*$D761-'Business Case'!C14*$E761)-MAX(0,(('Business Case'!C11*$C761*'Business Case'!C12*$B761)-'Business Case'!C11*$C761*'Business Case'!C13*$D761-'Business Case'!C14*$E761))*'Business Case'!$B$7-'Business Case'!$B$8*(('Business Case'!C11*$C761*'Business Case'!C12*$B761)-('Business Case'!B11*$C761*'Business Case'!B12*$B761))-'Business Case'!C15*$F761</f>
        <v>-87160058.6616215</v>
      </c>
      <c r="J761" s="39" t="n">
        <f aca="false">(('Business Case'!D11*$C761*'Business Case'!D12*$B761)-'Business Case'!D11*$C761*'Business Case'!D13*$D761-'Business Case'!D14*$E761)-MAX(0,(('Business Case'!D11*$C761*'Business Case'!D12*$B761)-'Business Case'!D11*$C761*'Business Case'!D13*$D761-'Business Case'!D14*$E761))*'Business Case'!$B$7-'Business Case'!$B$8*(('Business Case'!D11*$C761*'Business Case'!D12*$B761)-('Business Case'!C11*$C761*'Business Case'!C12*$B761))-'Business Case'!D15*$F761</f>
        <v>133793563.550509</v>
      </c>
      <c r="K761" s="39" t="n">
        <f aca="false">(('Business Case'!E11*$C761*'Business Case'!E12*$B761)-'Business Case'!E11*$C761*'Business Case'!E13*$D761-'Business Case'!E14*$E761)-MAX(0,(('Business Case'!E11*$C761*'Business Case'!E12*$B761)-'Business Case'!E11*$C761*'Business Case'!E13*$D761-'Business Case'!E14*$E761))*'Business Case'!$B$7-'Business Case'!$B$8*(('Business Case'!E11*$C761*'Business Case'!E12*$B761)-('Business Case'!D11*$C761*'Business Case'!D12*$B761))-'Business Case'!E15*$F761</f>
        <v>407912020.804143</v>
      </c>
      <c r="L761" s="39" t="n">
        <f aca="false">(('Business Case'!F11*$C761*'Business Case'!F12*$B761)-'Business Case'!F11*$C761*'Business Case'!F13*$D761-'Business Case'!F14*$E761)-MAX(0,(('Business Case'!F11*$C761*'Business Case'!F12*$B761)-'Business Case'!F11*$C761*'Business Case'!F13*$D761-'Business Case'!F14*$E761))*'Business Case'!$B$7-'Business Case'!$B$8*(('Business Case'!F11*$C761*'Business Case'!F12*$B761)-('Business Case'!E11*$C761*'Business Case'!E12*$B761))-'Business Case'!F15*$F761</f>
        <v>515311315.499523</v>
      </c>
      <c r="M761" s="39" t="n">
        <f aca="false">(('Business Case'!G11*$C761*'Business Case'!G12*$B761)-'Business Case'!G11*$C761*'Business Case'!G13*$D761-'Business Case'!G14*$E761)-MAX(0,(('Business Case'!G11*$C761*'Business Case'!G12*$B761)-'Business Case'!G11*$C761*'Business Case'!G13*$D761-'Business Case'!G14*$E761))*'Business Case'!$B$7-'Business Case'!$B$8*(('Business Case'!G11*$C761*'Business Case'!G12*$B761)-('Business Case'!F11*$C761*'Business Case'!F12*$B761))-'Business Case'!G15*$F761+'Business Case'!$B$8*('Business Case'!G11*$C761*'Business Case'!G12*$B761)</f>
        <v>700925795.601872</v>
      </c>
      <c r="N761" s="39" t="n">
        <f aca="false">IF(COUNT('Business Case'!B11:G11)=0,"",H761+NPV(G761,I761:M761))</f>
        <v>-1040607137.10879</v>
      </c>
      <c r="P761" s="40" t="n">
        <f aca="true">RAND()</f>
        <v>0.0375175924389882</v>
      </c>
      <c r="Q761" s="40" t="n">
        <f aca="true">RAND()</f>
        <v>0.872261085177124</v>
      </c>
      <c r="R761" s="40" t="n">
        <f aca="true">RAND()</f>
        <v>0.938671014865042</v>
      </c>
      <c r="S761" s="40" t="n">
        <f aca="true">RAND()</f>
        <v>0.798267007763813</v>
      </c>
      <c r="T761" s="40" t="n">
        <f aca="true">RAND()</f>
        <v>0.53522504105425</v>
      </c>
      <c r="U761" s="40" t="n">
        <f aca="true">RAND()</f>
        <v>0.7183150833912</v>
      </c>
    </row>
    <row r="762" customFormat="false" ht="15" hidden="false" customHeight="false" outlineLevel="0" collapsed="false">
      <c r="A762" s="36" t="n">
        <v>682</v>
      </c>
      <c r="B762" s="37" t="n">
        <f aca="false">1+IF($G$6=$E$6,$F$6,IF(P762&lt;($F$6-$E$6)/($G$6-$E$6),$E$6+SQRT(P762*($G$6-$E$6)*($F$6-$E$6)),$G$6-SQRT((1-P762)*($G$6-$E$6)*($G$6-$F$6))))</f>
        <v>1.00644132551044</v>
      </c>
      <c r="C762" s="37" t="n">
        <f aca="false">1+IF($G$7=$E$7,$F$7,IF(Q762&lt;($F$7-$E$7)/($G$7-$E$7),$E$7+SQRT(Q762*($G$7-$E$7)*($F$7-$E$7)),$G$7-SQRT((1-Q762)*($G$7-$E$7)*($G$7-$F$7))))</f>
        <v>0.769658526107058</v>
      </c>
      <c r="D762" s="37" t="n">
        <f aca="false">1+IF($G$8=$E$8,$F$8,IF(R762&lt;($F$8-$E$8)/($G$8-$E$8),$E$8+SQRT(R762*($G$8-$E$8)*($F$8-$E$8)),$G$8-SQRT((1-R762)*($G$8-$E$8)*($G$8-$F$8))))</f>
        <v>1.00708463038531</v>
      </c>
      <c r="E762" s="37" t="n">
        <f aca="false">1+IF($G$9=$E$9,$F$9,IF(S762&lt;($F$9-$E$9)/($G$9-$E$9),$E$9+SQRT(S762*($G$9-$E$9)*($F$9-$E$9)),$G$9-SQRT((1-S762)*($G$9-$E$9)*($G$9-$F$9))))</f>
        <v>1.03627591222903</v>
      </c>
      <c r="F762" s="37" t="n">
        <f aca="false">1+IF($G$10=$E$10,$F$10,IF(T762&lt;($F$10-$E$10)/($G$10-$E$10),$E$10+SQRT(T762*($G$10-$E$10)*($F$10-$E$10)),$G$10-SQRT((1-T762)*($G$10-$E$10)*($G$10-$F$10))))</f>
        <v>1.03470151293947</v>
      </c>
      <c r="G762" s="38" t="n">
        <f aca="false">IF($G$11=$E$11,$F$11,IF(U762&lt;($F$11-$E$11)/($G$11-$E$11),$E$11+SQRT(U762*($G$11-$E$11)*($F$11-$E$11)),$G$11-SQRT((1-U762)*($G$11-$E$11)*($G$11-$F$11))))</f>
        <v>0.0968686290811196</v>
      </c>
      <c r="H762" s="39" t="n">
        <f aca="false">(('Business Case'!B11*$C762*'Business Case'!B12*$B762)-'Business Case'!B11*$C762*'Business Case'!B13*$D762-'Business Case'!B14*$E762)-MAX(0,(('Business Case'!B11*$C762*'Business Case'!B12*$B762)-'Business Case'!B11*$C762*'Business Case'!B13*$D762-'Business Case'!B14*$E762))*'Business Case'!$B$7-'Business Case'!$B$8*('Business Case'!B11*$C762*'Business Case'!B12*$B762)-'Business Case'!B15*$F762</f>
        <v>-2069403025.87895</v>
      </c>
      <c r="I762" s="39" t="n">
        <f aca="false">(('Business Case'!C11*$C762*'Business Case'!C12*$B762)-'Business Case'!C11*$C762*'Business Case'!C13*$D762-'Business Case'!C14*$E762)-MAX(0,(('Business Case'!C11*$C762*'Business Case'!C12*$B762)-'Business Case'!C11*$C762*'Business Case'!C13*$D762-'Business Case'!C14*$E762))*'Business Case'!$B$7-'Business Case'!$B$8*(('Business Case'!C11*$C762*'Business Case'!C12*$B762)-('Business Case'!B11*$C762*'Business Case'!B12*$B762))-'Business Case'!C15*$F762</f>
        <v>-53313252.669448</v>
      </c>
      <c r="J762" s="39" t="n">
        <f aca="false">(('Business Case'!D11*$C762*'Business Case'!D12*$B762)-'Business Case'!D11*$C762*'Business Case'!D13*$D762-'Business Case'!D14*$E762)-MAX(0,(('Business Case'!D11*$C762*'Business Case'!D12*$B762)-'Business Case'!D11*$C762*'Business Case'!D13*$D762-'Business Case'!D14*$E762))*'Business Case'!$B$7-'Business Case'!$B$8*(('Business Case'!D11*$C762*'Business Case'!D12*$B762)-('Business Case'!C11*$C762*'Business Case'!C12*$B762))-'Business Case'!D15*$F762</f>
        <v>184358181.745158</v>
      </c>
      <c r="K762" s="39" t="n">
        <f aca="false">(('Business Case'!E11*$C762*'Business Case'!E12*$B762)-'Business Case'!E11*$C762*'Business Case'!E13*$D762-'Business Case'!E14*$E762)-MAX(0,(('Business Case'!E11*$C762*'Business Case'!E12*$B762)-'Business Case'!E11*$C762*'Business Case'!E13*$D762-'Business Case'!E14*$E762))*'Business Case'!$B$7-'Business Case'!$B$8*(('Business Case'!E11*$C762*'Business Case'!E12*$B762)-('Business Case'!D11*$C762*'Business Case'!D12*$B762))-'Business Case'!E15*$F762</f>
        <v>473764691.806737</v>
      </c>
      <c r="L762" s="39" t="n">
        <f aca="false">(('Business Case'!F11*$C762*'Business Case'!F12*$B762)-'Business Case'!F11*$C762*'Business Case'!F13*$D762-'Business Case'!F14*$E762)-MAX(0,(('Business Case'!F11*$C762*'Business Case'!F12*$B762)-'Business Case'!F11*$C762*'Business Case'!F13*$D762-'Business Case'!F14*$E762))*'Business Case'!$B$7-'Business Case'!$B$8*(('Business Case'!F11*$C762*'Business Case'!F12*$B762)-('Business Case'!E11*$C762*'Business Case'!E12*$B762))-'Business Case'!F15*$F762</f>
        <v>579759237.325698</v>
      </c>
      <c r="M762" s="39" t="n">
        <f aca="false">(('Business Case'!G11*$C762*'Business Case'!G12*$B762)-'Business Case'!G11*$C762*'Business Case'!G13*$D762-'Business Case'!G14*$E762)-MAX(0,(('Business Case'!G11*$C762*'Business Case'!G12*$B762)-'Business Case'!G11*$C762*'Business Case'!G13*$D762-'Business Case'!G14*$E762))*'Business Case'!$B$7-'Business Case'!$B$8*(('Business Case'!G11*$C762*'Business Case'!G12*$B762)-('Business Case'!F11*$C762*'Business Case'!F12*$B762))-'Business Case'!G15*$F762+'Business Case'!$B$8*('Business Case'!G11*$C762*'Business Case'!G12*$B762)</f>
        <v>726998274.586538</v>
      </c>
      <c r="N762" s="39" t="n">
        <f aca="false">IF(COUNT('Business Case'!B11:G11)=0,"",H762+NPV(G762,I762:M762))</f>
        <v>-747357324.924351</v>
      </c>
      <c r="P762" s="40" t="n">
        <f aca="true">RAND()</f>
        <v>0.747018916895047</v>
      </c>
      <c r="Q762" s="40" t="n">
        <f aca="true">RAND()</f>
        <v>0.0359430389585749</v>
      </c>
      <c r="R762" s="40" t="n">
        <f aca="true">RAND()</f>
        <v>0.424448939291042</v>
      </c>
      <c r="S762" s="40" t="n">
        <f aca="true">RAND()</f>
        <v>0.65511551628427</v>
      </c>
      <c r="T762" s="40" t="n">
        <f aca="true">RAND()</f>
        <v>0.381954152925983</v>
      </c>
      <c r="U762" s="40" t="n">
        <f aca="true">RAND()</f>
        <v>0.284550647076393</v>
      </c>
    </row>
    <row r="763" customFormat="false" ht="15" hidden="false" customHeight="false" outlineLevel="0" collapsed="false">
      <c r="A763" s="36" t="n">
        <v>683</v>
      </c>
      <c r="B763" s="37" t="n">
        <f aca="false">1+IF($G$6=$E$6,$F$6,IF(P763&lt;($F$6-$E$6)/($G$6-$E$6),$E$6+SQRT(P763*($G$6-$E$6)*($F$6-$E$6)),$G$6-SQRT((1-P763)*($G$6-$E$6)*($G$6-$F$6))))</f>
        <v>0.958772044029939</v>
      </c>
      <c r="C763" s="37" t="n">
        <f aca="false">1+IF($G$7=$E$7,$F$7,IF(Q763&lt;($F$7-$E$7)/($G$7-$E$7),$E$7+SQRT(Q763*($G$7-$E$7)*($F$7-$E$7)),$G$7-SQRT((1-Q763)*($G$7-$E$7)*($G$7-$F$7))))</f>
        <v>1.01593230498272</v>
      </c>
      <c r="D763" s="37" t="n">
        <f aca="false">1+IF($G$8=$E$8,$F$8,IF(R763&lt;($F$8-$E$8)/($G$8-$E$8),$E$8+SQRT(R763*($G$8-$E$8)*($F$8-$E$8)),$G$8-SQRT((1-R763)*($G$8-$E$8)*($G$8-$F$8))))</f>
        <v>1.0026786146708</v>
      </c>
      <c r="E763" s="37" t="n">
        <f aca="false">1+IF($G$9=$E$9,$F$9,IF(S763&lt;($F$9-$E$9)/($G$9-$E$9),$E$9+SQRT(S763*($G$9-$E$9)*($F$9-$E$9)),$G$9-SQRT((1-S763)*($G$9-$E$9)*($G$9-$F$9))))</f>
        <v>1.01376259127739</v>
      </c>
      <c r="F763" s="37" t="n">
        <f aca="false">1+IF($G$10=$E$10,$F$10,IF(T763&lt;($F$10-$E$10)/($G$10-$E$10),$E$10+SQRT(T763*($G$10-$E$10)*($F$10-$E$10)),$G$10-SQRT((1-T763)*($G$10-$E$10)*($G$10-$F$10))))</f>
        <v>1.15122998605105</v>
      </c>
      <c r="G763" s="38" t="n">
        <f aca="false">IF($G$11=$E$11,$F$11,IF(U763&lt;($F$11-$E$11)/($G$11-$E$11),$E$11+SQRT(U763*($G$11-$E$11)*($F$11-$E$11)),$G$11-SQRT((1-U763)*($G$11-$E$11)*($G$11-$F$11))))</f>
        <v>0.0839761765480362</v>
      </c>
      <c r="H763" s="39" t="n">
        <f aca="false">(('Business Case'!B11*$C763*'Business Case'!B12*$B763)-'Business Case'!B11*$C763*'Business Case'!B13*$D763-'Business Case'!B14*$E763)-MAX(0,(('Business Case'!B11*$C763*'Business Case'!B12*$B763)-'Business Case'!B11*$C763*'Business Case'!B13*$D763-'Business Case'!B14*$E763))*'Business Case'!$B$7-'Business Case'!$B$8*('Business Case'!B11*$C763*'Business Case'!B12*$B763)-'Business Case'!B15*$F763</f>
        <v>-2302459972.10209</v>
      </c>
      <c r="I763" s="39" t="n">
        <f aca="false">(('Business Case'!C11*$C763*'Business Case'!C12*$B763)-'Business Case'!C11*$C763*'Business Case'!C13*$D763-'Business Case'!C14*$E763)-MAX(0,(('Business Case'!C11*$C763*'Business Case'!C12*$B763)-'Business Case'!C11*$C763*'Business Case'!C13*$D763-'Business Case'!C14*$E763))*'Business Case'!$B$7-'Business Case'!$B$8*(('Business Case'!C11*$C763*'Business Case'!C12*$B763)-('Business Case'!B11*$C763*'Business Case'!B12*$B763))-'Business Case'!C15*$F763</f>
        <v>-33428782.1541714</v>
      </c>
      <c r="J763" s="39" t="n">
        <f aca="false">(('Business Case'!D11*$C763*'Business Case'!D12*$B763)-'Business Case'!D11*$C763*'Business Case'!D13*$D763-'Business Case'!D14*$E763)-MAX(0,(('Business Case'!D11*$C763*'Business Case'!D12*$B763)-'Business Case'!D11*$C763*'Business Case'!D13*$D763-'Business Case'!D14*$E763))*'Business Case'!$B$7-'Business Case'!$B$8*(('Business Case'!D11*$C763*'Business Case'!D12*$B763)-('Business Case'!C11*$C763*'Business Case'!C12*$B763))-'Business Case'!D15*$F763</f>
        <v>242917096.795089</v>
      </c>
      <c r="K763" s="39" t="n">
        <f aca="false">(('Business Case'!E11*$C763*'Business Case'!E12*$B763)-'Business Case'!E11*$C763*'Business Case'!E13*$D763-'Business Case'!E14*$E763)-MAX(0,(('Business Case'!E11*$C763*'Business Case'!E12*$B763)-'Business Case'!E11*$C763*'Business Case'!E13*$D763-'Business Case'!E14*$E763))*'Business Case'!$B$7-'Business Case'!$B$8*(('Business Case'!E11*$C763*'Business Case'!E12*$B763)-('Business Case'!D11*$C763*'Business Case'!D12*$B763))-'Business Case'!E15*$F763</f>
        <v>576824475.046901</v>
      </c>
      <c r="L763" s="39" t="n">
        <f aca="false">(('Business Case'!F11*$C763*'Business Case'!F12*$B763)-'Business Case'!F11*$C763*'Business Case'!F13*$D763-'Business Case'!F14*$E763)-MAX(0,(('Business Case'!F11*$C763*'Business Case'!F12*$B763)-'Business Case'!F11*$C763*'Business Case'!F13*$D763-'Business Case'!F14*$E763))*'Business Case'!$B$7-'Business Case'!$B$8*(('Business Case'!F11*$C763*'Business Case'!F12*$B763)-('Business Case'!E11*$C763*'Business Case'!E12*$B763))-'Business Case'!F15*$F763</f>
        <v>702602849.375775</v>
      </c>
      <c r="M763" s="39" t="n">
        <f aca="false">(('Business Case'!G11*$C763*'Business Case'!G12*$B763)-'Business Case'!G11*$C763*'Business Case'!G13*$D763-'Business Case'!G14*$E763)-MAX(0,(('Business Case'!G11*$C763*'Business Case'!G12*$B763)-'Business Case'!G11*$C763*'Business Case'!G13*$D763-'Business Case'!G14*$E763))*'Business Case'!$B$7-'Business Case'!$B$8*(('Business Case'!G11*$C763*'Business Case'!G12*$B763)-('Business Case'!F11*$C763*'Business Case'!F12*$B763))-'Business Case'!G15*$F763+'Business Case'!$B$8*('Business Case'!G11*$C763*'Business Case'!G12*$B763)</f>
        <v>887749796.777609</v>
      </c>
      <c r="N763" s="39" t="n">
        <f aca="false">IF(COUNT('Business Case'!B11:G11)=0,"",H763+NPV(G763,I763:M763))</f>
        <v>-571594821.028215</v>
      </c>
      <c r="P763" s="40" t="n">
        <f aca="true">RAND()</f>
        <v>0.230276877297143</v>
      </c>
      <c r="Q763" s="40" t="n">
        <f aca="true">RAND()</f>
        <v>0.733716343003739</v>
      </c>
      <c r="R763" s="40" t="n">
        <f aca="true">RAND()</f>
        <v>0.368569863840421</v>
      </c>
      <c r="S763" s="40" t="n">
        <f aca="true">RAND()</f>
        <v>0.505049825721295</v>
      </c>
      <c r="T763" s="40" t="n">
        <f aca="true">RAND()</f>
        <v>0.869926457926983</v>
      </c>
      <c r="U763" s="40" t="n">
        <f aca="true">RAND()</f>
        <v>0.0158099799411527</v>
      </c>
    </row>
    <row r="764" customFormat="false" ht="15" hidden="false" customHeight="false" outlineLevel="0" collapsed="false">
      <c r="A764" s="36" t="n">
        <v>684</v>
      </c>
      <c r="B764" s="37" t="n">
        <f aca="false">1+IF($G$6=$E$6,$F$6,IF(P764&lt;($F$6-$E$6)/($G$6-$E$6),$E$6+SQRT(P764*($G$6-$E$6)*($F$6-$E$6)),$G$6-SQRT((1-P764)*($G$6-$E$6)*($G$6-$F$6))))</f>
        <v>0.973780449526173</v>
      </c>
      <c r="C764" s="37" t="n">
        <f aca="false">1+IF($G$7=$E$7,$F$7,IF(Q764&lt;($F$7-$E$7)/($G$7-$E$7),$E$7+SQRT(Q764*($G$7-$E$7)*($F$7-$E$7)),$G$7-SQRT((1-Q764)*($G$7-$E$7)*($G$7-$F$7))))</f>
        <v>0.890311580961739</v>
      </c>
      <c r="D764" s="37" t="n">
        <f aca="false">1+IF($G$8=$E$8,$F$8,IF(R764&lt;($F$8-$E$8)/($G$8-$E$8),$E$8+SQRT(R764*($G$8-$E$8)*($F$8-$E$8)),$G$8-SQRT((1-R764)*($G$8-$E$8)*($G$8-$F$8))))</f>
        <v>1.06414384004722</v>
      </c>
      <c r="E764" s="37" t="n">
        <f aca="false">1+IF($G$9=$E$9,$F$9,IF(S764&lt;($F$9-$E$9)/($G$9-$E$9),$E$9+SQRT(S764*($G$9-$E$9)*($F$9-$E$9)),$G$9-SQRT((1-S764)*($G$9-$E$9)*($G$9-$F$9))))</f>
        <v>1.03149383969831</v>
      </c>
      <c r="F764" s="37" t="n">
        <f aca="false">1+IF($G$10=$E$10,$F$10,IF(T764&lt;($F$10-$E$10)/($G$10-$E$10),$E$10+SQRT(T764*($G$10-$E$10)*($F$10-$E$10)),$G$10-SQRT((1-T764)*($G$10-$E$10)*($G$10-$F$10))))</f>
        <v>1.13966531135583</v>
      </c>
      <c r="G764" s="38" t="n">
        <f aca="false">IF($G$11=$E$11,$F$11,IF(U764&lt;($F$11-$E$11)/($G$11-$E$11),$E$11+SQRT(U764*($G$11-$E$11)*($F$11-$E$11)),$G$11-SQRT((1-U764)*($G$11-$E$11)*($G$11-$F$11))))</f>
        <v>0.105062942313802</v>
      </c>
      <c r="H764" s="39" t="n">
        <f aca="false">(('Business Case'!B11*$C764*'Business Case'!B12*$B764)-'Business Case'!B11*$C764*'Business Case'!B13*$D764-'Business Case'!B14*$E764)-MAX(0,(('Business Case'!B11*$C764*'Business Case'!B12*$B764)-'Business Case'!B11*$C764*'Business Case'!B13*$D764-'Business Case'!B14*$E764))*'Business Case'!$B$7-'Business Case'!$B$8*('Business Case'!B11*$C764*'Business Case'!B12*$B764)-'Business Case'!B15*$F764</f>
        <v>-2279330622.71166</v>
      </c>
      <c r="I764" s="39" t="n">
        <f aca="false">(('Business Case'!C11*$C764*'Business Case'!C12*$B764)-'Business Case'!C11*$C764*'Business Case'!C13*$D764-'Business Case'!C14*$E764)-MAX(0,(('Business Case'!C11*$C764*'Business Case'!C12*$B764)-'Business Case'!C11*$C764*'Business Case'!C13*$D764-'Business Case'!C14*$E764))*'Business Case'!$B$7-'Business Case'!$B$8*(('Business Case'!C11*$C764*'Business Case'!C12*$B764)-('Business Case'!B11*$C764*'Business Case'!B12*$B764))-'Business Case'!C15*$F764</f>
        <v>-80482387.4706234</v>
      </c>
      <c r="J764" s="39" t="n">
        <f aca="false">(('Business Case'!D11*$C764*'Business Case'!D12*$B764)-'Business Case'!D11*$C764*'Business Case'!D13*$D764-'Business Case'!D14*$E764)-MAX(0,(('Business Case'!D11*$C764*'Business Case'!D12*$B764)-'Business Case'!D11*$C764*'Business Case'!D13*$D764-'Business Case'!D14*$E764))*'Business Case'!$B$7-'Business Case'!$B$8*(('Business Case'!D11*$C764*'Business Case'!D12*$B764)-('Business Case'!C11*$C764*'Business Case'!C12*$B764))-'Business Case'!D15*$F764</f>
        <v>144623801.91701</v>
      </c>
      <c r="K764" s="39" t="n">
        <f aca="false">(('Business Case'!E11*$C764*'Business Case'!E12*$B764)-'Business Case'!E11*$C764*'Business Case'!E13*$D764-'Business Case'!E14*$E764)-MAX(0,(('Business Case'!E11*$C764*'Business Case'!E12*$B764)-'Business Case'!E11*$C764*'Business Case'!E13*$D764-'Business Case'!E14*$E764))*'Business Case'!$B$7-'Business Case'!$B$8*(('Business Case'!E11*$C764*'Business Case'!E12*$B764)-('Business Case'!D11*$C764*'Business Case'!D12*$B764))-'Business Case'!E15*$F764</f>
        <v>426713256.872435</v>
      </c>
      <c r="L764" s="39" t="n">
        <f aca="false">(('Business Case'!F11*$C764*'Business Case'!F12*$B764)-'Business Case'!F11*$C764*'Business Case'!F13*$D764-'Business Case'!F14*$E764)-MAX(0,(('Business Case'!F11*$C764*'Business Case'!F12*$B764)-'Business Case'!F11*$C764*'Business Case'!F13*$D764-'Business Case'!F14*$E764))*'Business Case'!$B$7-'Business Case'!$B$8*(('Business Case'!F11*$C764*'Business Case'!F12*$B764)-('Business Case'!E11*$C764*'Business Case'!E12*$B764))-'Business Case'!F15*$F764</f>
        <v>531711067.813362</v>
      </c>
      <c r="M764" s="39" t="n">
        <f aca="false">(('Business Case'!G11*$C764*'Business Case'!G12*$B764)-'Business Case'!G11*$C764*'Business Case'!G13*$D764-'Business Case'!G14*$E764)-MAX(0,(('Business Case'!G11*$C764*'Business Case'!G12*$B764)-'Business Case'!G11*$C764*'Business Case'!G13*$D764-'Business Case'!G14*$E764))*'Business Case'!$B$7-'Business Case'!$B$8*(('Business Case'!G11*$C764*'Business Case'!G12*$B764)-('Business Case'!F11*$C764*'Business Case'!F12*$B764))-'Business Case'!G15*$F764+'Business Case'!$B$8*('Business Case'!G11*$C764*'Business Case'!G12*$B764)</f>
        <v>696504347.444468</v>
      </c>
      <c r="N764" s="39" t="n">
        <f aca="false">IF(COUNT('Business Case'!B11:G11)=0,"",H764+NPV(G764,I764:M764))</f>
        <v>-1138306910.95519</v>
      </c>
      <c r="P764" s="40" t="n">
        <f aca="true">RAND()</f>
        <v>0.362903648818945</v>
      </c>
      <c r="Q764" s="40" t="n">
        <f aca="true">RAND()</f>
        <v>0.268285169245604</v>
      </c>
      <c r="R764" s="40" t="n">
        <f aca="true">RAND()</f>
        <v>0.914289052896057</v>
      </c>
      <c r="S764" s="40" t="n">
        <f aca="true">RAND()</f>
        <v>0.625501065881331</v>
      </c>
      <c r="T764" s="40" t="n">
        <f aca="true">RAND()</f>
        <v>0.837683419757259</v>
      </c>
      <c r="U764" s="40" t="n">
        <f aca="true">RAND()</f>
        <v>0.585428769303478</v>
      </c>
    </row>
    <row r="765" customFormat="false" ht="15" hidden="false" customHeight="false" outlineLevel="0" collapsed="false">
      <c r="A765" s="36" t="n">
        <v>685</v>
      </c>
      <c r="B765" s="37" t="n">
        <f aca="false">1+IF($G$6=$E$6,$F$6,IF(P765&lt;($F$6-$E$6)/($G$6-$E$6),$E$6+SQRT(P765*($G$6-$E$6)*($F$6-$E$6)),$G$6-SQRT((1-P765)*($G$6-$E$6)*($G$6-$F$6))))</f>
        <v>1.00713754410601</v>
      </c>
      <c r="C765" s="37" t="n">
        <f aca="false">1+IF($G$7=$E$7,$F$7,IF(Q765&lt;($F$7-$E$7)/($G$7-$E$7),$E$7+SQRT(Q765*($G$7-$E$7)*($F$7-$E$7)),$G$7-SQRT((1-Q765)*($G$7-$E$7)*($G$7-$F$7))))</f>
        <v>0.776401122750535</v>
      </c>
      <c r="D765" s="37" t="n">
        <f aca="false">1+IF($G$8=$E$8,$F$8,IF(R765&lt;($F$8-$E$8)/($G$8-$E$8),$E$8+SQRT(R765*($G$8-$E$8)*($F$8-$E$8)),$G$8-SQRT((1-R765)*($G$8-$E$8)*($G$8-$F$8))))</f>
        <v>1.03276137001319</v>
      </c>
      <c r="E765" s="37" t="n">
        <f aca="false">1+IF($G$9=$E$9,$F$9,IF(S765&lt;($F$9-$E$9)/($G$9-$E$9),$E$9+SQRT(S765*($G$9-$E$9)*($F$9-$E$9)),$G$9-SQRT((1-S765)*($G$9-$E$9)*($G$9-$F$9))))</f>
        <v>0.934465246840337</v>
      </c>
      <c r="F765" s="37" t="n">
        <f aca="false">1+IF($G$10=$E$10,$F$10,IF(T765&lt;($F$10-$E$10)/($G$10-$E$10),$E$10+SQRT(T765*($G$10-$E$10)*($F$10-$E$10)),$G$10-SQRT((1-T765)*($G$10-$E$10)*($G$10-$F$10))))</f>
        <v>1.18199397743506</v>
      </c>
      <c r="G765" s="38" t="n">
        <f aca="false">IF($G$11=$E$11,$F$11,IF(U765&lt;($F$11-$E$11)/($G$11-$E$11),$E$11+SQRT(U765*($G$11-$E$11)*($F$11-$E$11)),$G$11-SQRT((1-U765)*($G$11-$E$11)*($G$11-$F$11))))</f>
        <v>0.0914720357361916</v>
      </c>
      <c r="H765" s="39" t="n">
        <f aca="false">(('Business Case'!B11*$C765*'Business Case'!B12*$B765)-'Business Case'!B11*$C765*'Business Case'!B13*$D765-'Business Case'!B14*$E765)-MAX(0,(('Business Case'!B11*$C765*'Business Case'!B12*$B765)-'Business Case'!B11*$C765*'Business Case'!B13*$D765-'Business Case'!B14*$E765))*'Business Case'!$B$7-'Business Case'!$B$8*('Business Case'!B11*$C765*'Business Case'!B12*$B765)-'Business Case'!B15*$F765</f>
        <v>-2363987954.87011</v>
      </c>
      <c r="I765" s="39" t="n">
        <f aca="false">(('Business Case'!C11*$C765*'Business Case'!C12*$B765)-'Business Case'!C11*$C765*'Business Case'!C13*$D765-'Business Case'!C14*$E765)-MAX(0,(('Business Case'!C11*$C765*'Business Case'!C12*$B765)-'Business Case'!C11*$C765*'Business Case'!C13*$D765-'Business Case'!C14*$E765))*'Business Case'!$B$7-'Business Case'!$B$8*(('Business Case'!C11*$C765*'Business Case'!C12*$B765)-('Business Case'!B11*$C765*'Business Case'!B12*$B765))-'Business Case'!C15*$F765</f>
        <v>-61625320.5723019</v>
      </c>
      <c r="J765" s="39" t="n">
        <f aca="false">(('Business Case'!D11*$C765*'Business Case'!D12*$B765)-'Business Case'!D11*$C765*'Business Case'!D13*$D765-'Business Case'!D14*$E765)-MAX(0,(('Business Case'!D11*$C765*'Business Case'!D12*$B765)-'Business Case'!D11*$C765*'Business Case'!D13*$D765-'Business Case'!D14*$E765))*'Business Case'!$B$7-'Business Case'!$B$8*(('Business Case'!D11*$C765*'Business Case'!D12*$B765)-('Business Case'!C11*$C765*'Business Case'!C12*$B765))-'Business Case'!D15*$F765</f>
        <v>168365625.304819</v>
      </c>
      <c r="K765" s="39" t="n">
        <f aca="false">(('Business Case'!E11*$C765*'Business Case'!E12*$B765)-'Business Case'!E11*$C765*'Business Case'!E13*$D765-'Business Case'!E14*$E765)-MAX(0,(('Business Case'!E11*$C765*'Business Case'!E12*$B765)-'Business Case'!E11*$C765*'Business Case'!E13*$D765-'Business Case'!E14*$E765))*'Business Case'!$B$7-'Business Case'!$B$8*(('Business Case'!E11*$C765*'Business Case'!E12*$B765)-('Business Case'!D11*$C765*'Business Case'!D12*$B765))-'Business Case'!E15*$F765</f>
        <v>457456270.053693</v>
      </c>
      <c r="L765" s="39" t="n">
        <f aca="false">(('Business Case'!F11*$C765*'Business Case'!F12*$B765)-'Business Case'!F11*$C765*'Business Case'!F13*$D765-'Business Case'!F14*$E765)-MAX(0,(('Business Case'!F11*$C765*'Business Case'!F12*$B765)-'Business Case'!F11*$C765*'Business Case'!F13*$D765-'Business Case'!F14*$E765))*'Business Case'!$B$7-'Business Case'!$B$8*(('Business Case'!F11*$C765*'Business Case'!F12*$B765)-('Business Case'!E11*$C765*'Business Case'!E12*$B765))-'Business Case'!F15*$F765</f>
        <v>561143859.08288</v>
      </c>
      <c r="M765" s="39" t="n">
        <f aca="false">(('Business Case'!G11*$C765*'Business Case'!G12*$B765)-'Business Case'!G11*$C765*'Business Case'!G13*$D765-'Business Case'!G14*$E765)-MAX(0,(('Business Case'!G11*$C765*'Business Case'!G12*$B765)-'Business Case'!G11*$C765*'Business Case'!G13*$D765-'Business Case'!G14*$E765))*'Business Case'!$B$7-'Business Case'!$B$8*(('Business Case'!G11*$C765*'Business Case'!G12*$B765)-('Business Case'!F11*$C765*'Business Case'!F12*$B765))-'Business Case'!G15*$F765+'Business Case'!$B$8*('Business Case'!G11*$C765*'Business Case'!G12*$B765)</f>
        <v>709775531.302024</v>
      </c>
      <c r="N765" s="39" t="n">
        <f aca="false">IF(COUNT('Business Case'!B11:G11)=0,"",H765+NPV(G765,I765:M765))</f>
        <v>-1073716529.83499</v>
      </c>
      <c r="P765" s="40" t="n">
        <f aca="true">RAND()</f>
        <v>0.755041316631441</v>
      </c>
      <c r="Q765" s="40" t="n">
        <f aca="true">RAND()</f>
        <v>0.0432380115373503</v>
      </c>
      <c r="R765" s="40" t="n">
        <f aca="true">RAND()</f>
        <v>0.698597775833109</v>
      </c>
      <c r="S765" s="40" t="n">
        <f aca="true">RAND()</f>
        <v>0.0475141295906136</v>
      </c>
      <c r="T765" s="40" t="n">
        <f aca="true">RAND()</f>
        <v>0.938335745265285</v>
      </c>
      <c r="U765" s="40" t="n">
        <f aca="true">RAND()</f>
        <v>0.131607603932457</v>
      </c>
    </row>
    <row r="766" customFormat="false" ht="15" hidden="false" customHeight="false" outlineLevel="0" collapsed="false">
      <c r="A766" s="36" t="n">
        <v>686</v>
      </c>
      <c r="B766" s="37" t="n">
        <f aca="false">1+IF($G$6=$E$6,$F$6,IF(P766&lt;($F$6-$E$6)/($G$6-$E$6),$E$6+SQRT(P766*($G$6-$E$6)*($F$6-$E$6)),$G$6-SQRT((1-P766)*($G$6-$E$6)*($G$6-$F$6))))</f>
        <v>1.03879346103199</v>
      </c>
      <c r="C766" s="37" t="n">
        <f aca="false">1+IF($G$7=$E$7,$F$7,IF(Q766&lt;($F$7-$E$7)/($G$7-$E$7),$E$7+SQRT(Q766*($G$7-$E$7)*($F$7-$E$7)),$G$7-SQRT((1-Q766)*($G$7-$E$7)*($G$7-$F$7))))</f>
        <v>0.970848788714951</v>
      </c>
      <c r="D766" s="37" t="n">
        <f aca="false">1+IF($G$8=$E$8,$F$8,IF(R766&lt;($F$8-$E$8)/($G$8-$E$8),$E$8+SQRT(R766*($G$8-$E$8)*($F$8-$E$8)),$G$8-SQRT((1-R766)*($G$8-$E$8)*($G$8-$F$8))))</f>
        <v>1.00476692840263</v>
      </c>
      <c r="E766" s="37" t="n">
        <f aca="false">1+IF($G$9=$E$9,$F$9,IF(S766&lt;($F$9-$E$9)/($G$9-$E$9),$E$9+SQRT(S766*($G$9-$E$9)*($F$9-$E$9)),$G$9-SQRT((1-S766)*($G$9-$E$9)*($G$9-$F$9))))</f>
        <v>1.00140724935715</v>
      </c>
      <c r="F766" s="37" t="n">
        <f aca="false">1+IF($G$10=$E$10,$F$10,IF(T766&lt;($F$10-$E$10)/($G$10-$E$10),$E$10+SQRT(T766*($G$10-$E$10)*($F$10-$E$10)),$G$10-SQRT((1-T766)*($G$10-$E$10)*($G$10-$F$10))))</f>
        <v>1.17275365298309</v>
      </c>
      <c r="G766" s="38" t="n">
        <f aca="false">IF($G$11=$E$11,$F$11,IF(U766&lt;($F$11-$E$11)/($G$11-$E$11),$E$11+SQRT(U766*($G$11-$E$11)*($F$11-$E$11)),$G$11-SQRT((1-U766)*($G$11-$E$11)*($G$11-$F$11))))</f>
        <v>0.110007225311827</v>
      </c>
      <c r="H766" s="39" t="n">
        <f aca="false">(('Business Case'!B11*$C766*'Business Case'!B12*$B766)-'Business Case'!B11*$C766*'Business Case'!B13*$D766-'Business Case'!B14*$E766)-MAX(0,(('Business Case'!B11*$C766*'Business Case'!B12*$B766)-'Business Case'!B11*$C766*'Business Case'!B13*$D766-'Business Case'!B14*$E766))*'Business Case'!$B$7-'Business Case'!$B$8*('Business Case'!B11*$C766*'Business Case'!B12*$B766)-'Business Case'!B15*$F766</f>
        <v>-2345507305.96618</v>
      </c>
      <c r="I766" s="39" t="n">
        <f aca="false">(('Business Case'!C11*$C766*'Business Case'!C12*$B766)-'Business Case'!C11*$C766*'Business Case'!C13*$D766-'Business Case'!C14*$E766)-MAX(0,(('Business Case'!C11*$C766*'Business Case'!C12*$B766)-'Business Case'!C11*$C766*'Business Case'!C13*$D766-'Business Case'!C14*$E766))*'Business Case'!$B$7-'Business Case'!$B$8*(('Business Case'!C11*$C766*'Business Case'!C12*$B766)-('Business Case'!B11*$C766*'Business Case'!B12*$B766))-'Business Case'!C15*$F766</f>
        <v>14720661.2405182</v>
      </c>
      <c r="J766" s="39" t="n">
        <f aca="false">(('Business Case'!D11*$C766*'Business Case'!D12*$B766)-'Business Case'!D11*$C766*'Business Case'!D13*$D766-'Business Case'!D14*$E766)-MAX(0,(('Business Case'!D11*$C766*'Business Case'!D12*$B766)-'Business Case'!D11*$C766*'Business Case'!D13*$D766-'Business Case'!D14*$E766))*'Business Case'!$B$7-'Business Case'!$B$8*(('Business Case'!D11*$C766*'Business Case'!D12*$B766)-('Business Case'!C11*$C766*'Business Case'!C12*$B766))-'Business Case'!D15*$F766</f>
        <v>341398028.233325</v>
      </c>
      <c r="K766" s="39" t="n">
        <f aca="false">(('Business Case'!E11*$C766*'Business Case'!E12*$B766)-'Business Case'!E11*$C766*'Business Case'!E13*$D766-'Business Case'!E14*$E766)-MAX(0,(('Business Case'!E11*$C766*'Business Case'!E12*$B766)-'Business Case'!E11*$C766*'Business Case'!E13*$D766-'Business Case'!E14*$E766))*'Business Case'!$B$7-'Business Case'!$B$8*(('Business Case'!E11*$C766*'Business Case'!E12*$B766)-('Business Case'!D11*$C766*'Business Case'!D12*$B766))-'Business Case'!E15*$F766</f>
        <v>726713077.875285</v>
      </c>
      <c r="L766" s="39" t="n">
        <f aca="false">(('Business Case'!F11*$C766*'Business Case'!F12*$B766)-'Business Case'!F11*$C766*'Business Case'!F13*$D766-'Business Case'!F14*$E766)-MAX(0,(('Business Case'!F11*$C766*'Business Case'!F12*$B766)-'Business Case'!F11*$C766*'Business Case'!F13*$D766-'Business Case'!F14*$E766))*'Business Case'!$B$7-'Business Case'!$B$8*(('Business Case'!F11*$C766*'Business Case'!F12*$B766)-('Business Case'!E11*$C766*'Business Case'!E12*$B766))-'Business Case'!F15*$F766</f>
        <v>870459686.603149</v>
      </c>
      <c r="M766" s="39" t="n">
        <f aca="false">(('Business Case'!G11*$C766*'Business Case'!G12*$B766)-'Business Case'!G11*$C766*'Business Case'!G13*$D766-'Business Case'!G14*$E766)-MAX(0,(('Business Case'!G11*$C766*'Business Case'!G12*$B766)-'Business Case'!G11*$C766*'Business Case'!G13*$D766-'Business Case'!G14*$E766))*'Business Case'!$B$7-'Business Case'!$B$8*(('Business Case'!G11*$C766*'Business Case'!G12*$B766)-('Business Case'!F11*$C766*'Business Case'!F12*$B766))-'Business Case'!G15*$F766+'Business Case'!$B$8*('Business Case'!G11*$C766*'Business Case'!G12*$B766)</f>
        <v>1062157528.45292</v>
      </c>
      <c r="N766" s="39" t="n">
        <f aca="false">IF(COUNT('Business Case'!B11:G11)=0,"",H766+NPV(G766,I766:M766))</f>
        <v>-320104772.41293</v>
      </c>
      <c r="P766" s="40" t="n">
        <f aca="true">RAND()</f>
        <v>0.983255131247797</v>
      </c>
      <c r="Q766" s="40" t="n">
        <f aca="true">RAND()</f>
        <v>0.543400491469306</v>
      </c>
      <c r="R766" s="40" t="n">
        <f aca="true">RAND()</f>
        <v>0.39537747160864</v>
      </c>
      <c r="S766" s="40" t="n">
        <f aca="true">RAND()</f>
        <v>0.411205185503775</v>
      </c>
      <c r="T766" s="40" t="n">
        <f aca="true">RAND()</f>
        <v>0.920440024967237</v>
      </c>
      <c r="U766" s="40" t="n">
        <f aca="true">RAND()</f>
        <v>0.733525973511975</v>
      </c>
    </row>
    <row r="767" customFormat="false" ht="15" hidden="false" customHeight="false" outlineLevel="0" collapsed="false">
      <c r="A767" s="36" t="n">
        <v>687</v>
      </c>
      <c r="B767" s="37" t="n">
        <f aca="false">1+IF($G$6=$E$6,$F$6,IF(P767&lt;($F$6-$E$6)/($G$6-$E$6),$E$6+SQRT(P767*($G$6-$E$6)*($F$6-$E$6)),$G$6-SQRT((1-P767)*($G$6-$E$6)*($G$6-$F$6))))</f>
        <v>1.001300124318</v>
      </c>
      <c r="C767" s="37" t="n">
        <f aca="false">1+IF($G$7=$E$7,$F$7,IF(Q767&lt;($F$7-$E$7)/($G$7-$E$7),$E$7+SQRT(Q767*($G$7-$E$7)*($F$7-$E$7)),$G$7-SQRT((1-Q767)*($G$7-$E$7)*($G$7-$F$7))))</f>
        <v>0.967556568913817</v>
      </c>
      <c r="D767" s="37" t="n">
        <f aca="false">1+IF($G$8=$E$8,$F$8,IF(R767&lt;($F$8-$E$8)/($G$8-$E$8),$E$8+SQRT(R767*($G$8-$E$8)*($F$8-$E$8)),$G$8-SQRT((1-R767)*($G$8-$E$8)*($G$8-$F$8))))</f>
        <v>1.0391024728</v>
      </c>
      <c r="E767" s="37" t="n">
        <f aca="false">1+IF($G$9=$E$9,$F$9,IF(S767&lt;($F$9-$E$9)/($G$9-$E$9),$E$9+SQRT(S767*($G$9-$E$9)*($F$9-$E$9)),$G$9-SQRT((1-S767)*($G$9-$E$9)*($G$9-$F$9))))</f>
        <v>1.04679889172637</v>
      </c>
      <c r="F767" s="37" t="n">
        <f aca="false">1+IF($G$10=$E$10,$F$10,IF(T767&lt;($F$10-$E$10)/($G$10-$E$10),$E$10+SQRT(T767*($G$10-$E$10)*($F$10-$E$10)),$G$10-SQRT((1-T767)*($G$10-$E$10)*($G$10-$F$10))))</f>
        <v>1.04721097814006</v>
      </c>
      <c r="G767" s="38" t="n">
        <f aca="false">IF($G$11=$E$11,$F$11,IF(U767&lt;($F$11-$E$11)/($G$11-$E$11),$E$11+SQRT(U767*($G$11-$E$11)*($F$11-$E$11)),$G$11-SQRT((1-U767)*($G$11-$E$11)*($G$11-$F$11))))</f>
        <v>0.110084366647976</v>
      </c>
      <c r="H767" s="39" t="n">
        <f aca="false">(('Business Case'!B11*$C767*'Business Case'!B12*$B767)-'Business Case'!B11*$C767*'Business Case'!B13*$D767-'Business Case'!B14*$E767)-MAX(0,(('Business Case'!B11*$C767*'Business Case'!B12*$B767)-'Business Case'!B11*$C767*'Business Case'!B13*$D767-'Business Case'!B14*$E767))*'Business Case'!$B$7-'Business Case'!$B$8*('Business Case'!B11*$C767*'Business Case'!B12*$B767)-'Business Case'!B15*$F767</f>
        <v>-2094421956.28012</v>
      </c>
      <c r="I767" s="39" t="n">
        <f aca="false">(('Business Case'!C11*$C767*'Business Case'!C12*$B767)-'Business Case'!C11*$C767*'Business Case'!C13*$D767-'Business Case'!C14*$E767)-MAX(0,(('Business Case'!C11*$C767*'Business Case'!C12*$B767)-'Business Case'!C11*$C767*'Business Case'!C13*$D767-'Business Case'!C14*$E767))*'Business Case'!$B$7-'Business Case'!$B$8*(('Business Case'!C11*$C767*'Business Case'!C12*$B767)-('Business Case'!B11*$C767*'Business Case'!B12*$B767))-'Business Case'!C15*$F767</f>
        <v>-24949869.4926543</v>
      </c>
      <c r="J767" s="39" t="n">
        <f aca="false">(('Business Case'!D11*$C767*'Business Case'!D12*$B767)-'Business Case'!D11*$C767*'Business Case'!D13*$D767-'Business Case'!D14*$E767)-MAX(0,(('Business Case'!D11*$C767*'Business Case'!D12*$B767)-'Business Case'!D11*$C767*'Business Case'!D13*$D767-'Business Case'!D14*$E767))*'Business Case'!$B$7-'Business Case'!$B$8*(('Business Case'!D11*$C767*'Business Case'!D12*$B767)-('Business Case'!C11*$C767*'Business Case'!C12*$B767))-'Business Case'!D15*$F767</f>
        <v>253899505.572531</v>
      </c>
      <c r="K767" s="39" t="n">
        <f aca="false">(('Business Case'!E11*$C767*'Business Case'!E12*$B767)-'Business Case'!E11*$C767*'Business Case'!E13*$D767-'Business Case'!E14*$E767)-MAX(0,(('Business Case'!E11*$C767*'Business Case'!E12*$B767)-'Business Case'!E11*$C767*'Business Case'!E13*$D767-'Business Case'!E14*$E767))*'Business Case'!$B$7-'Business Case'!$B$8*(('Business Case'!E11*$C767*'Business Case'!E12*$B767)-('Business Case'!D11*$C767*'Business Case'!D12*$B767))-'Business Case'!E15*$F767</f>
        <v>585109429.54472</v>
      </c>
      <c r="L767" s="39" t="n">
        <f aca="false">(('Business Case'!F11*$C767*'Business Case'!F12*$B767)-'Business Case'!F11*$C767*'Business Case'!F13*$D767-'Business Case'!F14*$E767)-MAX(0,(('Business Case'!F11*$C767*'Business Case'!F12*$B767)-'Business Case'!F11*$C767*'Business Case'!F13*$D767-'Business Case'!F14*$E767))*'Business Case'!$B$7-'Business Case'!$B$8*(('Business Case'!F11*$C767*'Business Case'!F12*$B767)-('Business Case'!E11*$C767*'Business Case'!E12*$B767))-'Business Case'!F15*$F767</f>
        <v>711541450.793344</v>
      </c>
      <c r="M767" s="39" t="n">
        <f aca="false">(('Business Case'!G11*$C767*'Business Case'!G12*$B767)-'Business Case'!G11*$C767*'Business Case'!G13*$D767-'Business Case'!G14*$E767)-MAX(0,(('Business Case'!G11*$C767*'Business Case'!G12*$B767)-'Business Case'!G11*$C767*'Business Case'!G13*$D767-'Business Case'!G14*$E767))*'Business Case'!$B$7-'Business Case'!$B$8*(('Business Case'!G11*$C767*'Business Case'!G12*$B767)-('Business Case'!F11*$C767*'Business Case'!F12*$B767))-'Business Case'!G15*$F767+'Business Case'!$B$8*('Business Case'!G11*$C767*'Business Case'!G12*$B767)</f>
        <v>895693713.374601</v>
      </c>
      <c r="N767" s="39" t="n">
        <f aca="false">IF(COUNT('Business Case'!B11:G11)=0,"",H767+NPV(G767,I767:M767))</f>
        <v>-483208376.08586</v>
      </c>
      <c r="P767" s="40" t="n">
        <f aca="true">RAND()</f>
        <v>0.683776281140977</v>
      </c>
      <c r="Q767" s="40" t="n">
        <f aca="true">RAND()</f>
        <v>0.530270500510621</v>
      </c>
      <c r="R767" s="40" t="n">
        <f aca="true">RAND()</f>
        <v>0.752766078728327</v>
      </c>
      <c r="S767" s="40" t="n">
        <f aca="true">RAND()</f>
        <v>0.715987500029212</v>
      </c>
      <c r="T767" s="40" t="n">
        <f aca="true">RAND()</f>
        <v>0.451688168174528</v>
      </c>
      <c r="U767" s="40" t="n">
        <f aca="true">RAND()</f>
        <v>0.735578365458501</v>
      </c>
    </row>
    <row r="768" customFormat="false" ht="15" hidden="false" customHeight="false" outlineLevel="0" collapsed="false">
      <c r="A768" s="36" t="n">
        <v>688</v>
      </c>
      <c r="B768" s="37" t="n">
        <f aca="false">1+IF($G$6=$E$6,$F$6,IF(P768&lt;($F$6-$E$6)/($G$6-$E$6),$E$6+SQRT(P768*($G$6-$E$6)*($F$6-$E$6)),$G$6-SQRT((1-P768)*($G$6-$E$6)*($G$6-$F$6))))</f>
        <v>0.988964991981002</v>
      </c>
      <c r="C768" s="37" t="n">
        <f aca="false">1+IF($G$7=$E$7,$F$7,IF(Q768&lt;($F$7-$E$7)/($G$7-$E$7),$E$7+SQRT(Q768*($G$7-$E$7)*($F$7-$E$7)),$G$7-SQRT((1-Q768)*($G$7-$E$7)*($G$7-$F$7))))</f>
        <v>1.00906977213719</v>
      </c>
      <c r="D768" s="37" t="n">
        <f aca="false">1+IF($G$8=$E$8,$F$8,IF(R768&lt;($F$8-$E$8)/($G$8-$E$8),$E$8+SQRT(R768*($G$8-$E$8)*($F$8-$E$8)),$G$8-SQRT((1-R768)*($G$8-$E$8)*($G$8-$F$8))))</f>
        <v>1.03179317361853</v>
      </c>
      <c r="E768" s="37" t="n">
        <f aca="false">1+IF($G$9=$E$9,$F$9,IF(S768&lt;($F$9-$E$9)/($G$9-$E$9),$E$9+SQRT(S768*($G$9-$E$9)*($F$9-$E$9)),$G$9-SQRT((1-S768)*($G$9-$E$9)*($G$9-$F$9))))</f>
        <v>1.01281882963305</v>
      </c>
      <c r="F768" s="37" t="n">
        <f aca="false">1+IF($G$10=$E$10,$F$10,IF(T768&lt;($F$10-$E$10)/($G$10-$E$10),$E$10+SQRT(T768*($G$10-$E$10)*($F$10-$E$10)),$G$10-SQRT((1-T768)*($G$10-$E$10)*($G$10-$F$10))))</f>
        <v>1.00339206488132</v>
      </c>
      <c r="G768" s="38" t="n">
        <f aca="false">IF($G$11=$E$11,$F$11,IF(U768&lt;($F$11-$E$11)/($G$11-$E$11),$E$11+SQRT(U768*($G$11-$E$11)*($F$11-$E$11)),$G$11-SQRT((1-U768)*($G$11-$E$11)*($G$11-$F$11))))</f>
        <v>0.095057888121582</v>
      </c>
      <c r="H768" s="39" t="n">
        <f aca="false">(('Business Case'!B11*$C768*'Business Case'!B12*$B768)-'Business Case'!B11*$C768*'Business Case'!B13*$D768-'Business Case'!B14*$E768)-MAX(0,(('Business Case'!B11*$C768*'Business Case'!B12*$B768)-'Business Case'!B11*$C768*'Business Case'!B13*$D768-'Business Case'!B14*$E768))*'Business Case'!$B$7-'Business Case'!$B$8*('Business Case'!B11*$C768*'Business Case'!B12*$B768)-'Business Case'!B15*$F768</f>
        <v>-2006784129.76264</v>
      </c>
      <c r="I768" s="39" t="n">
        <f aca="false">(('Business Case'!C11*$C768*'Business Case'!C12*$B768)-'Business Case'!C11*$C768*'Business Case'!C13*$D768-'Business Case'!C14*$E768)-MAX(0,(('Business Case'!C11*$C768*'Business Case'!C12*$B768)-'Business Case'!C11*$C768*'Business Case'!C13*$D768-'Business Case'!C14*$E768))*'Business Case'!$B$7-'Business Case'!$B$8*(('Business Case'!C11*$C768*'Business Case'!C12*$B768)-('Business Case'!B11*$C768*'Business Case'!B12*$B768))-'Business Case'!C15*$F768</f>
        <v>-11700799.1640062</v>
      </c>
      <c r="J768" s="39" t="n">
        <f aca="false">(('Business Case'!D11*$C768*'Business Case'!D12*$B768)-'Business Case'!D11*$C768*'Business Case'!D13*$D768-'Business Case'!D14*$E768)-MAX(0,(('Business Case'!D11*$C768*'Business Case'!D12*$B768)-'Business Case'!D11*$C768*'Business Case'!D13*$D768-'Business Case'!D14*$E768))*'Business Case'!$B$7-'Business Case'!$B$8*(('Business Case'!D11*$C768*'Business Case'!D12*$B768)-('Business Case'!C11*$C768*'Business Case'!C12*$B768))-'Business Case'!D15*$F768</f>
        <v>272693379.498999</v>
      </c>
      <c r="K768" s="39" t="n">
        <f aca="false">(('Business Case'!E11*$C768*'Business Case'!E12*$B768)-'Business Case'!E11*$C768*'Business Case'!E13*$D768-'Business Case'!E14*$E768)-MAX(0,(('Business Case'!E11*$C768*'Business Case'!E12*$B768)-'Business Case'!E11*$C768*'Business Case'!E13*$D768-'Business Case'!E14*$E768))*'Business Case'!$B$7-'Business Case'!$B$8*(('Business Case'!E11*$C768*'Business Case'!E12*$B768)-('Business Case'!D11*$C768*'Business Case'!D12*$B768))-'Business Case'!E15*$F768</f>
        <v>607257161.40607</v>
      </c>
      <c r="L768" s="39" t="n">
        <f aca="false">(('Business Case'!F11*$C768*'Business Case'!F12*$B768)-'Business Case'!F11*$C768*'Business Case'!F13*$D768-'Business Case'!F14*$E768)-MAX(0,(('Business Case'!F11*$C768*'Business Case'!F12*$B768)-'Business Case'!F11*$C768*'Business Case'!F13*$D768-'Business Case'!F14*$E768))*'Business Case'!$B$7-'Business Case'!$B$8*(('Business Case'!F11*$C768*'Business Case'!F12*$B768)-('Business Case'!E11*$C768*'Business Case'!E12*$B768))-'Business Case'!F15*$F768</f>
        <v>736543843.470444</v>
      </c>
      <c r="M768" s="39" t="n">
        <f aca="false">(('Business Case'!G11*$C768*'Business Case'!G12*$B768)-'Business Case'!G11*$C768*'Business Case'!G13*$D768-'Business Case'!G14*$E768)-MAX(0,(('Business Case'!G11*$C768*'Business Case'!G12*$B768)-'Business Case'!G11*$C768*'Business Case'!G13*$D768-'Business Case'!G14*$E768))*'Business Case'!$B$7-'Business Case'!$B$8*(('Business Case'!G11*$C768*'Business Case'!G12*$B768)-('Business Case'!F11*$C768*'Business Case'!F12*$B768))-'Business Case'!G15*$F768+'Business Case'!$B$8*('Business Case'!G11*$C768*'Business Case'!G12*$B768)</f>
        <v>926231267.27566</v>
      </c>
      <c r="N768" s="39" t="n">
        <f aca="false">IF(COUNT('Business Case'!B11:G11)=0,"",H768+NPV(G768,I768:M768))</f>
        <v>-227192724.68111</v>
      </c>
      <c r="P768" s="40" t="n">
        <f aca="true">RAND()</f>
        <v>0.527651319878653</v>
      </c>
      <c r="Q768" s="40" t="n">
        <f aca="true">RAND()</f>
        <v>0.70575808703018</v>
      </c>
      <c r="R768" s="40" t="n">
        <f aca="true">RAND()</f>
        <v>0.689855255664525</v>
      </c>
      <c r="S768" s="40" t="n">
        <f aca="true">RAND()</f>
        <v>0.498168706580131</v>
      </c>
      <c r="T768" s="40" t="n">
        <f aca="true">RAND()</f>
        <v>0.189127017820025</v>
      </c>
      <c r="U768" s="40" t="n">
        <f aca="true">RAND()</f>
        <v>0.226739994682082</v>
      </c>
    </row>
    <row r="769" customFormat="false" ht="15" hidden="false" customHeight="false" outlineLevel="0" collapsed="false">
      <c r="A769" s="36" t="n">
        <v>689</v>
      </c>
      <c r="B769" s="37" t="n">
        <f aca="false">1+IF($G$6=$E$6,$F$6,IF(P769&lt;($F$6-$E$6)/($G$6-$E$6),$E$6+SQRT(P769*($G$6-$E$6)*($F$6-$E$6)),$G$6-SQRT((1-P769)*($G$6-$E$6)*($G$6-$F$6))))</f>
        <v>1.00738559955013</v>
      </c>
      <c r="C769" s="37" t="n">
        <f aca="false">1+IF($G$7=$E$7,$F$7,IF(Q769&lt;($F$7-$E$7)/($G$7-$E$7),$E$7+SQRT(Q769*($G$7-$E$7)*($F$7-$E$7)),$G$7-SQRT((1-Q769)*($G$7-$E$7)*($G$7-$F$7))))</f>
        <v>1.11498700598736</v>
      </c>
      <c r="D769" s="37" t="n">
        <f aca="false">1+IF($G$8=$E$8,$F$8,IF(R769&lt;($F$8-$E$8)/($G$8-$E$8),$E$8+SQRT(R769*($G$8-$E$8)*($F$8-$E$8)),$G$8-SQRT((1-R769)*($G$8-$E$8)*($G$8-$F$8))))</f>
        <v>1.00612540900483</v>
      </c>
      <c r="E769" s="37" t="n">
        <f aca="false">1+IF($G$9=$E$9,$F$9,IF(S769&lt;($F$9-$E$9)/($G$9-$E$9),$E$9+SQRT(S769*($G$9-$E$9)*($F$9-$E$9)),$G$9-SQRT((1-S769)*($G$9-$E$9)*($G$9-$F$9))))</f>
        <v>1.03918907906166</v>
      </c>
      <c r="F769" s="37" t="n">
        <f aca="false">1+IF($G$10=$E$10,$F$10,IF(T769&lt;($F$10-$E$10)/($G$10-$E$10),$E$10+SQRT(T769*($G$10-$E$10)*($F$10-$E$10)),$G$10-SQRT((1-T769)*($G$10-$E$10)*($G$10-$F$10))))</f>
        <v>1.0638329585346</v>
      </c>
      <c r="G769" s="38" t="n">
        <f aca="false">IF($G$11=$E$11,$F$11,IF(U769&lt;($F$11-$E$11)/($G$11-$E$11),$E$11+SQRT(U769*($G$11-$E$11)*($F$11-$E$11)),$G$11-SQRT((1-U769)*($G$11-$E$11)*($G$11-$F$11))))</f>
        <v>0.100032015659119</v>
      </c>
      <c r="H769" s="39" t="n">
        <f aca="false">(('Business Case'!B11*$C769*'Business Case'!B12*$B769)-'Business Case'!B11*$C769*'Business Case'!B13*$D769-'Business Case'!B14*$E769)-MAX(0,(('Business Case'!B11*$C769*'Business Case'!B12*$B769)-'Business Case'!B11*$C769*'Business Case'!B13*$D769-'Business Case'!B14*$E769))*'Business Case'!$B$7-'Business Case'!$B$8*('Business Case'!B11*$C769*'Business Case'!B12*$B769)-'Business Case'!B15*$F769</f>
        <v>-2127665917.0692</v>
      </c>
      <c r="I769" s="39" t="n">
        <f aca="false">(('Business Case'!C11*$C769*'Business Case'!C12*$B769)-'Business Case'!C11*$C769*'Business Case'!C13*$D769-'Business Case'!C14*$E769)-MAX(0,(('Business Case'!C11*$C769*'Business Case'!C12*$B769)-'Business Case'!C11*$C769*'Business Case'!C13*$D769-'Business Case'!C14*$E769))*'Business Case'!$B$7-'Business Case'!$B$8*(('Business Case'!C11*$C769*'Business Case'!C12*$B769)-('Business Case'!B11*$C769*'Business Case'!B12*$B769))-'Business Case'!C15*$F769</f>
        <v>33335331.756004</v>
      </c>
      <c r="J769" s="39" t="n">
        <f aca="false">(('Business Case'!D11*$C769*'Business Case'!D12*$B769)-'Business Case'!D11*$C769*'Business Case'!D13*$D769-'Business Case'!D14*$E769)-MAX(0,(('Business Case'!D11*$C769*'Business Case'!D12*$B769)-'Business Case'!D11*$C769*'Business Case'!D13*$D769-'Business Case'!D14*$E769))*'Business Case'!$B$7-'Business Case'!$B$8*(('Business Case'!D11*$C769*'Business Case'!D12*$B769)-('Business Case'!C11*$C769*'Business Case'!C12*$B769))-'Business Case'!D15*$F769</f>
        <v>379054467.294368</v>
      </c>
      <c r="K769" s="39" t="n">
        <f aca="false">(('Business Case'!E11*$C769*'Business Case'!E12*$B769)-'Business Case'!E11*$C769*'Business Case'!E13*$D769-'Business Case'!E14*$E769)-MAX(0,(('Business Case'!E11*$C769*'Business Case'!E12*$B769)-'Business Case'!E11*$C769*'Business Case'!E13*$D769-'Business Case'!E14*$E769))*'Business Case'!$B$7-'Business Case'!$B$8*(('Business Case'!E11*$C769*'Business Case'!E12*$B769)-('Business Case'!D11*$C769*'Business Case'!D12*$B769))-'Business Case'!E15*$F769</f>
        <v>777965250.759461</v>
      </c>
      <c r="L769" s="39" t="n">
        <f aca="false">(('Business Case'!F11*$C769*'Business Case'!F12*$B769)-'Business Case'!F11*$C769*'Business Case'!F13*$D769-'Business Case'!F14*$E769)-MAX(0,(('Business Case'!F11*$C769*'Business Case'!F12*$B769)-'Business Case'!F11*$C769*'Business Case'!F13*$D769-'Business Case'!F14*$E769))*'Business Case'!$B$7-'Business Case'!$B$8*(('Business Case'!F11*$C769*'Business Case'!F12*$B769)-('Business Case'!E11*$C769*'Business Case'!E12*$B769))-'Business Case'!F15*$F769</f>
        <v>932023509.863136</v>
      </c>
      <c r="M769" s="39" t="n">
        <f aca="false">(('Business Case'!G11*$C769*'Business Case'!G12*$B769)-'Business Case'!G11*$C769*'Business Case'!G13*$D769-'Business Case'!G14*$E769)-MAX(0,(('Business Case'!G11*$C769*'Business Case'!G12*$B769)-'Business Case'!G11*$C769*'Business Case'!G13*$D769-'Business Case'!G14*$E769))*'Business Case'!$B$7-'Business Case'!$B$8*(('Business Case'!G11*$C769*'Business Case'!G12*$B769)-('Business Case'!F11*$C769*'Business Case'!F12*$B769))-'Business Case'!G15*$F769+'Business Case'!$B$8*('Business Case'!G11*$C769*'Business Case'!G12*$B769)</f>
        <v>1145525519.77968</v>
      </c>
      <c r="N769" s="39" t="n">
        <f aca="false">IF(COUNT('Business Case'!B11:G11)=0,"",H769+NPV(G769,I769:M769))</f>
        <v>148021955.457219</v>
      </c>
      <c r="P769" s="40" t="n">
        <f aca="true">RAND()</f>
        <v>0.757868383239795</v>
      </c>
      <c r="Q769" s="40" t="n">
        <f aca="true">RAND()</f>
        <v>0.981838374078085</v>
      </c>
      <c r="R769" s="40" t="n">
        <f aca="true">RAND()</f>
        <v>0.412504077699256</v>
      </c>
      <c r="S769" s="40" t="n">
        <f aca="true">RAND()</f>
        <v>0.67255839468794</v>
      </c>
      <c r="T769" s="40" t="n">
        <f aca="true">RAND()</f>
        <v>0.537891102293607</v>
      </c>
      <c r="U769" s="40" t="n">
        <f aca="true">RAND()</f>
        <v>0.401279943029823</v>
      </c>
    </row>
    <row r="770" customFormat="false" ht="15" hidden="false" customHeight="false" outlineLevel="0" collapsed="false">
      <c r="A770" s="36" t="n">
        <v>690</v>
      </c>
      <c r="B770" s="37" t="n">
        <f aca="false">1+IF($G$6=$E$6,$F$6,IF(P770&lt;($F$6-$E$6)/($G$6-$E$6),$E$6+SQRT(P770*($G$6-$E$6)*($F$6-$E$6)),$G$6-SQRT((1-P770)*($G$6-$E$6)*($G$6-$F$6))))</f>
        <v>0.9942420578733</v>
      </c>
      <c r="C770" s="37" t="n">
        <f aca="false">1+IF($G$7=$E$7,$F$7,IF(Q770&lt;($F$7-$E$7)/($G$7-$E$7),$E$7+SQRT(Q770*($G$7-$E$7)*($F$7-$E$7)),$G$7-SQRT((1-Q770)*($G$7-$E$7)*($G$7-$F$7))))</f>
        <v>0.934386757425222</v>
      </c>
      <c r="D770" s="37" t="n">
        <f aca="false">1+IF($G$8=$E$8,$F$8,IF(R770&lt;($F$8-$E$8)/($G$8-$E$8),$E$8+SQRT(R770*($G$8-$E$8)*($F$8-$E$8)),$G$8-SQRT((1-R770)*($G$8-$E$8)*($G$8-$F$8))))</f>
        <v>0.96462716596852</v>
      </c>
      <c r="E770" s="37" t="n">
        <f aca="false">1+IF($G$9=$E$9,$F$9,IF(S770&lt;($F$9-$E$9)/($G$9-$E$9),$E$9+SQRT(S770*($G$9-$E$9)*($F$9-$E$9)),$G$9-SQRT((1-S770)*($G$9-$E$9)*($G$9-$F$9))))</f>
        <v>1.07763765076891</v>
      </c>
      <c r="F770" s="37" t="n">
        <f aca="false">1+IF($G$10=$E$10,$F$10,IF(T770&lt;($F$10-$E$10)/($G$10-$E$10),$E$10+SQRT(T770*($G$10-$E$10)*($F$10-$E$10)),$G$10-SQRT((1-T770)*($G$10-$E$10)*($G$10-$F$10))))</f>
        <v>1.21055028160371</v>
      </c>
      <c r="G770" s="38" t="n">
        <f aca="false">IF($G$11=$E$11,$F$11,IF(U770&lt;($F$11-$E$11)/($G$11-$E$11),$E$11+SQRT(U770*($G$11-$E$11)*($F$11-$E$11)),$G$11-SQRT((1-U770)*($G$11-$E$11)*($G$11-$F$11))))</f>
        <v>0.109541570913579</v>
      </c>
      <c r="H770" s="39" t="n">
        <f aca="false">(('Business Case'!B11*$C770*'Business Case'!B12*$B770)-'Business Case'!B11*$C770*'Business Case'!B13*$D770-'Business Case'!B14*$E770)-MAX(0,(('Business Case'!B11*$C770*'Business Case'!B12*$B770)-'Business Case'!B11*$C770*'Business Case'!B13*$D770-'Business Case'!B14*$E770))*'Business Case'!$B$7-'Business Case'!$B$8*('Business Case'!B11*$C770*'Business Case'!B12*$B770)-'Business Case'!B15*$F770</f>
        <v>-2421100563.20743</v>
      </c>
      <c r="I770" s="39" t="n">
        <f aca="false">(('Business Case'!C11*$C770*'Business Case'!C12*$B770)-'Business Case'!C11*$C770*'Business Case'!C13*$D770-'Business Case'!C14*$E770)-MAX(0,(('Business Case'!C11*$C770*'Business Case'!C12*$B770)-'Business Case'!C11*$C770*'Business Case'!C13*$D770-'Business Case'!C14*$E770))*'Business Case'!$B$7-'Business Case'!$B$8*(('Business Case'!C11*$C770*'Business Case'!C12*$B770)-('Business Case'!B11*$C770*'Business Case'!B12*$B770))-'Business Case'!C15*$F770</f>
        <v>-22942837.0138331</v>
      </c>
      <c r="J770" s="39" t="n">
        <f aca="false">(('Business Case'!D11*$C770*'Business Case'!D12*$B770)-'Business Case'!D11*$C770*'Business Case'!D13*$D770-'Business Case'!D14*$E770)-MAX(0,(('Business Case'!D11*$C770*'Business Case'!D12*$B770)-'Business Case'!D11*$C770*'Business Case'!D13*$D770-'Business Case'!D14*$E770))*'Business Case'!$B$7-'Business Case'!$B$8*(('Business Case'!D11*$C770*'Business Case'!D12*$B770)-('Business Case'!C11*$C770*'Business Case'!C12*$B770))-'Business Case'!D15*$F770</f>
        <v>276569130.866741</v>
      </c>
      <c r="K770" s="39" t="n">
        <f aca="false">(('Business Case'!E11*$C770*'Business Case'!E12*$B770)-'Business Case'!E11*$C770*'Business Case'!E13*$D770-'Business Case'!E14*$E770)-MAX(0,(('Business Case'!E11*$C770*'Business Case'!E12*$B770)-'Business Case'!E11*$C770*'Business Case'!E13*$D770-'Business Case'!E14*$E770))*'Business Case'!$B$7-'Business Case'!$B$8*(('Business Case'!E11*$C770*'Business Case'!E12*$B770)-('Business Case'!D11*$C770*'Business Case'!D12*$B770))-'Business Case'!E15*$F770</f>
        <v>636608612.8275</v>
      </c>
      <c r="L770" s="39" t="n">
        <f aca="false">(('Business Case'!F11*$C770*'Business Case'!F12*$B770)-'Business Case'!F11*$C770*'Business Case'!F13*$D770-'Business Case'!F14*$E770)-MAX(0,(('Business Case'!F11*$C770*'Business Case'!F12*$B770)-'Business Case'!F11*$C770*'Business Case'!F13*$D770-'Business Case'!F14*$E770))*'Business Case'!$B$7-'Business Case'!$B$8*(('Business Case'!F11*$C770*'Business Case'!F12*$B770)-('Business Case'!E11*$C770*'Business Case'!E12*$B770))-'Business Case'!F15*$F770</f>
        <v>768552403.984155</v>
      </c>
      <c r="M770" s="39" t="n">
        <f aca="false">(('Business Case'!G11*$C770*'Business Case'!G12*$B770)-'Business Case'!G11*$C770*'Business Case'!G13*$D770-'Business Case'!G14*$E770)-MAX(0,(('Business Case'!G11*$C770*'Business Case'!G12*$B770)-'Business Case'!G11*$C770*'Business Case'!G13*$D770-'Business Case'!G14*$E770))*'Business Case'!$B$7-'Business Case'!$B$8*(('Business Case'!G11*$C770*'Business Case'!G12*$B770)-('Business Case'!F11*$C770*'Business Case'!F12*$B770))-'Business Case'!G15*$F770+'Business Case'!$B$8*('Business Case'!G11*$C770*'Business Case'!G12*$B770)</f>
        <v>945137980.898042</v>
      </c>
      <c r="N770" s="39" t="n">
        <f aca="false">IF(COUNT('Business Case'!B11:G11)=0,"",H770+NPV(G770,I770:M770))</f>
        <v>-681903586.397637</v>
      </c>
      <c r="P770" s="40" t="n">
        <f aca="true">RAND()</f>
        <v>0.592104364812958</v>
      </c>
      <c r="Q770" s="40" t="n">
        <f aca="true">RAND()</f>
        <v>0.406941867083775</v>
      </c>
      <c r="R770" s="40" t="n">
        <f aca="true">RAND()</f>
        <v>0.0285271979027518</v>
      </c>
      <c r="S770" s="40" t="n">
        <f aca="true">RAND()</f>
        <v>0.860365077700211</v>
      </c>
      <c r="T770" s="40" t="n">
        <f aca="true">RAND()</f>
        <v>0.979249596246049</v>
      </c>
      <c r="U770" s="40" t="n">
        <f aca="true">RAND()</f>
        <v>0.720968452877255</v>
      </c>
    </row>
    <row r="771" customFormat="false" ht="15" hidden="false" customHeight="false" outlineLevel="0" collapsed="false">
      <c r="A771" s="36" t="n">
        <v>691</v>
      </c>
      <c r="B771" s="37" t="n">
        <f aca="false">1+IF($G$6=$E$6,$F$6,IF(P771&lt;($F$6-$E$6)/($G$6-$E$6),$E$6+SQRT(P771*($G$6-$E$6)*($F$6-$E$6)),$G$6-SQRT((1-P771)*($G$6-$E$6)*($G$6-$F$6))))</f>
        <v>1.01242755506465</v>
      </c>
      <c r="C771" s="37" t="n">
        <f aca="false">1+IF($G$7=$E$7,$F$7,IF(Q771&lt;($F$7-$E$7)/($G$7-$E$7),$E$7+SQRT(Q771*($G$7-$E$7)*($F$7-$E$7)),$G$7-SQRT((1-Q771)*($G$7-$E$7)*($G$7-$F$7))))</f>
        <v>1.03497522096736</v>
      </c>
      <c r="D771" s="37" t="n">
        <f aca="false">1+IF($G$8=$E$8,$F$8,IF(R771&lt;($F$8-$E$8)/($G$8-$E$8),$E$8+SQRT(R771*($G$8-$E$8)*($F$8-$E$8)),$G$8-SQRT((1-R771)*($G$8-$E$8)*($G$8-$F$8))))</f>
        <v>1.05155045629485</v>
      </c>
      <c r="E771" s="37" t="n">
        <f aca="false">1+IF($G$9=$E$9,$F$9,IF(S771&lt;($F$9-$E$9)/($G$9-$E$9),$E$9+SQRT(S771*($G$9-$E$9)*($F$9-$E$9)),$G$9-SQRT((1-S771)*($G$9-$E$9)*($G$9-$F$9))))</f>
        <v>0.989421032315134</v>
      </c>
      <c r="F771" s="37" t="n">
        <f aca="false">1+IF($G$10=$E$10,$F$10,IF(T771&lt;($F$10-$E$10)/($G$10-$E$10),$E$10+SQRT(T771*($G$10-$E$10)*($F$10-$E$10)),$G$10-SQRT((1-T771)*($G$10-$E$10)*($G$10-$F$10))))</f>
        <v>1.13054961176093</v>
      </c>
      <c r="G771" s="38" t="n">
        <f aca="false">IF($G$11=$E$11,$F$11,IF(U771&lt;($F$11-$E$11)/($G$11-$E$11),$E$11+SQRT(U771*($G$11-$E$11)*($F$11-$E$11)),$G$11-SQRT((1-U771)*($G$11-$E$11)*($G$11-$F$11))))</f>
        <v>0.100018454109904</v>
      </c>
      <c r="H771" s="39" t="n">
        <f aca="false">(('Business Case'!B11*$C771*'Business Case'!B12*$B771)-'Business Case'!B11*$C771*'Business Case'!B13*$D771-'Business Case'!B14*$E771)-MAX(0,(('Business Case'!B11*$C771*'Business Case'!B12*$B771)-'Business Case'!B11*$C771*'Business Case'!B13*$D771-'Business Case'!B14*$E771))*'Business Case'!$B$7-'Business Case'!$B$8*('Business Case'!B11*$C771*'Business Case'!B12*$B771)-'Business Case'!B15*$F771</f>
        <v>-2261099223.52187</v>
      </c>
      <c r="I771" s="39" t="n">
        <f aca="false">(('Business Case'!C11*$C771*'Business Case'!C12*$B771)-'Business Case'!C11*$C771*'Business Case'!C13*$D771-'Business Case'!C14*$E771)-MAX(0,(('Business Case'!C11*$C771*'Business Case'!C12*$B771)-'Business Case'!C11*$C771*'Business Case'!C13*$D771-'Business Case'!C14*$E771))*'Business Case'!$B$7-'Business Case'!$B$8*(('Business Case'!C11*$C771*'Business Case'!C12*$B771)-('Business Case'!B11*$C771*'Business Case'!B12*$B771))-'Business Case'!C15*$F771</f>
        <v>-6953433.57494293</v>
      </c>
      <c r="J771" s="39" t="n">
        <f aca="false">(('Business Case'!D11*$C771*'Business Case'!D12*$B771)-'Business Case'!D11*$C771*'Business Case'!D13*$D771-'Business Case'!D14*$E771)-MAX(0,(('Business Case'!D11*$C771*'Business Case'!D12*$B771)-'Business Case'!D11*$C771*'Business Case'!D13*$D771-'Business Case'!D14*$E771))*'Business Case'!$B$7-'Business Case'!$B$8*(('Business Case'!D11*$C771*'Business Case'!D12*$B771)-('Business Case'!C11*$C771*'Business Case'!C12*$B771))-'Business Case'!D15*$F771</f>
        <v>294163657.323074</v>
      </c>
      <c r="K771" s="39" t="n">
        <f aca="false">(('Business Case'!E11*$C771*'Business Case'!E12*$B771)-'Business Case'!E11*$C771*'Business Case'!E13*$D771-'Business Case'!E14*$E771)-MAX(0,(('Business Case'!E11*$C771*'Business Case'!E12*$B771)-'Business Case'!E11*$C771*'Business Case'!E13*$D771-'Business Case'!E14*$E771))*'Business Case'!$B$7-'Business Case'!$B$8*(('Business Case'!E11*$C771*'Business Case'!E12*$B771)-('Business Case'!D11*$C771*'Business Case'!D12*$B771))-'Business Case'!E15*$F771</f>
        <v>651808228.809138</v>
      </c>
      <c r="L771" s="39" t="n">
        <f aca="false">(('Business Case'!F11*$C771*'Business Case'!F12*$B771)-'Business Case'!F11*$C771*'Business Case'!F13*$D771-'Business Case'!F14*$E771)-MAX(0,(('Business Case'!F11*$C771*'Business Case'!F12*$B771)-'Business Case'!F11*$C771*'Business Case'!F13*$D771-'Business Case'!F14*$E771))*'Business Case'!$B$7-'Business Case'!$B$8*(('Business Case'!F11*$C771*'Business Case'!F12*$B771)-('Business Case'!E11*$C771*'Business Case'!E12*$B771))-'Business Case'!F15*$F771</f>
        <v>788393854.10958</v>
      </c>
      <c r="M771" s="39" t="n">
        <f aca="false">(('Business Case'!G11*$C771*'Business Case'!G12*$B771)-'Business Case'!G11*$C771*'Business Case'!G13*$D771-'Business Case'!G14*$E771)-MAX(0,(('Business Case'!G11*$C771*'Business Case'!G12*$B771)-'Business Case'!G11*$C771*'Business Case'!G13*$D771-'Business Case'!G14*$E771))*'Business Case'!$B$7-'Business Case'!$B$8*(('Business Case'!G11*$C771*'Business Case'!G12*$B771)-('Business Case'!F11*$C771*'Business Case'!F12*$B771))-'Business Case'!G15*$F771+'Business Case'!$B$8*('Business Case'!G11*$C771*'Business Case'!G12*$B771)</f>
        <v>987566793.282313</v>
      </c>
      <c r="N771" s="39" t="n">
        <f aca="false">IF(COUNT('Business Case'!B11:G11)=0,"",H771+NPV(G771,I771:M771))</f>
        <v>-383032271.138867</v>
      </c>
      <c r="P771" s="40" t="n">
        <f aca="true">RAND()</f>
        <v>0.811774850877353</v>
      </c>
      <c r="Q771" s="40" t="n">
        <f aca="true">RAND()</f>
        <v>0.803989632718417</v>
      </c>
      <c r="R771" s="40" t="n">
        <f aca="true">RAND()</f>
        <v>0.84350944765087</v>
      </c>
      <c r="S771" s="40" t="n">
        <f aca="true">RAND()</f>
        <v>0.31984484081217</v>
      </c>
      <c r="T771" s="40" t="n">
        <f aca="true">RAND()</f>
        <v>0.80975472999382</v>
      </c>
      <c r="U771" s="40" t="n">
        <f aca="true">RAND()</f>
        <v>0.400737937360033</v>
      </c>
    </row>
    <row r="772" customFormat="false" ht="15" hidden="false" customHeight="false" outlineLevel="0" collapsed="false">
      <c r="A772" s="36" t="n">
        <v>692</v>
      </c>
      <c r="B772" s="37" t="n">
        <f aca="false">1+IF($G$6=$E$6,$F$6,IF(P772&lt;($F$6-$E$6)/($G$6-$E$6),$E$6+SQRT(P772*($G$6-$E$6)*($F$6-$E$6)),$G$6-SQRT((1-P772)*($G$6-$E$6)*($G$6-$F$6))))</f>
        <v>0.915827876977733</v>
      </c>
      <c r="C772" s="37" t="n">
        <f aca="false">1+IF($G$7=$E$7,$F$7,IF(Q772&lt;($F$7-$E$7)/($G$7-$E$7),$E$7+SQRT(Q772*($G$7-$E$7)*($F$7-$E$7)),$G$7-SQRT((1-Q772)*($G$7-$E$7)*($G$7-$F$7))))</f>
        <v>1.13995830712707</v>
      </c>
      <c r="D772" s="37" t="n">
        <f aca="false">1+IF($G$8=$E$8,$F$8,IF(R772&lt;($F$8-$E$8)/($G$8-$E$8),$E$8+SQRT(R772*($G$8-$E$8)*($F$8-$E$8)),$G$8-SQRT((1-R772)*($G$8-$E$8)*($G$8-$F$8))))</f>
        <v>1.03609976432944</v>
      </c>
      <c r="E772" s="37" t="n">
        <f aca="false">1+IF($G$9=$E$9,$F$9,IF(S772&lt;($F$9-$E$9)/($G$9-$E$9),$E$9+SQRT(S772*($G$9-$E$9)*($F$9-$E$9)),$G$9-SQRT((1-S772)*($G$9-$E$9)*($G$9-$F$9))))</f>
        <v>0.988702285024406</v>
      </c>
      <c r="F772" s="37" t="n">
        <f aca="false">1+IF($G$10=$E$10,$F$10,IF(T772&lt;($F$10-$E$10)/($G$10-$E$10),$E$10+SQRT(T772*($G$10-$E$10)*($F$10-$E$10)),$G$10-SQRT((1-T772)*($G$10-$E$10)*($G$10-$F$10))))</f>
        <v>1.03852213016373</v>
      </c>
      <c r="G772" s="38" t="n">
        <f aca="false">IF($G$11=$E$11,$F$11,IF(U772&lt;($F$11-$E$11)/($G$11-$E$11),$E$11+SQRT(U772*($G$11-$E$11)*($F$11-$E$11)),$G$11-SQRT((1-U772)*($G$11-$E$11)*($G$11-$F$11))))</f>
        <v>0.0907364568344035</v>
      </c>
      <c r="H772" s="39" t="n">
        <f aca="false">(('Business Case'!B11*$C772*'Business Case'!B12*$B772)-'Business Case'!B11*$C772*'Business Case'!B13*$D772-'Business Case'!B14*$E772)-MAX(0,(('Business Case'!B11*$C772*'Business Case'!B12*$B772)-'Business Case'!B11*$C772*'Business Case'!B13*$D772-'Business Case'!B14*$E772))*'Business Case'!$B$7-'Business Case'!$B$8*('Business Case'!B11*$C772*'Business Case'!B12*$B772)-'Business Case'!B15*$F772</f>
        <v>-2077044260.32747</v>
      </c>
      <c r="I772" s="39" t="n">
        <f aca="false">(('Business Case'!C11*$C772*'Business Case'!C12*$B772)-'Business Case'!C11*$C772*'Business Case'!C13*$D772-'Business Case'!C14*$E772)-MAX(0,(('Business Case'!C11*$C772*'Business Case'!C12*$B772)-'Business Case'!C11*$C772*'Business Case'!C13*$D772-'Business Case'!C14*$E772))*'Business Case'!$B$7-'Business Case'!$B$8*(('Business Case'!C11*$C772*'Business Case'!C12*$B772)-('Business Case'!B11*$C772*'Business Case'!B12*$B772))-'Business Case'!C15*$F772</f>
        <v>-48085280.5551351</v>
      </c>
      <c r="J772" s="39" t="n">
        <f aca="false">(('Business Case'!D11*$C772*'Business Case'!D12*$B772)-'Business Case'!D11*$C772*'Business Case'!D13*$D772-'Business Case'!D14*$E772)-MAX(0,(('Business Case'!D11*$C772*'Business Case'!D12*$B772)-'Business Case'!D11*$C772*'Business Case'!D13*$D772-'Business Case'!D14*$E772))*'Business Case'!$B$7-'Business Case'!$B$8*(('Business Case'!D11*$C772*'Business Case'!D12*$B772)-('Business Case'!C11*$C772*'Business Case'!C12*$B772))-'Business Case'!D15*$F772</f>
        <v>202396366.946657</v>
      </c>
      <c r="K772" s="39" t="n">
        <f aca="false">(('Business Case'!E11*$C772*'Business Case'!E12*$B772)-'Business Case'!E11*$C772*'Business Case'!E13*$D772-'Business Case'!E14*$E772)-MAX(0,(('Business Case'!E11*$C772*'Business Case'!E12*$B772)-'Business Case'!E11*$C772*'Business Case'!E13*$D772-'Business Case'!E14*$E772))*'Business Case'!$B$7-'Business Case'!$B$8*(('Business Case'!E11*$C772*'Business Case'!E12*$B772)-('Business Case'!D11*$C772*'Business Case'!D12*$B772))-'Business Case'!E15*$F772</f>
        <v>504804120.956635</v>
      </c>
      <c r="L772" s="39" t="n">
        <f aca="false">(('Business Case'!F11*$C772*'Business Case'!F12*$B772)-'Business Case'!F11*$C772*'Business Case'!F13*$D772-'Business Case'!F14*$E772)-MAX(0,(('Business Case'!F11*$C772*'Business Case'!F12*$B772)-'Business Case'!F11*$C772*'Business Case'!F13*$D772-'Business Case'!F14*$E772))*'Business Case'!$B$7-'Business Case'!$B$8*(('Business Case'!F11*$C772*'Business Case'!F12*$B772)-('Business Case'!E11*$C772*'Business Case'!E12*$B772))-'Business Case'!F15*$F772</f>
        <v>624378836.863954</v>
      </c>
      <c r="M772" s="39" t="n">
        <f aca="false">(('Business Case'!G11*$C772*'Business Case'!G12*$B772)-'Business Case'!G11*$C772*'Business Case'!G13*$D772-'Business Case'!G14*$E772)-MAX(0,(('Business Case'!G11*$C772*'Business Case'!G12*$B772)-'Business Case'!G11*$C772*'Business Case'!G13*$D772-'Business Case'!G14*$E772))*'Business Case'!$B$7-'Business Case'!$B$8*(('Business Case'!G11*$C772*'Business Case'!G12*$B772)-('Business Case'!F11*$C772*'Business Case'!F12*$B772))-'Business Case'!G15*$F772+'Business Case'!$B$8*('Business Case'!G11*$C772*'Business Case'!G12*$B772)</f>
        <v>822823420.600925</v>
      </c>
      <c r="N772" s="39" t="n">
        <f aca="false">IF(COUNT('Business Case'!B11:G11)=0,"",H772+NPV(G772,I772:M772))</f>
        <v>-587885929.66183</v>
      </c>
      <c r="P772" s="40" t="n">
        <f aca="true">RAND()</f>
        <v>0.0167014459748172</v>
      </c>
      <c r="Q772" s="40" t="n">
        <f aca="true">RAND()</f>
        <v>0.998506139322159</v>
      </c>
      <c r="R772" s="40" t="n">
        <f aca="true">RAND()</f>
        <v>0.727783992083094</v>
      </c>
      <c r="S772" s="40" t="n">
        <f aca="true">RAND()</f>
        <v>0.314723814742037</v>
      </c>
      <c r="T772" s="40" t="n">
        <f aca="true">RAND()</f>
        <v>0.403694807593539</v>
      </c>
      <c r="U772" s="40" t="n">
        <f aca="true">RAND()</f>
        <v>0.11527150535701</v>
      </c>
    </row>
    <row r="773" customFormat="false" ht="15" hidden="false" customHeight="false" outlineLevel="0" collapsed="false">
      <c r="A773" s="36" t="n">
        <v>693</v>
      </c>
      <c r="B773" s="37" t="n">
        <f aca="false">1+IF($G$6=$E$6,$F$6,IF(P773&lt;($F$6-$E$6)/($G$6-$E$6),$E$6+SQRT(P773*($G$6-$E$6)*($F$6-$E$6)),$G$6-SQRT((1-P773)*($G$6-$E$6)*($G$6-$F$6))))</f>
        <v>0.995703998704723</v>
      </c>
      <c r="C773" s="37" t="n">
        <f aca="false">1+IF($G$7=$E$7,$F$7,IF(Q773&lt;($F$7-$E$7)/($G$7-$E$7),$E$7+SQRT(Q773*($G$7-$E$7)*($F$7-$E$7)),$G$7-SQRT((1-Q773)*($G$7-$E$7)*($G$7-$F$7))))</f>
        <v>0.944535991411411</v>
      </c>
      <c r="D773" s="37" t="n">
        <f aca="false">1+IF($G$8=$E$8,$F$8,IF(R773&lt;($F$8-$E$8)/($G$8-$E$8),$E$8+SQRT(R773*($G$8-$E$8)*($F$8-$E$8)),$G$8-SQRT((1-R773)*($G$8-$E$8)*($G$8-$F$8))))</f>
        <v>1.04082182101995</v>
      </c>
      <c r="E773" s="37" t="n">
        <f aca="false">1+IF($G$9=$E$9,$F$9,IF(S773&lt;($F$9-$E$9)/($G$9-$E$9),$E$9+SQRT(S773*($G$9-$E$9)*($F$9-$E$9)),$G$9-SQRT((1-S773)*($G$9-$E$9)*($G$9-$F$9))))</f>
        <v>0.998144520104155</v>
      </c>
      <c r="F773" s="37" t="n">
        <f aca="false">1+IF($G$10=$E$10,$F$10,IF(T773&lt;($F$10-$E$10)/($G$10-$E$10),$E$10+SQRT(T773*($G$10-$E$10)*($F$10-$E$10)),$G$10-SQRT((1-T773)*($G$10-$E$10)*($G$10-$F$10))))</f>
        <v>1.24278931463959</v>
      </c>
      <c r="G773" s="38" t="n">
        <f aca="false">IF($G$11=$E$11,$F$11,IF(U773&lt;($F$11-$E$11)/($G$11-$E$11),$E$11+SQRT(U773*($G$11-$E$11)*($F$11-$E$11)),$G$11-SQRT((1-U773)*($G$11-$E$11)*($G$11-$F$11))))</f>
        <v>0.0976261140579573</v>
      </c>
      <c r="H773" s="39" t="n">
        <f aca="false">(('Business Case'!B11*$C773*'Business Case'!B12*$B773)-'Business Case'!B11*$C773*'Business Case'!B13*$D773-'Business Case'!B14*$E773)-MAX(0,(('Business Case'!B11*$C773*'Business Case'!B12*$B773)-'Business Case'!B11*$C773*'Business Case'!B13*$D773-'Business Case'!B14*$E773))*'Business Case'!$B$7-'Business Case'!$B$8*('Business Case'!B11*$C773*'Business Case'!B12*$B773)-'Business Case'!B15*$F773</f>
        <v>-2485578629.27919</v>
      </c>
      <c r="I773" s="39" t="n">
        <f aca="false">(('Business Case'!C11*$C773*'Business Case'!C12*$B773)-'Business Case'!C11*$C773*'Business Case'!C13*$D773-'Business Case'!C14*$E773)-MAX(0,(('Business Case'!C11*$C773*'Business Case'!C12*$B773)-'Business Case'!C11*$C773*'Business Case'!C13*$D773-'Business Case'!C14*$E773))*'Business Case'!$B$7-'Business Case'!$B$8*(('Business Case'!C11*$C773*'Business Case'!C12*$B773)-('Business Case'!B11*$C773*'Business Case'!B12*$B773))-'Business Case'!C15*$F773</f>
        <v>-47915374.9616984</v>
      </c>
      <c r="J773" s="39" t="n">
        <f aca="false">(('Business Case'!D11*$C773*'Business Case'!D12*$B773)-'Business Case'!D11*$C773*'Business Case'!D13*$D773-'Business Case'!D14*$E773)-MAX(0,(('Business Case'!D11*$C773*'Business Case'!D12*$B773)-'Business Case'!D11*$C773*'Business Case'!D13*$D773-'Business Case'!D14*$E773))*'Business Case'!$B$7-'Business Case'!$B$8*(('Business Case'!D11*$C773*'Business Case'!D12*$B773)-('Business Case'!C11*$C773*'Business Case'!C12*$B773))-'Business Case'!D15*$F773</f>
        <v>219138725.482784</v>
      </c>
      <c r="K773" s="39" t="n">
        <f aca="false">(('Business Case'!E11*$C773*'Business Case'!E12*$B773)-'Business Case'!E11*$C773*'Business Case'!E13*$D773-'Business Case'!E14*$E773)-MAX(0,(('Business Case'!E11*$C773*'Business Case'!E12*$B773)-'Business Case'!E11*$C773*'Business Case'!E13*$D773-'Business Case'!E14*$E773))*'Business Case'!$B$7-'Business Case'!$B$8*(('Business Case'!E11*$C773*'Business Case'!E12*$B773)-('Business Case'!D11*$C773*'Business Case'!D12*$B773))-'Business Case'!E15*$F773</f>
        <v>548332291.659246</v>
      </c>
      <c r="L773" s="39" t="n">
        <f aca="false">(('Business Case'!F11*$C773*'Business Case'!F12*$B773)-'Business Case'!F11*$C773*'Business Case'!F13*$D773-'Business Case'!F14*$E773)-MAX(0,(('Business Case'!F11*$C773*'Business Case'!F12*$B773)-'Business Case'!F11*$C773*'Business Case'!F13*$D773-'Business Case'!F14*$E773))*'Business Case'!$B$7-'Business Case'!$B$8*(('Business Case'!F11*$C773*'Business Case'!F12*$B773)-('Business Case'!E11*$C773*'Business Case'!E12*$B773))-'Business Case'!F15*$F773</f>
        <v>669853253.92968</v>
      </c>
      <c r="M773" s="39" t="n">
        <f aca="false">(('Business Case'!G11*$C773*'Business Case'!G12*$B773)-'Business Case'!G11*$C773*'Business Case'!G13*$D773-'Business Case'!G14*$E773)-MAX(0,(('Business Case'!G11*$C773*'Business Case'!G12*$B773)-'Business Case'!G11*$C773*'Business Case'!G13*$D773-'Business Case'!G14*$E773))*'Business Case'!$B$7-'Business Case'!$B$8*(('Business Case'!G11*$C773*'Business Case'!G12*$B773)-('Business Case'!F11*$C773*'Business Case'!F12*$B773))-'Business Case'!G15*$F773+'Business Case'!$B$8*('Business Case'!G11*$C773*'Business Case'!G12*$B773)</f>
        <v>848619362.268851</v>
      </c>
      <c r="N773" s="39" t="n">
        <f aca="false">IF(COUNT('Business Case'!B11:G11)=0,"",H773+NPV(G773,I773:M773))</f>
        <v>-938554530.640059</v>
      </c>
      <c r="P773" s="40" t="n">
        <f aca="true">RAND()</f>
        <v>0.610617024538243</v>
      </c>
      <c r="Q773" s="40" t="n">
        <f aca="true">RAND()</f>
        <v>0.44294704515231</v>
      </c>
      <c r="R773" s="40" t="n">
        <f aca="true">RAND()</f>
        <v>0.766529542173648</v>
      </c>
      <c r="S773" s="40" t="n">
        <f aca="true">RAND()</f>
        <v>0.385293873058997</v>
      </c>
      <c r="T773" s="40" t="n">
        <f aca="true">RAND()</f>
        <v>0.999306746888443</v>
      </c>
      <c r="U773" s="40" t="n">
        <f aca="true">RAND()</f>
        <v>0.310679896784118</v>
      </c>
    </row>
    <row r="774" customFormat="false" ht="15" hidden="false" customHeight="false" outlineLevel="0" collapsed="false">
      <c r="A774" s="36" t="n">
        <v>694</v>
      </c>
      <c r="B774" s="37" t="n">
        <f aca="false">1+IF($G$6=$E$6,$F$6,IF(P774&lt;($F$6-$E$6)/($G$6-$E$6),$E$6+SQRT(P774*($G$6-$E$6)*($F$6-$E$6)),$G$6-SQRT((1-P774)*($G$6-$E$6)*($G$6-$F$6))))</f>
        <v>0.994658418569588</v>
      </c>
      <c r="C774" s="37" t="n">
        <f aca="false">1+IF($G$7=$E$7,$F$7,IF(Q774&lt;($F$7-$E$7)/($G$7-$E$7),$E$7+SQRT(Q774*($G$7-$E$7)*($F$7-$E$7)),$G$7-SQRT((1-Q774)*($G$7-$E$7)*($G$7-$F$7))))</f>
        <v>0.91493296289812</v>
      </c>
      <c r="D774" s="37" t="n">
        <f aca="false">1+IF($G$8=$E$8,$F$8,IF(R774&lt;($F$8-$E$8)/($G$8-$E$8),$E$8+SQRT(R774*($G$8-$E$8)*($F$8-$E$8)),$G$8-SQRT((1-R774)*($G$8-$E$8)*($G$8-$F$8))))</f>
        <v>1.00570664772184</v>
      </c>
      <c r="E774" s="37" t="n">
        <f aca="false">1+IF($G$9=$E$9,$F$9,IF(S774&lt;($F$9-$E$9)/($G$9-$E$9),$E$9+SQRT(S774*($G$9-$E$9)*($F$9-$E$9)),$G$9-SQRT((1-S774)*($G$9-$E$9)*($G$9-$F$9))))</f>
        <v>1.10217273639328</v>
      </c>
      <c r="F774" s="37" t="n">
        <f aca="false">1+IF($G$10=$E$10,$F$10,IF(T774&lt;($F$10-$E$10)/($G$10-$E$10),$E$10+SQRT(T774*($G$10-$E$10)*($F$10-$E$10)),$G$10-SQRT((1-T774)*($G$10-$E$10)*($G$10-$F$10))))</f>
        <v>1.0457944135324</v>
      </c>
      <c r="G774" s="38" t="n">
        <f aca="false">IF($G$11=$E$11,$F$11,IF(U774&lt;($F$11-$E$11)/($G$11-$E$11),$E$11+SQRT(U774*($G$11-$E$11)*($F$11-$E$11)),$G$11-SQRT((1-U774)*($G$11-$E$11)*($G$11-$F$11))))</f>
        <v>0.0991622540335143</v>
      </c>
      <c r="H774" s="39" t="n">
        <f aca="false">(('Business Case'!B11*$C774*'Business Case'!B12*$B774)-'Business Case'!B11*$C774*'Business Case'!B13*$D774-'Business Case'!B14*$E774)-MAX(0,(('Business Case'!B11*$C774*'Business Case'!B12*$B774)-'Business Case'!B11*$C774*'Business Case'!B13*$D774-'Business Case'!B14*$E774))*'Business Case'!$B$7-'Business Case'!$B$8*('Business Case'!B11*$C774*'Business Case'!B12*$B774)-'Business Case'!B15*$F774</f>
        <v>-2091588827.06479</v>
      </c>
      <c r="I774" s="39" t="n">
        <f aca="false">(('Business Case'!C11*$C774*'Business Case'!C12*$B774)-'Business Case'!C11*$C774*'Business Case'!C13*$D774-'Business Case'!C14*$E774)-MAX(0,(('Business Case'!C11*$C774*'Business Case'!C12*$B774)-'Business Case'!C11*$C774*'Business Case'!C13*$D774-'Business Case'!C14*$E774))*'Business Case'!$B$7-'Business Case'!$B$8*(('Business Case'!C11*$C774*'Business Case'!C12*$B774)-('Business Case'!B11*$C774*'Business Case'!B12*$B774))-'Business Case'!C15*$F774</f>
        <v>-34137484.3374545</v>
      </c>
      <c r="J774" s="39" t="n">
        <f aca="false">(('Business Case'!D11*$C774*'Business Case'!D12*$B774)-'Business Case'!D11*$C774*'Business Case'!D13*$D774-'Business Case'!D14*$E774)-MAX(0,(('Business Case'!D11*$C774*'Business Case'!D12*$B774)-'Business Case'!D11*$C774*'Business Case'!D13*$D774-'Business Case'!D14*$E774))*'Business Case'!$B$7-'Business Case'!$B$8*(('Business Case'!D11*$C774*'Business Case'!D12*$B774)-('Business Case'!C11*$C774*'Business Case'!C12*$B774))-'Business Case'!D15*$F774</f>
        <v>240210208.716237</v>
      </c>
      <c r="K774" s="39" t="n">
        <f aca="false">(('Business Case'!E11*$C774*'Business Case'!E12*$B774)-'Business Case'!E11*$C774*'Business Case'!E13*$D774-'Business Case'!E14*$E774)-MAX(0,(('Business Case'!E11*$C774*'Business Case'!E12*$B774)-'Business Case'!E11*$C774*'Business Case'!E13*$D774-'Business Case'!E14*$E774))*'Business Case'!$B$7-'Business Case'!$B$8*(('Business Case'!E11*$C774*'Business Case'!E12*$B774)-('Business Case'!D11*$C774*'Business Case'!D12*$B774))-'Business Case'!E15*$F774</f>
        <v>566847622.446549</v>
      </c>
      <c r="L774" s="39" t="n">
        <f aca="false">(('Business Case'!F11*$C774*'Business Case'!F12*$B774)-'Business Case'!F11*$C774*'Business Case'!F13*$D774-'Business Case'!F14*$E774)-MAX(0,(('Business Case'!F11*$C774*'Business Case'!F12*$B774)-'Business Case'!F11*$C774*'Business Case'!F13*$D774-'Business Case'!F14*$E774))*'Business Case'!$B$7-'Business Case'!$B$8*(('Business Case'!F11*$C774*'Business Case'!F12*$B774)-('Business Case'!E11*$C774*'Business Case'!E12*$B774))-'Business Case'!F15*$F774</f>
        <v>689748035.412968</v>
      </c>
      <c r="M774" s="39" t="n">
        <f aca="false">(('Business Case'!G11*$C774*'Business Case'!G12*$B774)-'Business Case'!G11*$C774*'Business Case'!G13*$D774-'Business Case'!G14*$E774)-MAX(0,(('Business Case'!G11*$C774*'Business Case'!G12*$B774)-'Business Case'!G11*$C774*'Business Case'!G13*$D774-'Business Case'!G14*$E774))*'Business Case'!$B$7-'Business Case'!$B$8*(('Business Case'!G11*$C774*'Business Case'!G12*$B774)-('Business Case'!F11*$C774*'Business Case'!F12*$B774))-'Business Case'!G15*$F774+'Business Case'!$B$8*('Business Case'!G11*$C774*'Business Case'!G12*$B774)</f>
        <v>862729536.129838</v>
      </c>
      <c r="N774" s="39" t="n">
        <f aca="false">IF(COUNT('Business Case'!B11:G11)=0,"",H774+NPV(G774,I774:M774))</f>
        <v>-486690687.361979</v>
      </c>
      <c r="P774" s="40" t="n">
        <f aca="true">RAND()</f>
        <v>0.597347747073022</v>
      </c>
      <c r="Q774" s="40" t="n">
        <f aca="true">RAND()</f>
        <v>0.34219391511233</v>
      </c>
      <c r="R774" s="40" t="n">
        <f aca="true">RAND()</f>
        <v>0.407250914409733</v>
      </c>
      <c r="S774" s="40" t="n">
        <f aca="true">RAND()</f>
        <v>0.939001409490478</v>
      </c>
      <c r="T774" s="40" t="n">
        <f aca="true">RAND()</f>
        <v>0.444001046072298</v>
      </c>
      <c r="U774" s="40" t="n">
        <f aca="true">RAND()</f>
        <v>0.367191979644936</v>
      </c>
    </row>
    <row r="775" customFormat="false" ht="15" hidden="false" customHeight="false" outlineLevel="0" collapsed="false">
      <c r="A775" s="36" t="n">
        <v>695</v>
      </c>
      <c r="B775" s="37" t="n">
        <f aca="false">1+IF($G$6=$E$6,$F$6,IF(P775&lt;($F$6-$E$6)/($G$6-$E$6),$E$6+SQRT(P775*($G$6-$E$6)*($F$6-$E$6)),$G$6-SQRT((1-P775)*($G$6-$E$6)*($G$6-$F$6))))</f>
        <v>0.957250117387173</v>
      </c>
      <c r="C775" s="37" t="n">
        <f aca="false">1+IF($G$7=$E$7,$F$7,IF(Q775&lt;($F$7-$E$7)/($G$7-$E$7),$E$7+SQRT(Q775*($G$7-$E$7)*($F$7-$E$7)),$G$7-SQRT((1-Q775)*($G$7-$E$7)*($G$7-$F$7))))</f>
        <v>1.01861197915365</v>
      </c>
      <c r="D775" s="37" t="n">
        <f aca="false">1+IF($G$8=$E$8,$F$8,IF(R775&lt;($F$8-$E$8)/($G$8-$E$8),$E$8+SQRT(R775*($G$8-$E$8)*($F$8-$E$8)),$G$8-SQRT((1-R775)*($G$8-$E$8)*($G$8-$F$8))))</f>
        <v>0.979015920594631</v>
      </c>
      <c r="E775" s="37" t="n">
        <f aca="false">1+IF($G$9=$E$9,$F$9,IF(S775&lt;($F$9-$E$9)/($G$9-$E$9),$E$9+SQRT(S775*($G$9-$E$9)*($F$9-$E$9)),$G$9-SQRT((1-S775)*($G$9-$E$9)*($G$9-$F$9))))</f>
        <v>1.04856919935134</v>
      </c>
      <c r="F775" s="37" t="n">
        <f aca="false">1+IF($G$10=$E$10,$F$10,IF(T775&lt;($F$10-$E$10)/($G$10-$E$10),$E$10+SQRT(T775*($G$10-$E$10)*($F$10-$E$10)),$G$10-SQRT((1-T775)*($G$10-$E$10)*($G$10-$F$10))))</f>
        <v>1.05584412478998</v>
      </c>
      <c r="G775" s="38" t="n">
        <f aca="false">IF($G$11=$E$11,$F$11,IF(U775&lt;($F$11-$E$11)/($G$11-$E$11),$E$11+SQRT(U775*($G$11-$E$11)*($F$11-$E$11)),$G$11-SQRT((1-U775)*($G$11-$E$11)*($G$11-$F$11))))</f>
        <v>0.126398826344528</v>
      </c>
      <c r="H775" s="39" t="n">
        <f aca="false">(('Business Case'!B11*$C775*'Business Case'!B12*$B775)-'Business Case'!B11*$C775*'Business Case'!B13*$D775-'Business Case'!B14*$E775)-MAX(0,(('Business Case'!B11*$C775*'Business Case'!B12*$B775)-'Business Case'!B11*$C775*'Business Case'!B13*$D775-'Business Case'!B14*$E775))*'Business Case'!$B$7-'Business Case'!$B$8*('Business Case'!B11*$C775*'Business Case'!B12*$B775)-'Business Case'!B15*$F775</f>
        <v>-2111688249.57997</v>
      </c>
      <c r="I775" s="39" t="n">
        <f aca="false">(('Business Case'!C11*$C775*'Business Case'!C12*$B775)-'Business Case'!C11*$C775*'Business Case'!C13*$D775-'Business Case'!C14*$E775)-MAX(0,(('Business Case'!C11*$C775*'Business Case'!C12*$B775)-'Business Case'!C11*$C775*'Business Case'!C13*$D775-'Business Case'!C14*$E775))*'Business Case'!$B$7-'Business Case'!$B$8*(('Business Case'!C11*$C775*'Business Case'!C12*$B775)-('Business Case'!B11*$C775*'Business Case'!B12*$B775))-'Business Case'!C15*$F775</f>
        <v>-17094521.7247217</v>
      </c>
      <c r="J775" s="39" t="n">
        <f aca="false">(('Business Case'!D11*$C775*'Business Case'!D12*$B775)-'Business Case'!D11*$C775*'Business Case'!D13*$D775-'Business Case'!D14*$E775)-MAX(0,(('Business Case'!D11*$C775*'Business Case'!D12*$B775)-'Business Case'!D11*$C775*'Business Case'!D13*$D775-'Business Case'!D14*$E775))*'Business Case'!$B$7-'Business Case'!$B$8*(('Business Case'!D11*$C775*'Business Case'!D12*$B775)-('Business Case'!C11*$C775*'Business Case'!C12*$B775))-'Business Case'!D15*$F775</f>
        <v>271049353.251532</v>
      </c>
      <c r="K775" s="39" t="n">
        <f aca="false">(('Business Case'!E11*$C775*'Business Case'!E12*$B775)-'Business Case'!E11*$C775*'Business Case'!E13*$D775-'Business Case'!E14*$E775)-MAX(0,(('Business Case'!E11*$C775*'Business Case'!E12*$B775)-'Business Case'!E11*$C775*'Business Case'!E13*$D775-'Business Case'!E14*$E775))*'Business Case'!$B$7-'Business Case'!$B$8*(('Business Case'!E11*$C775*'Business Case'!E12*$B775)-('Business Case'!D11*$C775*'Business Case'!D12*$B775))-'Business Case'!E15*$F775</f>
        <v>611985434.467284</v>
      </c>
      <c r="L775" s="39" t="n">
        <f aca="false">(('Business Case'!F11*$C775*'Business Case'!F12*$B775)-'Business Case'!F11*$C775*'Business Case'!F13*$D775-'Business Case'!F14*$E775)-MAX(0,(('Business Case'!F11*$C775*'Business Case'!F12*$B775)-'Business Case'!F11*$C775*'Business Case'!F13*$D775-'Business Case'!F14*$E775))*'Business Case'!$B$7-'Business Case'!$B$8*(('Business Case'!F11*$C775*'Business Case'!F12*$B775)-('Business Case'!E11*$C775*'Business Case'!E12*$B775))-'Business Case'!F15*$F775</f>
        <v>741731688.842179</v>
      </c>
      <c r="M775" s="39" t="n">
        <f aca="false">(('Business Case'!G11*$C775*'Business Case'!G12*$B775)-'Business Case'!G11*$C775*'Business Case'!G13*$D775-'Business Case'!G14*$E775)-MAX(0,(('Business Case'!G11*$C775*'Business Case'!G12*$B775)-'Business Case'!G11*$C775*'Business Case'!G13*$D775-'Business Case'!G14*$E775))*'Business Case'!$B$7-'Business Case'!$B$8*(('Business Case'!G11*$C775*'Business Case'!G12*$B775)-('Business Case'!F11*$C775*'Business Case'!F12*$B775))-'Business Case'!G15*$F775+'Business Case'!$B$8*('Business Case'!G11*$C775*'Business Case'!G12*$B775)</f>
        <v>927072317.114303</v>
      </c>
      <c r="N775" s="39" t="n">
        <f aca="false">IF(COUNT('Business Case'!B11:G11)=0,"",H775+NPV(G775,I775:M775))</f>
        <v>-512979758.52643</v>
      </c>
      <c r="P775" s="40" t="n">
        <f aca="true">RAND()</f>
        <v>0.218505062723008</v>
      </c>
      <c r="Q775" s="40" t="n">
        <f aca="true">RAND()</f>
        <v>0.744254636712288</v>
      </c>
      <c r="R775" s="40" t="n">
        <f aca="true">RAND()</f>
        <v>0.112256486393857</v>
      </c>
      <c r="S775" s="40" t="n">
        <f aca="true">RAND()</f>
        <v>0.725647804793929</v>
      </c>
      <c r="T775" s="40" t="n">
        <f aca="true">RAND()</f>
        <v>0.497379948285771</v>
      </c>
      <c r="U775" s="40" t="n">
        <f aca="true">RAND()</f>
        <v>0.991354365535424</v>
      </c>
    </row>
    <row r="776" customFormat="false" ht="15" hidden="false" customHeight="false" outlineLevel="0" collapsed="false">
      <c r="A776" s="36" t="n">
        <v>696</v>
      </c>
      <c r="B776" s="37" t="n">
        <f aca="false">1+IF($G$6=$E$6,$F$6,IF(P776&lt;($F$6-$E$6)/($G$6-$E$6),$E$6+SQRT(P776*($G$6-$E$6)*($F$6-$E$6)),$G$6-SQRT((1-P776)*($G$6-$E$6)*($G$6-$F$6))))</f>
        <v>1.02308373496777</v>
      </c>
      <c r="C776" s="37" t="n">
        <f aca="false">1+IF($G$7=$E$7,$F$7,IF(Q776&lt;($F$7-$E$7)/($G$7-$E$7),$E$7+SQRT(Q776*($G$7-$E$7)*($F$7-$E$7)),$G$7-SQRT((1-Q776)*($G$7-$E$7)*($G$7-$F$7))))</f>
        <v>1.03683193326587</v>
      </c>
      <c r="D776" s="37" t="n">
        <f aca="false">1+IF($G$8=$E$8,$F$8,IF(R776&lt;($F$8-$E$8)/($G$8-$E$8),$E$8+SQRT(R776*($G$8-$E$8)*($F$8-$E$8)),$G$8-SQRT((1-R776)*($G$8-$E$8)*($G$8-$F$8))))</f>
        <v>1.01257605050559</v>
      </c>
      <c r="E776" s="37" t="n">
        <f aca="false">1+IF($G$9=$E$9,$F$9,IF(S776&lt;($F$9-$E$9)/($G$9-$E$9),$E$9+SQRT(S776*($G$9-$E$9)*($F$9-$E$9)),$G$9-SQRT((1-S776)*($G$9-$E$9)*($G$9-$F$9))))</f>
        <v>1.02304332150022</v>
      </c>
      <c r="F776" s="37" t="n">
        <f aca="false">1+IF($G$10=$E$10,$F$10,IF(T776&lt;($F$10-$E$10)/($G$10-$E$10),$E$10+SQRT(T776*($G$10-$E$10)*($F$10-$E$10)),$G$10-SQRT((1-T776)*($G$10-$E$10)*($G$10-$F$10))))</f>
        <v>1.01560184173597</v>
      </c>
      <c r="G776" s="38" t="n">
        <f aca="false">IF($G$11=$E$11,$F$11,IF(U776&lt;($F$11-$E$11)/($G$11-$E$11),$E$11+SQRT(U776*($G$11-$E$11)*($F$11-$E$11)),$G$11-SQRT((1-U776)*($G$11-$E$11)*($G$11-$F$11))))</f>
        <v>0.0933846999659537</v>
      </c>
      <c r="H776" s="39" t="n">
        <f aca="false">(('Business Case'!B11*$C776*'Business Case'!B12*$B776)-'Business Case'!B11*$C776*'Business Case'!B13*$D776-'Business Case'!B14*$E776)-MAX(0,(('Business Case'!B11*$C776*'Business Case'!B12*$B776)-'Business Case'!B11*$C776*'Business Case'!B13*$D776-'Business Case'!B14*$E776))*'Business Case'!$B$7-'Business Case'!$B$8*('Business Case'!B11*$C776*'Business Case'!B12*$B776)-'Business Case'!B15*$F776</f>
        <v>-2031203683.47194</v>
      </c>
      <c r="I776" s="39" t="n">
        <f aca="false">(('Business Case'!C11*$C776*'Business Case'!C12*$B776)-'Business Case'!C11*$C776*'Business Case'!C13*$D776-'Business Case'!C14*$E776)-MAX(0,(('Business Case'!C11*$C776*'Business Case'!C12*$B776)-'Business Case'!C11*$C776*'Business Case'!C13*$D776-'Business Case'!C14*$E776))*'Business Case'!$B$7-'Business Case'!$B$8*(('Business Case'!C11*$C776*'Business Case'!C12*$B776)-('Business Case'!B11*$C776*'Business Case'!B12*$B776))-'Business Case'!C15*$F776</f>
        <v>29366531.8595872</v>
      </c>
      <c r="J776" s="39" t="n">
        <f aca="false">(('Business Case'!D11*$C776*'Business Case'!D12*$B776)-'Business Case'!D11*$C776*'Business Case'!D13*$D776-'Business Case'!D14*$E776)-MAX(0,(('Business Case'!D11*$C776*'Business Case'!D12*$B776)-'Business Case'!D11*$C776*'Business Case'!D13*$D776-'Business Case'!D14*$E776))*'Business Case'!$B$7-'Business Case'!$B$8*(('Business Case'!D11*$C776*'Business Case'!D12*$B776)-('Business Case'!C11*$C776*'Business Case'!C12*$B776))-'Business Case'!D15*$F776</f>
        <v>360760111.782825</v>
      </c>
      <c r="K776" s="39" t="n">
        <f aca="false">(('Business Case'!E11*$C776*'Business Case'!E12*$B776)-'Business Case'!E11*$C776*'Business Case'!E13*$D776-'Business Case'!E14*$E776)-MAX(0,(('Business Case'!E11*$C776*'Business Case'!E12*$B776)-'Business Case'!E11*$C776*'Business Case'!E13*$D776-'Business Case'!E14*$E776))*'Business Case'!$B$7-'Business Case'!$B$8*(('Business Case'!E11*$C776*'Business Case'!E12*$B776)-('Business Case'!D11*$C776*'Business Case'!D12*$B776))-'Business Case'!E15*$F776</f>
        <v>742933783.792861</v>
      </c>
      <c r="L776" s="39" t="n">
        <f aca="false">(('Business Case'!F11*$C776*'Business Case'!F12*$B776)-'Business Case'!F11*$C776*'Business Case'!F13*$D776-'Business Case'!F14*$E776)-MAX(0,(('Business Case'!F11*$C776*'Business Case'!F12*$B776)-'Business Case'!F11*$C776*'Business Case'!F13*$D776-'Business Case'!F14*$E776))*'Business Case'!$B$7-'Business Case'!$B$8*(('Business Case'!F11*$C776*'Business Case'!F12*$B776)-('Business Case'!E11*$C776*'Business Case'!E12*$B776))-'Business Case'!F15*$F776</f>
        <v>890058379.482422</v>
      </c>
      <c r="M776" s="39" t="n">
        <f aca="false">(('Business Case'!G11*$C776*'Business Case'!G12*$B776)-'Business Case'!G11*$C776*'Business Case'!G13*$D776-'Business Case'!G14*$E776)-MAX(0,(('Business Case'!G11*$C776*'Business Case'!G12*$B776)-'Business Case'!G11*$C776*'Business Case'!G13*$D776-'Business Case'!G14*$E776))*'Business Case'!$B$7-'Business Case'!$B$8*(('Business Case'!G11*$C776*'Business Case'!G12*$B776)-('Business Case'!F11*$C776*'Business Case'!F12*$B776))-'Business Case'!G15*$F776+'Business Case'!$B$8*('Business Case'!G11*$C776*'Business Case'!G12*$B776)</f>
        <v>1091688759.24907</v>
      </c>
      <c r="N776" s="39" t="n">
        <f aca="false">IF(COUNT('Business Case'!B11:G11)=0,"",H776+NPV(G776,I776:M776))</f>
        <v>187169064.650169</v>
      </c>
      <c r="P776" s="40" t="n">
        <f aca="true">RAND()</f>
        <v>0.903401956895313</v>
      </c>
      <c r="Q776" s="40" t="n">
        <f aca="true">RAND()</f>
        <v>0.81026649883939</v>
      </c>
      <c r="R776" s="40" t="n">
        <f aca="true">RAND()</f>
        <v>0.490470203653211</v>
      </c>
      <c r="S776" s="40" t="n">
        <f aca="true">RAND()</f>
        <v>0.570186714248067</v>
      </c>
      <c r="T776" s="40" t="n">
        <f aca="true">RAND()</f>
        <v>0.267433378699077</v>
      </c>
      <c r="U776" s="40" t="n">
        <f aca="true">RAND()</f>
        <v>0.179150193178602</v>
      </c>
    </row>
    <row r="777" customFormat="false" ht="15" hidden="false" customHeight="false" outlineLevel="0" collapsed="false">
      <c r="A777" s="36" t="n">
        <v>697</v>
      </c>
      <c r="B777" s="37" t="n">
        <f aca="false">1+IF($G$6=$E$6,$F$6,IF(P777&lt;($F$6-$E$6)/($G$6-$E$6),$E$6+SQRT(P777*($G$6-$E$6)*($F$6-$E$6)),$G$6-SQRT((1-P777)*($G$6-$E$6)*($G$6-$F$6))))</f>
        <v>1.03178959524863</v>
      </c>
      <c r="C777" s="37" t="n">
        <f aca="false">1+IF($G$7=$E$7,$F$7,IF(Q777&lt;($F$7-$E$7)/($G$7-$E$7),$E$7+SQRT(Q777*($G$7-$E$7)*($F$7-$E$7)),$G$7-SQRT((1-Q777)*($G$7-$E$7)*($G$7-$F$7))))</f>
        <v>0.928850799254126</v>
      </c>
      <c r="D777" s="37" t="n">
        <f aca="false">1+IF($G$8=$E$8,$F$8,IF(R777&lt;($F$8-$E$8)/($G$8-$E$8),$E$8+SQRT(R777*($G$8-$E$8)*($F$8-$E$8)),$G$8-SQRT((1-R777)*($G$8-$E$8)*($G$8-$F$8))))</f>
        <v>0.992762084062464</v>
      </c>
      <c r="E777" s="37" t="n">
        <f aca="false">1+IF($G$9=$E$9,$F$9,IF(S777&lt;($F$9-$E$9)/($G$9-$E$9),$E$9+SQRT(S777*($G$9-$E$9)*($F$9-$E$9)),$G$9-SQRT((1-S777)*($G$9-$E$9)*($G$9-$F$9))))</f>
        <v>0.931106918207935</v>
      </c>
      <c r="F777" s="37" t="n">
        <f aca="false">1+IF($G$10=$E$10,$F$10,IF(T777&lt;($F$10-$E$10)/($G$10-$E$10),$E$10+SQRT(T777*($G$10-$E$10)*($F$10-$E$10)),$G$10-SQRT((1-T777)*($G$10-$E$10)*($G$10-$F$10))))</f>
        <v>0.985870455180557</v>
      </c>
      <c r="G777" s="38" t="n">
        <f aca="false">IF($G$11=$E$11,$F$11,IF(U777&lt;($F$11-$E$11)/($G$11-$E$11),$E$11+SQRT(U777*($G$11-$E$11)*($F$11-$E$11)),$G$11-SQRT((1-U777)*($G$11-$E$11)*($G$11-$F$11))))</f>
        <v>0.119878958677407</v>
      </c>
      <c r="H777" s="39" t="n">
        <f aca="false">(('Business Case'!B11*$C777*'Business Case'!B12*$B777)-'Business Case'!B11*$C777*'Business Case'!B13*$D777-'Business Case'!B14*$E777)-MAX(0,(('Business Case'!B11*$C777*'Business Case'!B12*$B777)-'Business Case'!B11*$C777*'Business Case'!B13*$D777-'Business Case'!B14*$E777))*'Business Case'!$B$7-'Business Case'!$B$8*('Business Case'!B11*$C777*'Business Case'!B12*$B777)-'Business Case'!B15*$F777</f>
        <v>-1971740910.36111</v>
      </c>
      <c r="I777" s="39" t="n">
        <f aca="false">(('Business Case'!C11*$C777*'Business Case'!C12*$B777)-'Business Case'!C11*$C777*'Business Case'!C13*$D777-'Business Case'!C14*$E777)-MAX(0,(('Business Case'!C11*$C777*'Business Case'!C12*$B777)-'Business Case'!C11*$C777*'Business Case'!C13*$D777-'Business Case'!C14*$E777))*'Business Case'!$B$7-'Business Case'!$B$8*(('Business Case'!C11*$C777*'Business Case'!C12*$B777)-('Business Case'!B11*$C777*'Business Case'!B12*$B777))-'Business Case'!C15*$F777</f>
        <v>32252581.5759483</v>
      </c>
      <c r="J777" s="39" t="n">
        <f aca="false">(('Business Case'!D11*$C777*'Business Case'!D12*$B777)-'Business Case'!D11*$C777*'Business Case'!D13*$D777-'Business Case'!D14*$E777)-MAX(0,(('Business Case'!D11*$C777*'Business Case'!D12*$B777)-'Business Case'!D11*$C777*'Business Case'!D13*$D777-'Business Case'!D14*$E777))*'Business Case'!$B$7-'Business Case'!$B$8*(('Business Case'!D11*$C777*'Business Case'!D12*$B777)-('Business Case'!C11*$C777*'Business Case'!C12*$B777))-'Business Case'!D15*$F777</f>
        <v>345177958.555544</v>
      </c>
      <c r="K777" s="39" t="n">
        <f aca="false">(('Business Case'!E11*$C777*'Business Case'!E12*$B777)-'Business Case'!E11*$C777*'Business Case'!E13*$D777-'Business Case'!E14*$E777)-MAX(0,(('Business Case'!E11*$C777*'Business Case'!E12*$B777)-'Business Case'!E11*$C777*'Business Case'!E13*$D777-'Business Case'!E14*$E777))*'Business Case'!$B$7-'Business Case'!$B$8*(('Business Case'!E11*$C777*'Business Case'!E12*$B777)-('Business Case'!D11*$C777*'Business Case'!D12*$B777))-'Business Case'!E15*$F777</f>
        <v>707396858.294168</v>
      </c>
      <c r="L777" s="39" t="n">
        <f aca="false">(('Business Case'!F11*$C777*'Business Case'!F12*$B777)-'Business Case'!F11*$C777*'Business Case'!F13*$D777-'Business Case'!F14*$E777)-MAX(0,(('Business Case'!F11*$C777*'Business Case'!F12*$B777)-'Business Case'!F11*$C777*'Business Case'!F13*$D777-'Business Case'!F14*$E777))*'Business Case'!$B$7-'Business Case'!$B$8*(('Business Case'!F11*$C777*'Business Case'!F12*$B777)-('Business Case'!E11*$C777*'Business Case'!E12*$B777))-'Business Case'!F15*$F777</f>
        <v>844826881.364982</v>
      </c>
      <c r="M777" s="39" t="n">
        <f aca="false">(('Business Case'!G11*$C777*'Business Case'!G12*$B777)-'Business Case'!G11*$C777*'Business Case'!G13*$D777-'Business Case'!G14*$E777)-MAX(0,(('Business Case'!G11*$C777*'Business Case'!G12*$B777)-'Business Case'!G11*$C777*'Business Case'!G13*$D777-'Business Case'!G14*$E777))*'Business Case'!$B$7-'Business Case'!$B$8*(('Business Case'!G11*$C777*'Business Case'!G12*$B777)-('Business Case'!F11*$C777*'Business Case'!F12*$B777))-'Business Case'!G15*$F777+'Business Case'!$B$8*('Business Case'!G11*$C777*'Business Case'!G12*$B777)</f>
        <v>1026995483.79187</v>
      </c>
      <c r="N777" s="39" t="n">
        <f aca="false">IF(COUNT('Business Case'!B11:G11)=0,"",H777+NPV(G777,I777:M777))</f>
        <v>-43838483.0270021</v>
      </c>
      <c r="P777" s="40" t="n">
        <f aca="true">RAND()</f>
        <v>0.955784154505518</v>
      </c>
      <c r="Q777" s="40" t="n">
        <f aca="true">RAND()</f>
        <v>0.387945839401867</v>
      </c>
      <c r="R777" s="40" t="n">
        <f aca="true">RAND()</f>
        <v>0.243812777782033</v>
      </c>
      <c r="S777" s="40" t="n">
        <f aca="true">RAND()</f>
        <v>0.0387056144158053</v>
      </c>
      <c r="T777" s="40" t="n">
        <f aca="true">RAND()</f>
        <v>0.0857793036573545</v>
      </c>
      <c r="U777" s="40" t="n">
        <f aca="true">RAND()</f>
        <v>0.931709681697574</v>
      </c>
    </row>
    <row r="778" customFormat="false" ht="15" hidden="false" customHeight="false" outlineLevel="0" collapsed="false">
      <c r="A778" s="36" t="n">
        <v>698</v>
      </c>
      <c r="B778" s="37" t="n">
        <f aca="false">1+IF($G$6=$E$6,$F$6,IF(P778&lt;($F$6-$E$6)/($G$6-$E$6),$E$6+SQRT(P778*($G$6-$E$6)*($F$6-$E$6)),$G$6-SQRT((1-P778)*($G$6-$E$6)*($G$6-$F$6))))</f>
        <v>1.00871095944333</v>
      </c>
      <c r="C778" s="37" t="n">
        <f aca="false">1+IF($G$7=$E$7,$F$7,IF(Q778&lt;($F$7-$E$7)/($G$7-$E$7),$E$7+SQRT(Q778*($G$7-$E$7)*($F$7-$E$7)),$G$7-SQRT((1-Q778)*($G$7-$E$7)*($G$7-$F$7))))</f>
        <v>0.933297924308388</v>
      </c>
      <c r="D778" s="37" t="n">
        <f aca="false">1+IF($G$8=$E$8,$F$8,IF(R778&lt;($F$8-$E$8)/($G$8-$E$8),$E$8+SQRT(R778*($G$8-$E$8)*($F$8-$E$8)),$G$8-SQRT((1-R778)*($G$8-$E$8)*($G$8-$F$8))))</f>
        <v>1.03118048615654</v>
      </c>
      <c r="E778" s="37" t="n">
        <f aca="false">1+IF($G$9=$E$9,$F$9,IF(S778&lt;($F$9-$E$9)/($G$9-$E$9),$E$9+SQRT(S778*($G$9-$E$9)*($F$9-$E$9)),$G$9-SQRT((1-S778)*($G$9-$E$9)*($G$9-$F$9))))</f>
        <v>1.07117458754108</v>
      </c>
      <c r="F778" s="37" t="n">
        <f aca="false">1+IF($G$10=$E$10,$F$10,IF(T778&lt;($F$10-$E$10)/($G$10-$E$10),$E$10+SQRT(T778*($G$10-$E$10)*($F$10-$E$10)),$G$10-SQRT((1-T778)*($G$10-$E$10)*($G$10-$F$10))))</f>
        <v>1.07272310634867</v>
      </c>
      <c r="G778" s="38" t="n">
        <f aca="false">IF($G$11=$E$11,$F$11,IF(U778&lt;($F$11-$E$11)/($G$11-$E$11),$E$11+SQRT(U778*($G$11-$E$11)*($F$11-$E$11)),$G$11-SQRT((1-U778)*($G$11-$E$11)*($G$11-$F$11))))</f>
        <v>0.106257603981215</v>
      </c>
      <c r="H778" s="39" t="n">
        <f aca="false">(('Business Case'!B11*$C778*'Business Case'!B12*$B778)-'Business Case'!B11*$C778*'Business Case'!B13*$D778-'Business Case'!B14*$E778)-MAX(0,(('Business Case'!B11*$C778*'Business Case'!B12*$B778)-'Business Case'!B11*$C778*'Business Case'!B13*$D778-'Business Case'!B14*$E778))*'Business Case'!$B$7-'Business Case'!$B$8*('Business Case'!B11*$C778*'Business Case'!B12*$B778)-'Business Case'!B15*$F778</f>
        <v>-2145446212.69735</v>
      </c>
      <c r="I778" s="39" t="n">
        <f aca="false">(('Business Case'!C11*$C778*'Business Case'!C12*$B778)-'Business Case'!C11*$C778*'Business Case'!C13*$D778-'Business Case'!C14*$E778)-MAX(0,(('Business Case'!C11*$C778*'Business Case'!C12*$B778)-'Business Case'!C11*$C778*'Business Case'!C13*$D778-'Business Case'!C14*$E778))*'Business Case'!$B$7-'Business Case'!$B$8*(('Business Case'!C11*$C778*'Business Case'!C12*$B778)-('Business Case'!B11*$C778*'Business Case'!B12*$B778))-'Business Case'!C15*$F778</f>
        <v>-29970863.9148996</v>
      </c>
      <c r="J778" s="39" t="n">
        <f aca="false">(('Business Case'!D11*$C778*'Business Case'!D12*$B778)-'Business Case'!D11*$C778*'Business Case'!D13*$D778-'Business Case'!D14*$E778)-MAX(0,(('Business Case'!D11*$C778*'Business Case'!D12*$B778)-'Business Case'!D11*$C778*'Business Case'!D13*$D778-'Business Case'!D14*$E778))*'Business Case'!$B$7-'Business Case'!$B$8*(('Business Case'!D11*$C778*'Business Case'!D12*$B778)-('Business Case'!C11*$C778*'Business Case'!C12*$B778))-'Business Case'!D15*$F778</f>
        <v>248455228.621391</v>
      </c>
      <c r="K778" s="39" t="n">
        <f aca="false">(('Business Case'!E11*$C778*'Business Case'!E12*$B778)-'Business Case'!E11*$C778*'Business Case'!E13*$D778-'Business Case'!E14*$E778)-MAX(0,(('Business Case'!E11*$C778*'Business Case'!E12*$B778)-'Business Case'!E11*$C778*'Business Case'!E13*$D778-'Business Case'!E14*$E778))*'Business Case'!$B$7-'Business Case'!$B$8*(('Business Case'!E11*$C778*'Business Case'!E12*$B778)-('Business Case'!D11*$C778*'Business Case'!D12*$B778))-'Business Case'!E15*$F778</f>
        <v>580517476.475116</v>
      </c>
      <c r="L778" s="39" t="n">
        <f aca="false">(('Business Case'!F11*$C778*'Business Case'!F12*$B778)-'Business Case'!F11*$C778*'Business Case'!F13*$D778-'Business Case'!F14*$E778)-MAX(0,(('Business Case'!F11*$C778*'Business Case'!F12*$B778)-'Business Case'!F11*$C778*'Business Case'!F13*$D778-'Business Case'!F14*$E778))*'Business Case'!$B$7-'Business Case'!$B$8*(('Business Case'!F11*$C778*'Business Case'!F12*$B778)-('Business Case'!E11*$C778*'Business Case'!E12*$B778))-'Business Case'!F15*$F778</f>
        <v>705861920.299201</v>
      </c>
      <c r="M778" s="39" t="n">
        <f aca="false">(('Business Case'!G11*$C778*'Business Case'!G12*$B778)-'Business Case'!G11*$C778*'Business Case'!G13*$D778-'Business Case'!G14*$E778)-MAX(0,(('Business Case'!G11*$C778*'Business Case'!G12*$B778)-'Business Case'!G11*$C778*'Business Case'!G13*$D778-'Business Case'!G14*$E778))*'Business Case'!$B$7-'Business Case'!$B$8*(('Business Case'!G11*$C778*'Business Case'!G12*$B778)-('Business Case'!F11*$C778*'Business Case'!F12*$B778))-'Business Case'!G15*$F778+'Business Case'!$B$8*('Business Case'!G11*$C778*'Business Case'!G12*$B778)</f>
        <v>884808525.015136</v>
      </c>
      <c r="N778" s="39" t="n">
        <f aca="false">IF(COUNT('Business Case'!B11:G11)=0,"",H778+NPV(G778,I778:M778))</f>
        <v>-535398188.440247</v>
      </c>
      <c r="P778" s="40" t="n">
        <f aca="true">RAND()</f>
        <v>0.772695350654593</v>
      </c>
      <c r="Q778" s="40" t="n">
        <f aca="true">RAND()</f>
        <v>0.403169788789648</v>
      </c>
      <c r="R778" s="40" t="n">
        <f aca="true">RAND()</f>
        <v>0.684258300956615</v>
      </c>
      <c r="S778" s="40" t="n">
        <f aca="true">RAND()</f>
        <v>0.834308116018157</v>
      </c>
      <c r="T778" s="40" t="n">
        <f aca="true">RAND()</f>
        <v>0.580972039697812</v>
      </c>
      <c r="U778" s="40" t="n">
        <f aca="true">RAND()</f>
        <v>0.624199087524777</v>
      </c>
    </row>
    <row r="779" customFormat="false" ht="15" hidden="false" customHeight="false" outlineLevel="0" collapsed="false">
      <c r="A779" s="36" t="n">
        <v>699</v>
      </c>
      <c r="B779" s="37" t="n">
        <f aca="false">1+IF($G$6=$E$6,$F$6,IF(P779&lt;($F$6-$E$6)/($G$6-$E$6),$E$6+SQRT(P779*($G$6-$E$6)*($F$6-$E$6)),$G$6-SQRT((1-P779)*($G$6-$E$6)*($G$6-$F$6))))</f>
        <v>0.965457277809572</v>
      </c>
      <c r="C779" s="37" t="n">
        <f aca="false">1+IF($G$7=$E$7,$F$7,IF(Q779&lt;($F$7-$E$7)/($G$7-$E$7),$E$7+SQRT(Q779*($G$7-$E$7)*($F$7-$E$7)),$G$7-SQRT((1-Q779)*($G$7-$E$7)*($G$7-$F$7))))</f>
        <v>0.976974124217513</v>
      </c>
      <c r="D779" s="37" t="n">
        <f aca="false">1+IF($G$8=$E$8,$F$8,IF(R779&lt;($F$8-$E$8)/($G$8-$E$8),$E$8+SQRT(R779*($G$8-$E$8)*($F$8-$E$8)),$G$8-SQRT((1-R779)*($G$8-$E$8)*($G$8-$F$8))))</f>
        <v>1.01965540333115</v>
      </c>
      <c r="E779" s="37" t="n">
        <f aca="false">1+IF($G$9=$E$9,$F$9,IF(S779&lt;($F$9-$E$9)/($G$9-$E$9),$E$9+SQRT(S779*($G$9-$E$9)*($F$9-$E$9)),$G$9-SQRT((1-S779)*($G$9-$E$9)*($G$9-$F$9))))</f>
        <v>1.00596610762819</v>
      </c>
      <c r="F779" s="37" t="n">
        <f aca="false">1+IF($G$10=$E$10,$F$10,IF(T779&lt;($F$10-$E$10)/($G$10-$E$10),$E$10+SQRT(T779*($G$10-$E$10)*($F$10-$E$10)),$G$10-SQRT((1-T779)*($G$10-$E$10)*($G$10-$F$10))))</f>
        <v>1.09849800174452</v>
      </c>
      <c r="G779" s="38" t="n">
        <f aca="false">IF($G$11=$E$11,$F$11,IF(U779&lt;($F$11-$E$11)/($G$11-$E$11),$E$11+SQRT(U779*($G$11-$E$11)*($F$11-$E$11)),$G$11-SQRT((1-U779)*($G$11-$E$11)*($G$11-$F$11))))</f>
        <v>0.119917401541806</v>
      </c>
      <c r="H779" s="39" t="n">
        <f aca="false">(('Business Case'!B11*$C779*'Business Case'!B12*$B779)-'Business Case'!B11*$C779*'Business Case'!B13*$D779-'Business Case'!B14*$E779)-MAX(0,(('Business Case'!B11*$C779*'Business Case'!B12*$B779)-'Business Case'!B11*$C779*'Business Case'!B13*$D779-'Business Case'!B14*$E779))*'Business Case'!$B$7-'Business Case'!$B$8*('Business Case'!B11*$C779*'Business Case'!B12*$B779)-'Business Case'!B15*$F779</f>
        <v>-2196996003.48905</v>
      </c>
      <c r="I779" s="39" t="n">
        <f aca="false">(('Business Case'!C11*$C779*'Business Case'!C12*$B779)-'Business Case'!C11*$C779*'Business Case'!C13*$D779-'Business Case'!C14*$E779)-MAX(0,(('Business Case'!C11*$C779*'Business Case'!C12*$B779)-'Business Case'!C11*$C779*'Business Case'!C13*$D779-'Business Case'!C14*$E779))*'Business Case'!$B$7-'Business Case'!$B$8*(('Business Case'!C11*$C779*'Business Case'!C12*$B779)-('Business Case'!B11*$C779*'Business Case'!B12*$B779))-'Business Case'!C15*$F779</f>
        <v>-39187314.5067844</v>
      </c>
      <c r="J779" s="39" t="n">
        <f aca="false">(('Business Case'!D11*$C779*'Business Case'!D12*$B779)-'Business Case'!D11*$C779*'Business Case'!D13*$D779-'Business Case'!D14*$E779)-MAX(0,(('Business Case'!D11*$C779*'Business Case'!D12*$B779)-'Business Case'!D11*$C779*'Business Case'!D13*$D779-'Business Case'!D14*$E779))*'Business Case'!$B$7-'Business Case'!$B$8*(('Business Case'!D11*$C779*'Business Case'!D12*$B779)-('Business Case'!C11*$C779*'Business Case'!C12*$B779))-'Business Case'!D15*$F779</f>
        <v>223420427.860846</v>
      </c>
      <c r="K779" s="39" t="n">
        <f aca="false">(('Business Case'!E11*$C779*'Business Case'!E12*$B779)-'Business Case'!E11*$C779*'Business Case'!E13*$D779-'Business Case'!E14*$E779)-MAX(0,(('Business Case'!E11*$C779*'Business Case'!E12*$B779)-'Business Case'!E11*$C779*'Business Case'!E13*$D779-'Business Case'!E14*$E779))*'Business Case'!$B$7-'Business Case'!$B$8*(('Business Case'!E11*$C779*'Business Case'!E12*$B779)-('Business Case'!D11*$C779*'Business Case'!D12*$B779))-'Business Case'!E15*$F779</f>
        <v>540953070.315702</v>
      </c>
      <c r="L779" s="39" t="n">
        <f aca="false">(('Business Case'!F11*$C779*'Business Case'!F12*$B779)-'Business Case'!F11*$C779*'Business Case'!F13*$D779-'Business Case'!F14*$E779)-MAX(0,(('Business Case'!F11*$C779*'Business Case'!F12*$B779)-'Business Case'!F11*$C779*'Business Case'!F13*$D779-'Business Case'!F14*$E779))*'Business Case'!$B$7-'Business Case'!$B$8*(('Business Case'!F11*$C779*'Business Case'!F12*$B779)-('Business Case'!E11*$C779*'Business Case'!E12*$B779))-'Business Case'!F15*$F779</f>
        <v>661086901.901734</v>
      </c>
      <c r="M779" s="39" t="n">
        <f aca="false">(('Business Case'!G11*$C779*'Business Case'!G12*$B779)-'Business Case'!G11*$C779*'Business Case'!G13*$D779-'Business Case'!G14*$E779)-MAX(0,(('Business Case'!G11*$C779*'Business Case'!G12*$B779)-'Business Case'!G11*$C779*'Business Case'!G13*$D779-'Business Case'!G14*$E779))*'Business Case'!$B$7-'Business Case'!$B$8*(('Business Case'!G11*$C779*'Business Case'!G12*$B779)-('Business Case'!F11*$C779*'Business Case'!F12*$B779))-'Business Case'!G15*$F779+'Business Case'!$B$8*('Business Case'!G11*$C779*'Business Case'!G12*$B779)</f>
        <v>840375447.950923</v>
      </c>
      <c r="N779" s="39" t="n">
        <f aca="false">IF(COUNT('Business Case'!B11:G11)=0,"",H779+NPV(G779,I779:M779))</f>
        <v>-771442565.54935</v>
      </c>
      <c r="P779" s="40" t="n">
        <f aca="true">RAND()</f>
        <v>0.285643681215962</v>
      </c>
      <c r="Q779" s="40" t="n">
        <f aca="true">RAND()</f>
        <v>0.56825678137821</v>
      </c>
      <c r="R779" s="40" t="n">
        <f aca="true">RAND()</f>
        <v>0.569649719074609</v>
      </c>
      <c r="S779" s="40" t="n">
        <f aca="true">RAND()</f>
        <v>0.446779675952722</v>
      </c>
      <c r="T779" s="40" t="n">
        <f aca="true">RAND()</f>
        <v>0.693961926994633</v>
      </c>
      <c r="U779" s="40" t="n">
        <f aca="true">RAND()</f>
        <v>0.932227472220554</v>
      </c>
    </row>
    <row r="780" customFormat="false" ht="15" hidden="false" customHeight="false" outlineLevel="0" collapsed="false">
      <c r="A780" s="36" t="n">
        <v>700</v>
      </c>
      <c r="B780" s="37" t="n">
        <f aca="false">1+IF($G$6=$E$6,$F$6,IF(P780&lt;($F$6-$E$6)/($G$6-$E$6),$E$6+SQRT(P780*($G$6-$E$6)*($F$6-$E$6)),$G$6-SQRT((1-P780)*($G$6-$E$6)*($G$6-$F$6))))</f>
        <v>0.969209601265244</v>
      </c>
      <c r="C780" s="37" t="n">
        <f aca="false">1+IF($G$7=$E$7,$F$7,IF(Q780&lt;($F$7-$E$7)/($G$7-$E$7),$E$7+SQRT(Q780*($G$7-$E$7)*($F$7-$E$7)),$G$7-SQRT((1-Q780)*($G$7-$E$7)*($G$7-$F$7))))</f>
        <v>0.967972010175111</v>
      </c>
      <c r="D780" s="37" t="n">
        <f aca="false">1+IF($G$8=$E$8,$F$8,IF(R780&lt;($F$8-$E$8)/($G$8-$E$8),$E$8+SQRT(R780*($G$8-$E$8)*($F$8-$E$8)),$G$8-SQRT((1-R780)*($G$8-$E$8)*($G$8-$F$8))))</f>
        <v>1.00514264532586</v>
      </c>
      <c r="E780" s="37" t="n">
        <f aca="false">1+IF($G$9=$E$9,$F$9,IF(S780&lt;($F$9-$E$9)/($G$9-$E$9),$E$9+SQRT(S780*($G$9-$E$9)*($F$9-$E$9)),$G$9-SQRT((1-S780)*($G$9-$E$9)*($G$9-$F$9))))</f>
        <v>0.922467929669868</v>
      </c>
      <c r="F780" s="37" t="n">
        <f aca="false">1+IF($G$10=$E$10,$F$10,IF(T780&lt;($F$10-$E$10)/($G$10-$E$10),$E$10+SQRT(T780*($G$10-$E$10)*($F$10-$E$10)),$G$10-SQRT((1-T780)*($G$10-$E$10)*($G$10-$F$10))))</f>
        <v>0.974833820914639</v>
      </c>
      <c r="G780" s="38" t="n">
        <f aca="false">IF($G$11=$E$11,$F$11,IF(U780&lt;($F$11-$E$11)/($G$11-$E$11),$E$11+SQRT(U780*($G$11-$E$11)*($F$11-$E$11)),$G$11-SQRT((1-U780)*($G$11-$E$11)*($G$11-$F$11))))</f>
        <v>0.0938396244167531</v>
      </c>
      <c r="H780" s="39" t="n">
        <f aca="false">(('Business Case'!B11*$C780*'Business Case'!B12*$B780)-'Business Case'!B11*$C780*'Business Case'!B13*$D780-'Business Case'!B14*$E780)-MAX(0,(('Business Case'!B11*$C780*'Business Case'!B12*$B780)-'Business Case'!B11*$C780*'Business Case'!B13*$D780-'Business Case'!B14*$E780))*'Business Case'!$B$7-'Business Case'!$B$8*('Business Case'!B11*$C780*'Business Case'!B12*$B780)-'Business Case'!B15*$F780</f>
        <v>-1949667641.82928</v>
      </c>
      <c r="I780" s="39" t="n">
        <f aca="false">(('Business Case'!C11*$C780*'Business Case'!C12*$B780)-'Business Case'!C11*$C780*'Business Case'!C13*$D780-'Business Case'!C14*$E780)-MAX(0,(('Business Case'!C11*$C780*'Business Case'!C12*$B780)-'Business Case'!C11*$C780*'Business Case'!C13*$D780-'Business Case'!C14*$E780))*'Business Case'!$B$7-'Business Case'!$B$8*(('Business Case'!C11*$C780*'Business Case'!C12*$B780)-('Business Case'!B11*$C780*'Business Case'!B12*$B780))-'Business Case'!C15*$F780</f>
        <v>-6938527.05475403</v>
      </c>
      <c r="J780" s="39" t="n">
        <f aca="false">(('Business Case'!D11*$C780*'Business Case'!D12*$B780)-'Business Case'!D11*$C780*'Business Case'!D13*$D780-'Business Case'!D14*$E780)-MAX(0,(('Business Case'!D11*$C780*'Business Case'!D12*$B780)-'Business Case'!D11*$C780*'Business Case'!D13*$D780-'Business Case'!D14*$E780))*'Business Case'!$B$7-'Business Case'!$B$8*(('Business Case'!D11*$C780*'Business Case'!D12*$B780)-('Business Case'!C11*$C780*'Business Case'!C12*$B780))-'Business Case'!D15*$F780</f>
        <v>263415884.571371</v>
      </c>
      <c r="K780" s="39" t="n">
        <f aca="false">(('Business Case'!E11*$C780*'Business Case'!E12*$B780)-'Business Case'!E11*$C780*'Business Case'!E13*$D780-'Business Case'!E14*$E780)-MAX(0,(('Business Case'!E11*$C780*'Business Case'!E12*$B780)-'Business Case'!E11*$C780*'Business Case'!E13*$D780-'Business Case'!E14*$E780))*'Business Case'!$B$7-'Business Case'!$B$8*(('Business Case'!E11*$C780*'Business Case'!E12*$B780)-('Business Case'!D11*$C780*'Business Case'!D12*$B780))-'Business Case'!E15*$F780</f>
        <v>582511987.243227</v>
      </c>
      <c r="L780" s="39" t="n">
        <f aca="false">(('Business Case'!F11*$C780*'Business Case'!F12*$B780)-'Business Case'!F11*$C780*'Business Case'!F13*$D780-'Business Case'!F14*$E780)-MAX(0,(('Business Case'!F11*$C780*'Business Case'!F12*$B780)-'Business Case'!F11*$C780*'Business Case'!F13*$D780-'Business Case'!F14*$E780))*'Business Case'!$B$7-'Business Case'!$B$8*(('Business Case'!F11*$C780*'Business Case'!F12*$B780)-('Business Case'!E11*$C780*'Business Case'!E12*$B780))-'Business Case'!F15*$F780</f>
        <v>705053202.445508</v>
      </c>
      <c r="M780" s="39" t="n">
        <f aca="false">(('Business Case'!G11*$C780*'Business Case'!G12*$B780)-'Business Case'!G11*$C780*'Business Case'!G13*$D780-'Business Case'!G14*$E780)-MAX(0,(('Business Case'!G11*$C780*'Business Case'!G12*$B780)-'Business Case'!G11*$C780*'Business Case'!G13*$D780-'Business Case'!G14*$E780))*'Business Case'!$B$7-'Business Case'!$B$8*(('Business Case'!G11*$C780*'Business Case'!G12*$B780)-('Business Case'!F11*$C780*'Business Case'!F12*$B780))-'Business Case'!G15*$F780+'Business Case'!$B$8*('Business Case'!G11*$C780*'Business Case'!G12*$B780)</f>
        <v>883380131.410159</v>
      </c>
      <c r="N780" s="39" t="n">
        <f aca="false">IF(COUNT('Business Case'!B11:G11)=0,"",H780+NPV(G780,I780:M780))</f>
        <v>-234135433.496849</v>
      </c>
      <c r="P780" s="40" t="n">
        <f aca="true">RAND()</f>
        <v>0.319331260486273</v>
      </c>
      <c r="Q780" s="40" t="n">
        <f aca="true">RAND()</f>
        <v>0.531918505461405</v>
      </c>
      <c r="R780" s="40" t="n">
        <f aca="true">RAND()</f>
        <v>0.400138817614987</v>
      </c>
      <c r="S780" s="40" t="n">
        <f aca="true">RAND()</f>
        <v>0.0201923145460058</v>
      </c>
      <c r="T780" s="40" t="n">
        <f aca="true">RAND()</f>
        <v>0.0411145774146897</v>
      </c>
      <c r="U780" s="40" t="n">
        <f aca="true">RAND()</f>
        <v>0.191535203996788</v>
      </c>
    </row>
    <row r="781" customFormat="false" ht="15" hidden="false" customHeight="false" outlineLevel="0" collapsed="false">
      <c r="A781" s="36" t="n">
        <v>701</v>
      </c>
      <c r="B781" s="37" t="n">
        <f aca="false">1+IF($G$6=$E$6,$F$6,IF(P781&lt;($F$6-$E$6)/($G$6-$E$6),$E$6+SQRT(P781*($G$6-$E$6)*($F$6-$E$6)),$G$6-SQRT((1-P781)*($G$6-$E$6)*($G$6-$F$6))))</f>
        <v>0.994935031441972</v>
      </c>
      <c r="C781" s="37" t="n">
        <f aca="false">1+IF($G$7=$E$7,$F$7,IF(Q781&lt;($F$7-$E$7)/($G$7-$E$7),$E$7+SQRT(Q781*($G$7-$E$7)*($F$7-$E$7)),$G$7-SQRT((1-Q781)*($G$7-$E$7)*($G$7-$F$7))))</f>
        <v>0.929065840629773</v>
      </c>
      <c r="D781" s="37" t="n">
        <f aca="false">1+IF($G$8=$E$8,$F$8,IF(R781&lt;($F$8-$E$8)/($G$8-$E$8),$E$8+SQRT(R781*($G$8-$E$8)*($F$8-$E$8)),$G$8-SQRT((1-R781)*($G$8-$E$8)*($G$8-$F$8))))</f>
        <v>1.00015849321475</v>
      </c>
      <c r="E781" s="37" t="n">
        <f aca="false">1+IF($G$9=$E$9,$F$9,IF(S781&lt;($F$9-$E$9)/($G$9-$E$9),$E$9+SQRT(S781*($G$9-$E$9)*($F$9-$E$9)),$G$9-SQRT((1-S781)*($G$9-$E$9)*($G$9-$F$9))))</f>
        <v>0.981387983848961</v>
      </c>
      <c r="F781" s="37" t="n">
        <f aca="false">1+IF($G$10=$E$10,$F$10,IF(T781&lt;($F$10-$E$10)/($G$10-$E$10),$E$10+SQRT(T781*($G$10-$E$10)*($F$10-$E$10)),$G$10-SQRT((1-T781)*($G$10-$E$10)*($G$10-$F$10))))</f>
        <v>1.17426601605857</v>
      </c>
      <c r="G781" s="38" t="n">
        <f aca="false">IF($G$11=$E$11,$F$11,IF(U781&lt;($F$11-$E$11)/($G$11-$E$11),$E$11+SQRT(U781*($G$11-$E$11)*($F$11-$E$11)),$G$11-SQRT((1-U781)*($G$11-$E$11)*($G$11-$F$11))))</f>
        <v>0.110293409915098</v>
      </c>
      <c r="H781" s="39" t="n">
        <f aca="false">(('Business Case'!B11*$C781*'Business Case'!B12*$B781)-'Business Case'!B11*$C781*'Business Case'!B13*$D781-'Business Case'!B14*$E781)-MAX(0,(('Business Case'!B11*$C781*'Business Case'!B12*$B781)-'Business Case'!B11*$C781*'Business Case'!B13*$D781-'Business Case'!B14*$E781))*'Business Case'!$B$7-'Business Case'!$B$8*('Business Case'!B11*$C781*'Business Case'!B12*$B781)-'Business Case'!B15*$F781</f>
        <v>-2348532032.11715</v>
      </c>
      <c r="I781" s="39" t="n">
        <f aca="false">(('Business Case'!C11*$C781*'Business Case'!C12*$B781)-'Business Case'!C11*$C781*'Business Case'!C13*$D781-'Business Case'!C14*$E781)-MAX(0,(('Business Case'!C11*$C781*'Business Case'!C12*$B781)-'Business Case'!C11*$C781*'Business Case'!C13*$D781-'Business Case'!C14*$E781))*'Business Case'!$B$7-'Business Case'!$B$8*(('Business Case'!C11*$C781*'Business Case'!C12*$B781)-('Business Case'!B11*$C781*'Business Case'!B12*$B781))-'Business Case'!C15*$F781</f>
        <v>-23464050.9406066</v>
      </c>
      <c r="J781" s="39" t="n">
        <f aca="false">(('Business Case'!D11*$C781*'Business Case'!D12*$B781)-'Business Case'!D11*$C781*'Business Case'!D13*$D781-'Business Case'!D14*$E781)-MAX(0,(('Business Case'!D11*$C781*'Business Case'!D12*$B781)-'Business Case'!D11*$C781*'Business Case'!D13*$D781-'Business Case'!D14*$E781))*'Business Case'!$B$7-'Business Case'!$B$8*(('Business Case'!D11*$C781*'Business Case'!D12*$B781)-('Business Case'!C11*$C781*'Business Case'!C12*$B781))-'Business Case'!D15*$F781</f>
        <v>257970701.274399</v>
      </c>
      <c r="K781" s="39" t="n">
        <f aca="false">(('Business Case'!E11*$C781*'Business Case'!E12*$B781)-'Business Case'!E11*$C781*'Business Case'!E13*$D781-'Business Case'!E14*$E781)-MAX(0,(('Business Case'!E11*$C781*'Business Case'!E12*$B781)-'Business Case'!E11*$C781*'Business Case'!E13*$D781-'Business Case'!E14*$E781))*'Business Case'!$B$7-'Business Case'!$B$8*(('Business Case'!E11*$C781*'Business Case'!E12*$B781)-('Business Case'!D11*$C781*'Business Case'!D12*$B781))-'Business Case'!E15*$F781</f>
        <v>598118754.292333</v>
      </c>
      <c r="L781" s="39" t="n">
        <f aca="false">(('Business Case'!F11*$C781*'Business Case'!F12*$B781)-'Business Case'!F11*$C781*'Business Case'!F13*$D781-'Business Case'!F14*$E781)-MAX(0,(('Business Case'!F11*$C781*'Business Case'!F12*$B781)-'Business Case'!F11*$C781*'Business Case'!F13*$D781-'Business Case'!F14*$E781))*'Business Case'!$B$7-'Business Case'!$B$8*(('Business Case'!F11*$C781*'Business Case'!F12*$B781)-('Business Case'!E11*$C781*'Business Case'!E12*$B781))-'Business Case'!F15*$F781</f>
        <v>723876225.194956</v>
      </c>
      <c r="M781" s="39" t="n">
        <f aca="false">(('Business Case'!G11*$C781*'Business Case'!G12*$B781)-'Business Case'!G11*$C781*'Business Case'!G13*$D781-'Business Case'!G14*$E781)-MAX(0,(('Business Case'!G11*$C781*'Business Case'!G12*$B781)-'Business Case'!G11*$C781*'Business Case'!G13*$D781-'Business Case'!G14*$E781))*'Business Case'!$B$7-'Business Case'!$B$8*(('Business Case'!G11*$C781*'Business Case'!G12*$B781)-('Business Case'!F11*$C781*'Business Case'!F12*$B781))-'Business Case'!G15*$F781+'Business Case'!$B$8*('Business Case'!G11*$C781*'Business Case'!G12*$B781)</f>
        <v>899578602.765207</v>
      </c>
      <c r="N781" s="39" t="n">
        <f aca="false">IF(COUNT('Business Case'!B11:G11)=0,"",H781+NPV(G781,I781:M781))</f>
        <v>-713921474.707767</v>
      </c>
      <c r="P781" s="40" t="n">
        <f aca="true">RAND()</f>
        <v>0.600844012992543</v>
      </c>
      <c r="Q781" s="40" t="n">
        <f aca="true">RAND()</f>
        <v>0.388675254395737</v>
      </c>
      <c r="R781" s="40" t="n">
        <f aca="true">RAND()</f>
        <v>0.335444901523402</v>
      </c>
      <c r="S781" s="40" t="n">
        <f aca="true">RAND()</f>
        <v>0.264960156599948</v>
      </c>
      <c r="T781" s="40" t="n">
        <f aca="true">RAND()</f>
        <v>0.923524849018133</v>
      </c>
      <c r="U781" s="40" t="n">
        <f aca="true">RAND()</f>
        <v>0.741100204817107</v>
      </c>
    </row>
    <row r="782" customFormat="false" ht="15" hidden="false" customHeight="false" outlineLevel="0" collapsed="false">
      <c r="A782" s="36" t="n">
        <v>702</v>
      </c>
      <c r="B782" s="37" t="n">
        <f aca="false">1+IF($G$6=$E$6,$F$6,IF(P782&lt;($F$6-$E$6)/($G$6-$E$6),$E$6+SQRT(P782*($G$6-$E$6)*($F$6-$E$6)),$G$6-SQRT((1-P782)*($G$6-$E$6)*($G$6-$F$6))))</f>
        <v>0.970106412270665</v>
      </c>
      <c r="C782" s="37" t="n">
        <f aca="false">1+IF($G$7=$E$7,$F$7,IF(Q782&lt;($F$7-$E$7)/($G$7-$E$7),$E$7+SQRT(Q782*($G$7-$E$7)*($F$7-$E$7)),$G$7-SQRT((1-Q782)*($G$7-$E$7)*($G$7-$F$7))))</f>
        <v>1.02443821617413</v>
      </c>
      <c r="D782" s="37" t="n">
        <f aca="false">1+IF($G$8=$E$8,$F$8,IF(R782&lt;($F$8-$E$8)/($G$8-$E$8),$E$8+SQRT(R782*($G$8-$E$8)*($F$8-$E$8)),$G$8-SQRT((1-R782)*($G$8-$E$8)*($G$8-$F$8))))</f>
        <v>1.03224588138458</v>
      </c>
      <c r="E782" s="37" t="n">
        <f aca="false">1+IF($G$9=$E$9,$F$9,IF(S782&lt;($F$9-$E$9)/($G$9-$E$9),$E$9+SQRT(S782*($G$9-$E$9)*($F$9-$E$9)),$G$9-SQRT((1-S782)*($G$9-$E$9)*($G$9-$F$9))))</f>
        <v>1.12008217349113</v>
      </c>
      <c r="F782" s="37" t="n">
        <f aca="false">1+IF($G$10=$E$10,$F$10,IF(T782&lt;($F$10-$E$10)/($G$10-$E$10),$E$10+SQRT(T782*($G$10-$E$10)*($F$10-$E$10)),$G$10-SQRT((1-T782)*($G$10-$E$10)*($G$10-$F$10))))</f>
        <v>1.02706800276495</v>
      </c>
      <c r="G782" s="38" t="n">
        <f aca="false">IF($G$11=$E$11,$F$11,IF(U782&lt;($F$11-$E$11)/($G$11-$E$11),$E$11+SQRT(U782*($G$11-$E$11)*($F$11-$E$11)),$G$11-SQRT((1-U782)*($G$11-$E$11)*($G$11-$F$11))))</f>
        <v>0.117007254570378</v>
      </c>
      <c r="H782" s="39" t="n">
        <f aca="false">(('Business Case'!B11*$C782*'Business Case'!B12*$B782)-'Business Case'!B11*$C782*'Business Case'!B13*$D782-'Business Case'!B14*$E782)-MAX(0,(('Business Case'!B11*$C782*'Business Case'!B12*$B782)-'Business Case'!B11*$C782*'Business Case'!B13*$D782-'Business Case'!B14*$E782))*'Business Case'!$B$7-'Business Case'!$B$8*('Business Case'!B11*$C782*'Business Case'!B12*$B782)-'Business Case'!B15*$F782</f>
        <v>-2054136005.5299</v>
      </c>
      <c r="I782" s="39" t="n">
        <f aca="false">(('Business Case'!C11*$C782*'Business Case'!C12*$B782)-'Business Case'!C11*$C782*'Business Case'!C13*$D782-'Business Case'!C14*$E782)-MAX(0,(('Business Case'!C11*$C782*'Business Case'!C12*$B782)-'Business Case'!C11*$C782*'Business Case'!C13*$D782-'Business Case'!C14*$E782))*'Business Case'!$B$7-'Business Case'!$B$8*(('Business Case'!C11*$C782*'Business Case'!C12*$B782)-('Business Case'!B11*$C782*'Business Case'!B12*$B782))-'Business Case'!C15*$F782</f>
        <v>-40837651.684858</v>
      </c>
      <c r="J782" s="39" t="n">
        <f aca="false">(('Business Case'!D11*$C782*'Business Case'!D12*$B782)-'Business Case'!D11*$C782*'Business Case'!D13*$D782-'Business Case'!D14*$E782)-MAX(0,(('Business Case'!D11*$C782*'Business Case'!D12*$B782)-'Business Case'!D11*$C782*'Business Case'!D13*$D782-'Business Case'!D14*$E782))*'Business Case'!$B$7-'Business Case'!$B$8*(('Business Case'!D11*$C782*'Business Case'!D12*$B782)-('Business Case'!C11*$C782*'Business Case'!C12*$B782))-'Business Case'!D15*$F782</f>
        <v>231826504.013273</v>
      </c>
      <c r="K782" s="39" t="n">
        <f aca="false">(('Business Case'!E11*$C782*'Business Case'!E12*$B782)-'Business Case'!E11*$C782*'Business Case'!E13*$D782-'Business Case'!E14*$E782)-MAX(0,(('Business Case'!E11*$C782*'Business Case'!E12*$B782)-'Business Case'!E11*$C782*'Business Case'!E13*$D782-'Business Case'!E14*$E782))*'Business Case'!$B$7-'Business Case'!$B$8*(('Business Case'!E11*$C782*'Business Case'!E12*$B782)-('Business Case'!D11*$C782*'Business Case'!D12*$B782))-'Business Case'!E15*$F782</f>
        <v>555844059.849652</v>
      </c>
      <c r="L782" s="39" t="n">
        <f aca="false">(('Business Case'!F11*$C782*'Business Case'!F12*$B782)-'Business Case'!F11*$C782*'Business Case'!F13*$D782-'Business Case'!F14*$E782)-MAX(0,(('Business Case'!F11*$C782*'Business Case'!F12*$B782)-'Business Case'!F11*$C782*'Business Case'!F13*$D782-'Business Case'!F14*$E782))*'Business Case'!$B$7-'Business Case'!$B$8*(('Business Case'!F11*$C782*'Business Case'!F12*$B782)-('Business Case'!E11*$C782*'Business Case'!E12*$B782))-'Business Case'!F15*$F782</f>
        <v>681078326.439732</v>
      </c>
      <c r="M782" s="39" t="n">
        <f aca="false">(('Business Case'!G11*$C782*'Business Case'!G12*$B782)-'Business Case'!G11*$C782*'Business Case'!G13*$D782-'Business Case'!G14*$E782)-MAX(0,(('Business Case'!G11*$C782*'Business Case'!G12*$B782)-'Business Case'!G11*$C782*'Business Case'!G13*$D782-'Business Case'!G14*$E782))*'Business Case'!$B$7-'Business Case'!$B$8*(('Business Case'!G11*$C782*'Business Case'!G12*$B782)-('Business Case'!F11*$C782*'Business Case'!F12*$B782))-'Business Case'!G15*$F782+'Business Case'!$B$8*('Business Case'!G11*$C782*'Business Case'!G12*$B782)</f>
        <v>869982507.238604</v>
      </c>
      <c r="N782" s="39" t="n">
        <f aca="false">IF(COUNT('Business Case'!B11:G11)=0,"",H782+NPV(G782,I782:M782))</f>
        <v>-568271132.490456</v>
      </c>
      <c r="P782" s="40" t="n">
        <f aca="true">RAND()</f>
        <v>0.327660602764298</v>
      </c>
      <c r="Q782" s="40" t="n">
        <f aca="true">RAND()</f>
        <v>0.766433162110596</v>
      </c>
      <c r="R782" s="40" t="n">
        <f aca="true">RAND()</f>
        <v>0.693958627376525</v>
      </c>
      <c r="S782" s="40" t="n">
        <f aca="true">RAND()</f>
        <v>0.976131297519598</v>
      </c>
      <c r="T782" s="40" t="n">
        <f aca="true">RAND()</f>
        <v>0.337350994783891</v>
      </c>
      <c r="U782" s="40" t="n">
        <f aca="true">RAND()</f>
        <v>0.887459044134027</v>
      </c>
    </row>
    <row r="783" customFormat="false" ht="15" hidden="false" customHeight="false" outlineLevel="0" collapsed="false">
      <c r="A783" s="36" t="n">
        <v>703</v>
      </c>
      <c r="B783" s="37" t="n">
        <f aca="false">1+IF($G$6=$E$6,$F$6,IF(P783&lt;($F$6-$E$6)/($G$6-$E$6),$E$6+SQRT(P783*($G$6-$E$6)*($F$6-$E$6)),$G$6-SQRT((1-P783)*($G$6-$E$6)*($G$6-$F$6))))</f>
        <v>0.983149848091995</v>
      </c>
      <c r="C783" s="37" t="n">
        <f aca="false">1+IF($G$7=$E$7,$F$7,IF(Q783&lt;($F$7-$E$7)/($G$7-$E$7),$E$7+SQRT(Q783*($G$7-$E$7)*($F$7-$E$7)),$G$7-SQRT((1-Q783)*($G$7-$E$7)*($G$7-$F$7))))</f>
        <v>1.05459273998671</v>
      </c>
      <c r="D783" s="37" t="n">
        <f aca="false">1+IF($G$8=$E$8,$F$8,IF(R783&lt;($F$8-$E$8)/($G$8-$E$8),$E$8+SQRT(R783*($G$8-$E$8)*($F$8-$E$8)),$G$8-SQRT((1-R783)*($G$8-$E$8)*($G$8-$F$8))))</f>
        <v>0.968430728165451</v>
      </c>
      <c r="E783" s="37" t="n">
        <f aca="false">1+IF($G$9=$E$9,$F$9,IF(S783&lt;($F$9-$E$9)/($G$9-$E$9),$E$9+SQRT(S783*($G$9-$E$9)*($F$9-$E$9)),$G$9-SQRT((1-S783)*($G$9-$E$9)*($G$9-$F$9))))</f>
        <v>0.993128370996302</v>
      </c>
      <c r="F783" s="37" t="n">
        <f aca="false">1+IF($G$10=$E$10,$F$10,IF(T783&lt;($F$10-$E$10)/($G$10-$E$10),$E$10+SQRT(T783*($G$10-$E$10)*($F$10-$E$10)),$G$10-SQRT((1-T783)*($G$10-$E$10)*($G$10-$F$10))))</f>
        <v>1.03670539952019</v>
      </c>
      <c r="G783" s="38" t="n">
        <f aca="false">IF($G$11=$E$11,$F$11,IF(U783&lt;($F$11-$E$11)/($G$11-$E$11),$E$11+SQRT(U783*($G$11-$E$11)*($F$11-$E$11)),$G$11-SQRT((1-U783)*($G$11-$E$11)*($G$11-$F$11))))</f>
        <v>0.0846438487234342</v>
      </c>
      <c r="H783" s="39" t="n">
        <f aca="false">(('Business Case'!B11*$C783*'Business Case'!B12*$B783)-'Business Case'!B11*$C783*'Business Case'!B13*$D783-'Business Case'!B14*$E783)-MAX(0,(('Business Case'!B11*$C783*'Business Case'!B12*$B783)-'Business Case'!B11*$C783*'Business Case'!B13*$D783-'Business Case'!B14*$E783))*'Business Case'!$B$7-'Business Case'!$B$8*('Business Case'!B11*$C783*'Business Case'!B12*$B783)-'Business Case'!B15*$F783</f>
        <v>-2073410799.04039</v>
      </c>
      <c r="I783" s="39" t="n">
        <f aca="false">(('Business Case'!C11*$C783*'Business Case'!C12*$B783)-'Business Case'!C11*$C783*'Business Case'!C13*$D783-'Business Case'!C14*$E783)-MAX(0,(('Business Case'!C11*$C783*'Business Case'!C12*$B783)-'Business Case'!C11*$C783*'Business Case'!C13*$D783-'Business Case'!C14*$E783))*'Business Case'!$B$7-'Business Case'!$B$8*(('Business Case'!C11*$C783*'Business Case'!C12*$B783)-('Business Case'!B11*$C783*'Business Case'!B12*$B783))-'Business Case'!C15*$F783</f>
        <v>27766249.6788097</v>
      </c>
      <c r="J783" s="39" t="n">
        <f aca="false">(('Business Case'!D11*$C783*'Business Case'!D12*$B783)-'Business Case'!D11*$C783*'Business Case'!D13*$D783-'Business Case'!D14*$E783)-MAX(0,(('Business Case'!D11*$C783*'Business Case'!D12*$B783)-'Business Case'!D11*$C783*'Business Case'!D13*$D783-'Business Case'!D14*$E783))*'Business Case'!$B$7-'Business Case'!$B$8*(('Business Case'!D11*$C783*'Business Case'!D12*$B783)-('Business Case'!C11*$C783*'Business Case'!C12*$B783))-'Business Case'!D15*$F783</f>
        <v>354174782.024651</v>
      </c>
      <c r="K783" s="39" t="n">
        <f aca="false">(('Business Case'!E11*$C783*'Business Case'!E12*$B783)-'Business Case'!E11*$C783*'Business Case'!E13*$D783-'Business Case'!E14*$E783)-MAX(0,(('Business Case'!E11*$C783*'Business Case'!E12*$B783)-'Business Case'!E11*$C783*'Business Case'!E13*$D783-'Business Case'!E14*$E783))*'Business Case'!$B$7-'Business Case'!$B$8*(('Business Case'!E11*$C783*'Business Case'!E12*$B783)-('Business Case'!D11*$C783*'Business Case'!D12*$B783))-'Business Case'!E15*$F783</f>
        <v>732418584.346502</v>
      </c>
      <c r="L783" s="39" t="n">
        <f aca="false">(('Business Case'!F11*$C783*'Business Case'!F12*$B783)-'Business Case'!F11*$C783*'Business Case'!F13*$D783-'Business Case'!F14*$E783)-MAX(0,(('Business Case'!F11*$C783*'Business Case'!F12*$B783)-'Business Case'!F11*$C783*'Business Case'!F13*$D783-'Business Case'!F14*$E783))*'Business Case'!$B$7-'Business Case'!$B$8*(('Business Case'!F11*$C783*'Business Case'!F12*$B783)-('Business Case'!E11*$C783*'Business Case'!E12*$B783))-'Business Case'!F15*$F783</f>
        <v>877054020.701341</v>
      </c>
      <c r="M783" s="39" t="n">
        <f aca="false">(('Business Case'!G11*$C783*'Business Case'!G12*$B783)-'Business Case'!G11*$C783*'Business Case'!G13*$D783-'Business Case'!G14*$E783)-MAX(0,(('Business Case'!G11*$C783*'Business Case'!G12*$B783)-'Business Case'!G11*$C783*'Business Case'!G13*$D783-'Business Case'!G14*$E783))*'Business Case'!$B$7-'Business Case'!$B$8*(('Business Case'!G11*$C783*'Business Case'!G12*$B783)-('Business Case'!F11*$C783*'Business Case'!F12*$B783))-'Business Case'!G15*$F783+'Business Case'!$B$8*('Business Case'!G11*$C783*'Business Case'!G12*$B783)</f>
        <v>1074133278.01891</v>
      </c>
      <c r="N783" s="39" t="n">
        <f aca="false">IF(COUNT('Business Case'!B11:G11)=0,"",H783+NPV(G783,I783:M783))</f>
        <v>176435604.607288</v>
      </c>
      <c r="P783" s="40" t="n">
        <f aca="true">RAND()</f>
        <v>0.460926482514788</v>
      </c>
      <c r="Q783" s="40" t="n">
        <f aca="true">RAND()</f>
        <v>0.865147477581582</v>
      </c>
      <c r="R783" s="40" t="n">
        <f aca="true">RAND()</f>
        <v>0.0452922320945011</v>
      </c>
      <c r="S783" s="40" t="n">
        <f aca="true">RAND()</f>
        <v>0.346915739376991</v>
      </c>
      <c r="T783" s="40" t="n">
        <f aca="true">RAND()</f>
        <v>0.393405512082132</v>
      </c>
      <c r="U783" s="40" t="n">
        <f aca="true">RAND()</f>
        <v>0.0215653309661411</v>
      </c>
    </row>
    <row r="784" customFormat="false" ht="15" hidden="false" customHeight="false" outlineLevel="0" collapsed="false">
      <c r="A784" s="36" t="n">
        <v>704</v>
      </c>
      <c r="B784" s="37" t="n">
        <f aca="false">1+IF($G$6=$E$6,$F$6,IF(P784&lt;($F$6-$E$6)/($G$6-$E$6),$E$6+SQRT(P784*($G$6-$E$6)*($F$6-$E$6)),$G$6-SQRT((1-P784)*($G$6-$E$6)*($G$6-$F$6))))</f>
        <v>1.00175306898093</v>
      </c>
      <c r="C784" s="37" t="n">
        <f aca="false">1+IF($G$7=$E$7,$F$7,IF(Q784&lt;($F$7-$E$7)/($G$7-$E$7),$E$7+SQRT(Q784*($G$7-$E$7)*($F$7-$E$7)),$G$7-SQRT((1-Q784)*($G$7-$E$7)*($G$7-$F$7))))</f>
        <v>0.947611282337775</v>
      </c>
      <c r="D784" s="37" t="n">
        <f aca="false">1+IF($G$8=$E$8,$F$8,IF(R784&lt;($F$8-$E$8)/($G$8-$E$8),$E$8+SQRT(R784*($G$8-$E$8)*($F$8-$E$8)),$G$8-SQRT((1-R784)*($G$8-$E$8)*($G$8-$F$8))))</f>
        <v>1.00167863182262</v>
      </c>
      <c r="E784" s="37" t="n">
        <f aca="false">1+IF($G$9=$E$9,$F$9,IF(S784&lt;($F$9-$E$9)/($G$9-$E$9),$E$9+SQRT(S784*($G$9-$E$9)*($F$9-$E$9)),$G$9-SQRT((1-S784)*($G$9-$E$9)*($G$9-$F$9))))</f>
        <v>0.948849127348058</v>
      </c>
      <c r="F784" s="37" t="n">
        <f aca="false">1+IF($G$10=$E$10,$F$10,IF(T784&lt;($F$10-$E$10)/($G$10-$E$10),$E$10+SQRT(T784*($G$10-$E$10)*($F$10-$E$10)),$G$10-SQRT((1-T784)*($G$10-$E$10)*($G$10-$F$10))))</f>
        <v>1.10259979995018</v>
      </c>
      <c r="G784" s="38" t="n">
        <f aca="false">IF($G$11=$E$11,$F$11,IF(U784&lt;($F$11-$E$11)/($G$11-$E$11),$E$11+SQRT(U784*($G$11-$E$11)*($F$11-$E$11)),$G$11-SQRT((1-U784)*($G$11-$E$11)*($G$11-$F$11))))</f>
        <v>0.0924041792978393</v>
      </c>
      <c r="H784" s="39" t="n">
        <f aca="false">(('Business Case'!B11*$C784*'Business Case'!B12*$B784)-'Business Case'!B11*$C784*'Business Case'!B13*$D784-'Business Case'!B14*$E784)-MAX(0,(('Business Case'!B11*$C784*'Business Case'!B12*$B784)-'Business Case'!B11*$C784*'Business Case'!B13*$D784-'Business Case'!B14*$E784))*'Business Case'!$B$7-'Business Case'!$B$8*('Business Case'!B11*$C784*'Business Case'!B12*$B784)-'Business Case'!B15*$F784</f>
        <v>-2205199599.90035</v>
      </c>
      <c r="I784" s="39" t="n">
        <f aca="false">(('Business Case'!C11*$C784*'Business Case'!C12*$B784)-'Business Case'!C11*$C784*'Business Case'!C13*$D784-'Business Case'!C14*$E784)-MAX(0,(('Business Case'!C11*$C784*'Business Case'!C12*$B784)-'Business Case'!C11*$C784*'Business Case'!C13*$D784-'Business Case'!C14*$E784))*'Business Case'!$B$7-'Business Case'!$B$8*(('Business Case'!C11*$C784*'Business Case'!C12*$B784)-('Business Case'!B11*$C784*'Business Case'!B12*$B784))-'Business Case'!C15*$F784</f>
        <v>-2789553.20616837</v>
      </c>
      <c r="J784" s="39" t="n">
        <f aca="false">(('Business Case'!D11*$C784*'Business Case'!D12*$B784)-'Business Case'!D11*$C784*'Business Case'!D13*$D784-'Business Case'!D14*$E784)-MAX(0,(('Business Case'!D11*$C784*'Business Case'!D12*$B784)-'Business Case'!D11*$C784*'Business Case'!D13*$D784-'Business Case'!D14*$E784))*'Business Case'!$B$7-'Business Case'!$B$8*(('Business Case'!D11*$C784*'Business Case'!D12*$B784)-('Business Case'!C11*$C784*'Business Case'!C12*$B784))-'Business Case'!D15*$F784</f>
        <v>288817506.424636</v>
      </c>
      <c r="K784" s="39" t="n">
        <f aca="false">(('Business Case'!E11*$C784*'Business Case'!E12*$B784)-'Business Case'!E11*$C784*'Business Case'!E13*$D784-'Business Case'!E14*$E784)-MAX(0,(('Business Case'!E11*$C784*'Business Case'!E12*$B784)-'Business Case'!E11*$C784*'Business Case'!E13*$D784-'Business Case'!E14*$E784))*'Business Case'!$B$7-'Business Case'!$B$8*(('Business Case'!E11*$C784*'Business Case'!E12*$B784)-('Business Case'!D11*$C784*'Business Case'!D12*$B784))-'Business Case'!E15*$F784</f>
        <v>635554556.05295</v>
      </c>
      <c r="L784" s="39" t="n">
        <f aca="false">(('Business Case'!F11*$C784*'Business Case'!F12*$B784)-'Business Case'!F11*$C784*'Business Case'!F13*$D784-'Business Case'!F14*$E784)-MAX(0,(('Business Case'!F11*$C784*'Business Case'!F12*$B784)-'Business Case'!F11*$C784*'Business Case'!F13*$D784-'Business Case'!F14*$E784))*'Business Case'!$B$7-'Business Case'!$B$8*(('Business Case'!F11*$C784*'Business Case'!F12*$B784)-('Business Case'!E11*$C784*'Business Case'!E12*$B784))-'Business Case'!F15*$F784</f>
        <v>765563767.218593</v>
      </c>
      <c r="M784" s="39" t="n">
        <f aca="false">(('Business Case'!G11*$C784*'Business Case'!G12*$B784)-'Business Case'!G11*$C784*'Business Case'!G13*$D784-'Business Case'!G14*$E784)-MAX(0,(('Business Case'!G11*$C784*'Business Case'!G12*$B784)-'Business Case'!G11*$C784*'Business Case'!G13*$D784-'Business Case'!G14*$E784))*'Business Case'!$B$7-'Business Case'!$B$8*(('Business Case'!G11*$C784*'Business Case'!G12*$B784)-('Business Case'!F11*$C784*'Business Case'!F12*$B784))-'Business Case'!G15*$F784+'Business Case'!$B$8*('Business Case'!G11*$C784*'Business Case'!G12*$B784)</f>
        <v>946001485.973152</v>
      </c>
      <c r="N784" s="39" t="n">
        <f aca="false">IF(COUNT('Business Case'!B11:G11)=0,"",H784+NPV(G784,I784:M784))</f>
        <v>-332512407.754418</v>
      </c>
      <c r="P784" s="40" t="n">
        <f aca="true">RAND()</f>
        <v>0.689631152965537</v>
      </c>
      <c r="Q784" s="40" t="n">
        <f aca="true">RAND()</f>
        <v>0.454158126970053</v>
      </c>
      <c r="R784" s="40" t="n">
        <f aca="true">RAND()</f>
        <v>0.355527237315223</v>
      </c>
      <c r="S784" s="40" t="n">
        <f aca="true">RAND()</f>
        <v>0.0954494897066723</v>
      </c>
      <c r="T784" s="40" t="n">
        <f aca="true">RAND()</f>
        <v>0.710309080336958</v>
      </c>
      <c r="U784" s="40" t="n">
        <f aca="true">RAND()</f>
        <v>0.153863664052945</v>
      </c>
    </row>
    <row r="785" customFormat="false" ht="15" hidden="false" customHeight="false" outlineLevel="0" collapsed="false">
      <c r="A785" s="36" t="n">
        <v>705</v>
      </c>
      <c r="B785" s="37" t="n">
        <f aca="false">1+IF($G$6=$E$6,$F$6,IF(P785&lt;($F$6-$E$6)/($G$6-$E$6),$E$6+SQRT(P785*($G$6-$E$6)*($F$6-$E$6)),$G$6-SQRT((1-P785)*($G$6-$E$6)*($G$6-$F$6))))</f>
        <v>1.01000342395105</v>
      </c>
      <c r="C785" s="37" t="n">
        <f aca="false">1+IF($G$7=$E$7,$F$7,IF(Q785&lt;($F$7-$E$7)/($G$7-$E$7),$E$7+SQRT(Q785*($G$7-$E$7)*($F$7-$E$7)),$G$7-SQRT((1-Q785)*($G$7-$E$7)*($G$7-$F$7))))</f>
        <v>0.912448923918503</v>
      </c>
      <c r="D785" s="37" t="n">
        <f aca="false">1+IF($G$8=$E$8,$F$8,IF(R785&lt;($F$8-$E$8)/($G$8-$E$8),$E$8+SQRT(R785*($G$8-$E$8)*($F$8-$E$8)),$G$8-SQRT((1-R785)*($G$8-$E$8)*($G$8-$F$8))))</f>
        <v>1.00366728937544</v>
      </c>
      <c r="E785" s="37" t="n">
        <f aca="false">1+IF($G$9=$E$9,$F$9,IF(S785&lt;($F$9-$E$9)/($G$9-$E$9),$E$9+SQRT(S785*($G$9-$E$9)*($F$9-$E$9)),$G$9-SQRT((1-S785)*($G$9-$E$9)*($G$9-$F$9))))</f>
        <v>1.00752488226774</v>
      </c>
      <c r="F785" s="37" t="n">
        <f aca="false">1+IF($G$10=$E$10,$F$10,IF(T785&lt;($F$10-$E$10)/($G$10-$E$10),$E$10+SQRT(T785*($G$10-$E$10)*($F$10-$E$10)),$G$10-SQRT((1-T785)*($G$10-$E$10)*($G$10-$F$10))))</f>
        <v>1.09227516589521</v>
      </c>
      <c r="G785" s="38" t="n">
        <f aca="false">IF($G$11=$E$11,$F$11,IF(U785&lt;($F$11-$E$11)/($G$11-$E$11),$E$11+SQRT(U785*($G$11-$E$11)*($F$11-$E$11)),$G$11-SQRT((1-U785)*($G$11-$E$11)*($G$11-$F$11))))</f>
        <v>0.100878528925897</v>
      </c>
      <c r="H785" s="39" t="n">
        <f aca="false">(('Business Case'!B11*$C785*'Business Case'!B12*$B785)-'Business Case'!B11*$C785*'Business Case'!B13*$D785-'Business Case'!B14*$E785)-MAX(0,(('Business Case'!B11*$C785*'Business Case'!B12*$B785)-'Business Case'!B11*$C785*'Business Case'!B13*$D785-'Business Case'!B14*$E785))*'Business Case'!$B$7-'Business Case'!$B$8*('Business Case'!B11*$C785*'Business Case'!B12*$B785)-'Business Case'!B15*$F785</f>
        <v>-2184550331.79042</v>
      </c>
      <c r="I785" s="39" t="n">
        <f aca="false">(('Business Case'!C11*$C785*'Business Case'!C12*$B785)-'Business Case'!C11*$C785*'Business Case'!C13*$D785-'Business Case'!C14*$E785)-MAX(0,(('Business Case'!C11*$C785*'Business Case'!C12*$B785)-'Business Case'!C11*$C785*'Business Case'!C13*$D785-'Business Case'!C14*$E785))*'Business Case'!$B$7-'Business Case'!$B$8*(('Business Case'!C11*$C785*'Business Case'!C12*$B785)-('Business Case'!B11*$C785*'Business Case'!B12*$B785))-'Business Case'!C15*$F785</f>
        <v>-14248392.081292</v>
      </c>
      <c r="J785" s="39" t="n">
        <f aca="false">(('Business Case'!D11*$C785*'Business Case'!D12*$B785)-'Business Case'!D11*$C785*'Business Case'!D13*$D785-'Business Case'!D14*$E785)-MAX(0,(('Business Case'!D11*$C785*'Business Case'!D12*$B785)-'Business Case'!D11*$C785*'Business Case'!D13*$D785-'Business Case'!D14*$E785))*'Business Case'!$B$7-'Business Case'!$B$8*(('Business Case'!D11*$C785*'Business Case'!D12*$B785)-('Business Case'!C11*$C785*'Business Case'!C12*$B785))-'Business Case'!D15*$F785</f>
        <v>271775298.38102</v>
      </c>
      <c r="K785" s="39" t="n">
        <f aca="false">(('Business Case'!E11*$C785*'Business Case'!E12*$B785)-'Business Case'!E11*$C785*'Business Case'!E13*$D785-'Business Case'!E14*$E785)-MAX(0,(('Business Case'!E11*$C785*'Business Case'!E12*$B785)-'Business Case'!E11*$C785*'Business Case'!E13*$D785-'Business Case'!E14*$E785))*'Business Case'!$B$7-'Business Case'!$B$8*(('Business Case'!E11*$C785*'Business Case'!E12*$B785)-('Business Case'!D11*$C785*'Business Case'!D12*$B785))-'Business Case'!E15*$F785</f>
        <v>612412747.138091</v>
      </c>
      <c r="L785" s="39" t="n">
        <f aca="false">(('Business Case'!F11*$C785*'Business Case'!F12*$B785)-'Business Case'!F11*$C785*'Business Case'!F13*$D785-'Business Case'!F14*$E785)-MAX(0,(('Business Case'!F11*$C785*'Business Case'!F12*$B785)-'Business Case'!F11*$C785*'Business Case'!F13*$D785-'Business Case'!F14*$E785))*'Business Case'!$B$7-'Business Case'!$B$8*(('Business Case'!F11*$C785*'Business Case'!F12*$B785)-('Business Case'!E11*$C785*'Business Case'!E12*$B785))-'Business Case'!F15*$F785</f>
        <v>739603662.422601</v>
      </c>
      <c r="M785" s="39" t="n">
        <f aca="false">(('Business Case'!G11*$C785*'Business Case'!G12*$B785)-'Business Case'!G11*$C785*'Business Case'!G13*$D785-'Business Case'!G14*$E785)-MAX(0,(('Business Case'!G11*$C785*'Business Case'!G12*$B785)-'Business Case'!G11*$C785*'Business Case'!G13*$D785-'Business Case'!G14*$E785))*'Business Case'!$B$7-'Business Case'!$B$8*(('Business Case'!G11*$C785*'Business Case'!G12*$B785)-('Business Case'!F11*$C785*'Business Case'!F12*$B785))-'Business Case'!G15*$F785+'Business Case'!$B$8*('Business Case'!G11*$C785*'Business Case'!G12*$B785)</f>
        <v>914776930.639835</v>
      </c>
      <c r="N785" s="39" t="n">
        <f aca="false">IF(COUNT('Business Case'!B11:G11)=0,"",H785+NPV(G785,I785:M785))</f>
        <v>-444939276.36551</v>
      </c>
      <c r="P785" s="40" t="n">
        <f aca="true">RAND()</f>
        <v>0.786703187248077</v>
      </c>
      <c r="Q785" s="40" t="n">
        <f aca="true">RAND()</f>
        <v>0.334329964993553</v>
      </c>
      <c r="R785" s="40" t="n">
        <f aca="true">RAND()</f>
        <v>0.381333924248364</v>
      </c>
      <c r="S785" s="40" t="n">
        <f aca="true">RAND()</f>
        <v>0.458689088724795</v>
      </c>
      <c r="T785" s="40" t="n">
        <f aca="true">RAND()</f>
        <v>0.66830502275489</v>
      </c>
      <c r="U785" s="40" t="n">
        <f aca="true">RAND()</f>
        <v>0.434626614986769</v>
      </c>
    </row>
    <row r="786" customFormat="false" ht="15" hidden="false" customHeight="false" outlineLevel="0" collapsed="false">
      <c r="A786" s="36" t="n">
        <v>706</v>
      </c>
      <c r="B786" s="37" t="n">
        <f aca="false">1+IF($G$6=$E$6,$F$6,IF(P786&lt;($F$6-$E$6)/($G$6-$E$6),$E$6+SQRT(P786*($G$6-$E$6)*($F$6-$E$6)),$G$6-SQRT((1-P786)*($G$6-$E$6)*($G$6-$F$6))))</f>
        <v>0.948525817662299</v>
      </c>
      <c r="C786" s="37" t="n">
        <f aca="false">1+IF($G$7=$E$7,$F$7,IF(Q786&lt;($F$7-$E$7)/($G$7-$E$7),$E$7+SQRT(Q786*($G$7-$E$7)*($F$7-$E$7)),$G$7-SQRT((1-Q786)*($G$7-$E$7)*($G$7-$F$7))))</f>
        <v>0.934780848435014</v>
      </c>
      <c r="D786" s="37" t="n">
        <f aca="false">1+IF($G$8=$E$8,$F$8,IF(R786&lt;($F$8-$E$8)/($G$8-$E$8),$E$8+SQRT(R786*($G$8-$E$8)*($F$8-$E$8)),$G$8-SQRT((1-R786)*($G$8-$E$8)*($G$8-$F$8))))</f>
        <v>0.980762803305921</v>
      </c>
      <c r="E786" s="37" t="n">
        <f aca="false">1+IF($G$9=$E$9,$F$9,IF(S786&lt;($F$9-$E$9)/($G$9-$E$9),$E$9+SQRT(S786*($G$9-$E$9)*($F$9-$E$9)),$G$9-SQRT((1-S786)*($G$9-$E$9)*($G$9-$F$9))))</f>
        <v>0.940217849513873</v>
      </c>
      <c r="F786" s="37" t="n">
        <f aca="false">1+IF($G$10=$E$10,$F$10,IF(T786&lt;($F$10-$E$10)/($G$10-$E$10),$E$10+SQRT(T786*($G$10-$E$10)*($F$10-$E$10)),$G$10-SQRT((1-T786)*($G$10-$E$10)*($G$10-$F$10))))</f>
        <v>1.13991157266299</v>
      </c>
      <c r="G786" s="38" t="n">
        <f aca="false">IF($G$11=$E$11,$F$11,IF(U786&lt;($F$11-$E$11)/($G$11-$E$11),$E$11+SQRT(U786*($G$11-$E$11)*($F$11-$E$11)),$G$11-SQRT((1-U786)*($G$11-$E$11)*($G$11-$F$11))))</f>
        <v>0.110370000956597</v>
      </c>
      <c r="H786" s="39" t="n">
        <f aca="false">(('Business Case'!B11*$C786*'Business Case'!B12*$B786)-'Business Case'!B11*$C786*'Business Case'!B13*$D786-'Business Case'!B14*$E786)-MAX(0,(('Business Case'!B11*$C786*'Business Case'!B12*$B786)-'Business Case'!B11*$C786*'Business Case'!B13*$D786-'Business Case'!B14*$E786))*'Business Case'!$B$7-'Business Case'!$B$8*('Business Case'!B11*$C786*'Business Case'!B12*$B786)-'Business Case'!B15*$F786</f>
        <v>-2279823145.32598</v>
      </c>
      <c r="I786" s="39" t="n">
        <f aca="false">(('Business Case'!C11*$C786*'Business Case'!C12*$B786)-'Business Case'!C11*$C786*'Business Case'!C13*$D786-'Business Case'!C14*$E786)-MAX(0,(('Business Case'!C11*$C786*'Business Case'!C12*$B786)-'Business Case'!C11*$C786*'Business Case'!C13*$D786-'Business Case'!C14*$E786))*'Business Case'!$B$7-'Business Case'!$B$8*(('Business Case'!C11*$C786*'Business Case'!C12*$B786)-('Business Case'!B11*$C786*'Business Case'!B12*$B786))-'Business Case'!C15*$F786</f>
        <v>-36740697.2147794</v>
      </c>
      <c r="J786" s="39" t="n">
        <f aca="false">(('Business Case'!D11*$C786*'Business Case'!D12*$B786)-'Business Case'!D11*$C786*'Business Case'!D13*$D786-'Business Case'!D14*$E786)-MAX(0,(('Business Case'!D11*$C786*'Business Case'!D12*$B786)-'Business Case'!D11*$C786*'Business Case'!D13*$D786-'Business Case'!D14*$E786))*'Business Case'!$B$7-'Business Case'!$B$8*(('Business Case'!D11*$C786*'Business Case'!D12*$B786)-('Business Case'!C11*$C786*'Business Case'!C12*$B786))-'Business Case'!D15*$F786</f>
        <v>220173390.801675</v>
      </c>
      <c r="K786" s="39" t="n">
        <f aca="false">(('Business Case'!E11*$C786*'Business Case'!E12*$B786)-'Business Case'!E11*$C786*'Business Case'!E13*$D786-'Business Case'!E14*$E786)-MAX(0,(('Business Case'!E11*$C786*'Business Case'!E12*$B786)-'Business Case'!E11*$C786*'Business Case'!E13*$D786-'Business Case'!E14*$E786))*'Business Case'!$B$7-'Business Case'!$B$8*(('Business Case'!E11*$C786*'Business Case'!E12*$B786)-('Business Case'!D11*$C786*'Business Case'!D12*$B786))-'Business Case'!E15*$F786</f>
        <v>534083057.451279</v>
      </c>
      <c r="L786" s="39" t="n">
        <f aca="false">(('Business Case'!F11*$C786*'Business Case'!F12*$B786)-'Business Case'!F11*$C786*'Business Case'!F13*$D786-'Business Case'!F14*$E786)-MAX(0,(('Business Case'!F11*$C786*'Business Case'!F12*$B786)-'Business Case'!F11*$C786*'Business Case'!F13*$D786-'Business Case'!F14*$E786))*'Business Case'!$B$7-'Business Case'!$B$8*(('Business Case'!F11*$C786*'Business Case'!F12*$B786)-('Business Case'!E11*$C786*'Business Case'!E12*$B786))-'Business Case'!F15*$F786</f>
        <v>650364186.632805</v>
      </c>
      <c r="M786" s="39" t="n">
        <f aca="false">(('Business Case'!G11*$C786*'Business Case'!G12*$B786)-'Business Case'!G11*$C786*'Business Case'!G13*$D786-'Business Case'!G14*$E786)-MAX(0,(('Business Case'!G11*$C786*'Business Case'!G12*$B786)-'Business Case'!G11*$C786*'Business Case'!G13*$D786-'Business Case'!G14*$E786))*'Business Case'!$B$7-'Business Case'!$B$8*(('Business Case'!G11*$C786*'Business Case'!G12*$B786)-('Business Case'!F11*$C786*'Business Case'!F12*$B786))-'Business Case'!G15*$F786+'Business Case'!$B$8*('Business Case'!G11*$C786*'Business Case'!G12*$B786)</f>
        <v>818901235.7677</v>
      </c>
      <c r="N786" s="39" t="n">
        <f aca="false">IF(COUNT('Business Case'!B11:G11)=0,"",H786+NPV(G786,I786:M786))</f>
        <v>-831193423.375541</v>
      </c>
      <c r="P786" s="40" t="n">
        <f aca="true">RAND()</f>
        <v>0.156983665319647</v>
      </c>
      <c r="Q786" s="40" t="n">
        <f aca="true">RAND()</f>
        <v>0.408311457717519</v>
      </c>
      <c r="R786" s="40" t="n">
        <f aca="true">RAND()</f>
        <v>0.126180008965174</v>
      </c>
      <c r="S786" s="40" t="n">
        <f aca="true">RAND()</f>
        <v>0.06469901678082</v>
      </c>
      <c r="T786" s="40" t="n">
        <f aca="true">RAND()</f>
        <v>0.838407175552851</v>
      </c>
      <c r="U786" s="40" t="n">
        <f aca="true">RAND()</f>
        <v>0.743108758370652</v>
      </c>
    </row>
    <row r="787" customFormat="false" ht="15" hidden="false" customHeight="false" outlineLevel="0" collapsed="false">
      <c r="A787" s="36" t="n">
        <v>707</v>
      </c>
      <c r="B787" s="37" t="n">
        <f aca="false">1+IF($G$6=$E$6,$F$6,IF(P787&lt;($F$6-$E$6)/($G$6-$E$6),$E$6+SQRT(P787*($G$6-$E$6)*($F$6-$E$6)),$G$6-SQRT((1-P787)*($G$6-$E$6)*($G$6-$F$6))))</f>
        <v>0.922346360331088</v>
      </c>
      <c r="C787" s="37" t="n">
        <f aca="false">1+IF($G$7=$E$7,$F$7,IF(Q787&lt;($F$7-$E$7)/($G$7-$E$7),$E$7+SQRT(Q787*($G$7-$E$7)*($F$7-$E$7)),$G$7-SQRT((1-Q787)*($G$7-$E$7)*($G$7-$F$7))))</f>
        <v>1.06149635939374</v>
      </c>
      <c r="D787" s="37" t="n">
        <f aca="false">1+IF($G$8=$E$8,$F$8,IF(R787&lt;($F$8-$E$8)/($G$8-$E$8),$E$8+SQRT(R787*($G$8-$E$8)*($F$8-$E$8)),$G$8-SQRT((1-R787)*($G$8-$E$8)*($G$8-$F$8))))</f>
        <v>1.06173577671099</v>
      </c>
      <c r="E787" s="37" t="n">
        <f aca="false">1+IF($G$9=$E$9,$F$9,IF(S787&lt;($F$9-$E$9)/($G$9-$E$9),$E$9+SQRT(S787*($G$9-$E$9)*($F$9-$E$9)),$G$9-SQRT((1-S787)*($G$9-$E$9)*($G$9-$F$9))))</f>
        <v>0.961807117197886</v>
      </c>
      <c r="F787" s="37" t="n">
        <f aca="false">1+IF($G$10=$E$10,$F$10,IF(T787&lt;($F$10-$E$10)/($G$10-$E$10),$E$10+SQRT(T787*($G$10-$E$10)*($F$10-$E$10)),$G$10-SQRT((1-T787)*($G$10-$E$10)*($G$10-$F$10))))</f>
        <v>0.991397033452855</v>
      </c>
      <c r="G787" s="38" t="n">
        <f aca="false">IF($G$11=$E$11,$F$11,IF(U787&lt;($F$11-$E$11)/($G$11-$E$11),$E$11+SQRT(U787*($G$11-$E$11)*($F$11-$E$11)),$G$11-SQRT((1-U787)*($G$11-$E$11)*($G$11-$F$11))))</f>
        <v>0.123196672943371</v>
      </c>
      <c r="H787" s="39" t="n">
        <f aca="false">(('Business Case'!B11*$C787*'Business Case'!B12*$B787)-'Business Case'!B11*$C787*'Business Case'!B13*$D787-'Business Case'!B14*$E787)-MAX(0,(('Business Case'!B11*$C787*'Business Case'!B12*$B787)-'Business Case'!B11*$C787*'Business Case'!B13*$D787-'Business Case'!B14*$E787))*'Business Case'!$B$7-'Business Case'!$B$8*('Business Case'!B11*$C787*'Business Case'!B12*$B787)-'Business Case'!B15*$F787</f>
        <v>-1982794066.90571</v>
      </c>
      <c r="I787" s="39" t="n">
        <f aca="false">(('Business Case'!C11*$C787*'Business Case'!C12*$B787)-'Business Case'!C11*$C787*'Business Case'!C13*$D787-'Business Case'!C14*$E787)-MAX(0,(('Business Case'!C11*$C787*'Business Case'!C12*$B787)-'Business Case'!C11*$C787*'Business Case'!C13*$D787-'Business Case'!C14*$E787))*'Business Case'!$B$7-'Business Case'!$B$8*(('Business Case'!C11*$C787*'Business Case'!C12*$B787)-('Business Case'!B11*$C787*'Business Case'!B12*$B787))-'Business Case'!C15*$F787</f>
        <v>-61685422.3965704</v>
      </c>
      <c r="J787" s="39" t="n">
        <f aca="false">(('Business Case'!D11*$C787*'Business Case'!D12*$B787)-'Business Case'!D11*$C787*'Business Case'!D13*$D787-'Business Case'!D14*$E787)-MAX(0,(('Business Case'!D11*$C787*'Business Case'!D12*$B787)-'Business Case'!D11*$C787*'Business Case'!D13*$D787-'Business Case'!D14*$E787))*'Business Case'!$B$7-'Business Case'!$B$8*(('Business Case'!D11*$C787*'Business Case'!D12*$B787)-('Business Case'!C11*$C787*'Business Case'!C12*$B787))-'Business Case'!D15*$F787</f>
        <v>163292679.635868</v>
      </c>
      <c r="K787" s="39" t="n">
        <f aca="false">(('Business Case'!E11*$C787*'Business Case'!E12*$B787)-'Business Case'!E11*$C787*'Business Case'!E13*$D787-'Business Case'!E14*$E787)-MAX(0,(('Business Case'!E11*$C787*'Business Case'!E12*$B787)-'Business Case'!E11*$C787*'Business Case'!E13*$D787-'Business Case'!E14*$E787))*'Business Case'!$B$7-'Business Case'!$B$8*(('Business Case'!E11*$C787*'Business Case'!E12*$B787)-('Business Case'!D11*$C787*'Business Case'!D12*$B787))-'Business Case'!E15*$F787</f>
        <v>437840633.34095</v>
      </c>
      <c r="L787" s="39" t="n">
        <f aca="false">(('Business Case'!F11*$C787*'Business Case'!F12*$B787)-'Business Case'!F11*$C787*'Business Case'!F13*$D787-'Business Case'!F14*$E787)-MAX(0,(('Business Case'!F11*$C787*'Business Case'!F12*$B787)-'Business Case'!F11*$C787*'Business Case'!F13*$D787-'Business Case'!F14*$E787))*'Business Case'!$B$7-'Business Case'!$B$8*(('Business Case'!F11*$C787*'Business Case'!F12*$B787)-('Business Case'!E11*$C787*'Business Case'!E12*$B787))-'Business Case'!F15*$F787</f>
        <v>546669900.030552</v>
      </c>
      <c r="M787" s="39" t="n">
        <f aca="false">(('Business Case'!G11*$C787*'Business Case'!G12*$B787)-'Business Case'!G11*$C787*'Business Case'!G13*$D787-'Business Case'!G14*$E787)-MAX(0,(('Business Case'!G11*$C787*'Business Case'!G12*$B787)-'Business Case'!G11*$C787*'Business Case'!G13*$D787-'Business Case'!G14*$E787))*'Business Case'!$B$7-'Business Case'!$B$8*(('Business Case'!G11*$C787*'Business Case'!G12*$B787)-('Business Case'!F11*$C787*'Business Case'!F12*$B787))-'Business Case'!G15*$F787+'Business Case'!$B$8*('Business Case'!G11*$C787*'Business Case'!G12*$B787)</f>
        <v>732771013.097227</v>
      </c>
      <c r="N787" s="39" t="n">
        <f aca="false">IF(COUNT('Business Case'!B11:G11)=0,"",H787+NPV(G787,I787:M787))</f>
        <v>-845893523.70688</v>
      </c>
      <c r="P787" s="40" t="n">
        <f aca="true">RAND()</f>
        <v>0.033290654669789</v>
      </c>
      <c r="Q787" s="40" t="n">
        <f aca="true">RAND()</f>
        <v>0.88395711999167</v>
      </c>
      <c r="R787" s="40" t="n">
        <f aca="true">RAND()</f>
        <v>0.902389947739248</v>
      </c>
      <c r="S787" s="40" t="n">
        <f aca="true">RAND()</f>
        <v>0.152804789452529</v>
      </c>
      <c r="T787" s="40" t="n">
        <f aca="true">RAND()</f>
        <v>0.11424762524645</v>
      </c>
      <c r="U787" s="40" t="n">
        <f aca="true">RAND()</f>
        <v>0.969143160640362</v>
      </c>
    </row>
    <row r="788" customFormat="false" ht="15" hidden="false" customHeight="false" outlineLevel="0" collapsed="false">
      <c r="A788" s="36" t="n">
        <v>708</v>
      </c>
      <c r="B788" s="37" t="n">
        <f aca="false">1+IF($G$6=$E$6,$F$6,IF(P788&lt;($F$6-$E$6)/($G$6-$E$6),$E$6+SQRT(P788*($G$6-$E$6)*($F$6-$E$6)),$G$6-SQRT((1-P788)*($G$6-$E$6)*($G$6-$F$6))))</f>
        <v>1.01162048877446</v>
      </c>
      <c r="C788" s="37" t="n">
        <f aca="false">1+IF($G$7=$E$7,$F$7,IF(Q788&lt;($F$7-$E$7)/($G$7-$E$7),$E$7+SQRT(Q788*($G$7-$E$7)*($F$7-$E$7)),$G$7-SQRT((1-Q788)*($G$7-$E$7)*($G$7-$F$7))))</f>
        <v>0.950457840967535</v>
      </c>
      <c r="D788" s="37" t="n">
        <f aca="false">1+IF($G$8=$E$8,$F$8,IF(R788&lt;($F$8-$E$8)/($G$8-$E$8),$E$8+SQRT(R788*($G$8-$E$8)*($F$8-$E$8)),$G$8-SQRT((1-R788)*($G$8-$E$8)*($G$8-$F$8))))</f>
        <v>0.981437147073394</v>
      </c>
      <c r="E788" s="37" t="n">
        <f aca="false">1+IF($G$9=$E$9,$F$9,IF(S788&lt;($F$9-$E$9)/($G$9-$E$9),$E$9+SQRT(S788*($G$9-$E$9)*($F$9-$E$9)),$G$9-SQRT((1-S788)*($G$9-$E$9)*($G$9-$F$9))))</f>
        <v>1.1276656273579</v>
      </c>
      <c r="F788" s="37" t="n">
        <f aca="false">1+IF($G$10=$E$10,$F$10,IF(T788&lt;($F$10-$E$10)/($G$10-$E$10),$E$10+SQRT(T788*($G$10-$E$10)*($F$10-$E$10)),$G$10-SQRT((1-T788)*($G$10-$E$10)*($G$10-$F$10))))</f>
        <v>0.976759735306725</v>
      </c>
      <c r="G788" s="38" t="n">
        <f aca="false">IF($G$11=$E$11,$F$11,IF(U788&lt;($F$11-$E$11)/($G$11-$E$11),$E$11+SQRT(U788*($G$11-$E$11)*($F$11-$E$11)),$G$11-SQRT((1-U788)*($G$11-$E$11)*($G$11-$F$11))))</f>
        <v>0.112139744592663</v>
      </c>
      <c r="H788" s="39" t="n">
        <f aca="false">(('Business Case'!B11*$C788*'Business Case'!B12*$B788)-'Business Case'!B11*$C788*'Business Case'!B13*$D788-'Business Case'!B14*$E788)-MAX(0,(('Business Case'!B11*$C788*'Business Case'!B12*$B788)-'Business Case'!B11*$C788*'Business Case'!B13*$D788-'Business Case'!B14*$E788))*'Business Case'!$B$7-'Business Case'!$B$8*('Business Case'!B11*$C788*'Business Case'!B12*$B788)-'Business Case'!B15*$F788</f>
        <v>-1953519470.61345</v>
      </c>
      <c r="I788" s="39" t="n">
        <f aca="false">(('Business Case'!C11*$C788*'Business Case'!C12*$B788)-'Business Case'!C11*$C788*'Business Case'!C13*$D788-'Business Case'!C14*$E788)-MAX(0,(('Business Case'!C11*$C788*'Business Case'!C12*$B788)-'Business Case'!C11*$C788*'Business Case'!C13*$D788-'Business Case'!C14*$E788))*'Business Case'!$B$7-'Business Case'!$B$8*(('Business Case'!C11*$C788*'Business Case'!C12*$B788)-('Business Case'!B11*$C788*'Business Case'!B12*$B788))-'Business Case'!C15*$F788</f>
        <v>2139090.39532726</v>
      </c>
      <c r="J788" s="39" t="n">
        <f aca="false">(('Business Case'!D11*$C788*'Business Case'!D12*$B788)-'Business Case'!D11*$C788*'Business Case'!D13*$D788-'Business Case'!D14*$E788)-MAX(0,(('Business Case'!D11*$C788*'Business Case'!D12*$B788)-'Business Case'!D11*$C788*'Business Case'!D13*$D788-'Business Case'!D14*$E788))*'Business Case'!$B$7-'Business Case'!$B$8*(('Business Case'!D11*$C788*'Business Case'!D12*$B788)-('Business Case'!C11*$C788*'Business Case'!C12*$B788))-'Business Case'!D15*$F788</f>
        <v>312152502.644752</v>
      </c>
      <c r="K788" s="39" t="n">
        <f aca="false">(('Business Case'!E11*$C788*'Business Case'!E12*$B788)-'Business Case'!E11*$C788*'Business Case'!E13*$D788-'Business Case'!E14*$E788)-MAX(0,(('Business Case'!E11*$C788*'Business Case'!E12*$B788)-'Business Case'!E11*$C788*'Business Case'!E13*$D788-'Business Case'!E14*$E788))*'Business Case'!$B$7-'Business Case'!$B$8*(('Business Case'!E11*$C788*'Business Case'!E12*$B788)-('Business Case'!D11*$C788*'Business Case'!D12*$B788))-'Business Case'!E15*$F788</f>
        <v>671003901.659512</v>
      </c>
      <c r="L788" s="39" t="n">
        <f aca="false">(('Business Case'!F11*$C788*'Business Case'!F12*$B788)-'Business Case'!F11*$C788*'Business Case'!F13*$D788-'Business Case'!F14*$E788)-MAX(0,(('Business Case'!F11*$C788*'Business Case'!F12*$B788)-'Business Case'!F11*$C788*'Business Case'!F13*$D788-'Business Case'!F14*$E788))*'Business Case'!$B$7-'Business Case'!$B$8*(('Business Case'!F11*$C788*'Business Case'!F12*$B788)-('Business Case'!E11*$C788*'Business Case'!E12*$B788))-'Business Case'!F15*$F788</f>
        <v>807571236.484741</v>
      </c>
      <c r="M788" s="39" t="n">
        <f aca="false">(('Business Case'!G11*$C788*'Business Case'!G12*$B788)-'Business Case'!G11*$C788*'Business Case'!G13*$D788-'Business Case'!G14*$E788)-MAX(0,(('Business Case'!G11*$C788*'Business Case'!G12*$B788)-'Business Case'!G11*$C788*'Business Case'!G13*$D788-'Business Case'!G14*$E788))*'Business Case'!$B$7-'Business Case'!$B$8*(('Business Case'!G11*$C788*'Business Case'!G12*$B788)-('Business Case'!F11*$C788*'Business Case'!F12*$B788))-'Business Case'!G15*$F788+'Business Case'!$B$8*('Business Case'!G11*$C788*'Business Case'!G12*$B788)</f>
        <v>990333655.566221</v>
      </c>
      <c r="N788" s="39" t="n">
        <f aca="false">IF(COUNT('Business Case'!B11:G11)=0,"",H788+NPV(G788,I788:M788))</f>
        <v>-101441536.064768</v>
      </c>
      <c r="P788" s="40" t="n">
        <f aca="true">RAND()</f>
        <v>0.803601749078496</v>
      </c>
      <c r="Q788" s="40" t="n">
        <f aca="true">RAND()</f>
        <v>0.464660222978661</v>
      </c>
      <c r="R788" s="40" t="n">
        <f aca="true">RAND()</f>
        <v>0.131772562148556</v>
      </c>
      <c r="S788" s="40" t="n">
        <f aca="true">RAND()</f>
        <v>0.98669802129824</v>
      </c>
      <c r="T788" s="40" t="n">
        <f aca="true">RAND()</f>
        <v>0.047738895579067</v>
      </c>
      <c r="U788" s="40" t="n">
        <f aca="true">RAND()</f>
        <v>0.787340851189785</v>
      </c>
    </row>
    <row r="789" customFormat="false" ht="15" hidden="false" customHeight="false" outlineLevel="0" collapsed="false">
      <c r="A789" s="36" t="n">
        <v>709</v>
      </c>
      <c r="B789" s="37" t="n">
        <f aca="false">1+IF($G$6=$E$6,$F$6,IF(P789&lt;($F$6-$E$6)/($G$6-$E$6),$E$6+SQRT(P789*($G$6-$E$6)*($F$6-$E$6)),$G$6-SQRT((1-P789)*($G$6-$E$6)*($G$6-$F$6))))</f>
        <v>0.952257384399449</v>
      </c>
      <c r="C789" s="37" t="n">
        <f aca="false">1+IF($G$7=$E$7,$F$7,IF(Q789&lt;($F$7-$E$7)/($G$7-$E$7),$E$7+SQRT(Q789*($G$7-$E$7)*($F$7-$E$7)),$G$7-SQRT((1-Q789)*($G$7-$E$7)*($G$7-$F$7))))</f>
        <v>1.02657661215204</v>
      </c>
      <c r="D789" s="37" t="n">
        <f aca="false">1+IF($G$8=$E$8,$F$8,IF(R789&lt;($F$8-$E$8)/($G$8-$E$8),$E$8+SQRT(R789*($G$8-$E$8)*($F$8-$E$8)),$G$8-SQRT((1-R789)*($G$8-$E$8)*($G$8-$F$8))))</f>
        <v>1.04180293617655</v>
      </c>
      <c r="E789" s="37" t="n">
        <f aca="false">1+IF($G$9=$E$9,$F$9,IF(S789&lt;($F$9-$E$9)/($G$9-$E$9),$E$9+SQRT(S789*($G$9-$E$9)*($F$9-$E$9)),$G$9-SQRT((1-S789)*($G$9-$E$9)*($G$9-$F$9))))</f>
        <v>1.00253250574222</v>
      </c>
      <c r="F789" s="37" t="n">
        <f aca="false">1+IF($G$10=$E$10,$F$10,IF(T789&lt;($F$10-$E$10)/($G$10-$E$10),$E$10+SQRT(T789*($G$10-$E$10)*($F$10-$E$10)),$G$10-SQRT((1-T789)*($G$10-$E$10)*($G$10-$F$10))))</f>
        <v>1.00346394111997</v>
      </c>
      <c r="G789" s="38" t="n">
        <f aca="false">IF($G$11=$E$11,$F$11,IF(U789&lt;($F$11-$E$11)/($G$11-$E$11),$E$11+SQRT(U789*($G$11-$E$11)*($F$11-$E$11)),$G$11-SQRT((1-U789)*($G$11-$E$11)*($G$11-$F$11))))</f>
        <v>0.111277494655923</v>
      </c>
      <c r="H789" s="39" t="n">
        <f aca="false">(('Business Case'!B11*$C789*'Business Case'!B12*$B789)-'Business Case'!B11*$C789*'Business Case'!B13*$D789-'Business Case'!B14*$E789)-MAX(0,(('Business Case'!B11*$C789*'Business Case'!B12*$B789)-'Business Case'!B11*$C789*'Business Case'!B13*$D789-'Business Case'!B14*$E789))*'Business Case'!$B$7-'Business Case'!$B$8*('Business Case'!B11*$C789*'Business Case'!B12*$B789)-'Business Case'!B15*$F789</f>
        <v>-2006927882.23993</v>
      </c>
      <c r="I789" s="39" t="n">
        <f aca="false">(('Business Case'!C11*$C789*'Business Case'!C12*$B789)-'Business Case'!C11*$C789*'Business Case'!C13*$D789-'Business Case'!C14*$E789)-MAX(0,(('Business Case'!C11*$C789*'Business Case'!C12*$B789)-'Business Case'!C11*$C789*'Business Case'!C13*$D789-'Business Case'!C14*$E789))*'Business Case'!$B$7-'Business Case'!$B$8*(('Business Case'!C11*$C789*'Business Case'!C12*$B789)-('Business Case'!B11*$C789*'Business Case'!B12*$B789))-'Business Case'!C15*$F789</f>
        <v>-40380835.3963938</v>
      </c>
      <c r="J789" s="39" t="n">
        <f aca="false">(('Business Case'!D11*$C789*'Business Case'!D12*$B789)-'Business Case'!D11*$C789*'Business Case'!D13*$D789-'Business Case'!D14*$E789)-MAX(0,(('Business Case'!D11*$C789*'Business Case'!D12*$B789)-'Business Case'!D11*$C789*'Business Case'!D13*$D789-'Business Case'!D14*$E789))*'Business Case'!$B$7-'Business Case'!$B$8*(('Business Case'!D11*$C789*'Business Case'!D12*$B789)-('Business Case'!C11*$C789*'Business Case'!C12*$B789))-'Business Case'!D15*$F789</f>
        <v>212821823.508045</v>
      </c>
      <c r="K789" s="39" t="n">
        <f aca="false">(('Business Case'!E11*$C789*'Business Case'!E12*$B789)-'Business Case'!E11*$C789*'Business Case'!E13*$D789-'Business Case'!E14*$E789)-MAX(0,(('Business Case'!E11*$C789*'Business Case'!E12*$B789)-'Business Case'!E11*$C789*'Business Case'!E13*$D789-'Business Case'!E14*$E789))*'Business Case'!$B$7-'Business Case'!$B$8*(('Business Case'!E11*$C789*'Business Case'!E12*$B789)-('Business Case'!D11*$C789*'Business Case'!D12*$B789))-'Business Case'!E15*$F789</f>
        <v>516197679.468482</v>
      </c>
      <c r="L789" s="39" t="n">
        <f aca="false">(('Business Case'!F11*$C789*'Business Case'!F12*$B789)-'Business Case'!F11*$C789*'Business Case'!F13*$D789-'Business Case'!F14*$E789)-MAX(0,(('Business Case'!F11*$C789*'Business Case'!F12*$B789)-'Business Case'!F11*$C789*'Business Case'!F13*$D789-'Business Case'!F14*$E789))*'Business Case'!$B$7-'Business Case'!$B$8*(('Business Case'!F11*$C789*'Business Case'!F12*$B789)-('Business Case'!E11*$C789*'Business Case'!E12*$B789))-'Business Case'!F15*$F789</f>
        <v>634383217.684823</v>
      </c>
      <c r="M789" s="39" t="n">
        <f aca="false">(('Business Case'!G11*$C789*'Business Case'!G12*$B789)-'Business Case'!G11*$C789*'Business Case'!G13*$D789-'Business Case'!G14*$E789)-MAX(0,(('Business Case'!G11*$C789*'Business Case'!G12*$B789)-'Business Case'!G11*$C789*'Business Case'!G13*$D789-'Business Case'!G14*$E789))*'Business Case'!$B$7-'Business Case'!$B$8*(('Business Case'!G11*$C789*'Business Case'!G12*$B789)-('Business Case'!F11*$C789*'Business Case'!F12*$B789))-'Business Case'!G15*$F789+'Business Case'!$B$8*('Business Case'!G11*$C789*'Business Case'!G12*$B789)</f>
        <v>820198803.216564</v>
      </c>
      <c r="N789" s="39" t="n">
        <f aca="false">IF(COUNT('Business Case'!B11:G11)=0,"",H789+NPV(G789,I789:M789))</f>
        <v>-594865676.849243</v>
      </c>
      <c r="P789" s="40" t="n">
        <f aca="true">RAND()</f>
        <v>0.182055614951451</v>
      </c>
      <c r="Q789" s="40" t="n">
        <f aca="true">RAND()</f>
        <v>0.774320997513066</v>
      </c>
      <c r="R789" s="40" t="n">
        <f aca="true">RAND()</f>
        <v>0.774206784155284</v>
      </c>
      <c r="S789" s="40" t="n">
        <f aca="true">RAND()</f>
        <v>0.42008901699547</v>
      </c>
      <c r="T789" s="40" t="n">
        <f aca="true">RAND()</f>
        <v>0.189599622292009</v>
      </c>
      <c r="U789" s="40" t="n">
        <f aca="true">RAND()</f>
        <v>0.766311862427329</v>
      </c>
    </row>
    <row r="790" customFormat="false" ht="15" hidden="false" customHeight="false" outlineLevel="0" collapsed="false">
      <c r="A790" s="36" t="n">
        <v>710</v>
      </c>
      <c r="B790" s="37" t="n">
        <f aca="false">1+IF($G$6=$E$6,$F$6,IF(P790&lt;($F$6-$E$6)/($G$6-$E$6),$E$6+SQRT(P790*($G$6-$E$6)*($F$6-$E$6)),$G$6-SQRT((1-P790)*($G$6-$E$6)*($G$6-$F$6))))</f>
        <v>1.0035887185782</v>
      </c>
      <c r="C790" s="37" t="n">
        <f aca="false">1+IF($G$7=$E$7,$F$7,IF(Q790&lt;($F$7-$E$7)/($G$7-$E$7),$E$7+SQRT(Q790*($G$7-$E$7)*($F$7-$E$7)),$G$7-SQRT((1-Q790)*($G$7-$E$7)*($G$7-$F$7))))</f>
        <v>0.839521768752412</v>
      </c>
      <c r="D790" s="37" t="n">
        <f aca="false">1+IF($G$8=$E$8,$F$8,IF(R790&lt;($F$8-$E$8)/($G$8-$E$8),$E$8+SQRT(R790*($G$8-$E$8)*($F$8-$E$8)),$G$8-SQRT((1-R790)*($G$8-$E$8)*($G$8-$F$8))))</f>
        <v>1.01745360415472</v>
      </c>
      <c r="E790" s="37" t="n">
        <f aca="false">1+IF($G$9=$E$9,$F$9,IF(S790&lt;($F$9-$E$9)/($G$9-$E$9),$E$9+SQRT(S790*($G$9-$E$9)*($F$9-$E$9)),$G$9-SQRT((1-S790)*($G$9-$E$9)*($G$9-$F$9))))</f>
        <v>0.942743225408048</v>
      </c>
      <c r="F790" s="37" t="n">
        <f aca="false">1+IF($G$10=$E$10,$F$10,IF(T790&lt;($F$10-$E$10)/($G$10-$E$10),$E$10+SQRT(T790*($G$10-$E$10)*($F$10-$E$10)),$G$10-SQRT((1-T790)*($G$10-$E$10)*($G$10-$F$10))))</f>
        <v>0.998633030705688</v>
      </c>
      <c r="G790" s="38" t="n">
        <f aca="false">IF($G$11=$E$11,$F$11,IF(U790&lt;($F$11-$E$11)/($G$11-$E$11),$E$11+SQRT(U790*($G$11-$E$11)*($F$11-$E$11)),$G$11-SQRT((1-U790)*($G$11-$E$11)*($G$11-$F$11))))</f>
        <v>0.113164652060688</v>
      </c>
      <c r="H790" s="39" t="n">
        <f aca="false">(('Business Case'!B11*$C790*'Business Case'!B12*$B790)-'Business Case'!B11*$C790*'Business Case'!B13*$D790-'Business Case'!B14*$E790)-MAX(0,(('Business Case'!B11*$C790*'Business Case'!B12*$B790)-'Business Case'!B11*$C790*'Business Case'!B13*$D790-'Business Case'!B14*$E790))*'Business Case'!$B$7-'Business Case'!$B$8*('Business Case'!B11*$C790*'Business Case'!B12*$B790)-'Business Case'!B15*$F790</f>
        <v>-1997266061.41138</v>
      </c>
      <c r="I790" s="39" t="n">
        <f aca="false">(('Business Case'!C11*$C790*'Business Case'!C12*$B790)-'Business Case'!C11*$C790*'Business Case'!C13*$D790-'Business Case'!C14*$E790)-MAX(0,(('Business Case'!C11*$C790*'Business Case'!C12*$B790)-'Business Case'!C11*$C790*'Business Case'!C13*$D790-'Business Case'!C14*$E790))*'Business Case'!$B$7-'Business Case'!$B$8*(('Business Case'!C11*$C790*'Business Case'!C12*$B790)-('Business Case'!B11*$C790*'Business Case'!B12*$B790))-'Business Case'!C15*$F790</f>
        <v>-24770885.9457245</v>
      </c>
      <c r="J790" s="39" t="n">
        <f aca="false">(('Business Case'!D11*$C790*'Business Case'!D12*$B790)-'Business Case'!D11*$C790*'Business Case'!D13*$D790-'Business Case'!D14*$E790)-MAX(0,(('Business Case'!D11*$C790*'Business Case'!D12*$B790)-'Business Case'!D11*$C790*'Business Case'!D13*$D790-'Business Case'!D14*$E790))*'Business Case'!$B$7-'Business Case'!$B$8*(('Business Case'!D11*$C790*'Business Case'!D12*$B790)-('Business Case'!C11*$C790*'Business Case'!C12*$B790))-'Business Case'!D15*$F790</f>
        <v>228056610.258243</v>
      </c>
      <c r="K790" s="39" t="n">
        <f aca="false">(('Business Case'!E11*$C790*'Business Case'!E12*$B790)-'Business Case'!E11*$C790*'Business Case'!E13*$D790-'Business Case'!E14*$E790)-MAX(0,(('Business Case'!E11*$C790*'Business Case'!E12*$B790)-'Business Case'!E11*$C790*'Business Case'!E13*$D790-'Business Case'!E14*$E790))*'Business Case'!$B$7-'Business Case'!$B$8*(('Business Case'!E11*$C790*'Business Case'!E12*$B790)-('Business Case'!D11*$C790*'Business Case'!D12*$B790))-'Business Case'!E15*$F790</f>
        <v>530815757.997495</v>
      </c>
      <c r="L790" s="39" t="n">
        <f aca="false">(('Business Case'!F11*$C790*'Business Case'!F12*$B790)-'Business Case'!F11*$C790*'Business Case'!F13*$D790-'Business Case'!F14*$E790)-MAX(0,(('Business Case'!F11*$C790*'Business Case'!F12*$B790)-'Business Case'!F11*$C790*'Business Case'!F13*$D790-'Business Case'!F14*$E790))*'Business Case'!$B$7-'Business Case'!$B$8*(('Business Case'!F11*$C790*'Business Case'!F12*$B790)-('Business Case'!E11*$C790*'Business Case'!E12*$B790))-'Business Case'!F15*$F790</f>
        <v>644209585.016217</v>
      </c>
      <c r="M790" s="39" t="n">
        <f aca="false">(('Business Case'!G11*$C790*'Business Case'!G12*$B790)-'Business Case'!G11*$C790*'Business Case'!G13*$D790-'Business Case'!G14*$E790)-MAX(0,(('Business Case'!G11*$C790*'Business Case'!G12*$B790)-'Business Case'!G11*$C790*'Business Case'!G13*$D790-'Business Case'!G14*$E790))*'Business Case'!$B$7-'Business Case'!$B$8*(('Business Case'!G11*$C790*'Business Case'!G12*$B790)-('Business Case'!F11*$C790*'Business Case'!F12*$B790))-'Business Case'!G15*$F790+'Business Case'!$B$8*('Business Case'!G11*$C790*'Business Case'!G12*$B790)</f>
        <v>804358557.245247</v>
      </c>
      <c r="N790" s="39" t="n">
        <f aca="false">IF(COUNT('Business Case'!B11:G11)=0,"",H790+NPV(G790,I790:M790))</f>
        <v>-560490340.382083</v>
      </c>
      <c r="P790" s="40" t="n">
        <f aca="true">RAND()</f>
        <v>0.712799060904847</v>
      </c>
      <c r="Q790" s="40" t="n">
        <f aca="true">RAND()</f>
        <v>0.144194992265196</v>
      </c>
      <c r="R790" s="40" t="n">
        <f aca="true">RAND()</f>
        <v>0.545739502196982</v>
      </c>
      <c r="S790" s="40" t="n">
        <f aca="true">RAND()</f>
        <v>0.0730793327313266</v>
      </c>
      <c r="T790" s="40" t="n">
        <f aca="true">RAND()</f>
        <v>0.157678111708024</v>
      </c>
      <c r="U790" s="40" t="n">
        <f aca="true">RAND()</f>
        <v>0.811047373174872</v>
      </c>
    </row>
    <row r="791" customFormat="false" ht="15" hidden="false" customHeight="false" outlineLevel="0" collapsed="false">
      <c r="A791" s="36" t="n">
        <v>711</v>
      </c>
      <c r="B791" s="37" t="n">
        <f aca="false">1+IF($G$6=$E$6,$F$6,IF(P791&lt;($F$6-$E$6)/($G$6-$E$6),$E$6+SQRT(P791*($G$6-$E$6)*($F$6-$E$6)),$G$6-SQRT((1-P791)*($G$6-$E$6)*($G$6-$F$6))))</f>
        <v>1.00507157222319</v>
      </c>
      <c r="C791" s="37" t="n">
        <f aca="false">1+IF($G$7=$E$7,$F$7,IF(Q791&lt;($F$7-$E$7)/($G$7-$E$7),$E$7+SQRT(Q791*($G$7-$E$7)*($F$7-$E$7)),$G$7-SQRT((1-Q791)*($G$7-$E$7)*($G$7-$F$7))))</f>
        <v>0.902439682620772</v>
      </c>
      <c r="D791" s="37" t="n">
        <f aca="false">1+IF($G$8=$E$8,$F$8,IF(R791&lt;($F$8-$E$8)/($G$8-$E$8),$E$8+SQRT(R791*($G$8-$E$8)*($F$8-$E$8)),$G$8-SQRT((1-R791)*($G$8-$E$8)*($G$8-$F$8))))</f>
        <v>1.046111977567</v>
      </c>
      <c r="E791" s="37" t="n">
        <f aca="false">1+IF($G$9=$E$9,$F$9,IF(S791&lt;($F$9-$E$9)/($G$9-$E$9),$E$9+SQRT(S791*($G$9-$E$9)*($F$9-$E$9)),$G$9-SQRT((1-S791)*($G$9-$E$9)*($G$9-$F$9))))</f>
        <v>0.955622553051229</v>
      </c>
      <c r="F791" s="37" t="n">
        <f aca="false">1+IF($G$10=$E$10,$F$10,IF(T791&lt;($F$10-$E$10)/($G$10-$E$10),$E$10+SQRT(T791*($G$10-$E$10)*($F$10-$E$10)),$G$10-SQRT((1-T791)*($G$10-$E$10)*($G$10-$F$10))))</f>
        <v>1.12243686603018</v>
      </c>
      <c r="G791" s="38" t="n">
        <f aca="false">IF($G$11=$E$11,$F$11,IF(U791&lt;($F$11-$E$11)/($G$11-$E$11),$E$11+SQRT(U791*($G$11-$E$11)*($F$11-$E$11)),$G$11-SQRT((1-U791)*($G$11-$E$11)*($G$11-$F$11))))</f>
        <v>0.114437447396148</v>
      </c>
      <c r="H791" s="39" t="n">
        <f aca="false">(('Business Case'!B11*$C791*'Business Case'!B12*$B791)-'Business Case'!B11*$C791*'Business Case'!B13*$D791-'Business Case'!B14*$E791)-MAX(0,(('Business Case'!B11*$C791*'Business Case'!B12*$B791)-'Business Case'!B11*$C791*'Business Case'!B13*$D791-'Business Case'!B14*$E791))*'Business Case'!$B$7-'Business Case'!$B$8*('Business Case'!B11*$C791*'Business Case'!B12*$B791)-'Business Case'!B15*$F791</f>
        <v>-2244873732.06036</v>
      </c>
      <c r="I791" s="39" t="n">
        <f aca="false">(('Business Case'!C11*$C791*'Business Case'!C12*$B791)-'Business Case'!C11*$C791*'Business Case'!C13*$D791-'Business Case'!C14*$E791)-MAX(0,(('Business Case'!C11*$C791*'Business Case'!C12*$B791)-'Business Case'!C11*$C791*'Business Case'!C13*$D791-'Business Case'!C14*$E791))*'Business Case'!$B$7-'Business Case'!$B$8*(('Business Case'!C11*$C791*'Business Case'!C12*$B791)-('Business Case'!B11*$C791*'Business Case'!B12*$B791))-'Business Case'!C15*$F791</f>
        <v>-35520744.6445445</v>
      </c>
      <c r="J791" s="39" t="n">
        <f aca="false">(('Business Case'!D11*$C791*'Business Case'!D12*$B791)-'Business Case'!D11*$C791*'Business Case'!D13*$D791-'Business Case'!D14*$E791)-MAX(0,(('Business Case'!D11*$C791*'Business Case'!D12*$B791)-'Business Case'!D11*$C791*'Business Case'!D13*$D791-'Business Case'!D14*$E791))*'Business Case'!$B$7-'Business Case'!$B$8*(('Business Case'!D11*$C791*'Business Case'!D12*$B791)-('Business Case'!C11*$C791*'Business Case'!C12*$B791))-'Business Case'!D15*$F791</f>
        <v>224111458.196219</v>
      </c>
      <c r="K791" s="39" t="n">
        <f aca="false">(('Business Case'!E11*$C791*'Business Case'!E12*$B791)-'Business Case'!E11*$C791*'Business Case'!E13*$D791-'Business Case'!E14*$E791)-MAX(0,(('Business Case'!E11*$C791*'Business Case'!E12*$B791)-'Business Case'!E11*$C791*'Business Case'!E13*$D791-'Business Case'!E14*$E791))*'Business Case'!$B$7-'Business Case'!$B$8*(('Business Case'!E11*$C791*'Business Case'!E12*$B791)-('Business Case'!D11*$C791*'Business Case'!D12*$B791))-'Business Case'!E15*$F791</f>
        <v>539865504.338492</v>
      </c>
      <c r="L791" s="39" t="n">
        <f aca="false">(('Business Case'!F11*$C791*'Business Case'!F12*$B791)-'Business Case'!F11*$C791*'Business Case'!F13*$D791-'Business Case'!F14*$E791)-MAX(0,(('Business Case'!F11*$C791*'Business Case'!F12*$B791)-'Business Case'!F11*$C791*'Business Case'!F13*$D791-'Business Case'!F14*$E791))*'Business Case'!$B$7-'Business Case'!$B$8*(('Business Case'!F11*$C791*'Business Case'!F12*$B791)-('Business Case'!E11*$C791*'Business Case'!E12*$B791))-'Business Case'!F15*$F791</f>
        <v>657756061.177684</v>
      </c>
      <c r="M791" s="39" t="n">
        <f aca="false">(('Business Case'!G11*$C791*'Business Case'!G12*$B791)-'Business Case'!G11*$C791*'Business Case'!G13*$D791-'Business Case'!G14*$E791)-MAX(0,(('Business Case'!G11*$C791*'Business Case'!G12*$B791)-'Business Case'!G11*$C791*'Business Case'!G13*$D791-'Business Case'!G14*$E791))*'Business Case'!$B$7-'Business Case'!$B$8*(('Business Case'!G11*$C791*'Business Case'!G12*$B791)-('Business Case'!F11*$C791*'Business Case'!F12*$B791))-'Business Case'!G15*$F791+'Business Case'!$B$8*('Business Case'!G11*$C791*'Business Case'!G12*$B791)</f>
        <v>830161751.918506</v>
      </c>
      <c r="N791" s="39" t="n">
        <f aca="false">IF(COUNT('Business Case'!B11:G11)=0,"",H791+NPV(G791,I791:M791))</f>
        <v>-796895867.113969</v>
      </c>
      <c r="P791" s="40" t="n">
        <f aca="true">RAND()</f>
        <v>0.730858183667254</v>
      </c>
      <c r="Q791" s="40" t="n">
        <f aca="true">RAND()</f>
        <v>0.303569074811845</v>
      </c>
      <c r="R791" s="40" t="n">
        <f aca="true">RAND()</f>
        <v>0.806405402550663</v>
      </c>
      <c r="S791" s="40" t="n">
        <f aca="true">RAND()</f>
        <v>0.123754736317472</v>
      </c>
      <c r="T791" s="40" t="n">
        <f aca="true">RAND()</f>
        <v>0.783035291357298</v>
      </c>
      <c r="U791" s="40" t="n">
        <f aca="true">RAND()</f>
        <v>0.838537970968226</v>
      </c>
    </row>
    <row r="792" customFormat="false" ht="15" hidden="false" customHeight="false" outlineLevel="0" collapsed="false">
      <c r="A792" s="36" t="n">
        <v>712</v>
      </c>
      <c r="B792" s="37" t="n">
        <f aca="false">1+IF($G$6=$E$6,$F$6,IF(P792&lt;($F$6-$E$6)/($G$6-$E$6),$E$6+SQRT(P792*($G$6-$E$6)*($F$6-$E$6)),$G$6-SQRT((1-P792)*($G$6-$E$6)*($G$6-$F$6))))</f>
        <v>1.00162750687543</v>
      </c>
      <c r="C792" s="37" t="n">
        <f aca="false">1+IF($G$7=$E$7,$F$7,IF(Q792&lt;($F$7-$E$7)/($G$7-$E$7),$E$7+SQRT(Q792*($G$7-$E$7)*($F$7-$E$7)),$G$7-SQRT((1-Q792)*($G$7-$E$7)*($G$7-$F$7))))</f>
        <v>0.782569878580515</v>
      </c>
      <c r="D792" s="37" t="n">
        <f aca="false">1+IF($G$8=$E$8,$F$8,IF(R792&lt;($F$8-$E$8)/($G$8-$E$8),$E$8+SQRT(R792*($G$8-$E$8)*($F$8-$E$8)),$G$8-SQRT((1-R792)*($G$8-$E$8)*($G$8-$F$8))))</f>
        <v>1.00354516066345</v>
      </c>
      <c r="E792" s="37" t="n">
        <f aca="false">1+IF($G$9=$E$9,$F$9,IF(S792&lt;($F$9-$E$9)/($G$9-$E$9),$E$9+SQRT(S792*($G$9-$E$9)*($F$9-$E$9)),$G$9-SQRT((1-S792)*($G$9-$E$9)*($G$9-$F$9))))</f>
        <v>1.05621572314777</v>
      </c>
      <c r="F792" s="37" t="n">
        <f aca="false">1+IF($G$10=$E$10,$F$10,IF(T792&lt;($F$10-$E$10)/($G$10-$E$10),$E$10+SQRT(T792*($G$10-$E$10)*($F$10-$E$10)),$G$10-SQRT((1-T792)*($G$10-$E$10)*($G$10-$F$10))))</f>
        <v>1.0427203169223</v>
      </c>
      <c r="G792" s="38" t="n">
        <f aca="false">IF($G$11=$E$11,$F$11,IF(U792&lt;($F$11-$E$11)/($G$11-$E$11),$E$11+SQRT(U792*($G$11-$E$11)*($F$11-$E$11)),$G$11-SQRT((1-U792)*($G$11-$E$11)*($G$11-$F$11))))</f>
        <v>0.0864299153482794</v>
      </c>
      <c r="H792" s="39" t="n">
        <f aca="false">(('Business Case'!B11*$C792*'Business Case'!B12*$B792)-'Business Case'!B11*$C792*'Business Case'!B13*$D792-'Business Case'!B14*$E792)-MAX(0,(('Business Case'!B11*$C792*'Business Case'!B12*$B792)-'Business Case'!B11*$C792*'Business Case'!B13*$D792-'Business Case'!B14*$E792))*'Business Case'!$B$7-'Business Case'!$B$8*('Business Case'!B11*$C792*'Business Case'!B12*$B792)-'Business Case'!B15*$F792</f>
        <v>-2085440633.84459</v>
      </c>
      <c r="I792" s="39" t="n">
        <f aca="false">(('Business Case'!C11*$C792*'Business Case'!C12*$B792)-'Business Case'!C11*$C792*'Business Case'!C13*$D792-'Business Case'!C14*$E792)-MAX(0,(('Business Case'!C11*$C792*'Business Case'!C12*$B792)-'Business Case'!C11*$C792*'Business Case'!C13*$D792-'Business Case'!C14*$E792))*'Business Case'!$B$7-'Business Case'!$B$8*(('Business Case'!C11*$C792*'Business Case'!C12*$B792)-('Business Case'!B11*$C792*'Business Case'!B12*$B792))-'Business Case'!C15*$F792</f>
        <v>-55109489.0221998</v>
      </c>
      <c r="J792" s="39" t="n">
        <f aca="false">(('Business Case'!D11*$C792*'Business Case'!D12*$B792)-'Business Case'!D11*$C792*'Business Case'!D13*$D792-'Business Case'!D14*$E792)-MAX(0,(('Business Case'!D11*$C792*'Business Case'!D12*$B792)-'Business Case'!D11*$C792*'Business Case'!D13*$D792-'Business Case'!D14*$E792))*'Business Case'!$B$7-'Business Case'!$B$8*(('Business Case'!D11*$C792*'Business Case'!D12*$B792)-('Business Case'!C11*$C792*'Business Case'!C12*$B792))-'Business Case'!D15*$F792</f>
        <v>184881377.37161</v>
      </c>
      <c r="K792" s="39" t="n">
        <f aca="false">(('Business Case'!E11*$C792*'Business Case'!E12*$B792)-'Business Case'!E11*$C792*'Business Case'!E13*$D792-'Business Case'!E14*$E792)-MAX(0,(('Business Case'!E11*$C792*'Business Case'!E12*$B792)-'Business Case'!E11*$C792*'Business Case'!E13*$D792-'Business Case'!E14*$E792))*'Business Case'!$B$7-'Business Case'!$B$8*(('Business Case'!E11*$C792*'Business Case'!E12*$B792)-('Business Case'!D11*$C792*'Business Case'!D12*$B792))-'Business Case'!E15*$F792</f>
        <v>477008259.611534</v>
      </c>
      <c r="L792" s="39" t="n">
        <f aca="false">(('Business Case'!F11*$C792*'Business Case'!F12*$B792)-'Business Case'!F11*$C792*'Business Case'!F13*$D792-'Business Case'!F14*$E792)-MAX(0,(('Business Case'!F11*$C792*'Business Case'!F12*$B792)-'Business Case'!F11*$C792*'Business Case'!F13*$D792-'Business Case'!F14*$E792))*'Business Case'!$B$7-'Business Case'!$B$8*(('Business Case'!F11*$C792*'Business Case'!F12*$B792)-('Business Case'!E11*$C792*'Business Case'!E12*$B792))-'Business Case'!F15*$F792</f>
        <v>584094847.004249</v>
      </c>
      <c r="M792" s="39" t="n">
        <f aca="false">(('Business Case'!G11*$C792*'Business Case'!G12*$B792)-'Business Case'!G11*$C792*'Business Case'!G13*$D792-'Business Case'!G14*$E792)-MAX(0,(('Business Case'!G11*$C792*'Business Case'!G12*$B792)-'Business Case'!G11*$C792*'Business Case'!G13*$D792-'Business Case'!G14*$E792))*'Business Case'!$B$7-'Business Case'!$B$8*(('Business Case'!G11*$C792*'Business Case'!G12*$B792)-('Business Case'!F11*$C792*'Business Case'!F12*$B792))-'Business Case'!G15*$F792+'Business Case'!$B$8*('Business Case'!G11*$C792*'Business Case'!G12*$B792)</f>
        <v>733087822.608862</v>
      </c>
      <c r="N792" s="39" t="n">
        <f aca="false">IF(COUNT('Business Case'!B11:G11)=0,"",H792+NPV(G792,I792:M792))</f>
        <v>-703959533.157027</v>
      </c>
      <c r="P792" s="40" t="n">
        <f aca="true">RAND()</f>
        <v>0.688013587855153</v>
      </c>
      <c r="Q792" s="40" t="n">
        <f aca="true">RAND()</f>
        <v>0.0505021099911187</v>
      </c>
      <c r="R792" s="40" t="n">
        <f aca="true">RAND()</f>
        <v>0.379764264570681</v>
      </c>
      <c r="S792" s="40" t="n">
        <f aca="true">RAND()</f>
        <v>0.7654535844081</v>
      </c>
      <c r="T792" s="40" t="n">
        <f aca="true">RAND()</f>
        <v>0.427135106442758</v>
      </c>
      <c r="U792" s="40" t="n">
        <f aca="true">RAND()</f>
        <v>0.0413438113860393</v>
      </c>
    </row>
    <row r="793" customFormat="false" ht="15" hidden="false" customHeight="false" outlineLevel="0" collapsed="false">
      <c r="A793" s="36" t="n">
        <v>713</v>
      </c>
      <c r="B793" s="37" t="n">
        <f aca="false">1+IF($G$6=$E$6,$F$6,IF(P793&lt;($F$6-$E$6)/($G$6-$E$6),$E$6+SQRT(P793*($G$6-$E$6)*($F$6-$E$6)),$G$6-SQRT((1-P793)*($G$6-$E$6)*($G$6-$F$6))))</f>
        <v>0.995855557243582</v>
      </c>
      <c r="C793" s="37" t="n">
        <f aca="false">1+IF($G$7=$E$7,$F$7,IF(Q793&lt;($F$7-$E$7)/($G$7-$E$7),$E$7+SQRT(Q793*($G$7-$E$7)*($F$7-$E$7)),$G$7-SQRT((1-Q793)*($G$7-$E$7)*($G$7-$F$7))))</f>
        <v>0.991081376638268</v>
      </c>
      <c r="D793" s="37" t="n">
        <f aca="false">1+IF($G$8=$E$8,$F$8,IF(R793&lt;($F$8-$E$8)/($G$8-$E$8),$E$8+SQRT(R793*($G$8-$E$8)*($F$8-$E$8)),$G$8-SQRT((1-R793)*($G$8-$E$8)*($G$8-$F$8))))</f>
        <v>0.989546145061176</v>
      </c>
      <c r="E793" s="37" t="n">
        <f aca="false">1+IF($G$9=$E$9,$F$9,IF(S793&lt;($F$9-$E$9)/($G$9-$E$9),$E$9+SQRT(S793*($G$9-$E$9)*($F$9-$E$9)),$G$9-SQRT((1-S793)*($G$9-$E$9)*($G$9-$F$9))))</f>
        <v>1.02366546078</v>
      </c>
      <c r="F793" s="37" t="n">
        <f aca="false">1+IF($G$10=$E$10,$F$10,IF(T793&lt;($F$10-$E$10)/($G$10-$E$10),$E$10+SQRT(T793*($G$10-$E$10)*($F$10-$E$10)),$G$10-SQRT((1-T793)*($G$10-$E$10)*($G$10-$F$10))))</f>
        <v>1.17407692988679</v>
      </c>
      <c r="G793" s="38" t="n">
        <f aca="false">IF($G$11=$E$11,$F$11,IF(U793&lt;($F$11-$E$11)/($G$11-$E$11),$E$11+SQRT(U793*($G$11-$E$11)*($F$11-$E$11)),$G$11-SQRT((1-U793)*($G$11-$E$11)*($G$11-$F$11))))</f>
        <v>0.109037852086217</v>
      </c>
      <c r="H793" s="39" t="n">
        <f aca="false">(('Business Case'!B11*$C793*'Business Case'!B12*$B793)-'Business Case'!B11*$C793*'Business Case'!B13*$D793-'Business Case'!B14*$E793)-MAX(0,(('Business Case'!B11*$C793*'Business Case'!B12*$B793)-'Business Case'!B11*$C793*'Business Case'!B13*$D793-'Business Case'!B14*$E793))*'Business Case'!$B$7-'Business Case'!$B$8*('Business Case'!B11*$C793*'Business Case'!B12*$B793)-'Business Case'!B15*$F793</f>
        <v>-2348153859.77358</v>
      </c>
      <c r="I793" s="39" t="n">
        <f aca="false">(('Business Case'!C11*$C793*'Business Case'!C12*$B793)-'Business Case'!C11*$C793*'Business Case'!C13*$D793-'Business Case'!C14*$E793)-MAX(0,(('Business Case'!C11*$C793*'Business Case'!C12*$B793)-'Business Case'!C11*$C793*'Business Case'!C13*$D793-'Business Case'!C14*$E793))*'Business Case'!$B$7-'Business Case'!$B$8*(('Business Case'!C11*$C793*'Business Case'!C12*$B793)-('Business Case'!B11*$C793*'Business Case'!B12*$B793))-'Business Case'!C15*$F793</f>
        <v>-7785534.12594074</v>
      </c>
      <c r="J793" s="39" t="n">
        <f aca="false">(('Business Case'!D11*$C793*'Business Case'!D12*$B793)-'Business Case'!D11*$C793*'Business Case'!D13*$D793-'Business Case'!D14*$E793)-MAX(0,(('Business Case'!D11*$C793*'Business Case'!D12*$B793)-'Business Case'!D11*$C793*'Business Case'!D13*$D793-'Business Case'!D14*$E793))*'Business Case'!$B$7-'Business Case'!$B$8*(('Business Case'!D11*$C793*'Business Case'!D12*$B793)-('Business Case'!C11*$C793*'Business Case'!C12*$B793))-'Business Case'!D15*$F793</f>
        <v>298566580.05976</v>
      </c>
      <c r="K793" s="39" t="n">
        <f aca="false">(('Business Case'!E11*$C793*'Business Case'!E12*$B793)-'Business Case'!E11*$C793*'Business Case'!E13*$D793-'Business Case'!E14*$E793)-MAX(0,(('Business Case'!E11*$C793*'Business Case'!E12*$B793)-'Business Case'!E11*$C793*'Business Case'!E13*$D793-'Business Case'!E14*$E793))*'Business Case'!$B$7-'Business Case'!$B$8*(('Business Case'!E11*$C793*'Business Case'!E12*$B793)-('Business Case'!D11*$C793*'Business Case'!D12*$B793))-'Business Case'!E15*$F793</f>
        <v>663622540.7398</v>
      </c>
      <c r="L793" s="39" t="n">
        <f aca="false">(('Business Case'!F11*$C793*'Business Case'!F12*$B793)-'Business Case'!F11*$C793*'Business Case'!F13*$D793-'Business Case'!F14*$E793)-MAX(0,(('Business Case'!F11*$C793*'Business Case'!F12*$B793)-'Business Case'!F11*$C793*'Business Case'!F13*$D793-'Business Case'!F14*$E793))*'Business Case'!$B$7-'Business Case'!$B$8*(('Business Case'!F11*$C793*'Business Case'!F12*$B793)-('Business Case'!E11*$C793*'Business Case'!E12*$B793))-'Business Case'!F15*$F793</f>
        <v>799849730.001731</v>
      </c>
      <c r="M793" s="39" t="n">
        <f aca="false">(('Business Case'!G11*$C793*'Business Case'!G12*$B793)-'Business Case'!G11*$C793*'Business Case'!G13*$D793-'Business Case'!G14*$E793)-MAX(0,(('Business Case'!G11*$C793*'Business Case'!G12*$B793)-'Business Case'!G11*$C793*'Business Case'!G13*$D793-'Business Case'!G14*$E793))*'Business Case'!$B$7-'Business Case'!$B$8*(('Business Case'!G11*$C793*'Business Case'!G12*$B793)-('Business Case'!F11*$C793*'Business Case'!F12*$B793))-'Business Case'!G15*$F793+'Business Case'!$B$8*('Business Case'!G11*$C793*'Business Case'!G12*$B793)</f>
        <v>987453728.268569</v>
      </c>
      <c r="N793" s="39" t="n">
        <f aca="false">IF(COUNT('Business Case'!B11:G11)=0,"",H793+NPV(G793,I793:M793))</f>
        <v>-508662220.286878</v>
      </c>
      <c r="P793" s="40" t="n">
        <f aca="true">RAND()</f>
        <v>0.612552523631843</v>
      </c>
      <c r="Q793" s="40" t="n">
        <f aca="true">RAND()</f>
        <v>0.627617539449104</v>
      </c>
      <c r="R793" s="40" t="n">
        <f aca="true">RAND()</f>
        <v>0.208519678559944</v>
      </c>
      <c r="S793" s="40" t="n">
        <f aca="true">RAND()</f>
        <v>0.574388912001864</v>
      </c>
      <c r="T793" s="40" t="n">
        <f aca="true">RAND()</f>
        <v>0.923142498994458</v>
      </c>
      <c r="U793" s="40" t="n">
        <f aca="true">RAND()</f>
        <v>0.707058903227122</v>
      </c>
    </row>
    <row r="794" customFormat="false" ht="15" hidden="false" customHeight="false" outlineLevel="0" collapsed="false">
      <c r="A794" s="36" t="n">
        <v>714</v>
      </c>
      <c r="B794" s="37" t="n">
        <f aca="false">1+IF($G$6=$E$6,$F$6,IF(P794&lt;($F$6-$E$6)/($G$6-$E$6),$E$6+SQRT(P794*($G$6-$E$6)*($F$6-$E$6)),$G$6-SQRT((1-P794)*($G$6-$E$6)*($G$6-$F$6))))</f>
        <v>1.001969984353</v>
      </c>
      <c r="C794" s="37" t="n">
        <f aca="false">1+IF($G$7=$E$7,$F$7,IF(Q794&lt;($F$7-$E$7)/($G$7-$E$7),$E$7+SQRT(Q794*($G$7-$E$7)*($F$7-$E$7)),$G$7-SQRT((1-Q794)*($G$7-$E$7)*($G$7-$F$7))))</f>
        <v>0.881689374832444</v>
      </c>
      <c r="D794" s="37" t="n">
        <f aca="false">1+IF($G$8=$E$8,$F$8,IF(R794&lt;($F$8-$E$8)/($G$8-$E$8),$E$8+SQRT(R794*($G$8-$E$8)*($F$8-$E$8)),$G$8-SQRT((1-R794)*($G$8-$E$8)*($G$8-$F$8))))</f>
        <v>1.06110210458385</v>
      </c>
      <c r="E794" s="37" t="n">
        <f aca="false">1+IF($G$9=$E$9,$F$9,IF(S794&lt;($F$9-$E$9)/($G$9-$E$9),$E$9+SQRT(S794*($G$9-$E$9)*($F$9-$E$9)),$G$9-SQRT((1-S794)*($G$9-$E$9)*($G$9-$F$9))))</f>
        <v>1.08947392376931</v>
      </c>
      <c r="F794" s="37" t="n">
        <f aca="false">1+IF($G$10=$E$10,$F$10,IF(T794&lt;($F$10-$E$10)/($G$10-$E$10),$E$10+SQRT(T794*($G$10-$E$10)*($F$10-$E$10)),$G$10-SQRT((1-T794)*($G$10-$E$10)*($G$10-$F$10))))</f>
        <v>1.08522576877734</v>
      </c>
      <c r="G794" s="38" t="n">
        <f aca="false">IF($G$11=$E$11,$F$11,IF(U794&lt;($F$11-$E$11)/($G$11-$E$11),$E$11+SQRT(U794*($G$11-$E$11)*($F$11-$E$11)),$G$11-SQRT((1-U794)*($G$11-$E$11)*($G$11-$F$11))))</f>
        <v>0.097387405910485</v>
      </c>
      <c r="H794" s="39" t="n">
        <f aca="false">(('Business Case'!B11*$C794*'Business Case'!B12*$B794)-'Business Case'!B11*$C794*'Business Case'!B13*$D794-'Business Case'!B14*$E794)-MAX(0,(('Business Case'!B11*$C794*'Business Case'!B12*$B794)-'Business Case'!B11*$C794*'Business Case'!B13*$D794-'Business Case'!B14*$E794))*'Business Case'!$B$7-'Business Case'!$B$8*('Business Case'!B11*$C794*'Business Case'!B12*$B794)-'Business Case'!B15*$F794</f>
        <v>-2170451537.55468</v>
      </c>
      <c r="I794" s="39" t="n">
        <f aca="false">(('Business Case'!C11*$C794*'Business Case'!C12*$B794)-'Business Case'!C11*$C794*'Business Case'!C13*$D794-'Business Case'!C14*$E794)-MAX(0,(('Business Case'!C11*$C794*'Business Case'!C12*$B794)-'Business Case'!C11*$C794*'Business Case'!C13*$D794-'Business Case'!C14*$E794))*'Business Case'!$B$7-'Business Case'!$B$8*(('Business Case'!C11*$C794*'Business Case'!C12*$B794)-('Business Case'!B11*$C794*'Business Case'!B12*$B794))-'Business Case'!C15*$F794</f>
        <v>-64585980.2256172</v>
      </c>
      <c r="J794" s="39" t="n">
        <f aca="false">(('Business Case'!D11*$C794*'Business Case'!D12*$B794)-'Business Case'!D11*$C794*'Business Case'!D13*$D794-'Business Case'!D14*$E794)-MAX(0,(('Business Case'!D11*$C794*'Business Case'!D12*$B794)-'Business Case'!D11*$C794*'Business Case'!D13*$D794-'Business Case'!D14*$E794))*'Business Case'!$B$7-'Business Case'!$B$8*(('Business Case'!D11*$C794*'Business Case'!D12*$B794)-('Business Case'!C11*$C794*'Business Case'!C12*$B794))-'Business Case'!D15*$F794</f>
        <v>180070627.213702</v>
      </c>
      <c r="K794" s="39" t="n">
        <f aca="false">(('Business Case'!E11*$C794*'Business Case'!E12*$B794)-'Business Case'!E11*$C794*'Business Case'!E13*$D794-'Business Case'!E14*$E794)-MAX(0,(('Business Case'!E11*$C794*'Business Case'!E12*$B794)-'Business Case'!E11*$C794*'Business Case'!E13*$D794-'Business Case'!E14*$E794))*'Business Case'!$B$7-'Business Case'!$B$8*(('Business Case'!E11*$C794*'Business Case'!E12*$B794)-('Business Case'!D11*$C794*'Business Case'!D12*$B794))-'Business Case'!E15*$F794</f>
        <v>478988523.091888</v>
      </c>
      <c r="L794" s="39" t="n">
        <f aca="false">(('Business Case'!F11*$C794*'Business Case'!F12*$B794)-'Business Case'!F11*$C794*'Business Case'!F13*$D794-'Business Case'!F14*$E794)-MAX(0,(('Business Case'!F11*$C794*'Business Case'!F12*$B794)-'Business Case'!F11*$C794*'Business Case'!F13*$D794-'Business Case'!F14*$E794))*'Business Case'!$B$7-'Business Case'!$B$8*(('Business Case'!F11*$C794*'Business Case'!F12*$B794)-('Business Case'!E11*$C794*'Business Case'!E12*$B794))-'Business Case'!F15*$F794</f>
        <v>591071938.123133</v>
      </c>
      <c r="M794" s="39" t="n">
        <f aca="false">(('Business Case'!G11*$C794*'Business Case'!G12*$B794)-'Business Case'!G11*$C794*'Business Case'!G13*$D794-'Business Case'!G14*$E794)-MAX(0,(('Business Case'!G11*$C794*'Business Case'!G12*$B794)-'Business Case'!G11*$C794*'Business Case'!G13*$D794-'Business Case'!G14*$E794))*'Business Case'!$B$7-'Business Case'!$B$8*(('Business Case'!G11*$C794*'Business Case'!G12*$B794)-('Business Case'!F11*$C794*'Business Case'!F12*$B794))-'Business Case'!G15*$F794+'Business Case'!$B$8*('Business Case'!G11*$C794*'Business Case'!G12*$B794)</f>
        <v>758993607.156225</v>
      </c>
      <c r="N794" s="39" t="n">
        <f aca="false">IF(COUNT('Business Case'!B11:G11)=0,"",H794+NPV(G794,I794:M794))</f>
        <v>-832849775.481489</v>
      </c>
      <c r="P794" s="40" t="n">
        <f aca="true">RAND()</f>
        <v>0.692415679593233</v>
      </c>
      <c r="Q794" s="40" t="n">
        <f aca="true">RAND()</f>
        <v>0.244526140200031</v>
      </c>
      <c r="R794" s="40" t="n">
        <f aca="true">RAND()</f>
        <v>0.899130248812943</v>
      </c>
      <c r="S794" s="40" t="n">
        <f aca="true">RAND()</f>
        <v>0.902309175896442</v>
      </c>
      <c r="T794" s="40" t="n">
        <f aca="true">RAND()</f>
        <v>0.637992702999741</v>
      </c>
      <c r="U794" s="40" t="n">
        <f aca="true">RAND()</f>
        <v>0.30232188429597</v>
      </c>
    </row>
    <row r="795" customFormat="false" ht="15" hidden="false" customHeight="false" outlineLevel="0" collapsed="false">
      <c r="A795" s="36" t="n">
        <v>715</v>
      </c>
      <c r="B795" s="37" t="n">
        <f aca="false">1+IF($G$6=$E$6,$F$6,IF(P795&lt;($F$6-$E$6)/($G$6-$E$6),$E$6+SQRT(P795*($G$6-$E$6)*($F$6-$E$6)),$G$6-SQRT((1-P795)*($G$6-$E$6)*($G$6-$F$6))))</f>
        <v>0.92635478443102</v>
      </c>
      <c r="C795" s="37" t="n">
        <f aca="false">1+IF($G$7=$E$7,$F$7,IF(Q795&lt;($F$7-$E$7)/($G$7-$E$7),$E$7+SQRT(Q795*($G$7-$E$7)*($F$7-$E$7)),$G$7-SQRT((1-Q795)*($G$7-$E$7)*($G$7-$F$7))))</f>
        <v>1.13859435034977</v>
      </c>
      <c r="D795" s="37" t="n">
        <f aca="false">1+IF($G$8=$E$8,$F$8,IF(R795&lt;($F$8-$E$8)/($G$8-$E$8),$E$8+SQRT(R795*($G$8-$E$8)*($F$8-$E$8)),$G$8-SQRT((1-R795)*($G$8-$E$8)*($G$8-$F$8))))</f>
        <v>1.00865727190441</v>
      </c>
      <c r="E795" s="37" t="n">
        <f aca="false">1+IF($G$9=$E$9,$F$9,IF(S795&lt;($F$9-$E$9)/($G$9-$E$9),$E$9+SQRT(S795*($G$9-$E$9)*($F$9-$E$9)),$G$9-SQRT((1-S795)*($G$9-$E$9)*($G$9-$F$9))))</f>
        <v>1.04201231629842</v>
      </c>
      <c r="F795" s="37" t="n">
        <f aca="false">1+IF($G$10=$E$10,$F$10,IF(T795&lt;($F$10-$E$10)/($G$10-$E$10),$E$10+SQRT(T795*($G$10-$E$10)*($F$10-$E$10)),$G$10-SQRT((1-T795)*($G$10-$E$10)*($G$10-$F$10))))</f>
        <v>1.07299700392888</v>
      </c>
      <c r="G795" s="38" t="n">
        <f aca="false">IF($G$11=$E$11,$F$11,IF(U795&lt;($F$11-$E$11)/($G$11-$E$11),$E$11+SQRT(U795*($G$11-$E$11)*($F$11-$E$11)),$G$11-SQRT((1-U795)*($G$11-$E$11)*($G$11-$F$11))))</f>
        <v>0.120291847583293</v>
      </c>
      <c r="H795" s="39" t="n">
        <f aca="false">(('Business Case'!B11*$C795*'Business Case'!B12*$B795)-'Business Case'!B11*$C795*'Business Case'!B13*$D795-'Business Case'!B14*$E795)-MAX(0,(('Business Case'!B11*$C795*'Business Case'!B12*$B795)-'Business Case'!B11*$C795*'Business Case'!B13*$D795-'Business Case'!B14*$E795))*'Business Case'!$B$7-'Business Case'!$B$8*('Business Case'!B11*$C795*'Business Case'!B12*$B795)-'Business Case'!B15*$F795</f>
        <v>-2145994007.85776</v>
      </c>
      <c r="I795" s="39" t="n">
        <f aca="false">(('Business Case'!C11*$C795*'Business Case'!C12*$B795)-'Business Case'!C11*$C795*'Business Case'!C13*$D795-'Business Case'!C14*$E795)-MAX(0,(('Business Case'!C11*$C795*'Business Case'!C12*$B795)-'Business Case'!C11*$C795*'Business Case'!C13*$D795-'Business Case'!C14*$E795))*'Business Case'!$B$7-'Business Case'!$B$8*(('Business Case'!C11*$C795*'Business Case'!C12*$B795)-('Business Case'!B11*$C795*'Business Case'!B12*$B795))-'Business Case'!C15*$F795</f>
        <v>-34157066.2161883</v>
      </c>
      <c r="J795" s="39" t="n">
        <f aca="false">(('Business Case'!D11*$C795*'Business Case'!D12*$B795)-'Business Case'!D11*$C795*'Business Case'!D13*$D795-'Business Case'!D14*$E795)-MAX(0,(('Business Case'!D11*$C795*'Business Case'!D12*$B795)-'Business Case'!D11*$C795*'Business Case'!D13*$D795-'Business Case'!D14*$E795))*'Business Case'!$B$7-'Business Case'!$B$8*(('Business Case'!D11*$C795*'Business Case'!D12*$B795)-('Business Case'!C11*$C795*'Business Case'!C12*$B795))-'Business Case'!D15*$F795</f>
        <v>241837561.412889</v>
      </c>
      <c r="K795" s="39" t="n">
        <f aca="false">(('Business Case'!E11*$C795*'Business Case'!E12*$B795)-'Business Case'!E11*$C795*'Business Case'!E13*$D795-'Business Case'!E14*$E795)-MAX(0,(('Business Case'!E11*$C795*'Business Case'!E12*$B795)-'Business Case'!E11*$C795*'Business Case'!E13*$D795-'Business Case'!E14*$E795))*'Business Case'!$B$7-'Business Case'!$B$8*(('Business Case'!E11*$C795*'Business Case'!E12*$B795)-('Business Case'!D11*$C795*'Business Case'!D12*$B795))-'Business Case'!E15*$F795</f>
        <v>571482039.238409</v>
      </c>
      <c r="L795" s="39" t="n">
        <f aca="false">(('Business Case'!F11*$C795*'Business Case'!F12*$B795)-'Business Case'!F11*$C795*'Business Case'!F13*$D795-'Business Case'!F14*$E795)-MAX(0,(('Business Case'!F11*$C795*'Business Case'!F12*$B795)-'Business Case'!F11*$C795*'Business Case'!F13*$D795-'Business Case'!F14*$E795))*'Business Case'!$B$7-'Business Case'!$B$8*(('Business Case'!F11*$C795*'Business Case'!F12*$B795)-('Business Case'!E11*$C795*'Business Case'!E12*$B795))-'Business Case'!F15*$F795</f>
        <v>699932143.164596</v>
      </c>
      <c r="M795" s="39" t="n">
        <f aca="false">(('Business Case'!G11*$C795*'Business Case'!G12*$B795)-'Business Case'!G11*$C795*'Business Case'!G13*$D795-'Business Case'!G14*$E795)-MAX(0,(('Business Case'!G11*$C795*'Business Case'!G12*$B795)-'Business Case'!G11*$C795*'Business Case'!G13*$D795-'Business Case'!G14*$E795))*'Business Case'!$B$7-'Business Case'!$B$8*(('Business Case'!G11*$C795*'Business Case'!G12*$B795)-('Business Case'!F11*$C795*'Business Case'!F12*$B795))-'Business Case'!G15*$F795+'Business Case'!$B$8*('Business Case'!G11*$C795*'Business Case'!G12*$B795)</f>
        <v>900417564.105315</v>
      </c>
      <c r="N795" s="39" t="n">
        <f aca="false">IF(COUNT('Business Case'!B11:G11)=0,"",H795+NPV(G795,I795:M795))</f>
        <v>-622728503.947728</v>
      </c>
      <c r="P795" s="40" t="n">
        <f aca="true">RAND()</f>
        <v>0.0463049774937018</v>
      </c>
      <c r="Q795" s="40" t="n">
        <f aca="true">RAND()</f>
        <v>0.9980727578675</v>
      </c>
      <c r="R795" s="40" t="n">
        <f aca="true">RAND()</f>
        <v>0.443767068270281</v>
      </c>
      <c r="S795" s="40" t="n">
        <f aca="true">RAND()</f>
        <v>0.689030937833811</v>
      </c>
      <c r="T795" s="40" t="n">
        <f aca="true">RAND()</f>
        <v>0.582265858424628</v>
      </c>
      <c r="U795" s="40" t="n">
        <f aca="true">RAND()</f>
        <v>0.937167851102653</v>
      </c>
    </row>
    <row r="796" customFormat="false" ht="15" hidden="false" customHeight="false" outlineLevel="0" collapsed="false">
      <c r="A796" s="36" t="n">
        <v>716</v>
      </c>
      <c r="B796" s="37" t="n">
        <f aca="false">1+IF($G$6=$E$6,$F$6,IF(P796&lt;($F$6-$E$6)/($G$6-$E$6),$E$6+SQRT(P796*($G$6-$E$6)*($F$6-$E$6)),$G$6-SQRT((1-P796)*($G$6-$E$6)*($G$6-$F$6))))</f>
        <v>0.995368461270308</v>
      </c>
      <c r="C796" s="37" t="n">
        <f aca="false">1+IF($G$7=$E$7,$F$7,IF(Q796&lt;($F$7-$E$7)/($G$7-$E$7),$E$7+SQRT(Q796*($G$7-$E$7)*($F$7-$E$7)),$G$7-SQRT((1-Q796)*($G$7-$E$7)*($G$7-$F$7))))</f>
        <v>1.00612704476704</v>
      </c>
      <c r="D796" s="37" t="n">
        <f aca="false">1+IF($G$8=$E$8,$F$8,IF(R796&lt;($F$8-$E$8)/($G$8-$E$8),$E$8+SQRT(R796*($G$8-$E$8)*($F$8-$E$8)),$G$8-SQRT((1-R796)*($G$8-$E$8)*($G$8-$F$8))))</f>
        <v>1.00609639818974</v>
      </c>
      <c r="E796" s="37" t="n">
        <f aca="false">1+IF($G$9=$E$9,$F$9,IF(S796&lt;($F$9-$E$9)/($G$9-$E$9),$E$9+SQRT(S796*($G$9-$E$9)*($F$9-$E$9)),$G$9-SQRT((1-S796)*($G$9-$E$9)*($G$9-$F$9))))</f>
        <v>1.00239776545118</v>
      </c>
      <c r="F796" s="37" t="n">
        <f aca="false">1+IF($G$10=$E$10,$F$10,IF(T796&lt;($F$10-$E$10)/($G$10-$E$10),$E$10+SQRT(T796*($G$10-$E$10)*($F$10-$E$10)),$G$10-SQRT((1-T796)*($G$10-$E$10)*($G$10-$F$10))))</f>
        <v>1.14932180298683</v>
      </c>
      <c r="G796" s="38" t="n">
        <f aca="false">IF($G$11=$E$11,$F$11,IF(U796&lt;($F$11-$E$11)/($G$11-$E$11),$E$11+SQRT(U796*($G$11-$E$11)*($F$11-$E$11)),$G$11-SQRT((1-U796)*($G$11-$E$11)*($G$11-$F$11))))</f>
        <v>0.10925260193883</v>
      </c>
      <c r="H796" s="39" t="n">
        <f aca="false">(('Business Case'!B11*$C796*'Business Case'!B12*$B796)-'Business Case'!B11*$C796*'Business Case'!B13*$D796-'Business Case'!B14*$E796)-MAX(0,(('Business Case'!B11*$C796*'Business Case'!B12*$B796)-'Business Case'!B11*$C796*'Business Case'!B13*$D796-'Business Case'!B14*$E796))*'Business Case'!$B$7-'Business Case'!$B$8*('Business Case'!B11*$C796*'Business Case'!B12*$B796)-'Business Case'!B15*$F796</f>
        <v>-2298643605.97365</v>
      </c>
      <c r="I796" s="39" t="n">
        <f aca="false">(('Business Case'!C11*$C796*'Business Case'!C12*$B796)-'Business Case'!C11*$C796*'Business Case'!C13*$D796-'Business Case'!C14*$E796)-MAX(0,(('Business Case'!C11*$C796*'Business Case'!C12*$B796)-'Business Case'!C11*$C796*'Business Case'!C13*$D796-'Business Case'!C14*$E796))*'Business Case'!$B$7-'Business Case'!$B$8*(('Business Case'!C11*$C796*'Business Case'!C12*$B796)-('Business Case'!B11*$C796*'Business Case'!B12*$B796))-'Business Case'!C15*$F796</f>
        <v>-7312061.31259777</v>
      </c>
      <c r="J796" s="39" t="n">
        <f aca="false">(('Business Case'!D11*$C796*'Business Case'!D12*$B796)-'Business Case'!D11*$C796*'Business Case'!D13*$D796-'Business Case'!D14*$E796)-MAX(0,(('Business Case'!D11*$C796*'Business Case'!D12*$B796)-'Business Case'!D11*$C796*'Business Case'!D13*$D796-'Business Case'!D14*$E796))*'Business Case'!$B$7-'Business Case'!$B$8*(('Business Case'!D11*$C796*'Business Case'!D12*$B796)-('Business Case'!C11*$C796*'Business Case'!C12*$B796))-'Business Case'!D15*$F796</f>
        <v>294765075.856497</v>
      </c>
      <c r="K796" s="39" t="n">
        <f aca="false">(('Business Case'!E11*$C796*'Business Case'!E12*$B796)-'Business Case'!E11*$C796*'Business Case'!E13*$D796-'Business Case'!E14*$E796)-MAX(0,(('Business Case'!E11*$C796*'Business Case'!E12*$B796)-'Business Case'!E11*$C796*'Business Case'!E13*$D796-'Business Case'!E14*$E796))*'Business Case'!$B$7-'Business Case'!$B$8*(('Business Case'!E11*$C796*'Business Case'!E12*$B796)-('Business Case'!D11*$C796*'Business Case'!D12*$B796))-'Business Case'!E15*$F796</f>
        <v>654308303.174933</v>
      </c>
      <c r="L796" s="39" t="n">
        <f aca="false">(('Business Case'!F11*$C796*'Business Case'!F12*$B796)-'Business Case'!F11*$C796*'Business Case'!F13*$D796-'Business Case'!F14*$E796)-MAX(0,(('Business Case'!F11*$C796*'Business Case'!F12*$B796)-'Business Case'!F11*$C796*'Business Case'!F13*$D796-'Business Case'!F14*$E796))*'Business Case'!$B$7-'Business Case'!$B$8*(('Business Case'!F11*$C796*'Business Case'!F12*$B796)-('Business Case'!E11*$C796*'Business Case'!E12*$B796))-'Business Case'!F15*$F796</f>
        <v>789611386.188533</v>
      </c>
      <c r="M796" s="39" t="n">
        <f aca="false">(('Business Case'!G11*$C796*'Business Case'!G12*$B796)-'Business Case'!G11*$C796*'Business Case'!G13*$D796-'Business Case'!G14*$E796)-MAX(0,(('Business Case'!G11*$C796*'Business Case'!G12*$B796)-'Business Case'!G11*$C796*'Business Case'!G13*$D796-'Business Case'!G14*$E796))*'Business Case'!$B$7-'Business Case'!$B$8*(('Business Case'!G11*$C796*'Business Case'!G12*$B796)-('Business Case'!F11*$C796*'Business Case'!F12*$B796))-'Business Case'!G15*$F796+'Business Case'!$B$8*('Business Case'!G11*$C796*'Business Case'!G12*$B796)</f>
        <v>979970257.953325</v>
      </c>
      <c r="N796" s="39" t="n">
        <f aca="false">IF(COUNT('Business Case'!B11:G11)=0,"",H796+NPV(G796,I796:M796))</f>
        <v>-481211439.081171</v>
      </c>
      <c r="P796" s="40" t="n">
        <f aca="true">RAND()</f>
        <v>0.606342893671085</v>
      </c>
      <c r="Q796" s="40" t="n">
        <f aca="true">RAND()</f>
        <v>0.693341818556084</v>
      </c>
      <c r="R796" s="40" t="n">
        <f aca="true">RAND()</f>
        <v>0.412140904470684</v>
      </c>
      <c r="S796" s="40" t="n">
        <f aca="true">RAND()</f>
        <v>0.419028809498527</v>
      </c>
      <c r="T796" s="40" t="n">
        <f aca="true">RAND()</f>
        <v>0.864852008615685</v>
      </c>
      <c r="U796" s="40" t="n">
        <f aca="true">RAND()</f>
        <v>0.713030315794241</v>
      </c>
    </row>
    <row r="797" customFormat="false" ht="15" hidden="false" customHeight="false" outlineLevel="0" collapsed="false">
      <c r="A797" s="36" t="n">
        <v>717</v>
      </c>
      <c r="B797" s="37" t="n">
        <f aca="false">1+IF($G$6=$E$6,$F$6,IF(P797&lt;($F$6-$E$6)/($G$6-$E$6),$E$6+SQRT(P797*($G$6-$E$6)*($F$6-$E$6)),$G$6-SQRT((1-P797)*($G$6-$E$6)*($G$6-$F$6))))</f>
        <v>1.0137680352512</v>
      </c>
      <c r="C797" s="37" t="n">
        <f aca="false">1+IF($G$7=$E$7,$F$7,IF(Q797&lt;($F$7-$E$7)/($G$7-$E$7),$E$7+SQRT(Q797*($G$7-$E$7)*($F$7-$E$7)),$G$7-SQRT((1-Q797)*($G$7-$E$7)*($G$7-$F$7))))</f>
        <v>0.906042927343513</v>
      </c>
      <c r="D797" s="37" t="n">
        <f aca="false">1+IF($G$8=$E$8,$F$8,IF(R797&lt;($F$8-$E$8)/($G$8-$E$8),$E$8+SQRT(R797*($G$8-$E$8)*($F$8-$E$8)),$G$8-SQRT((1-R797)*($G$8-$E$8)*($G$8-$F$8))))</f>
        <v>1.03441987189322</v>
      </c>
      <c r="E797" s="37" t="n">
        <f aca="false">1+IF($G$9=$E$9,$F$9,IF(S797&lt;($F$9-$E$9)/($G$9-$E$9),$E$9+SQRT(S797*($G$9-$E$9)*($F$9-$E$9)),$G$9-SQRT((1-S797)*($G$9-$E$9)*($G$9-$F$9))))</f>
        <v>1.00765751119793</v>
      </c>
      <c r="F797" s="37" t="n">
        <f aca="false">1+IF($G$10=$E$10,$F$10,IF(T797&lt;($F$10-$E$10)/($G$10-$E$10),$E$10+SQRT(T797*($G$10-$E$10)*($F$10-$E$10)),$G$10-SQRT((1-T797)*($G$10-$E$10)*($G$10-$F$10))))</f>
        <v>1.04120419356321</v>
      </c>
      <c r="G797" s="38" t="n">
        <f aca="false">IF($G$11=$E$11,$F$11,IF(U797&lt;($F$11-$E$11)/($G$11-$E$11),$E$11+SQRT(U797*($G$11-$E$11)*($F$11-$E$11)),$G$11-SQRT((1-U797)*($G$11-$E$11)*($G$11-$F$11))))</f>
        <v>0.0923556899282595</v>
      </c>
      <c r="H797" s="39" t="n">
        <f aca="false">(('Business Case'!B11*$C797*'Business Case'!B12*$B797)-'Business Case'!B11*$C797*'Business Case'!B13*$D797-'Business Case'!B14*$E797)-MAX(0,(('Business Case'!B11*$C797*'Business Case'!B12*$B797)-'Business Case'!B11*$C797*'Business Case'!B13*$D797-'Business Case'!B14*$E797))*'Business Case'!$B$7-'Business Case'!$B$8*('Business Case'!B11*$C797*'Business Case'!B12*$B797)-'Business Case'!B15*$F797</f>
        <v>-2082408387.12642</v>
      </c>
      <c r="I797" s="39" t="n">
        <f aca="false">(('Business Case'!C11*$C797*'Business Case'!C12*$B797)-'Business Case'!C11*$C797*'Business Case'!C13*$D797-'Business Case'!C14*$E797)-MAX(0,(('Business Case'!C11*$C797*'Business Case'!C12*$B797)-'Business Case'!C11*$C797*'Business Case'!C13*$D797-'Business Case'!C14*$E797))*'Business Case'!$B$7-'Business Case'!$B$8*(('Business Case'!C11*$C797*'Business Case'!C12*$B797)-('Business Case'!B11*$C797*'Business Case'!B12*$B797))-'Business Case'!C15*$F797</f>
        <v>-22479579.4181242</v>
      </c>
      <c r="J797" s="39" t="n">
        <f aca="false">(('Business Case'!D11*$C797*'Business Case'!D12*$B797)-'Business Case'!D11*$C797*'Business Case'!D13*$D797-'Business Case'!D14*$E797)-MAX(0,(('Business Case'!D11*$C797*'Business Case'!D12*$B797)-'Business Case'!D11*$C797*'Business Case'!D13*$D797-'Business Case'!D14*$E797))*'Business Case'!$B$7-'Business Case'!$B$8*(('Business Case'!D11*$C797*'Business Case'!D12*$B797)-('Business Case'!C11*$C797*'Business Case'!C12*$B797))-'Business Case'!D15*$F797</f>
        <v>250066098.467015</v>
      </c>
      <c r="K797" s="39" t="n">
        <f aca="false">(('Business Case'!E11*$C797*'Business Case'!E12*$B797)-'Business Case'!E11*$C797*'Business Case'!E13*$D797-'Business Case'!E14*$E797)-MAX(0,(('Business Case'!E11*$C797*'Business Case'!E12*$B797)-'Business Case'!E11*$C797*'Business Case'!E13*$D797-'Business Case'!E14*$E797))*'Business Case'!$B$7-'Business Case'!$B$8*(('Business Case'!E11*$C797*'Business Case'!E12*$B797)-('Business Case'!D11*$C797*'Business Case'!D12*$B797))-'Business Case'!E15*$F797</f>
        <v>574671986.030315</v>
      </c>
      <c r="L797" s="39" t="n">
        <f aca="false">(('Business Case'!F11*$C797*'Business Case'!F12*$B797)-'Business Case'!F11*$C797*'Business Case'!F13*$D797-'Business Case'!F14*$E797)-MAX(0,(('Business Case'!F11*$C797*'Business Case'!F12*$B797)-'Business Case'!F11*$C797*'Business Case'!F13*$D797-'Business Case'!F14*$E797))*'Business Case'!$B$7-'Business Case'!$B$8*(('Business Case'!F11*$C797*'Business Case'!F12*$B797)-('Business Case'!E11*$C797*'Business Case'!E12*$B797))-'Business Case'!F15*$F797</f>
        <v>697264505.228426</v>
      </c>
      <c r="M797" s="39" t="n">
        <f aca="false">(('Business Case'!G11*$C797*'Business Case'!G12*$B797)-'Business Case'!G11*$C797*'Business Case'!G13*$D797-'Business Case'!G14*$E797)-MAX(0,(('Business Case'!G11*$C797*'Business Case'!G12*$B797)-'Business Case'!G11*$C797*'Business Case'!G13*$D797-'Business Case'!G14*$E797))*'Business Case'!$B$7-'Business Case'!$B$8*(('Business Case'!G11*$C797*'Business Case'!G12*$B797)-('Business Case'!F11*$C797*'Business Case'!F12*$B797))-'Business Case'!G15*$F797+'Business Case'!$B$8*('Business Case'!G11*$C797*'Business Case'!G12*$B797)</f>
        <v>871856284.695283</v>
      </c>
      <c r="N797" s="39" t="n">
        <f aca="false">IF(COUNT('Business Case'!B11:G11)=0,"",H797+NPV(G797,I797:M797))</f>
        <v>-402255342.107217</v>
      </c>
      <c r="P797" s="40" t="n">
        <f aca="true">RAND()</f>
        <v>0.82496596405888</v>
      </c>
      <c r="Q797" s="40" t="n">
        <f aca="true">RAND()</f>
        <v>0.314471762283586</v>
      </c>
      <c r="R797" s="40" t="n">
        <f aca="true">RAND()</f>
        <v>0.71328311983322</v>
      </c>
      <c r="S797" s="40" t="n">
        <f aca="true">RAND()</f>
        <v>0.459696423510178</v>
      </c>
      <c r="T797" s="40" t="n">
        <f aca="true">RAND()</f>
        <v>0.418724149525471</v>
      </c>
      <c r="U797" s="40" t="n">
        <f aca="true">RAND()</f>
        <v>0.152663073603294</v>
      </c>
    </row>
    <row r="798" customFormat="false" ht="15" hidden="false" customHeight="false" outlineLevel="0" collapsed="false">
      <c r="A798" s="36" t="n">
        <v>718</v>
      </c>
      <c r="B798" s="37" t="n">
        <f aca="false">1+IF($G$6=$E$6,$F$6,IF(P798&lt;($F$6-$E$6)/($G$6-$E$6),$E$6+SQRT(P798*($G$6-$E$6)*($F$6-$E$6)),$G$6-SQRT((1-P798)*($G$6-$E$6)*($G$6-$F$6))))</f>
        <v>1.00108024925195</v>
      </c>
      <c r="C798" s="37" t="n">
        <f aca="false">1+IF($G$7=$E$7,$F$7,IF(Q798&lt;($F$7-$E$7)/($G$7-$E$7),$E$7+SQRT(Q798*($G$7-$E$7)*($F$7-$E$7)),$G$7-SQRT((1-Q798)*($G$7-$E$7)*($G$7-$F$7))))</f>
        <v>1.0932612158677</v>
      </c>
      <c r="D798" s="37" t="n">
        <f aca="false">1+IF($G$8=$E$8,$F$8,IF(R798&lt;($F$8-$E$8)/($G$8-$E$8),$E$8+SQRT(R798*($G$8-$E$8)*($F$8-$E$8)),$G$8-SQRT((1-R798)*($G$8-$E$8)*($G$8-$F$8))))</f>
        <v>1.03266916450654</v>
      </c>
      <c r="E798" s="37" t="n">
        <f aca="false">1+IF($G$9=$E$9,$F$9,IF(S798&lt;($F$9-$E$9)/($G$9-$E$9),$E$9+SQRT(S798*($G$9-$E$9)*($F$9-$E$9)),$G$9-SQRT((1-S798)*($G$9-$E$9)*($G$9-$F$9))))</f>
        <v>1.08848161722622</v>
      </c>
      <c r="F798" s="37" t="n">
        <f aca="false">1+IF($G$10=$E$10,$F$10,IF(T798&lt;($F$10-$E$10)/($G$10-$E$10),$E$10+SQRT(T798*($G$10-$E$10)*($F$10-$E$10)),$G$10-SQRT((1-T798)*($G$10-$E$10)*($G$10-$F$10))))</f>
        <v>1.21149327392217</v>
      </c>
      <c r="G798" s="38" t="n">
        <f aca="false">IF($G$11=$E$11,$F$11,IF(U798&lt;($F$11-$E$11)/($G$11-$E$11),$E$11+SQRT(U798*($G$11-$E$11)*($F$11-$E$11)),$G$11-SQRT((1-U798)*($G$11-$E$11)*($G$11-$F$11))))</f>
        <v>0.118665579338985</v>
      </c>
      <c r="H798" s="39" t="n">
        <f aca="false">(('Business Case'!B11*$C798*'Business Case'!B12*$B798)-'Business Case'!B11*$C798*'Business Case'!B13*$D798-'Business Case'!B14*$E798)-MAX(0,(('Business Case'!B11*$C798*'Business Case'!B12*$B798)-'Business Case'!B11*$C798*'Business Case'!B13*$D798-'Business Case'!B14*$E798))*'Business Case'!$B$7-'Business Case'!$B$8*('Business Case'!B11*$C798*'Business Case'!B12*$B798)-'Business Case'!B15*$F798</f>
        <v>-2422986547.84434</v>
      </c>
      <c r="I798" s="39" t="n">
        <f aca="false">(('Business Case'!C11*$C798*'Business Case'!C12*$B798)-'Business Case'!C11*$C798*'Business Case'!C13*$D798-'Business Case'!C14*$E798)-MAX(0,(('Business Case'!C11*$C798*'Business Case'!C12*$B798)-'Business Case'!C11*$C798*'Business Case'!C13*$D798-'Business Case'!C14*$E798))*'Business Case'!$B$7-'Business Case'!$B$8*(('Business Case'!C11*$C798*'Business Case'!C12*$B798)-('Business Case'!B11*$C798*'Business Case'!B12*$B798))-'Business Case'!C15*$F798</f>
        <v>-14186308.1056491</v>
      </c>
      <c r="J798" s="39" t="n">
        <f aca="false">(('Business Case'!D11*$C798*'Business Case'!D12*$B798)-'Business Case'!D11*$C798*'Business Case'!D13*$D798-'Business Case'!D14*$E798)-MAX(0,(('Business Case'!D11*$C798*'Business Case'!D12*$B798)-'Business Case'!D11*$C798*'Business Case'!D13*$D798-'Business Case'!D14*$E798))*'Business Case'!$B$7-'Business Case'!$B$8*(('Business Case'!D11*$C798*'Business Case'!D12*$B798)-('Business Case'!C11*$C798*'Business Case'!C12*$B798))-'Business Case'!D15*$F798</f>
        <v>304294681.341684</v>
      </c>
      <c r="K798" s="39" t="n">
        <f aca="false">(('Business Case'!E11*$C798*'Business Case'!E12*$B798)-'Business Case'!E11*$C798*'Business Case'!E13*$D798-'Business Case'!E14*$E798)-MAX(0,(('Business Case'!E11*$C798*'Business Case'!E12*$B798)-'Business Case'!E11*$C798*'Business Case'!E13*$D798-'Business Case'!E14*$E798))*'Business Case'!$B$7-'Business Case'!$B$8*(('Business Case'!E11*$C798*'Business Case'!E12*$B798)-('Business Case'!D11*$C798*'Business Case'!D12*$B798))-'Business Case'!E15*$F798</f>
        <v>683350334.485126</v>
      </c>
      <c r="L798" s="39" t="n">
        <f aca="false">(('Business Case'!F11*$C798*'Business Case'!F12*$B798)-'Business Case'!F11*$C798*'Business Case'!F13*$D798-'Business Case'!F14*$E798)-MAX(0,(('Business Case'!F11*$C798*'Business Case'!F12*$B798)-'Business Case'!F11*$C798*'Business Case'!F13*$D798-'Business Case'!F14*$E798))*'Business Case'!$B$7-'Business Case'!$B$8*(('Business Case'!F11*$C798*'Business Case'!F12*$B798)-('Business Case'!E11*$C798*'Business Case'!E12*$B798))-'Business Case'!F15*$F798</f>
        <v>827334587.095034</v>
      </c>
      <c r="M798" s="39" t="n">
        <f aca="false">(('Business Case'!G11*$C798*'Business Case'!G12*$B798)-'Business Case'!G11*$C798*'Business Case'!G13*$D798-'Business Case'!G14*$E798)-MAX(0,(('Business Case'!G11*$C798*'Business Case'!G12*$B798)-'Business Case'!G11*$C798*'Business Case'!G13*$D798-'Business Case'!G14*$E798))*'Business Case'!$B$7-'Business Case'!$B$8*(('Business Case'!G11*$C798*'Business Case'!G12*$B798)-('Business Case'!F11*$C798*'Business Case'!F12*$B798))-'Business Case'!G15*$F798+'Business Case'!$B$8*('Business Case'!G11*$C798*'Business Case'!G12*$B798)</f>
        <v>1035366162.46275</v>
      </c>
      <c r="N798" s="39" t="n">
        <f aca="false">IF(COUNT('Business Case'!B11:G11)=0,"",H798+NPV(G798,I798:M798))</f>
        <v>-585062793.655078</v>
      </c>
      <c r="P798" s="40" t="n">
        <f aca="true">RAND()</f>
        <v>0.680914398233125</v>
      </c>
      <c r="Q798" s="40" t="n">
        <f aca="true">RAND()</f>
        <v>0.952306820373156</v>
      </c>
      <c r="R798" s="40" t="n">
        <f aca="true">RAND()</f>
        <v>0.697770572783475</v>
      </c>
      <c r="S798" s="40" t="n">
        <f aca="true">RAND()</f>
        <v>0.899079695490639</v>
      </c>
      <c r="T798" s="40" t="n">
        <f aca="true">RAND()</f>
        <v>0.980229760623561</v>
      </c>
      <c r="U798" s="40" t="n">
        <f aca="true">RAND()</f>
        <v>0.914353938852766</v>
      </c>
    </row>
    <row r="799" customFormat="false" ht="15" hidden="false" customHeight="false" outlineLevel="0" collapsed="false">
      <c r="A799" s="36" t="n">
        <v>719</v>
      </c>
      <c r="B799" s="37" t="n">
        <f aca="false">1+IF($G$6=$E$6,$F$6,IF(P799&lt;($F$6-$E$6)/($G$6-$E$6),$E$6+SQRT(P799*($G$6-$E$6)*($F$6-$E$6)),$G$6-SQRT((1-P799)*($G$6-$E$6)*($G$6-$F$6))))</f>
        <v>0.98953111865185</v>
      </c>
      <c r="C799" s="37" t="n">
        <f aca="false">1+IF($G$7=$E$7,$F$7,IF(Q799&lt;($F$7-$E$7)/($G$7-$E$7),$E$7+SQRT(Q799*($G$7-$E$7)*($F$7-$E$7)),$G$7-SQRT((1-Q799)*($G$7-$E$7)*($G$7-$F$7))))</f>
        <v>0.948222484705329</v>
      </c>
      <c r="D799" s="37" t="n">
        <f aca="false">1+IF($G$8=$E$8,$F$8,IF(R799&lt;($F$8-$E$8)/($G$8-$E$8),$E$8+SQRT(R799*($G$8-$E$8)*($F$8-$E$8)),$G$8-SQRT((1-R799)*($G$8-$E$8)*($G$8-$F$8))))</f>
        <v>1.06725213643262</v>
      </c>
      <c r="E799" s="37" t="n">
        <f aca="false">1+IF($G$9=$E$9,$F$9,IF(S799&lt;($F$9-$E$9)/($G$9-$E$9),$E$9+SQRT(S799*($G$9-$E$9)*($F$9-$E$9)),$G$9-SQRT((1-S799)*($G$9-$E$9)*($G$9-$F$9))))</f>
        <v>1.04556979256258</v>
      </c>
      <c r="F799" s="37" t="n">
        <f aca="false">1+IF($G$10=$E$10,$F$10,IF(T799&lt;($F$10-$E$10)/($G$10-$E$10),$E$10+SQRT(T799*($G$10-$E$10)*($F$10-$E$10)),$G$10-SQRT((1-T799)*($G$10-$E$10)*($G$10-$F$10))))</f>
        <v>1.14554674171517</v>
      </c>
      <c r="G799" s="38" t="n">
        <f aca="false">IF($G$11=$E$11,$F$11,IF(U799&lt;($F$11-$E$11)/($G$11-$E$11),$E$11+SQRT(U799*($G$11-$E$11)*($F$11-$E$11)),$G$11-SQRT((1-U799)*($G$11-$E$11)*($G$11-$F$11))))</f>
        <v>0.117096853712146</v>
      </c>
      <c r="H799" s="39" t="n">
        <f aca="false">(('Business Case'!B11*$C799*'Business Case'!B12*$B799)-'Business Case'!B11*$C799*'Business Case'!B13*$D799-'Business Case'!B14*$E799)-MAX(0,(('Business Case'!B11*$C799*'Business Case'!B12*$B799)-'Business Case'!B11*$C799*'Business Case'!B13*$D799-'Business Case'!B14*$E799))*'Business Case'!$B$7-'Business Case'!$B$8*('Business Case'!B11*$C799*'Business Case'!B12*$B799)-'Business Case'!B15*$F799</f>
        <v>-2291093483.43033</v>
      </c>
      <c r="I799" s="39" t="n">
        <f aca="false">(('Business Case'!C11*$C799*'Business Case'!C12*$B799)-'Business Case'!C11*$C799*'Business Case'!C13*$D799-'Business Case'!C14*$E799)-MAX(0,(('Business Case'!C11*$C799*'Business Case'!C12*$B799)-'Business Case'!C11*$C799*'Business Case'!C13*$D799-'Business Case'!C14*$E799))*'Business Case'!$B$7-'Business Case'!$B$8*(('Business Case'!C11*$C799*'Business Case'!C12*$B799)-('Business Case'!B11*$C799*'Business Case'!B12*$B799))-'Business Case'!C15*$F799</f>
        <v>-61403432.4945604</v>
      </c>
      <c r="J799" s="39" t="n">
        <f aca="false">(('Business Case'!D11*$C799*'Business Case'!D12*$B799)-'Business Case'!D11*$C799*'Business Case'!D13*$D799-'Business Case'!D14*$E799)-MAX(0,(('Business Case'!D11*$C799*'Business Case'!D12*$B799)-'Business Case'!D11*$C799*'Business Case'!D13*$D799-'Business Case'!D14*$E799))*'Business Case'!$B$7-'Business Case'!$B$8*(('Business Case'!D11*$C799*'Business Case'!D12*$B799)-('Business Case'!C11*$C799*'Business Case'!C12*$B799))-'Business Case'!D15*$F799</f>
        <v>189069080.492939</v>
      </c>
      <c r="K799" s="39" t="n">
        <f aca="false">(('Business Case'!E11*$C799*'Business Case'!E12*$B799)-'Business Case'!E11*$C799*'Business Case'!E13*$D799-'Business Case'!E14*$E799)-MAX(0,(('Business Case'!E11*$C799*'Business Case'!E12*$B799)-'Business Case'!E11*$C799*'Business Case'!E13*$D799-'Business Case'!E14*$E799))*'Business Case'!$B$7-'Business Case'!$B$8*(('Business Case'!E11*$C799*'Business Case'!E12*$B799)-('Business Case'!D11*$C799*'Business Case'!D12*$B799))-'Business Case'!E15*$F799</f>
        <v>496818930.566196</v>
      </c>
      <c r="L799" s="39" t="n">
        <f aca="false">(('Business Case'!F11*$C799*'Business Case'!F12*$B799)-'Business Case'!F11*$C799*'Business Case'!F13*$D799-'Business Case'!F14*$E799)-MAX(0,(('Business Case'!F11*$C799*'Business Case'!F12*$B799)-'Business Case'!F11*$C799*'Business Case'!F13*$D799-'Business Case'!F14*$E799))*'Business Case'!$B$7-'Business Case'!$B$8*(('Business Case'!F11*$C799*'Business Case'!F12*$B799)-('Business Case'!E11*$C799*'Business Case'!E12*$B799))-'Business Case'!F15*$F799</f>
        <v>612737266.100792</v>
      </c>
      <c r="M799" s="39" t="n">
        <f aca="false">(('Business Case'!G11*$C799*'Business Case'!G12*$B799)-'Business Case'!G11*$C799*'Business Case'!G13*$D799-'Business Case'!G14*$E799)-MAX(0,(('Business Case'!G11*$C799*'Business Case'!G12*$B799)-'Business Case'!G11*$C799*'Business Case'!G13*$D799-'Business Case'!G14*$E799))*'Business Case'!$B$7-'Business Case'!$B$8*(('Business Case'!G11*$C799*'Business Case'!G12*$B799)-('Business Case'!F11*$C799*'Business Case'!F12*$B799))-'Business Case'!G15*$F799+'Business Case'!$B$8*('Business Case'!G11*$C799*'Business Case'!G12*$B799)</f>
        <v>791088504.397321</v>
      </c>
      <c r="N799" s="39" t="n">
        <f aca="false">IF(COUNT('Business Case'!B11:G11)=0,"",H799+NPV(G799,I799:M799))</f>
        <v>-989943639.303085</v>
      </c>
      <c r="P799" s="40" t="n">
        <f aca="true">RAND()</f>
        <v>0.534388080470107</v>
      </c>
      <c r="Q799" s="40" t="n">
        <f aca="true">RAND()</f>
        <v>0.456402977135462</v>
      </c>
      <c r="R799" s="40" t="n">
        <f aca="true">RAND()</f>
        <v>0.928505162118166</v>
      </c>
      <c r="S799" s="40" t="n">
        <f aca="true">RAND()</f>
        <v>0.709182180655387</v>
      </c>
      <c r="T799" s="40" t="n">
        <f aca="true">RAND()</f>
        <v>0.85452689111576</v>
      </c>
      <c r="U799" s="40" t="n">
        <f aca="true">RAND()</f>
        <v>0.889005877249496</v>
      </c>
    </row>
    <row r="800" customFormat="false" ht="15" hidden="false" customHeight="false" outlineLevel="0" collapsed="false">
      <c r="A800" s="36" t="n">
        <v>720</v>
      </c>
      <c r="B800" s="37" t="n">
        <f aca="false">1+IF($G$6=$E$6,$F$6,IF(P800&lt;($F$6-$E$6)/($G$6-$E$6),$E$6+SQRT(P800*($G$6-$E$6)*($F$6-$E$6)),$G$6-SQRT((1-P800)*($G$6-$E$6)*($G$6-$F$6))))</f>
        <v>0.963329309248132</v>
      </c>
      <c r="C800" s="37" t="n">
        <f aca="false">1+IF($G$7=$E$7,$F$7,IF(Q800&lt;($F$7-$E$7)/($G$7-$E$7),$E$7+SQRT(Q800*($G$7-$E$7)*($F$7-$E$7)),$G$7-SQRT((1-Q800)*($G$7-$E$7)*($G$7-$F$7))))</f>
        <v>0.963298993950077</v>
      </c>
      <c r="D800" s="37" t="n">
        <f aca="false">1+IF($G$8=$E$8,$F$8,IF(R800&lt;($F$8-$E$8)/($G$8-$E$8),$E$8+SQRT(R800*($G$8-$E$8)*($F$8-$E$8)),$G$8-SQRT((1-R800)*($G$8-$E$8)*($G$8-$F$8))))</f>
        <v>1.01816528878504</v>
      </c>
      <c r="E800" s="37" t="n">
        <f aca="false">1+IF($G$9=$E$9,$F$9,IF(S800&lt;($F$9-$E$9)/($G$9-$E$9),$E$9+SQRT(S800*($G$9-$E$9)*($F$9-$E$9)),$G$9-SQRT((1-S800)*($G$9-$E$9)*($G$9-$F$9))))</f>
        <v>1.00102530063258</v>
      </c>
      <c r="F800" s="37" t="n">
        <f aca="false">1+IF($G$10=$E$10,$F$10,IF(T800&lt;($F$10-$E$10)/($G$10-$E$10),$E$10+SQRT(T800*($G$10-$E$10)*($F$10-$E$10)),$G$10-SQRT((1-T800)*($G$10-$E$10)*($G$10-$F$10))))</f>
        <v>0.975315960668194</v>
      </c>
      <c r="G800" s="38" t="n">
        <f aca="false">IF($G$11=$E$11,$F$11,IF(U800&lt;($F$11-$E$11)/($G$11-$E$11),$E$11+SQRT(U800*($G$11-$E$11)*($F$11-$E$11)),$G$11-SQRT((1-U800)*($G$11-$E$11)*($G$11-$F$11))))</f>
        <v>0.104117758451707</v>
      </c>
      <c r="H800" s="39" t="n">
        <f aca="false">(('Business Case'!B11*$C800*'Business Case'!B12*$B800)-'Business Case'!B11*$C800*'Business Case'!B13*$D800-'Business Case'!B14*$E800)-MAX(0,(('Business Case'!B11*$C800*'Business Case'!B12*$B800)-'Business Case'!B11*$C800*'Business Case'!B13*$D800-'Business Case'!B14*$E800))*'Business Case'!$B$7-'Business Case'!$B$8*('Business Case'!B11*$C800*'Business Case'!B12*$B800)-'Business Case'!B15*$F800</f>
        <v>-1950631921.33639</v>
      </c>
      <c r="I800" s="39" t="n">
        <f aca="false">(('Business Case'!C11*$C800*'Business Case'!C12*$B800)-'Business Case'!C11*$C800*'Business Case'!C13*$D800-'Business Case'!C14*$E800)-MAX(0,(('Business Case'!C11*$C800*'Business Case'!C12*$B800)-'Business Case'!C11*$C800*'Business Case'!C13*$D800-'Business Case'!C14*$E800))*'Business Case'!$B$7-'Business Case'!$B$8*(('Business Case'!C11*$C800*'Business Case'!C12*$B800)-('Business Case'!B11*$C800*'Business Case'!B12*$B800))-'Business Case'!C15*$F800</f>
        <v>-29995833.9096578</v>
      </c>
      <c r="J800" s="39" t="n">
        <f aca="false">(('Business Case'!D11*$C800*'Business Case'!D12*$B800)-'Business Case'!D11*$C800*'Business Case'!D13*$D800-'Business Case'!D14*$E800)-MAX(0,(('Business Case'!D11*$C800*'Business Case'!D12*$B800)-'Business Case'!D11*$C800*'Business Case'!D13*$D800-'Business Case'!D14*$E800))*'Business Case'!$B$7-'Business Case'!$B$8*(('Business Case'!D11*$C800*'Business Case'!D12*$B800)-('Business Case'!C11*$C800*'Business Case'!C12*$B800))-'Business Case'!D15*$F800</f>
        <v>227991906.163695</v>
      </c>
      <c r="K800" s="39" t="n">
        <f aca="false">(('Business Case'!E11*$C800*'Business Case'!E12*$B800)-'Business Case'!E11*$C800*'Business Case'!E13*$D800-'Business Case'!E14*$E800)-MAX(0,(('Business Case'!E11*$C800*'Business Case'!E12*$B800)-'Business Case'!E11*$C800*'Business Case'!E13*$D800-'Business Case'!E14*$E800))*'Business Case'!$B$7-'Business Case'!$B$8*(('Business Case'!E11*$C800*'Business Case'!E12*$B800)-('Business Case'!D11*$C800*'Business Case'!D12*$B800))-'Business Case'!E15*$F800</f>
        <v>534745444.270459</v>
      </c>
      <c r="L800" s="39" t="n">
        <f aca="false">(('Business Case'!F11*$C800*'Business Case'!F12*$B800)-'Business Case'!F11*$C800*'Business Case'!F13*$D800-'Business Case'!F14*$E800)-MAX(0,(('Business Case'!F11*$C800*'Business Case'!F12*$B800)-'Business Case'!F11*$C800*'Business Case'!F13*$D800-'Business Case'!F14*$E800))*'Business Case'!$B$7-'Business Case'!$B$8*(('Business Case'!F11*$C800*'Business Case'!F12*$B800)-('Business Case'!E11*$C800*'Business Case'!E12*$B800))-'Business Case'!F15*$F800</f>
        <v>652812144.405736</v>
      </c>
      <c r="M800" s="39" t="n">
        <f aca="false">(('Business Case'!G11*$C800*'Business Case'!G12*$B800)-'Business Case'!G11*$C800*'Business Case'!G13*$D800-'Business Case'!G14*$E800)-MAX(0,(('Business Case'!G11*$C800*'Business Case'!G12*$B800)-'Business Case'!G11*$C800*'Business Case'!G13*$D800-'Business Case'!G14*$E800))*'Business Case'!$B$7-'Business Case'!$B$8*(('Business Case'!G11*$C800*'Business Case'!G12*$B800)-('Business Case'!F11*$C800*'Business Case'!F12*$B800))-'Business Case'!G15*$F800+'Business Case'!$B$8*('Business Case'!G11*$C800*'Business Case'!G12*$B800)</f>
        <v>829201471.681948</v>
      </c>
      <c r="N800" s="39" t="n">
        <f aca="false">IF(COUNT('Business Case'!B11:G11)=0,"",H800+NPV(G800,I800:M800))</f>
        <v>-448890701.2233</v>
      </c>
      <c r="P800" s="40" t="n">
        <f aca="true">RAND()</f>
        <v>0.267373427323034</v>
      </c>
      <c r="Q800" s="40" t="n">
        <f aca="true">RAND()</f>
        <v>0.513528594186096</v>
      </c>
      <c r="R800" s="40" t="n">
        <f aca="true">RAND()</f>
        <v>0.55353866935765</v>
      </c>
      <c r="S800" s="40" t="n">
        <f aca="true">RAND()</f>
        <v>0.408174371956946</v>
      </c>
      <c r="T800" s="40" t="n">
        <f aca="true">RAND()</f>
        <v>0.0427265243035694</v>
      </c>
      <c r="U800" s="40" t="n">
        <f aca="true">RAND()</f>
        <v>0.55340638162389</v>
      </c>
    </row>
    <row r="801" customFormat="false" ht="15" hidden="false" customHeight="false" outlineLevel="0" collapsed="false">
      <c r="A801" s="36" t="n">
        <v>721</v>
      </c>
      <c r="B801" s="37" t="n">
        <f aca="false">1+IF($G$6=$E$6,$F$6,IF(P801&lt;($F$6-$E$6)/($G$6-$E$6),$E$6+SQRT(P801*($G$6-$E$6)*($F$6-$E$6)),$G$6-SQRT((1-P801)*($G$6-$E$6)*($G$6-$F$6))))</f>
        <v>1.00500821207301</v>
      </c>
      <c r="C801" s="37" t="n">
        <f aca="false">1+IF($G$7=$E$7,$F$7,IF(Q801&lt;($F$7-$E$7)/($G$7-$E$7),$E$7+SQRT(Q801*($G$7-$E$7)*($F$7-$E$7)),$G$7-SQRT((1-Q801)*($G$7-$E$7)*($G$7-$F$7))))</f>
        <v>0.933896685683762</v>
      </c>
      <c r="D801" s="37" t="n">
        <f aca="false">1+IF($G$8=$E$8,$F$8,IF(R801&lt;($F$8-$E$8)/($G$8-$E$8),$E$8+SQRT(R801*($G$8-$E$8)*($F$8-$E$8)),$G$8-SQRT((1-R801)*($G$8-$E$8)*($G$8-$F$8))))</f>
        <v>1.0416589733852</v>
      </c>
      <c r="E801" s="37" t="n">
        <f aca="false">1+IF($G$9=$E$9,$F$9,IF(S801&lt;($F$9-$E$9)/($G$9-$E$9),$E$9+SQRT(S801*($G$9-$E$9)*($F$9-$E$9)),$G$9-SQRT((1-S801)*($G$9-$E$9)*($G$9-$F$9))))</f>
        <v>1.0619197095188</v>
      </c>
      <c r="F801" s="37" t="n">
        <f aca="false">1+IF($G$10=$E$10,$F$10,IF(T801&lt;($F$10-$E$10)/($G$10-$E$10),$E$10+SQRT(T801*($G$10-$E$10)*($F$10-$E$10)),$G$10-SQRT((1-T801)*($G$10-$E$10)*($G$10-$F$10))))</f>
        <v>0.995330672753783</v>
      </c>
      <c r="G801" s="38" t="n">
        <f aca="false">IF($G$11=$E$11,$F$11,IF(U801&lt;($F$11-$E$11)/($G$11-$E$11),$E$11+SQRT(U801*($G$11-$E$11)*($F$11-$E$11)),$G$11-SQRT((1-U801)*($G$11-$E$11)*($G$11-$F$11))))</f>
        <v>0.114353682609188</v>
      </c>
      <c r="H801" s="39" t="n">
        <f aca="false">(('Business Case'!B11*$C801*'Business Case'!B12*$B801)-'Business Case'!B11*$C801*'Business Case'!B13*$D801-'Business Case'!B14*$E801)-MAX(0,(('Business Case'!B11*$C801*'Business Case'!B12*$B801)-'Business Case'!B11*$C801*'Business Case'!B13*$D801-'Business Case'!B14*$E801))*'Business Case'!$B$7-'Business Case'!$B$8*('Business Case'!B11*$C801*'Business Case'!B12*$B801)-'Business Case'!B15*$F801</f>
        <v>-1990661345.50757</v>
      </c>
      <c r="I801" s="39" t="n">
        <f aca="false">(('Business Case'!C11*$C801*'Business Case'!C12*$B801)-'Business Case'!C11*$C801*'Business Case'!C13*$D801-'Business Case'!C14*$E801)-MAX(0,(('Business Case'!C11*$C801*'Business Case'!C12*$B801)-'Business Case'!C11*$C801*'Business Case'!C13*$D801-'Business Case'!C14*$E801))*'Business Case'!$B$7-'Business Case'!$B$8*(('Business Case'!C11*$C801*'Business Case'!C12*$B801)-('Business Case'!B11*$C801*'Business Case'!B12*$B801))-'Business Case'!C15*$F801</f>
        <v>-28430896.465569</v>
      </c>
      <c r="J801" s="39" t="n">
        <f aca="false">(('Business Case'!D11*$C801*'Business Case'!D12*$B801)-'Business Case'!D11*$C801*'Business Case'!D13*$D801-'Business Case'!D14*$E801)-MAX(0,(('Business Case'!D11*$C801*'Business Case'!D12*$B801)-'Business Case'!D11*$C801*'Business Case'!D13*$D801-'Business Case'!D14*$E801))*'Business Case'!$B$7-'Business Case'!$B$8*(('Business Case'!D11*$C801*'Business Case'!D12*$B801)-('Business Case'!C11*$C801*'Business Case'!C12*$B801))-'Business Case'!D15*$F801</f>
        <v>242331924.817356</v>
      </c>
      <c r="K801" s="39" t="n">
        <f aca="false">(('Business Case'!E11*$C801*'Business Case'!E12*$B801)-'Business Case'!E11*$C801*'Business Case'!E13*$D801-'Business Case'!E14*$E801)-MAX(0,(('Business Case'!E11*$C801*'Business Case'!E12*$B801)-'Business Case'!E11*$C801*'Business Case'!E13*$D801-'Business Case'!E14*$E801))*'Business Case'!$B$7-'Business Case'!$B$8*(('Business Case'!E11*$C801*'Business Case'!E12*$B801)-('Business Case'!D11*$C801*'Business Case'!D12*$B801))-'Business Case'!E15*$F801</f>
        <v>562861279.737971</v>
      </c>
      <c r="L801" s="39" t="n">
        <f aca="false">(('Business Case'!F11*$C801*'Business Case'!F12*$B801)-'Business Case'!F11*$C801*'Business Case'!F13*$D801-'Business Case'!F14*$E801)-MAX(0,(('Business Case'!F11*$C801*'Business Case'!F12*$B801)-'Business Case'!F11*$C801*'Business Case'!F13*$D801-'Business Case'!F14*$E801))*'Business Case'!$B$7-'Business Case'!$B$8*(('Business Case'!F11*$C801*'Business Case'!F12*$B801)-('Business Case'!E11*$C801*'Business Case'!E12*$B801))-'Business Case'!F15*$F801</f>
        <v>685552665.351975</v>
      </c>
      <c r="M801" s="39" t="n">
        <f aca="false">(('Business Case'!G11*$C801*'Business Case'!G12*$B801)-'Business Case'!G11*$C801*'Business Case'!G13*$D801-'Business Case'!G14*$E801)-MAX(0,(('Business Case'!G11*$C801*'Business Case'!G12*$B801)-'Business Case'!G11*$C801*'Business Case'!G13*$D801-'Business Case'!G14*$E801))*'Business Case'!$B$7-'Business Case'!$B$8*(('Business Case'!G11*$C801*'Business Case'!G12*$B801)-('Business Case'!F11*$C801*'Business Case'!F12*$B801))-'Business Case'!G15*$F801+'Business Case'!$B$8*('Business Case'!G11*$C801*'Business Case'!G12*$B801)</f>
        <v>863956780.543632</v>
      </c>
      <c r="N801" s="39" t="n">
        <f aca="false">IF(COUNT('Business Case'!B11:G11)=0,"",H801+NPV(G801,I801:M801))</f>
        <v>-466914921.679341</v>
      </c>
      <c r="P801" s="40" t="n">
        <f aca="true">RAND()</f>
        <v>0.730098535884332</v>
      </c>
      <c r="Q801" s="40" t="n">
        <f aca="true">RAND()</f>
        <v>0.40524192276925</v>
      </c>
      <c r="R801" s="40" t="n">
        <f aca="true">RAND()</f>
        <v>0.773088307568715</v>
      </c>
      <c r="S801" s="40" t="n">
        <f aca="true">RAND()</f>
        <v>0.793116331433261</v>
      </c>
      <c r="T801" s="40" t="n">
        <f aca="true">RAND()</f>
        <v>0.136991326154039</v>
      </c>
      <c r="U801" s="40" t="n">
        <f aca="true">RAND()</f>
        <v>0.836795168070656</v>
      </c>
    </row>
    <row r="802" customFormat="false" ht="15" hidden="false" customHeight="false" outlineLevel="0" collapsed="false">
      <c r="A802" s="36" t="n">
        <v>722</v>
      </c>
      <c r="B802" s="37" t="n">
        <f aca="false">1+IF($G$6=$E$6,$F$6,IF(P802&lt;($F$6-$E$6)/($G$6-$E$6),$E$6+SQRT(P802*($G$6-$E$6)*($F$6-$E$6)),$G$6-SQRT((1-P802)*($G$6-$E$6)*($G$6-$F$6))))</f>
        <v>0.984458482249408</v>
      </c>
      <c r="C802" s="37" t="n">
        <f aca="false">1+IF($G$7=$E$7,$F$7,IF(Q802&lt;($F$7-$E$7)/($G$7-$E$7),$E$7+SQRT(Q802*($G$7-$E$7)*($F$7-$E$7)),$G$7-SQRT((1-Q802)*($G$7-$E$7)*($G$7-$F$7))))</f>
        <v>0.850546311835452</v>
      </c>
      <c r="D802" s="37" t="n">
        <f aca="false">1+IF($G$8=$E$8,$F$8,IF(R802&lt;($F$8-$E$8)/($G$8-$E$8),$E$8+SQRT(R802*($G$8-$E$8)*($F$8-$E$8)),$G$8-SQRT((1-R802)*($G$8-$E$8)*($G$8-$F$8))))</f>
        <v>1.01023630035392</v>
      </c>
      <c r="E802" s="37" t="n">
        <f aca="false">1+IF($G$9=$E$9,$F$9,IF(S802&lt;($F$9-$E$9)/($G$9-$E$9),$E$9+SQRT(S802*($G$9-$E$9)*($F$9-$E$9)),$G$9-SQRT((1-S802)*($G$9-$E$9)*($G$9-$F$9))))</f>
        <v>1.07929836943228</v>
      </c>
      <c r="F802" s="37" t="n">
        <f aca="false">1+IF($G$10=$E$10,$F$10,IF(T802&lt;($F$10-$E$10)/($G$10-$E$10),$E$10+SQRT(T802*($G$10-$E$10)*($F$10-$E$10)),$G$10-SQRT((1-T802)*($G$10-$E$10)*($G$10-$F$10))))</f>
        <v>1.16515561245856</v>
      </c>
      <c r="G802" s="38" t="n">
        <f aca="false">IF($G$11=$E$11,$F$11,IF(U802&lt;($F$11-$E$11)/($G$11-$E$11),$E$11+SQRT(U802*($G$11-$E$11)*($F$11-$E$11)),$G$11-SQRT((1-U802)*($G$11-$E$11)*($G$11-$F$11))))</f>
        <v>0.10144046319951</v>
      </c>
      <c r="H802" s="39" t="n">
        <f aca="false">(('Business Case'!B11*$C802*'Business Case'!B12*$B802)-'Business Case'!B11*$C802*'Business Case'!B13*$D802-'Business Case'!B14*$E802)-MAX(0,(('Business Case'!B11*$C802*'Business Case'!B12*$B802)-'Business Case'!B11*$C802*'Business Case'!B13*$D802-'Business Case'!B14*$E802))*'Business Case'!$B$7-'Business Case'!$B$8*('Business Case'!B11*$C802*'Business Case'!B12*$B802)-'Business Case'!B15*$F802</f>
        <v>-2330311224.91712</v>
      </c>
      <c r="I802" s="39" t="n">
        <f aca="false">(('Business Case'!C11*$C802*'Business Case'!C12*$B802)-'Business Case'!C11*$C802*'Business Case'!C13*$D802-'Business Case'!C14*$E802)-MAX(0,(('Business Case'!C11*$C802*'Business Case'!C12*$B802)-'Business Case'!C11*$C802*'Business Case'!C13*$D802-'Business Case'!C14*$E802))*'Business Case'!$B$7-'Business Case'!$B$8*(('Business Case'!C11*$C802*'Business Case'!C12*$B802)-('Business Case'!B11*$C802*'Business Case'!B12*$B802))-'Business Case'!C15*$F802</f>
        <v>-67435985.5022501</v>
      </c>
      <c r="J802" s="39" t="n">
        <f aca="false">(('Business Case'!D11*$C802*'Business Case'!D12*$B802)-'Business Case'!D11*$C802*'Business Case'!D13*$D802-'Business Case'!D14*$E802)-MAX(0,(('Business Case'!D11*$C802*'Business Case'!D12*$B802)-'Business Case'!D11*$C802*'Business Case'!D13*$D802-'Business Case'!D14*$E802))*'Business Case'!$B$7-'Business Case'!$B$8*(('Business Case'!D11*$C802*'Business Case'!D12*$B802)-('Business Case'!C11*$C802*'Business Case'!C12*$B802))-'Business Case'!D15*$F802</f>
        <v>178526877.593712</v>
      </c>
      <c r="K802" s="39" t="n">
        <f aca="false">(('Business Case'!E11*$C802*'Business Case'!E12*$B802)-'Business Case'!E11*$C802*'Business Case'!E13*$D802-'Business Case'!E14*$E802)-MAX(0,(('Business Case'!E11*$C802*'Business Case'!E12*$B802)-'Business Case'!E11*$C802*'Business Case'!E13*$D802-'Business Case'!E14*$E802))*'Business Case'!$B$7-'Business Case'!$B$8*(('Business Case'!E11*$C802*'Business Case'!E12*$B802)-('Business Case'!D11*$C802*'Business Case'!D12*$B802))-'Business Case'!E15*$F802</f>
        <v>482747521.312602</v>
      </c>
      <c r="L802" s="39" t="n">
        <f aca="false">(('Business Case'!F11*$C802*'Business Case'!F12*$B802)-'Business Case'!F11*$C802*'Business Case'!F13*$D802-'Business Case'!F14*$E802)-MAX(0,(('Business Case'!F11*$C802*'Business Case'!F12*$B802)-'Business Case'!F11*$C802*'Business Case'!F13*$D802-'Business Case'!F14*$E802))*'Business Case'!$B$7-'Business Case'!$B$8*(('Business Case'!F11*$C802*'Business Case'!F12*$B802)-('Business Case'!E11*$C802*'Business Case'!E12*$B802))-'Business Case'!F15*$F802</f>
        <v>593673181.823979</v>
      </c>
      <c r="M802" s="39" t="n">
        <f aca="false">(('Business Case'!G11*$C802*'Business Case'!G12*$B802)-'Business Case'!G11*$C802*'Business Case'!G13*$D802-'Business Case'!G14*$E802)-MAX(0,(('Business Case'!G11*$C802*'Business Case'!G12*$B802)-'Business Case'!G11*$C802*'Business Case'!G13*$D802-'Business Case'!G14*$E802))*'Business Case'!$B$7-'Business Case'!$B$8*(('Business Case'!G11*$C802*'Business Case'!G12*$B802)-('Business Case'!F11*$C802*'Business Case'!F12*$B802))-'Business Case'!G15*$F802+'Business Case'!$B$8*('Business Case'!G11*$C802*'Business Case'!G12*$B802)</f>
        <v>752832398.960627</v>
      </c>
      <c r="N802" s="39" t="n">
        <f aca="false">IF(COUNT('Business Case'!B11:G11)=0,"",H802+NPV(G802,I802:M802))</f>
        <v>-1015334289.05215</v>
      </c>
      <c r="P802" s="40" t="n">
        <f aca="true">RAND()</f>
        <v>0.475549014924903</v>
      </c>
      <c r="Q802" s="40" t="n">
        <f aca="true">RAND()</f>
        <v>0.167882903757461</v>
      </c>
      <c r="R802" s="40" t="n">
        <f aca="true">RAND()</f>
        <v>0.46283188172319</v>
      </c>
      <c r="S802" s="40" t="n">
        <f aca="true">RAND()</f>
        <v>0.866700784935098</v>
      </c>
      <c r="T802" s="40" t="n">
        <f aca="true">RAND()</f>
        <v>0.904019065369568</v>
      </c>
      <c r="U802" s="40" t="n">
        <f aca="true">RAND()</f>
        <v>0.456235238494302</v>
      </c>
    </row>
    <row r="803" customFormat="false" ht="15" hidden="false" customHeight="false" outlineLevel="0" collapsed="false">
      <c r="A803" s="36" t="n">
        <v>723</v>
      </c>
      <c r="B803" s="37" t="n">
        <f aca="false">1+IF($G$6=$E$6,$F$6,IF(P803&lt;($F$6-$E$6)/($G$6-$E$6),$E$6+SQRT(P803*($G$6-$E$6)*($F$6-$E$6)),$G$6-SQRT((1-P803)*($G$6-$E$6)*($G$6-$F$6))))</f>
        <v>0.951461824660272</v>
      </c>
      <c r="C803" s="37" t="n">
        <f aca="false">1+IF($G$7=$E$7,$F$7,IF(Q803&lt;($F$7-$E$7)/($G$7-$E$7),$E$7+SQRT(Q803*($G$7-$E$7)*($F$7-$E$7)),$G$7-SQRT((1-Q803)*($G$7-$E$7)*($G$7-$F$7))))</f>
        <v>1.07158203471979</v>
      </c>
      <c r="D803" s="37" t="n">
        <f aca="false">1+IF($G$8=$E$8,$F$8,IF(R803&lt;($F$8-$E$8)/($G$8-$E$8),$E$8+SQRT(R803*($G$8-$E$8)*($F$8-$E$8)),$G$8-SQRT((1-R803)*($G$8-$E$8)*($G$8-$F$8))))</f>
        <v>1.05388855750492</v>
      </c>
      <c r="E803" s="37" t="n">
        <f aca="false">1+IF($G$9=$E$9,$F$9,IF(S803&lt;($F$9-$E$9)/($G$9-$E$9),$E$9+SQRT(S803*($G$9-$E$9)*($F$9-$E$9)),$G$9-SQRT((1-S803)*($G$9-$E$9)*($G$9-$F$9))))</f>
        <v>1.06823092326978</v>
      </c>
      <c r="F803" s="37" t="n">
        <f aca="false">1+IF($G$10=$E$10,$F$10,IF(T803&lt;($F$10-$E$10)/($G$10-$E$10),$E$10+SQRT(T803*($G$10-$E$10)*($F$10-$E$10)),$G$10-SQRT((1-T803)*($G$10-$E$10)*($G$10-$F$10))))</f>
        <v>1.10745941510022</v>
      </c>
      <c r="G803" s="38" t="n">
        <f aca="false">IF($G$11=$E$11,$F$11,IF(U803&lt;($F$11-$E$11)/($G$11-$E$11),$E$11+SQRT(U803*($G$11-$E$11)*($F$11-$E$11)),$G$11-SQRT((1-U803)*($G$11-$E$11)*($G$11-$F$11))))</f>
        <v>0.108251247502501</v>
      </c>
      <c r="H803" s="39" t="n">
        <f aca="false">(('Business Case'!B11*$C803*'Business Case'!B12*$B803)-'Business Case'!B11*$C803*'Business Case'!B13*$D803-'Business Case'!B14*$E803)-MAX(0,(('Business Case'!B11*$C803*'Business Case'!B12*$B803)-'Business Case'!B11*$C803*'Business Case'!B13*$D803-'Business Case'!B14*$E803))*'Business Case'!$B$7-'Business Case'!$B$8*('Business Case'!B11*$C803*'Business Case'!B12*$B803)-'Business Case'!B15*$F803</f>
        <v>-2214918830.20045</v>
      </c>
      <c r="I803" s="39" t="n">
        <f aca="false">(('Business Case'!C11*$C803*'Business Case'!C12*$B803)-'Business Case'!C11*$C803*'Business Case'!C13*$D803-'Business Case'!C14*$E803)-MAX(0,(('Business Case'!C11*$C803*'Business Case'!C12*$B803)-'Business Case'!C11*$C803*'Business Case'!C13*$D803-'Business Case'!C14*$E803))*'Business Case'!$B$7-'Business Case'!$B$8*(('Business Case'!C11*$C803*'Business Case'!C12*$B803)-('Business Case'!B11*$C803*'Business Case'!B12*$B803))-'Business Case'!C15*$F803</f>
        <v>-58527723.115183</v>
      </c>
      <c r="J803" s="39" t="n">
        <f aca="false">(('Business Case'!D11*$C803*'Business Case'!D12*$B803)-'Business Case'!D11*$C803*'Business Case'!D13*$D803-'Business Case'!D14*$E803)-MAX(0,(('Business Case'!D11*$C803*'Business Case'!D12*$B803)-'Business Case'!D11*$C803*'Business Case'!D13*$D803-'Business Case'!D14*$E803))*'Business Case'!$B$7-'Business Case'!$B$8*(('Business Case'!D11*$C803*'Business Case'!D12*$B803)-('Business Case'!C11*$C803*'Business Case'!C12*$B803))-'Business Case'!D15*$F803</f>
        <v>198447410.162373</v>
      </c>
      <c r="K803" s="39" t="n">
        <f aca="false">(('Business Case'!E11*$C803*'Business Case'!E12*$B803)-'Business Case'!E11*$C803*'Business Case'!E13*$D803-'Business Case'!E14*$E803)-MAX(0,(('Business Case'!E11*$C803*'Business Case'!E12*$B803)-'Business Case'!E11*$C803*'Business Case'!E13*$D803-'Business Case'!E14*$E803))*'Business Case'!$B$7-'Business Case'!$B$8*(('Business Case'!E11*$C803*'Business Case'!E12*$B803)-('Business Case'!D11*$C803*'Business Case'!D12*$B803))-'Business Case'!E15*$F803</f>
        <v>510795514.19494</v>
      </c>
      <c r="L803" s="39" t="n">
        <f aca="false">(('Business Case'!F11*$C803*'Business Case'!F12*$B803)-'Business Case'!F11*$C803*'Business Case'!F13*$D803-'Business Case'!F14*$E803)-MAX(0,(('Business Case'!F11*$C803*'Business Case'!F12*$B803)-'Business Case'!F11*$C803*'Business Case'!F13*$D803-'Business Case'!F14*$E803))*'Business Case'!$B$7-'Business Case'!$B$8*(('Business Case'!F11*$C803*'Business Case'!F12*$B803)-('Business Case'!E11*$C803*'Business Case'!E12*$B803))-'Business Case'!F15*$F803</f>
        <v>631690210.349961</v>
      </c>
      <c r="M803" s="39" t="n">
        <f aca="false">(('Business Case'!G11*$C803*'Business Case'!G12*$B803)-'Business Case'!G11*$C803*'Business Case'!G13*$D803-'Business Case'!G14*$E803)-MAX(0,(('Business Case'!G11*$C803*'Business Case'!G12*$B803)-'Business Case'!G11*$C803*'Business Case'!G13*$D803-'Business Case'!G14*$E803))*'Business Case'!$B$7-'Business Case'!$B$8*(('Business Case'!G11*$C803*'Business Case'!G12*$B803)-('Business Case'!F11*$C803*'Business Case'!F12*$B803))-'Business Case'!G15*$F803+'Business Case'!$B$8*('Business Case'!G11*$C803*'Business Case'!G12*$B803)</f>
        <v>825489961.527059</v>
      </c>
      <c r="N803" s="39" t="n">
        <f aca="false">IF(COUNT('Business Case'!B11:G11)=0,"",H803+NPV(G803,I803:M803))</f>
        <v>-818384603.544913</v>
      </c>
      <c r="P803" s="40" t="n">
        <f aca="true">RAND()</f>
        <v>0.176554626490974</v>
      </c>
      <c r="Q803" s="40" t="n">
        <f aca="true">RAND()</f>
        <v>0.908898114389808</v>
      </c>
      <c r="R803" s="40" t="n">
        <f aca="true">RAND()</f>
        <v>0.858248991401517</v>
      </c>
      <c r="S803" s="40" t="n">
        <f aca="true">RAND()</f>
        <v>0.821701815751655</v>
      </c>
      <c r="T803" s="40" t="n">
        <f aca="true">RAND()</f>
        <v>0.729095755419062</v>
      </c>
      <c r="U803" s="40" t="n">
        <f aca="true">RAND()</f>
        <v>0.684661176535026</v>
      </c>
    </row>
    <row r="804" customFormat="false" ht="15" hidden="false" customHeight="false" outlineLevel="0" collapsed="false">
      <c r="A804" s="36" t="n">
        <v>724</v>
      </c>
      <c r="B804" s="37" t="n">
        <f aca="false">1+IF($G$6=$E$6,$F$6,IF(P804&lt;($F$6-$E$6)/($G$6-$E$6),$E$6+SQRT(P804*($G$6-$E$6)*($F$6-$E$6)),$G$6-SQRT((1-P804)*($G$6-$E$6)*($G$6-$F$6))))</f>
        <v>0.952701363207319</v>
      </c>
      <c r="C804" s="37" t="n">
        <f aca="false">1+IF($G$7=$E$7,$F$7,IF(Q804&lt;($F$7-$E$7)/($G$7-$E$7),$E$7+SQRT(Q804*($G$7-$E$7)*($F$7-$E$7)),$G$7-SQRT((1-Q804)*($G$7-$E$7)*($G$7-$F$7))))</f>
        <v>1.01035098560387</v>
      </c>
      <c r="D804" s="37" t="n">
        <f aca="false">1+IF($G$8=$E$8,$F$8,IF(R804&lt;($F$8-$E$8)/($G$8-$E$8),$E$8+SQRT(R804*($G$8-$E$8)*($F$8-$E$8)),$G$8-SQRT((1-R804)*($G$8-$E$8)*($G$8-$F$8))))</f>
        <v>0.978929341131526</v>
      </c>
      <c r="E804" s="37" t="n">
        <f aca="false">1+IF($G$9=$E$9,$F$9,IF(S804&lt;($F$9-$E$9)/($G$9-$E$9),$E$9+SQRT(S804*($G$9-$E$9)*($F$9-$E$9)),$G$9-SQRT((1-S804)*($G$9-$E$9)*($G$9-$F$9))))</f>
        <v>0.933753122306236</v>
      </c>
      <c r="F804" s="37" t="n">
        <f aca="false">1+IF($G$10=$E$10,$F$10,IF(T804&lt;($F$10-$E$10)/($G$10-$E$10),$E$10+SQRT(T804*($G$10-$E$10)*($F$10-$E$10)),$G$10-SQRT((1-T804)*($G$10-$E$10)*($G$10-$F$10))))</f>
        <v>1.07539155758835</v>
      </c>
      <c r="G804" s="38" t="n">
        <f aca="false">IF($G$11=$E$11,$F$11,IF(U804&lt;($F$11-$E$11)/($G$11-$E$11),$E$11+SQRT(U804*($G$11-$E$11)*($F$11-$E$11)),$G$11-SQRT((1-U804)*($G$11-$E$11)*($G$11-$F$11))))</f>
        <v>0.0877678367514315</v>
      </c>
      <c r="H804" s="39" t="n">
        <f aca="false">(('Business Case'!B11*$C804*'Business Case'!B12*$B804)-'Business Case'!B11*$C804*'Business Case'!B13*$D804-'Business Case'!B14*$E804)-MAX(0,(('Business Case'!B11*$C804*'Business Case'!B12*$B804)-'Business Case'!B11*$C804*'Business Case'!B13*$D804-'Business Case'!B14*$E804))*'Business Case'!$B$7-'Business Case'!$B$8*('Business Case'!B11*$C804*'Business Case'!B12*$B804)-'Business Case'!B15*$F804</f>
        <v>-2150783115.1767</v>
      </c>
      <c r="I804" s="39" t="n">
        <f aca="false">(('Business Case'!C11*$C804*'Business Case'!C12*$B804)-'Business Case'!C11*$C804*'Business Case'!C13*$D804-'Business Case'!C14*$E804)-MAX(0,(('Business Case'!C11*$C804*'Business Case'!C12*$B804)-'Business Case'!C11*$C804*'Business Case'!C13*$D804-'Business Case'!C14*$E804))*'Business Case'!$B$7-'Business Case'!$B$8*(('Business Case'!C11*$C804*'Business Case'!C12*$B804)-('Business Case'!B11*$C804*'Business Case'!B12*$B804))-'Business Case'!C15*$F804</f>
        <v>-8130631.31322052</v>
      </c>
      <c r="J804" s="39" t="n">
        <f aca="false">(('Business Case'!D11*$C804*'Business Case'!D12*$B804)-'Business Case'!D11*$C804*'Business Case'!D13*$D804-'Business Case'!D14*$E804)-MAX(0,(('Business Case'!D11*$C804*'Business Case'!D12*$B804)-'Business Case'!D11*$C804*'Business Case'!D13*$D804-'Business Case'!D14*$E804))*'Business Case'!$B$7-'Business Case'!$B$8*(('Business Case'!D11*$C804*'Business Case'!D12*$B804)-('Business Case'!C11*$C804*'Business Case'!C12*$B804))-'Business Case'!D15*$F804</f>
        <v>273956840.670271</v>
      </c>
      <c r="K804" s="39" t="n">
        <f aca="false">(('Business Case'!E11*$C804*'Business Case'!E12*$B804)-'Business Case'!E11*$C804*'Business Case'!E13*$D804-'Business Case'!E14*$E804)-MAX(0,(('Business Case'!E11*$C804*'Business Case'!E12*$B804)-'Business Case'!E11*$C804*'Business Case'!E13*$D804-'Business Case'!E14*$E804))*'Business Case'!$B$7-'Business Case'!$B$8*(('Business Case'!E11*$C804*'Business Case'!E12*$B804)-('Business Case'!D11*$C804*'Business Case'!D12*$B804))-'Business Case'!E15*$F804</f>
        <v>609813890.53318</v>
      </c>
      <c r="L804" s="39" t="n">
        <f aca="false">(('Business Case'!F11*$C804*'Business Case'!F12*$B804)-'Business Case'!F11*$C804*'Business Case'!F13*$D804-'Business Case'!F14*$E804)-MAX(0,(('Business Case'!F11*$C804*'Business Case'!F12*$B804)-'Business Case'!F11*$C804*'Business Case'!F13*$D804-'Business Case'!F14*$E804))*'Business Case'!$B$7-'Business Case'!$B$8*(('Business Case'!F11*$C804*'Business Case'!F12*$B804)-('Business Case'!E11*$C804*'Business Case'!E12*$B804))-'Business Case'!F15*$F804</f>
        <v>737109216.89163</v>
      </c>
      <c r="M804" s="39" t="n">
        <f aca="false">(('Business Case'!G11*$C804*'Business Case'!G12*$B804)-'Business Case'!G11*$C804*'Business Case'!G13*$D804-'Business Case'!G14*$E804)-MAX(0,(('Business Case'!G11*$C804*'Business Case'!G12*$B804)-'Business Case'!G11*$C804*'Business Case'!G13*$D804-'Business Case'!G14*$E804))*'Business Case'!$B$7-'Business Case'!$B$8*(('Business Case'!G11*$C804*'Business Case'!G12*$B804)-('Business Case'!F11*$C804*'Business Case'!F12*$B804))-'Business Case'!G15*$F804+'Business Case'!$B$8*('Business Case'!G11*$C804*'Business Case'!G12*$B804)</f>
        <v>920073146.560041</v>
      </c>
      <c r="N804" s="39" t="n">
        <f aca="false">IF(COUNT('Business Case'!B11:G11)=0,"",H804+NPV(G804,I804:M804))</f>
        <v>-322302036.704973</v>
      </c>
      <c r="P804" s="40" t="n">
        <f aca="true">RAND()</f>
        <v>0.185162245593985</v>
      </c>
      <c r="Q804" s="40" t="n">
        <f aca="true">RAND()</f>
        <v>0.711083744862068</v>
      </c>
      <c r="R804" s="40" t="n">
        <f aca="true">RAND()</f>
        <v>0.111587570440557</v>
      </c>
      <c r="S804" s="40" t="n">
        <f aca="true">RAND()</f>
        <v>0.0455709306167883</v>
      </c>
      <c r="T804" s="40" t="n">
        <f aca="true">RAND()</f>
        <v>0.593491891181033</v>
      </c>
      <c r="U804" s="40" t="n">
        <f aca="true">RAND()</f>
        <v>0.0603392877968903</v>
      </c>
    </row>
    <row r="805" customFormat="false" ht="15" hidden="false" customHeight="false" outlineLevel="0" collapsed="false">
      <c r="A805" s="36" t="n">
        <v>725</v>
      </c>
      <c r="B805" s="37" t="n">
        <f aca="false">1+IF($G$6=$E$6,$F$6,IF(P805&lt;($F$6-$E$6)/($G$6-$E$6),$E$6+SQRT(P805*($G$6-$E$6)*($F$6-$E$6)),$G$6-SQRT((1-P805)*($G$6-$E$6)*($G$6-$F$6))))</f>
        <v>0.971867016504286</v>
      </c>
      <c r="C805" s="37" t="n">
        <f aca="false">1+IF($G$7=$E$7,$F$7,IF(Q805&lt;($F$7-$E$7)/($G$7-$E$7),$E$7+SQRT(Q805*($G$7-$E$7)*($F$7-$E$7)),$G$7-SQRT((1-Q805)*($G$7-$E$7)*($G$7-$F$7))))</f>
        <v>0.888515363935745</v>
      </c>
      <c r="D805" s="37" t="n">
        <f aca="false">1+IF($G$8=$E$8,$F$8,IF(R805&lt;($F$8-$E$8)/($G$8-$E$8),$E$8+SQRT(R805*($G$8-$E$8)*($F$8-$E$8)),$G$8-SQRT((1-R805)*($G$8-$E$8)*($G$8-$F$8))))</f>
        <v>0.981080573412949</v>
      </c>
      <c r="E805" s="37" t="n">
        <f aca="false">1+IF($G$9=$E$9,$F$9,IF(S805&lt;($F$9-$E$9)/($G$9-$E$9),$E$9+SQRT(S805*($G$9-$E$9)*($F$9-$E$9)),$G$9-SQRT((1-S805)*($G$9-$E$9)*($G$9-$F$9))))</f>
        <v>1.00149988432534</v>
      </c>
      <c r="F805" s="37" t="n">
        <f aca="false">1+IF($G$10=$E$10,$F$10,IF(T805&lt;($F$10-$E$10)/($G$10-$E$10),$E$10+SQRT(T805*($G$10-$E$10)*($F$10-$E$10)),$G$10-SQRT((1-T805)*($G$10-$E$10)*($G$10-$F$10))))</f>
        <v>1.05930549372635</v>
      </c>
      <c r="G805" s="38" t="n">
        <f aca="false">IF($G$11=$E$11,$F$11,IF(U805&lt;($F$11-$E$11)/($G$11-$E$11),$E$11+SQRT(U805*($G$11-$E$11)*($F$11-$E$11)),$G$11-SQRT((1-U805)*($G$11-$E$11)*($G$11-$F$11))))</f>
        <v>0.0986316156267575</v>
      </c>
      <c r="H805" s="39" t="n">
        <f aca="false">(('Business Case'!B11*$C805*'Business Case'!B12*$B805)-'Business Case'!B11*$C805*'Business Case'!B13*$D805-'Business Case'!B14*$E805)-MAX(0,(('Business Case'!B11*$C805*'Business Case'!B12*$B805)-'Business Case'!B11*$C805*'Business Case'!B13*$D805-'Business Case'!B14*$E805))*'Business Case'!$B$7-'Business Case'!$B$8*('Business Case'!B11*$C805*'Business Case'!B12*$B805)-'Business Case'!B15*$F805</f>
        <v>-2118610987.45271</v>
      </c>
      <c r="I805" s="39" t="n">
        <f aca="false">(('Business Case'!C11*$C805*'Business Case'!C12*$B805)-'Business Case'!C11*$C805*'Business Case'!C13*$D805-'Business Case'!C14*$E805)-MAX(0,(('Business Case'!C11*$C805*'Business Case'!C12*$B805)-'Business Case'!C11*$C805*'Business Case'!C13*$D805-'Business Case'!C14*$E805))*'Business Case'!$B$7-'Business Case'!$B$8*(('Business Case'!C11*$C805*'Business Case'!C12*$B805)-('Business Case'!B11*$C805*'Business Case'!B12*$B805))-'Business Case'!C15*$F805</f>
        <v>-32067902.3860926</v>
      </c>
      <c r="J805" s="39" t="n">
        <f aca="false">(('Business Case'!D11*$C805*'Business Case'!D12*$B805)-'Business Case'!D11*$C805*'Business Case'!D13*$D805-'Business Case'!D14*$E805)-MAX(0,(('Business Case'!D11*$C805*'Business Case'!D12*$B805)-'Business Case'!D11*$C805*'Business Case'!D13*$D805-'Business Case'!D14*$E805))*'Business Case'!$B$7-'Business Case'!$B$8*(('Business Case'!D11*$C805*'Business Case'!D12*$B805)-('Business Case'!C11*$C805*'Business Case'!C12*$B805))-'Business Case'!D15*$F805</f>
        <v>228972841.49243</v>
      </c>
      <c r="K805" s="39" t="n">
        <f aca="false">(('Business Case'!E11*$C805*'Business Case'!E12*$B805)-'Business Case'!E11*$C805*'Business Case'!E13*$D805-'Business Case'!E14*$E805)-MAX(0,(('Business Case'!E11*$C805*'Business Case'!E12*$B805)-'Business Case'!E11*$C805*'Business Case'!E13*$D805-'Business Case'!E14*$E805))*'Business Case'!$B$7-'Business Case'!$B$8*(('Business Case'!E11*$C805*'Business Case'!E12*$B805)-('Business Case'!D11*$C805*'Business Case'!D12*$B805))-'Business Case'!E15*$F805</f>
        <v>542978860.057271</v>
      </c>
      <c r="L805" s="39" t="n">
        <f aca="false">(('Business Case'!F11*$C805*'Business Case'!F12*$B805)-'Business Case'!F11*$C805*'Business Case'!F13*$D805-'Business Case'!F14*$E805)-MAX(0,(('Business Case'!F11*$C805*'Business Case'!F12*$B805)-'Business Case'!F11*$C805*'Business Case'!F13*$D805-'Business Case'!F14*$E805))*'Business Case'!$B$7-'Business Case'!$B$8*(('Business Case'!F11*$C805*'Business Case'!F12*$B805)-('Business Case'!E11*$C805*'Business Case'!E12*$B805))-'Business Case'!F15*$F805</f>
        <v>659835650.244056</v>
      </c>
      <c r="M805" s="39" t="n">
        <f aca="false">(('Business Case'!G11*$C805*'Business Case'!G12*$B805)-'Business Case'!G11*$C805*'Business Case'!G13*$D805-'Business Case'!G14*$E805)-MAX(0,(('Business Case'!G11*$C805*'Business Case'!G12*$B805)-'Business Case'!G11*$C805*'Business Case'!G13*$D805-'Business Case'!G14*$E805))*'Business Case'!$B$7-'Business Case'!$B$8*(('Business Case'!G11*$C805*'Business Case'!G12*$B805)-('Business Case'!F11*$C805*'Business Case'!F12*$B805))-'Business Case'!G15*$F805+'Business Case'!$B$8*('Business Case'!G11*$C805*'Business Case'!G12*$B805)</f>
        <v>823973299.160751</v>
      </c>
      <c r="N805" s="39" t="n">
        <f aca="false">IF(COUNT('Business Case'!B11:G11)=0,"",H805+NPV(G805,I805:M805))</f>
        <v>-580877282.381783</v>
      </c>
      <c r="P805" s="40" t="n">
        <f aca="true">RAND()</f>
        <v>0.344324537415158</v>
      </c>
      <c r="Q805" s="40" t="n">
        <f aca="true">RAND()</f>
        <v>0.263244758813528</v>
      </c>
      <c r="R805" s="40" t="n">
        <f aca="true">RAND()</f>
        <v>0.128800272490359</v>
      </c>
      <c r="S805" s="40" t="n">
        <f aca="true">RAND()</f>
        <v>0.411939083856317</v>
      </c>
      <c r="T805" s="40" t="n">
        <f aca="true">RAND()</f>
        <v>0.515141403694007</v>
      </c>
      <c r="U805" s="40" t="n">
        <f aca="true">RAND()</f>
        <v>0.347137100863234</v>
      </c>
    </row>
    <row r="806" customFormat="false" ht="15" hidden="false" customHeight="false" outlineLevel="0" collapsed="false">
      <c r="A806" s="36" t="n">
        <v>726</v>
      </c>
      <c r="B806" s="37" t="n">
        <f aca="false">1+IF($G$6=$E$6,$F$6,IF(P806&lt;($F$6-$E$6)/($G$6-$E$6),$E$6+SQRT(P806*($G$6-$E$6)*($F$6-$E$6)),$G$6-SQRT((1-P806)*($G$6-$E$6)*($G$6-$F$6))))</f>
        <v>0.986285131317479</v>
      </c>
      <c r="C806" s="37" t="n">
        <f aca="false">1+IF($G$7=$E$7,$F$7,IF(Q806&lt;($F$7-$E$7)/($G$7-$E$7),$E$7+SQRT(Q806*($G$7-$E$7)*($F$7-$E$7)),$G$7-SQRT((1-Q806)*($G$7-$E$7)*($G$7-$F$7))))</f>
        <v>0.895990327705808</v>
      </c>
      <c r="D806" s="37" t="n">
        <f aca="false">1+IF($G$8=$E$8,$F$8,IF(R806&lt;($F$8-$E$8)/($G$8-$E$8),$E$8+SQRT(R806*($G$8-$E$8)*($F$8-$E$8)),$G$8-SQRT((1-R806)*($G$8-$E$8)*($G$8-$F$8))))</f>
        <v>1.01419245278425</v>
      </c>
      <c r="E806" s="37" t="n">
        <f aca="false">1+IF($G$9=$E$9,$F$9,IF(S806&lt;($F$9-$E$9)/($G$9-$E$9),$E$9+SQRT(S806*($G$9-$E$9)*($F$9-$E$9)),$G$9-SQRT((1-S806)*($G$9-$E$9)*($G$9-$F$9))))</f>
        <v>1.0271510138356</v>
      </c>
      <c r="F806" s="37" t="n">
        <f aca="false">1+IF($G$10=$E$10,$F$10,IF(T806&lt;($F$10-$E$10)/($G$10-$E$10),$E$10+SQRT(T806*($G$10-$E$10)*($F$10-$E$10)),$G$10-SQRT((1-T806)*($G$10-$E$10)*($G$10-$F$10))))</f>
        <v>1.19298632234041</v>
      </c>
      <c r="G806" s="38" t="n">
        <f aca="false">IF($G$11=$E$11,$F$11,IF(U806&lt;($F$11-$E$11)/($G$11-$E$11),$E$11+SQRT(U806*($G$11-$E$11)*($F$11-$E$11)),$G$11-SQRT((1-U806)*($G$11-$E$11)*($G$11-$F$11))))</f>
        <v>0.102947203948504</v>
      </c>
      <c r="H806" s="39" t="n">
        <f aca="false">(('Business Case'!B11*$C806*'Business Case'!B12*$B806)-'Business Case'!B11*$C806*'Business Case'!B13*$D806-'Business Case'!B14*$E806)-MAX(0,(('Business Case'!B11*$C806*'Business Case'!B12*$B806)-'Business Case'!B11*$C806*'Business Case'!B13*$D806-'Business Case'!B14*$E806))*'Business Case'!$B$7-'Business Case'!$B$8*('Business Case'!B11*$C806*'Business Case'!B12*$B806)-'Business Case'!B15*$F806</f>
        <v>-2385972644.68081</v>
      </c>
      <c r="I806" s="39" t="n">
        <f aca="false">(('Business Case'!C11*$C806*'Business Case'!C12*$B806)-'Business Case'!C11*$C806*'Business Case'!C13*$D806-'Business Case'!C14*$E806)-MAX(0,(('Business Case'!C11*$C806*'Business Case'!C12*$B806)-'Business Case'!C11*$C806*'Business Case'!C13*$D806-'Business Case'!C14*$E806))*'Business Case'!$B$7-'Business Case'!$B$8*(('Business Case'!C11*$C806*'Business Case'!C12*$B806)-('Business Case'!B11*$C806*'Business Case'!B12*$B806))-'Business Case'!C15*$F806</f>
        <v>-52540198.1608379</v>
      </c>
      <c r="J806" s="39" t="n">
        <f aca="false">(('Business Case'!D11*$C806*'Business Case'!D12*$B806)-'Business Case'!D11*$C806*'Business Case'!D13*$D806-'Business Case'!D14*$E806)-MAX(0,(('Business Case'!D11*$C806*'Business Case'!D12*$B806)-'Business Case'!D11*$C806*'Business Case'!D13*$D806-'Business Case'!D14*$E806))*'Business Case'!$B$7-'Business Case'!$B$8*(('Business Case'!D11*$C806*'Business Case'!D12*$B806)-('Business Case'!C11*$C806*'Business Case'!C12*$B806))-'Business Case'!D15*$F806</f>
        <v>206090218.54677</v>
      </c>
      <c r="K806" s="39" t="n">
        <f aca="false">(('Business Case'!E11*$C806*'Business Case'!E12*$B806)-'Business Case'!E11*$C806*'Business Case'!E13*$D806-'Business Case'!E14*$E806)-MAX(0,(('Business Case'!E11*$C806*'Business Case'!E12*$B806)-'Business Case'!E11*$C806*'Business Case'!E13*$D806-'Business Case'!E14*$E806))*'Business Case'!$B$7-'Business Case'!$B$8*(('Business Case'!E11*$C806*'Business Case'!E12*$B806)-('Business Case'!D11*$C806*'Business Case'!D12*$B806))-'Business Case'!E15*$F806</f>
        <v>524369951.371398</v>
      </c>
      <c r="L806" s="39" t="n">
        <f aca="false">(('Business Case'!F11*$C806*'Business Case'!F12*$B806)-'Business Case'!F11*$C806*'Business Case'!F13*$D806-'Business Case'!F14*$E806)-MAX(0,(('Business Case'!F11*$C806*'Business Case'!F12*$B806)-'Business Case'!F11*$C806*'Business Case'!F13*$D806-'Business Case'!F14*$E806))*'Business Case'!$B$7-'Business Case'!$B$8*(('Business Case'!F11*$C806*'Business Case'!F12*$B806)-('Business Case'!E11*$C806*'Business Case'!E12*$B806))-'Business Case'!F15*$F806</f>
        <v>641120829.251924</v>
      </c>
      <c r="M806" s="39" t="n">
        <f aca="false">(('Business Case'!G11*$C806*'Business Case'!G12*$B806)-'Business Case'!G11*$C806*'Business Case'!G13*$D806-'Business Case'!G14*$E806)-MAX(0,(('Business Case'!G11*$C806*'Business Case'!G12*$B806)-'Business Case'!G11*$C806*'Business Case'!G13*$D806-'Business Case'!G14*$E806))*'Business Case'!$B$7-'Business Case'!$B$8*(('Business Case'!G11*$C806*'Business Case'!G12*$B806)-('Business Case'!F11*$C806*'Business Case'!F12*$B806))-'Business Case'!G15*$F806+'Business Case'!$B$8*('Business Case'!G11*$C806*'Business Case'!G12*$B806)</f>
        <v>809094893.630863</v>
      </c>
      <c r="N806" s="39" t="n">
        <f aca="false">IF(COUNT('Business Case'!B11:G11)=0,"",H806+NPV(G806,I806:M806))</f>
        <v>-944437841.475845</v>
      </c>
      <c r="P806" s="40" t="n">
        <f aca="true">RAND()</f>
        <v>0.496341592431642</v>
      </c>
      <c r="Q806" s="40" t="n">
        <f aca="true">RAND()</f>
        <v>0.284534878179482</v>
      </c>
      <c r="R806" s="40" t="n">
        <f aca="true">RAND()</f>
        <v>0.509137656054427</v>
      </c>
      <c r="S806" s="40" t="n">
        <f aca="true">RAND()</f>
        <v>0.597550042623434</v>
      </c>
      <c r="T806" s="40" t="n">
        <f aca="true">RAND()</f>
        <v>0.956659207463038</v>
      </c>
      <c r="U806" s="40" t="n">
        <f aca="true">RAND()</f>
        <v>0.512097483864116</v>
      </c>
    </row>
    <row r="807" customFormat="false" ht="15" hidden="false" customHeight="false" outlineLevel="0" collapsed="false">
      <c r="A807" s="36" t="n">
        <v>727</v>
      </c>
      <c r="B807" s="37" t="n">
        <f aca="false">1+IF($G$6=$E$6,$F$6,IF(P807&lt;($F$6-$E$6)/($G$6-$E$6),$E$6+SQRT(P807*($G$6-$E$6)*($F$6-$E$6)),$G$6-SQRT((1-P807)*($G$6-$E$6)*($G$6-$F$6))))</f>
        <v>1.00417889296629</v>
      </c>
      <c r="C807" s="37" t="n">
        <f aca="false">1+IF($G$7=$E$7,$F$7,IF(Q807&lt;($F$7-$E$7)/($G$7-$E$7),$E$7+SQRT(Q807*($G$7-$E$7)*($F$7-$E$7)),$G$7-SQRT((1-Q807)*($G$7-$E$7)*($G$7-$F$7))))</f>
        <v>1.065585110705</v>
      </c>
      <c r="D807" s="37" t="n">
        <f aca="false">1+IF($G$8=$E$8,$F$8,IF(R807&lt;($F$8-$E$8)/($G$8-$E$8),$E$8+SQRT(R807*($G$8-$E$8)*($F$8-$E$8)),$G$8-SQRT((1-R807)*($G$8-$E$8)*($G$8-$F$8))))</f>
        <v>0.986003283772096</v>
      </c>
      <c r="E807" s="37" t="n">
        <f aca="false">1+IF($G$9=$E$9,$F$9,IF(S807&lt;($F$9-$E$9)/($G$9-$E$9),$E$9+SQRT(S807*($G$9-$E$9)*($F$9-$E$9)),$G$9-SQRT((1-S807)*($G$9-$E$9)*($G$9-$F$9))))</f>
        <v>1.04751684581859</v>
      </c>
      <c r="F807" s="37" t="n">
        <f aca="false">1+IF($G$10=$E$10,$F$10,IF(T807&lt;($F$10-$E$10)/($G$10-$E$10),$E$10+SQRT(T807*($G$10-$E$10)*($F$10-$E$10)),$G$10-SQRT((1-T807)*($G$10-$E$10)*($G$10-$F$10))))</f>
        <v>1.03862024701592</v>
      </c>
      <c r="G807" s="38" t="n">
        <f aca="false">IF($G$11=$E$11,$F$11,IF(U807&lt;($F$11-$E$11)/($G$11-$E$11),$E$11+SQRT(U807*($G$11-$E$11)*($F$11-$E$11)),$G$11-SQRT((1-U807)*($G$11-$E$11)*($G$11-$F$11))))</f>
        <v>0.0898618298102533</v>
      </c>
      <c r="H807" s="39" t="n">
        <f aca="false">(('Business Case'!B11*$C807*'Business Case'!B12*$B807)-'Business Case'!B11*$C807*'Business Case'!B13*$D807-'Business Case'!B14*$E807)-MAX(0,(('Business Case'!B11*$C807*'Business Case'!B12*$B807)-'Business Case'!B11*$C807*'Business Case'!B13*$D807-'Business Case'!B14*$E807))*'Business Case'!$B$7-'Business Case'!$B$8*('Business Case'!B11*$C807*'Business Case'!B12*$B807)-'Business Case'!B15*$F807</f>
        <v>-2077240494.03184</v>
      </c>
      <c r="I807" s="39" t="n">
        <f aca="false">(('Business Case'!C11*$C807*'Business Case'!C12*$B807)-'Business Case'!C11*$C807*'Business Case'!C13*$D807-'Business Case'!C14*$E807)-MAX(0,(('Business Case'!C11*$C807*'Business Case'!C12*$B807)-'Business Case'!C11*$C807*'Business Case'!C13*$D807-'Business Case'!C14*$E807))*'Business Case'!$B$7-'Business Case'!$B$8*(('Business Case'!C11*$C807*'Business Case'!C12*$B807)-('Business Case'!B11*$C807*'Business Case'!B12*$B807))-'Business Case'!C15*$F807</f>
        <v>30289333.0518054</v>
      </c>
      <c r="J807" s="39" t="n">
        <f aca="false">(('Business Case'!D11*$C807*'Business Case'!D12*$B807)-'Business Case'!D11*$C807*'Business Case'!D13*$D807-'Business Case'!D14*$E807)-MAX(0,(('Business Case'!D11*$C807*'Business Case'!D12*$B807)-'Business Case'!D11*$C807*'Business Case'!D13*$D807-'Business Case'!D14*$E807))*'Business Case'!$B$7-'Business Case'!$B$8*(('Business Case'!D11*$C807*'Business Case'!D12*$B807)-('Business Case'!C11*$C807*'Business Case'!C12*$B807))-'Business Case'!D15*$F807</f>
        <v>368868360.183428</v>
      </c>
      <c r="K807" s="39" t="n">
        <f aca="false">(('Business Case'!E11*$C807*'Business Case'!E12*$B807)-'Business Case'!E11*$C807*'Business Case'!E13*$D807-'Business Case'!E14*$E807)-MAX(0,(('Business Case'!E11*$C807*'Business Case'!E12*$B807)-'Business Case'!E11*$C807*'Business Case'!E13*$D807-'Business Case'!E14*$E807))*'Business Case'!$B$7-'Business Case'!$B$8*(('Business Case'!E11*$C807*'Business Case'!E12*$B807)-('Business Case'!D11*$C807*'Business Case'!D12*$B807))-'Business Case'!E15*$F807</f>
        <v>759378399.665846</v>
      </c>
      <c r="L807" s="39" t="n">
        <f aca="false">(('Business Case'!F11*$C807*'Business Case'!F12*$B807)-'Business Case'!F11*$C807*'Business Case'!F13*$D807-'Business Case'!F14*$E807)-MAX(0,(('Business Case'!F11*$C807*'Business Case'!F12*$B807)-'Business Case'!F11*$C807*'Business Case'!F13*$D807-'Business Case'!F14*$E807))*'Business Case'!$B$7-'Business Case'!$B$8*(('Business Case'!F11*$C807*'Business Case'!F12*$B807)-('Business Case'!E11*$C807*'Business Case'!E12*$B807))-'Business Case'!F15*$F807</f>
        <v>909218591.311601</v>
      </c>
      <c r="M807" s="39" t="n">
        <f aca="false">(('Business Case'!G11*$C807*'Business Case'!G12*$B807)-'Business Case'!G11*$C807*'Business Case'!G13*$D807-'Business Case'!G14*$E807)-MAX(0,(('Business Case'!G11*$C807*'Business Case'!G12*$B807)-'Business Case'!G11*$C807*'Business Case'!G13*$D807-'Business Case'!G14*$E807))*'Business Case'!$B$7-'Business Case'!$B$8*(('Business Case'!G11*$C807*'Business Case'!G12*$B807)-('Business Case'!F11*$C807*'Business Case'!F12*$B807))-'Business Case'!G15*$F807+'Business Case'!$B$8*('Business Case'!G11*$C807*'Business Case'!G12*$B807)</f>
        <v>1112611428.95528</v>
      </c>
      <c r="N807" s="39" t="n">
        <f aca="false">IF(COUNT('Business Case'!B11:G11)=0,"",H807+NPV(G807,I807:M807))</f>
        <v>215721410.360569</v>
      </c>
      <c r="P807" s="40" t="n">
        <f aca="true">RAND()</f>
        <v>0.720056820027431</v>
      </c>
      <c r="Q807" s="40" t="n">
        <f aca="true">RAND()</f>
        <v>0.894431503189816</v>
      </c>
      <c r="R807" s="40" t="n">
        <f aca="true">RAND()</f>
        <v>0.172831525649872</v>
      </c>
      <c r="S807" s="40" t="n">
        <f aca="true">RAND()</f>
        <v>0.719925416240779</v>
      </c>
      <c r="T807" s="40" t="n">
        <f aca="true">RAND()</f>
        <v>0.404248000378535</v>
      </c>
      <c r="U807" s="40" t="n">
        <f aca="true">RAND()</f>
        <v>0.0972556872064005</v>
      </c>
    </row>
    <row r="808" customFormat="false" ht="15" hidden="false" customHeight="false" outlineLevel="0" collapsed="false">
      <c r="A808" s="36" t="n">
        <v>728</v>
      </c>
      <c r="B808" s="37" t="n">
        <f aca="false">1+IF($G$6=$E$6,$F$6,IF(P808&lt;($F$6-$E$6)/($G$6-$E$6),$E$6+SQRT(P808*($G$6-$E$6)*($F$6-$E$6)),$G$6-SQRT((1-P808)*($G$6-$E$6)*($G$6-$F$6))))</f>
        <v>1.01789263829058</v>
      </c>
      <c r="C808" s="37" t="n">
        <f aca="false">1+IF($G$7=$E$7,$F$7,IF(Q808&lt;($F$7-$E$7)/($G$7-$E$7),$E$7+SQRT(Q808*($G$7-$E$7)*($F$7-$E$7)),$G$7-SQRT((1-Q808)*($G$7-$E$7)*($G$7-$F$7))))</f>
        <v>0.898516450969326</v>
      </c>
      <c r="D808" s="37" t="n">
        <f aca="false">1+IF($G$8=$E$8,$F$8,IF(R808&lt;($F$8-$E$8)/($G$8-$E$8),$E$8+SQRT(R808*($G$8-$E$8)*($F$8-$E$8)),$G$8-SQRT((1-R808)*($G$8-$E$8)*($G$8-$F$8))))</f>
        <v>1.02915676179988</v>
      </c>
      <c r="E808" s="37" t="n">
        <f aca="false">1+IF($G$9=$E$9,$F$9,IF(S808&lt;($F$9-$E$9)/($G$9-$E$9),$E$9+SQRT(S808*($G$9-$E$9)*($F$9-$E$9)),$G$9-SQRT((1-S808)*($G$9-$E$9)*($G$9-$F$9))))</f>
        <v>1.04566085079362</v>
      </c>
      <c r="F808" s="37" t="n">
        <f aca="false">1+IF($G$10=$E$10,$F$10,IF(T808&lt;($F$10-$E$10)/($G$10-$E$10),$E$10+SQRT(T808*($G$10-$E$10)*($F$10-$E$10)),$G$10-SQRT((1-T808)*($G$10-$E$10)*($G$10-$F$10))))</f>
        <v>1.02299607894014</v>
      </c>
      <c r="G808" s="38" t="n">
        <f aca="false">IF($G$11=$E$11,$F$11,IF(U808&lt;($F$11-$E$11)/($G$11-$E$11),$E$11+SQRT(U808*($G$11-$E$11)*($F$11-$E$11)),$G$11-SQRT((1-U808)*($G$11-$E$11)*($G$11-$F$11))))</f>
        <v>0.111255162704417</v>
      </c>
      <c r="H808" s="39" t="n">
        <f aca="false">(('Business Case'!B11*$C808*'Business Case'!B12*$B808)-'Business Case'!B11*$C808*'Business Case'!B13*$D808-'Business Case'!B14*$E808)-MAX(0,(('Business Case'!B11*$C808*'Business Case'!B12*$B808)-'Business Case'!B11*$C808*'Business Case'!B13*$D808-'Business Case'!B14*$E808))*'Business Case'!$B$7-'Business Case'!$B$8*('Business Case'!B11*$C808*'Business Case'!B12*$B808)-'Business Case'!B15*$F808</f>
        <v>-2045992157.88029</v>
      </c>
      <c r="I808" s="39" t="n">
        <f aca="false">(('Business Case'!C11*$C808*'Business Case'!C12*$B808)-'Business Case'!C11*$C808*'Business Case'!C13*$D808-'Business Case'!C14*$E808)-MAX(0,(('Business Case'!C11*$C808*'Business Case'!C12*$B808)-'Business Case'!C11*$C808*'Business Case'!C13*$D808-'Business Case'!C14*$E808))*'Business Case'!$B$7-'Business Case'!$B$8*(('Business Case'!C11*$C808*'Business Case'!C12*$B808)-('Business Case'!B11*$C808*'Business Case'!B12*$B808))-'Business Case'!C15*$F808</f>
        <v>-22667083.6257147</v>
      </c>
      <c r="J808" s="39" t="n">
        <f aca="false">(('Business Case'!D11*$C808*'Business Case'!D12*$B808)-'Business Case'!D11*$C808*'Business Case'!D13*$D808-'Business Case'!D14*$E808)-MAX(0,(('Business Case'!D11*$C808*'Business Case'!D12*$B808)-'Business Case'!D11*$C808*'Business Case'!D13*$D808-'Business Case'!D14*$E808))*'Business Case'!$B$7-'Business Case'!$B$8*(('Business Case'!D11*$C808*'Business Case'!D12*$B808)-('Business Case'!C11*$C808*'Business Case'!C12*$B808))-'Business Case'!D15*$F808</f>
        <v>253070929.303388</v>
      </c>
      <c r="K808" s="39" t="n">
        <f aca="false">(('Business Case'!E11*$C808*'Business Case'!E12*$B808)-'Business Case'!E11*$C808*'Business Case'!E13*$D808-'Business Case'!E14*$E808)-MAX(0,(('Business Case'!E11*$C808*'Business Case'!E12*$B808)-'Business Case'!E11*$C808*'Business Case'!E13*$D808-'Business Case'!E14*$E808))*'Business Case'!$B$7-'Business Case'!$B$8*(('Business Case'!E11*$C808*'Business Case'!E12*$B808)-('Business Case'!D11*$C808*'Business Case'!D12*$B808))-'Business Case'!E15*$F808</f>
        <v>579958746.179499</v>
      </c>
      <c r="L808" s="39" t="n">
        <f aca="false">(('Business Case'!F11*$C808*'Business Case'!F12*$B808)-'Business Case'!F11*$C808*'Business Case'!F13*$D808-'Business Case'!F14*$E808)-MAX(0,(('Business Case'!F11*$C808*'Business Case'!F12*$B808)-'Business Case'!F11*$C808*'Business Case'!F13*$D808-'Business Case'!F14*$E808))*'Business Case'!$B$7-'Business Case'!$B$8*(('Business Case'!F11*$C808*'Business Case'!F12*$B808)-('Business Case'!E11*$C808*'Business Case'!E12*$B808))-'Business Case'!F15*$F808</f>
        <v>703479760.941166</v>
      </c>
      <c r="M808" s="39" t="n">
        <f aca="false">(('Business Case'!G11*$C808*'Business Case'!G12*$B808)-'Business Case'!G11*$C808*'Business Case'!G13*$D808-'Business Case'!G14*$E808)-MAX(0,(('Business Case'!G11*$C808*'Business Case'!G12*$B808)-'Business Case'!G11*$C808*'Business Case'!G13*$D808-'Business Case'!G14*$E808))*'Business Case'!$B$7-'Business Case'!$B$8*(('Business Case'!G11*$C808*'Business Case'!G12*$B808)-('Business Case'!F11*$C808*'Business Case'!F12*$B808))-'Business Case'!G15*$F808+'Business Case'!$B$8*('Business Case'!G11*$C808*'Business Case'!G12*$B808)</f>
        <v>877325651.760317</v>
      </c>
      <c r="N808" s="39" t="n">
        <f aca="false">IF(COUNT('Business Case'!B11:G11)=0,"",H808+NPV(G808,I808:M808))</f>
        <v>-459799917.822879</v>
      </c>
      <c r="P808" s="40" t="n">
        <f aca="true">RAND()</f>
        <v>0.862548976541409</v>
      </c>
      <c r="Q808" s="40" t="n">
        <f aca="true">RAND()</f>
        <v>0.29191689855894</v>
      </c>
      <c r="R808" s="40" t="n">
        <f aca="true">RAND()</f>
        <v>0.665415706754753</v>
      </c>
      <c r="S808" s="40" t="n">
        <f aca="true">RAND()</f>
        <v>0.709689118477044</v>
      </c>
      <c r="T808" s="40" t="n">
        <f aca="true">RAND()</f>
        <v>0.312922930979346</v>
      </c>
      <c r="U808" s="40" t="n">
        <f aca="true">RAND()</f>
        <v>0.765754049841406</v>
      </c>
    </row>
    <row r="809" customFormat="false" ht="15" hidden="false" customHeight="false" outlineLevel="0" collapsed="false">
      <c r="A809" s="36" t="n">
        <v>729</v>
      </c>
      <c r="B809" s="37" t="n">
        <f aca="false">1+IF($G$6=$E$6,$F$6,IF(P809&lt;($F$6-$E$6)/($G$6-$E$6),$E$6+SQRT(P809*($G$6-$E$6)*($F$6-$E$6)),$G$6-SQRT((1-P809)*($G$6-$E$6)*($G$6-$F$6))))</f>
        <v>0.934003352185117</v>
      </c>
      <c r="C809" s="37" t="n">
        <f aca="false">1+IF($G$7=$E$7,$F$7,IF(Q809&lt;($F$7-$E$7)/($G$7-$E$7),$E$7+SQRT(Q809*($G$7-$E$7)*($F$7-$E$7)),$G$7-SQRT((1-Q809)*($G$7-$E$7)*($G$7-$F$7))))</f>
        <v>0.768887231683273</v>
      </c>
      <c r="D809" s="37" t="n">
        <f aca="false">1+IF($G$8=$E$8,$F$8,IF(R809&lt;($F$8-$E$8)/($G$8-$E$8),$E$8+SQRT(R809*($G$8-$E$8)*($F$8-$E$8)),$G$8-SQRT((1-R809)*($G$8-$E$8)*($G$8-$F$8))))</f>
        <v>0.987398081305879</v>
      </c>
      <c r="E809" s="37" t="n">
        <f aca="false">1+IF($G$9=$E$9,$F$9,IF(S809&lt;($F$9-$E$9)/($G$9-$E$9),$E$9+SQRT(S809*($G$9-$E$9)*($F$9-$E$9)),$G$9-SQRT((1-S809)*($G$9-$E$9)*($G$9-$F$9))))</f>
        <v>0.987771227499109</v>
      </c>
      <c r="F809" s="37" t="n">
        <f aca="false">1+IF($G$10=$E$10,$F$10,IF(T809&lt;($F$10-$E$10)/($G$10-$E$10),$E$10+SQRT(T809*($G$10-$E$10)*($F$10-$E$10)),$G$10-SQRT((1-T809)*($G$10-$E$10)*($G$10-$F$10))))</f>
        <v>0.975915562860859</v>
      </c>
      <c r="G809" s="38" t="n">
        <f aca="false">IF($G$11=$E$11,$F$11,IF(U809&lt;($F$11-$E$11)/($G$11-$E$11),$E$11+SQRT(U809*($G$11-$E$11)*($F$11-$E$11)),$G$11-SQRT((1-U809)*($G$11-$E$11)*($G$11-$F$11))))</f>
        <v>0.0977907436671898</v>
      </c>
      <c r="H809" s="39" t="n">
        <f aca="false">(('Business Case'!B11*$C809*'Business Case'!B12*$B809)-'Business Case'!B11*$C809*'Business Case'!B13*$D809-'Business Case'!B14*$E809)-MAX(0,(('Business Case'!B11*$C809*'Business Case'!B12*$B809)-'Business Case'!B11*$C809*'Business Case'!B13*$D809-'Business Case'!B14*$E809))*'Business Case'!$B$7-'Business Case'!$B$8*('Business Case'!B11*$C809*'Business Case'!B12*$B809)-'Business Case'!B15*$F809</f>
        <v>-1951831125.72172</v>
      </c>
      <c r="I809" s="39" t="n">
        <f aca="false">(('Business Case'!C11*$C809*'Business Case'!C12*$B809)-'Business Case'!C11*$C809*'Business Case'!C13*$D809-'Business Case'!C14*$E809)-MAX(0,(('Business Case'!C11*$C809*'Business Case'!C12*$B809)-'Business Case'!C11*$C809*'Business Case'!C13*$D809-'Business Case'!C14*$E809))*'Business Case'!$B$7-'Business Case'!$B$8*(('Business Case'!C11*$C809*'Business Case'!C12*$B809)-('Business Case'!B11*$C809*'Business Case'!B12*$B809))-'Business Case'!C15*$F809</f>
        <v>-75718667.5950888</v>
      </c>
      <c r="J809" s="39" t="n">
        <f aca="false">(('Business Case'!D11*$C809*'Business Case'!D12*$B809)-'Business Case'!D11*$C809*'Business Case'!D13*$D809-'Business Case'!D14*$E809)-MAX(0,(('Business Case'!D11*$C809*'Business Case'!D12*$B809)-'Business Case'!D11*$C809*'Business Case'!D13*$D809-'Business Case'!D14*$E809))*'Business Case'!$B$7-'Business Case'!$B$8*(('Business Case'!D11*$C809*'Business Case'!D12*$B809)-('Business Case'!C11*$C809*'Business Case'!C12*$B809))-'Business Case'!D15*$F809</f>
        <v>123843835.821901</v>
      </c>
      <c r="K809" s="39" t="n">
        <f aca="false">(('Business Case'!E11*$C809*'Business Case'!E12*$B809)-'Business Case'!E11*$C809*'Business Case'!E13*$D809-'Business Case'!E14*$E809)-MAX(0,(('Business Case'!E11*$C809*'Business Case'!E12*$B809)-'Business Case'!E11*$C809*'Business Case'!E13*$D809-'Business Case'!E14*$E809))*'Business Case'!$B$7-'Business Case'!$B$8*(('Business Case'!E11*$C809*'Business Case'!E12*$B809)-('Business Case'!D11*$C809*'Business Case'!D12*$B809))-'Business Case'!E15*$F809</f>
        <v>372202117.381934</v>
      </c>
      <c r="L809" s="39" t="n">
        <f aca="false">(('Business Case'!F11*$C809*'Business Case'!F12*$B809)-'Business Case'!F11*$C809*'Business Case'!F13*$D809-'Business Case'!F14*$E809)-MAX(0,(('Business Case'!F11*$C809*'Business Case'!F12*$B809)-'Business Case'!F11*$C809*'Business Case'!F13*$D809-'Business Case'!F14*$E809))*'Business Case'!$B$7-'Business Case'!$B$8*(('Business Case'!F11*$C809*'Business Case'!F12*$B809)-('Business Case'!E11*$C809*'Business Case'!E12*$B809))-'Business Case'!F15*$F809</f>
        <v>463541982.63801</v>
      </c>
      <c r="M809" s="39" t="n">
        <f aca="false">(('Business Case'!G11*$C809*'Business Case'!G12*$B809)-'Business Case'!G11*$C809*'Business Case'!G13*$D809-'Business Case'!G14*$E809)-MAX(0,(('Business Case'!G11*$C809*'Business Case'!G12*$B809)-'Business Case'!G11*$C809*'Business Case'!G13*$D809-'Business Case'!G14*$E809))*'Business Case'!$B$7-'Business Case'!$B$8*(('Business Case'!G11*$C809*'Business Case'!G12*$B809)-('Business Case'!F11*$C809*'Business Case'!F12*$B809))-'Business Case'!G15*$F809+'Business Case'!$B$8*('Business Case'!G11*$C809*'Business Case'!G12*$B809)</f>
        <v>600046651.948615</v>
      </c>
      <c r="N809" s="39" t="n">
        <f aca="false">IF(COUNT('Business Case'!B11:G11)=0,"",H809+NPV(G809,I809:M809))</f>
        <v>-941201869.19512</v>
      </c>
      <c r="P809" s="40" t="n">
        <f aca="true">RAND()</f>
        <v>0.0770818639883381</v>
      </c>
      <c r="Q809" s="40" t="n">
        <f aca="true">RAND()</f>
        <v>0.0351514865850737</v>
      </c>
      <c r="R809" s="40" t="n">
        <f aca="true">RAND()</f>
        <v>0.186482198048151</v>
      </c>
      <c r="S809" s="40" t="n">
        <f aca="true">RAND()</f>
        <v>0.308151535068015</v>
      </c>
      <c r="T809" s="40" t="n">
        <f aca="true">RAND()</f>
        <v>0.0447744265596759</v>
      </c>
      <c r="U809" s="40" t="n">
        <f aca="true">RAND()</f>
        <v>0.316510560231653</v>
      </c>
    </row>
    <row r="810" customFormat="false" ht="15" hidden="false" customHeight="false" outlineLevel="0" collapsed="false">
      <c r="A810" s="36" t="n">
        <v>730</v>
      </c>
      <c r="B810" s="37" t="n">
        <f aca="false">1+IF($G$6=$E$6,$F$6,IF(P810&lt;($F$6-$E$6)/($G$6-$E$6),$E$6+SQRT(P810*($G$6-$E$6)*($F$6-$E$6)),$G$6-SQRT((1-P810)*($G$6-$E$6)*($G$6-$F$6))))</f>
        <v>0.926699337167488</v>
      </c>
      <c r="C810" s="37" t="n">
        <f aca="false">1+IF($G$7=$E$7,$F$7,IF(Q810&lt;($F$7-$E$7)/($G$7-$E$7),$E$7+SQRT(Q810*($G$7-$E$7)*($F$7-$E$7)),$G$7-SQRT((1-Q810)*($G$7-$E$7)*($G$7-$F$7))))</f>
        <v>0.809856631421439</v>
      </c>
      <c r="D810" s="37" t="n">
        <f aca="false">1+IF($G$8=$E$8,$F$8,IF(R810&lt;($F$8-$E$8)/($G$8-$E$8),$E$8+SQRT(R810*($G$8-$E$8)*($F$8-$E$8)),$G$8-SQRT((1-R810)*($G$8-$E$8)*($G$8-$F$8))))</f>
        <v>1.07936248782992</v>
      </c>
      <c r="E810" s="37" t="n">
        <f aca="false">1+IF($G$9=$E$9,$F$9,IF(S810&lt;($F$9-$E$9)/($G$9-$E$9),$E$9+SQRT(S810*($G$9-$E$9)*($F$9-$E$9)),$G$9-SQRT((1-S810)*($G$9-$E$9)*($G$9-$F$9))))</f>
        <v>0.983689579063311</v>
      </c>
      <c r="F810" s="37" t="n">
        <f aca="false">1+IF($G$10=$E$10,$F$10,IF(T810&lt;($F$10-$E$10)/($G$10-$E$10),$E$10+SQRT(T810*($G$10-$E$10)*($F$10-$E$10)),$G$10-SQRT((1-T810)*($G$10-$E$10)*($G$10-$F$10))))</f>
        <v>1.11331431833166</v>
      </c>
      <c r="G810" s="38" t="n">
        <f aca="false">IF($G$11=$E$11,$F$11,IF(U810&lt;($F$11-$E$11)/($G$11-$E$11),$E$11+SQRT(U810*($G$11-$E$11)*($F$11-$E$11)),$G$11-SQRT((1-U810)*($G$11-$E$11)*($G$11-$F$11))))</f>
        <v>0.113140181950464</v>
      </c>
      <c r="H810" s="39" t="n">
        <f aca="false">(('Business Case'!B11*$C810*'Business Case'!B12*$B810)-'Business Case'!B11*$C810*'Business Case'!B13*$D810-'Business Case'!B14*$E810)-MAX(0,(('Business Case'!B11*$C810*'Business Case'!B12*$B810)-'Business Case'!B11*$C810*'Business Case'!B13*$D810-'Business Case'!B14*$E810))*'Business Case'!$B$7-'Business Case'!$B$8*('Business Case'!B11*$C810*'Business Case'!B12*$B810)-'Business Case'!B15*$F810</f>
        <v>-2226628636.66331</v>
      </c>
      <c r="I810" s="39" t="n">
        <f aca="false">(('Business Case'!C11*$C810*'Business Case'!C12*$B810)-'Business Case'!C11*$C810*'Business Case'!C13*$D810-'Business Case'!C14*$E810)-MAX(0,(('Business Case'!C11*$C810*'Business Case'!C12*$B810)-'Business Case'!C11*$C810*'Business Case'!C13*$D810-'Business Case'!C14*$E810))*'Business Case'!$B$7-'Business Case'!$B$8*(('Business Case'!C11*$C810*'Business Case'!C12*$B810)-('Business Case'!B11*$C810*'Business Case'!B12*$B810))-'Business Case'!C15*$F810</f>
        <v>-122893431.896122</v>
      </c>
      <c r="J810" s="39" t="n">
        <f aca="false">(('Business Case'!D11*$C810*'Business Case'!D12*$B810)-'Business Case'!D11*$C810*'Business Case'!D13*$D810-'Business Case'!D14*$E810)-MAX(0,(('Business Case'!D11*$C810*'Business Case'!D12*$B810)-'Business Case'!D11*$C810*'Business Case'!D13*$D810-'Business Case'!D14*$E810))*'Business Case'!$B$7-'Business Case'!$B$8*(('Business Case'!D11*$C810*'Business Case'!D12*$B810)-('Business Case'!C11*$C810*'Business Case'!C12*$B810))-'Business Case'!D15*$F810</f>
        <v>44330814.5911827</v>
      </c>
      <c r="K810" s="39" t="n">
        <f aca="false">(('Business Case'!E11*$C810*'Business Case'!E12*$B810)-'Business Case'!E11*$C810*'Business Case'!E13*$D810-'Business Case'!E14*$E810)-MAX(0,(('Business Case'!E11*$C810*'Business Case'!E12*$B810)-'Business Case'!E11*$C810*'Business Case'!E13*$D810-'Business Case'!E14*$E810))*'Business Case'!$B$7-'Business Case'!$B$8*(('Business Case'!E11*$C810*'Business Case'!E12*$B810)-('Business Case'!D11*$C810*'Business Case'!D12*$B810))-'Business Case'!E15*$F810</f>
        <v>267220776.995071</v>
      </c>
      <c r="L810" s="39" t="n">
        <f aca="false">(('Business Case'!F11*$C810*'Business Case'!F12*$B810)-'Business Case'!F11*$C810*'Business Case'!F13*$D810-'Business Case'!F14*$E810)-MAX(0,(('Business Case'!F11*$C810*'Business Case'!F12*$B810)-'Business Case'!F11*$C810*'Business Case'!F13*$D810-'Business Case'!F14*$E810))*'Business Case'!$B$7-'Business Case'!$B$8*(('Business Case'!F11*$C810*'Business Case'!F12*$B810)-('Business Case'!E11*$C810*'Business Case'!E12*$B810))-'Business Case'!F15*$F810</f>
        <v>348899251.429145</v>
      </c>
      <c r="M810" s="39" t="n">
        <f aca="false">(('Business Case'!G11*$C810*'Business Case'!G12*$B810)-'Business Case'!G11*$C810*'Business Case'!G13*$D810-'Business Case'!G14*$E810)-MAX(0,(('Business Case'!G11*$C810*'Business Case'!G12*$B810)-'Business Case'!G11*$C810*'Business Case'!G13*$D810-'Business Case'!G14*$E810))*'Business Case'!$B$7-'Business Case'!$B$8*(('Business Case'!G11*$C810*'Business Case'!G12*$B810)-('Business Case'!F11*$C810*'Business Case'!F12*$B810))-'Business Case'!G15*$F810+'Business Case'!$B$8*('Business Case'!G11*$C810*'Business Case'!G12*$B810)</f>
        <v>491553075.589827</v>
      </c>
      <c r="N810" s="39" t="n">
        <f aca="false">IF(COUNT('Business Case'!B11:G11)=0,"",H810+NPV(G810,I810:M810))</f>
        <v>-1592643717.19216</v>
      </c>
      <c r="P810" s="40" t="n">
        <f aca="true">RAND()</f>
        <v>0.047523640345546</v>
      </c>
      <c r="Q810" s="40" t="n">
        <f aca="true">RAND()</f>
        <v>0.0893961442019691</v>
      </c>
      <c r="R810" s="40" t="n">
        <f aca="true">RAND()</f>
        <v>0.971606206095324</v>
      </c>
      <c r="S810" s="40" t="n">
        <f aca="true">RAND()</f>
        <v>0.280157825751764</v>
      </c>
      <c r="T810" s="40" t="n">
        <f aca="true">RAND()</f>
        <v>0.750893659024806</v>
      </c>
      <c r="U810" s="40" t="n">
        <f aca="true">RAND()</f>
        <v>0.810497690224361</v>
      </c>
    </row>
    <row r="811" customFormat="false" ht="15" hidden="false" customHeight="false" outlineLevel="0" collapsed="false">
      <c r="A811" s="36" t="n">
        <v>731</v>
      </c>
      <c r="B811" s="37" t="n">
        <f aca="false">1+IF($G$6=$E$6,$F$6,IF(P811&lt;($F$6-$E$6)/($G$6-$E$6),$E$6+SQRT(P811*($G$6-$E$6)*($F$6-$E$6)),$G$6-SQRT((1-P811)*($G$6-$E$6)*($G$6-$F$6))))</f>
        <v>1.01893173967553</v>
      </c>
      <c r="C811" s="37" t="n">
        <f aca="false">1+IF($G$7=$E$7,$F$7,IF(Q811&lt;($F$7-$E$7)/($G$7-$E$7),$E$7+SQRT(Q811*($G$7-$E$7)*($F$7-$E$7)),$G$7-SQRT((1-Q811)*($G$7-$E$7)*($G$7-$F$7))))</f>
        <v>1.01019569879492</v>
      </c>
      <c r="D811" s="37" t="n">
        <f aca="false">1+IF($G$8=$E$8,$F$8,IF(R811&lt;($F$8-$E$8)/($G$8-$E$8),$E$8+SQRT(R811*($G$8-$E$8)*($F$8-$E$8)),$G$8-SQRT((1-R811)*($G$8-$E$8)*($G$8-$F$8))))</f>
        <v>0.985607284182359</v>
      </c>
      <c r="E811" s="37" t="n">
        <f aca="false">1+IF($G$9=$E$9,$F$9,IF(S811&lt;($F$9-$E$9)/($G$9-$E$9),$E$9+SQRT(S811*($G$9-$E$9)*($F$9-$E$9)),$G$9-SQRT((1-S811)*($G$9-$E$9)*($G$9-$F$9))))</f>
        <v>0.94540460936097</v>
      </c>
      <c r="F811" s="37" t="n">
        <f aca="false">1+IF($G$10=$E$10,$F$10,IF(T811&lt;($F$10-$E$10)/($G$10-$E$10),$E$10+SQRT(T811*($G$10-$E$10)*($F$10-$E$10)),$G$10-SQRT((1-T811)*($G$10-$E$10)*($G$10-$F$10))))</f>
        <v>0.998133287875948</v>
      </c>
      <c r="G811" s="38" t="n">
        <f aca="false">IF($G$11=$E$11,$F$11,IF(U811&lt;($F$11-$E$11)/($G$11-$E$11),$E$11+SQRT(U811*($G$11-$E$11)*($F$11-$E$11)),$G$11-SQRT((1-U811)*($G$11-$E$11)*($G$11-$F$11))))</f>
        <v>0.0818086457034284</v>
      </c>
      <c r="H811" s="39" t="n">
        <f aca="false">(('Business Case'!B11*$C811*'Business Case'!B12*$B811)-'Business Case'!B11*$C811*'Business Case'!B13*$D811-'Business Case'!B14*$E811)-MAX(0,(('Business Case'!B11*$C811*'Business Case'!B12*$B811)-'Business Case'!B11*$C811*'Business Case'!B13*$D811-'Business Case'!B14*$E811))*'Business Case'!$B$7-'Business Case'!$B$8*('Business Case'!B11*$C811*'Business Case'!B12*$B811)-'Business Case'!B15*$F811</f>
        <v>-1996266575.7519</v>
      </c>
      <c r="I811" s="39" t="n">
        <f aca="false">(('Business Case'!C11*$C811*'Business Case'!C12*$B811)-'Business Case'!C11*$C811*'Business Case'!C13*$D811-'Business Case'!C14*$E811)-MAX(0,(('Business Case'!C11*$C811*'Business Case'!C12*$B811)-'Business Case'!C11*$C811*'Business Case'!C13*$D811-'Business Case'!C14*$E811))*'Business Case'!$B$7-'Business Case'!$B$8*(('Business Case'!C11*$C811*'Business Case'!C12*$B811)-('Business Case'!B11*$C811*'Business Case'!B12*$B811))-'Business Case'!C15*$F811</f>
        <v>45781389.5688879</v>
      </c>
      <c r="J811" s="39" t="n">
        <f aca="false">(('Business Case'!D11*$C811*'Business Case'!D12*$B811)-'Business Case'!D11*$C811*'Business Case'!D13*$D811-'Business Case'!D14*$E811)-MAX(0,(('Business Case'!D11*$C811*'Business Case'!D12*$B811)-'Business Case'!D11*$C811*'Business Case'!D13*$D811-'Business Case'!D14*$E811))*'Business Case'!$B$7-'Business Case'!$B$8*(('Business Case'!D11*$C811*'Business Case'!D12*$B811)-('Business Case'!C11*$C811*'Business Case'!C12*$B811))-'Business Case'!D15*$F811</f>
        <v>379172616.063638</v>
      </c>
      <c r="K811" s="39" t="n">
        <f aca="false">(('Business Case'!E11*$C811*'Business Case'!E12*$B811)-'Business Case'!E11*$C811*'Business Case'!E13*$D811-'Business Case'!E14*$E811)-MAX(0,(('Business Case'!E11*$C811*'Business Case'!E12*$B811)-'Business Case'!E11*$C811*'Business Case'!E13*$D811-'Business Case'!E14*$E811))*'Business Case'!$B$7-'Business Case'!$B$8*(('Business Case'!E11*$C811*'Business Case'!E12*$B811)-('Business Case'!D11*$C811*'Business Case'!D12*$B811))-'Business Case'!E15*$F811</f>
        <v>762470506.952187</v>
      </c>
      <c r="L811" s="39" t="n">
        <f aca="false">(('Business Case'!F11*$C811*'Business Case'!F12*$B811)-'Business Case'!F11*$C811*'Business Case'!F13*$D811-'Business Case'!F14*$E811)-MAX(0,(('Business Case'!F11*$C811*'Business Case'!F12*$B811)-'Business Case'!F11*$C811*'Business Case'!F13*$D811-'Business Case'!F14*$E811))*'Business Case'!$B$7-'Business Case'!$B$8*(('Business Case'!F11*$C811*'Business Case'!F12*$B811)-('Business Case'!E11*$C811*'Business Case'!E12*$B811))-'Business Case'!F15*$F811</f>
        <v>909174230.908528</v>
      </c>
      <c r="M811" s="39" t="n">
        <f aca="false">(('Business Case'!G11*$C811*'Business Case'!G12*$B811)-'Business Case'!G11*$C811*'Business Case'!G13*$D811-'Business Case'!G14*$E811)-MAX(0,(('Business Case'!G11*$C811*'Business Case'!G12*$B811)-'Business Case'!G11*$C811*'Business Case'!G13*$D811-'Business Case'!G14*$E811))*'Business Case'!$B$7-'Business Case'!$B$8*(('Business Case'!G11*$C811*'Business Case'!G12*$B811)-('Business Case'!F11*$C811*'Business Case'!F12*$B811))-'Business Case'!G15*$F811+'Business Case'!$B$8*('Business Case'!G11*$C811*'Business Case'!G12*$B811)</f>
        <v>1104827464.0947</v>
      </c>
      <c r="N811" s="39" t="n">
        <f aca="false">IF(COUNT('Business Case'!B11:G11)=0,"",H811+NPV(G811,I811:M811))</f>
        <v>381763689.893684</v>
      </c>
      <c r="P811" s="40" t="n">
        <f aca="true">RAND()</f>
        <v>0.871301760054763</v>
      </c>
      <c r="Q811" s="40" t="n">
        <f aca="true">RAND()</f>
        <v>0.710440849845318</v>
      </c>
      <c r="R811" s="40" t="n">
        <f aca="true">RAND()</f>
        <v>0.169050491579105</v>
      </c>
      <c r="S811" s="40" t="n">
        <f aca="true">RAND()</f>
        <v>0.0824631420488922</v>
      </c>
      <c r="T811" s="40" t="n">
        <f aca="true">RAND()</f>
        <v>0.154454226783258</v>
      </c>
      <c r="U811" s="40" t="n">
        <f aca="true">RAND()</f>
        <v>0.00327119928053003</v>
      </c>
    </row>
    <row r="812" customFormat="false" ht="15" hidden="false" customHeight="false" outlineLevel="0" collapsed="false">
      <c r="A812" s="36" t="n">
        <v>732</v>
      </c>
      <c r="B812" s="37" t="n">
        <f aca="false">1+IF($G$6=$E$6,$F$6,IF(P812&lt;($F$6-$E$6)/($G$6-$E$6),$E$6+SQRT(P812*($G$6-$E$6)*($F$6-$E$6)),$G$6-SQRT((1-P812)*($G$6-$E$6)*($G$6-$F$6))))</f>
        <v>1.01046400036233</v>
      </c>
      <c r="C812" s="37" t="n">
        <f aca="false">1+IF($G$7=$E$7,$F$7,IF(Q812&lt;($F$7-$E$7)/($G$7-$E$7),$E$7+SQRT(Q812*($G$7-$E$7)*($F$7-$E$7)),$G$7-SQRT((1-Q812)*($G$7-$E$7)*($G$7-$F$7))))</f>
        <v>0.881265610960512</v>
      </c>
      <c r="D812" s="37" t="n">
        <f aca="false">1+IF($G$8=$E$8,$F$8,IF(R812&lt;($F$8-$E$8)/($G$8-$E$8),$E$8+SQRT(R812*($G$8-$E$8)*($F$8-$E$8)),$G$8-SQRT((1-R812)*($G$8-$E$8)*($G$8-$F$8))))</f>
        <v>1.0052605740903</v>
      </c>
      <c r="E812" s="37" t="n">
        <f aca="false">1+IF($G$9=$E$9,$F$9,IF(S812&lt;($F$9-$E$9)/($G$9-$E$9),$E$9+SQRT(S812*($G$9-$E$9)*($F$9-$E$9)),$G$9-SQRT((1-S812)*($G$9-$E$9)*($G$9-$F$9))))</f>
        <v>1.00206467430257</v>
      </c>
      <c r="F812" s="37" t="n">
        <f aca="false">1+IF($G$10=$E$10,$F$10,IF(T812&lt;($F$10-$E$10)/($G$10-$E$10),$E$10+SQRT(T812*($G$10-$E$10)*($F$10-$E$10)),$G$10-SQRT((1-T812)*($G$10-$E$10)*($G$10-$F$10))))</f>
        <v>1.00852064936328</v>
      </c>
      <c r="G812" s="38" t="n">
        <f aca="false">IF($G$11=$E$11,$F$11,IF(U812&lt;($F$11-$E$11)/($G$11-$E$11),$E$11+SQRT(U812*($G$11-$E$11)*($F$11-$E$11)),$G$11-SQRT((1-U812)*($G$11-$E$11)*($G$11-$F$11))))</f>
        <v>0.110826029326033</v>
      </c>
      <c r="H812" s="39" t="n">
        <f aca="false">(('Business Case'!B11*$C812*'Business Case'!B12*$B812)-'Business Case'!B11*$C812*'Business Case'!B13*$D812-'Business Case'!B14*$E812)-MAX(0,(('Business Case'!B11*$C812*'Business Case'!B12*$B812)-'Business Case'!B11*$C812*'Business Case'!B13*$D812-'Business Case'!B14*$E812))*'Business Case'!$B$7-'Business Case'!$B$8*('Business Case'!B11*$C812*'Business Case'!B12*$B812)-'Business Case'!B15*$F812</f>
        <v>-2017041298.72656</v>
      </c>
      <c r="I812" s="39" t="n">
        <f aca="false">(('Business Case'!C11*$C812*'Business Case'!C12*$B812)-'Business Case'!C11*$C812*'Business Case'!C13*$D812-'Business Case'!C14*$E812)-MAX(0,(('Business Case'!C11*$C812*'Business Case'!C12*$B812)-'Business Case'!C11*$C812*'Business Case'!C13*$D812-'Business Case'!C14*$E812))*'Business Case'!$B$7-'Business Case'!$B$8*(('Business Case'!C11*$C812*'Business Case'!C12*$B812)-('Business Case'!B11*$C812*'Business Case'!B12*$B812))-'Business Case'!C15*$F812</f>
        <v>-13646139.4163831</v>
      </c>
      <c r="J812" s="39" t="n">
        <f aca="false">(('Business Case'!D11*$C812*'Business Case'!D12*$B812)-'Business Case'!D11*$C812*'Business Case'!D13*$D812-'Business Case'!D14*$E812)-MAX(0,(('Business Case'!D11*$C812*'Business Case'!D12*$B812)-'Business Case'!D11*$C812*'Business Case'!D13*$D812-'Business Case'!D14*$E812))*'Business Case'!$B$7-'Business Case'!$B$8*(('Business Case'!D11*$C812*'Business Case'!D12*$B812)-('Business Case'!C11*$C812*'Business Case'!C12*$B812))-'Business Case'!D15*$F812</f>
        <v>262216237.922357</v>
      </c>
      <c r="K812" s="39" t="n">
        <f aca="false">(('Business Case'!E11*$C812*'Business Case'!E12*$B812)-'Business Case'!E11*$C812*'Business Case'!E13*$D812-'Business Case'!E14*$E812)-MAX(0,(('Business Case'!E11*$C812*'Business Case'!E12*$B812)-'Business Case'!E11*$C812*'Business Case'!E13*$D812-'Business Case'!E14*$E812))*'Business Case'!$B$7-'Business Case'!$B$8*(('Business Case'!E11*$C812*'Business Case'!E12*$B812)-('Business Case'!D11*$C812*'Business Case'!D12*$B812))-'Business Case'!E15*$F812</f>
        <v>588504647.729261</v>
      </c>
      <c r="L812" s="39" t="n">
        <f aca="false">(('Business Case'!F11*$C812*'Business Case'!F12*$B812)-'Business Case'!F11*$C812*'Business Case'!F13*$D812-'Business Case'!F14*$E812)-MAX(0,(('Business Case'!F11*$C812*'Business Case'!F12*$B812)-'Business Case'!F11*$C812*'Business Case'!F13*$D812-'Business Case'!F14*$E812))*'Business Case'!$B$7-'Business Case'!$B$8*(('Business Case'!F11*$C812*'Business Case'!F12*$B812)-('Business Case'!E11*$C812*'Business Case'!E12*$B812))-'Business Case'!F15*$F812</f>
        <v>711234010.264155</v>
      </c>
      <c r="M812" s="39" t="n">
        <f aca="false">(('Business Case'!G11*$C812*'Business Case'!G12*$B812)-'Business Case'!G11*$C812*'Business Case'!G13*$D812-'Business Case'!G14*$E812)-MAX(0,(('Business Case'!G11*$C812*'Business Case'!G12*$B812)-'Business Case'!G11*$C812*'Business Case'!G13*$D812-'Business Case'!G14*$E812))*'Business Case'!$B$7-'Business Case'!$B$8*(('Business Case'!G11*$C812*'Business Case'!G12*$B812)-('Business Case'!F11*$C812*'Business Case'!F12*$B812))-'Business Case'!G15*$F812+'Business Case'!$B$8*('Business Case'!G11*$C812*'Business Case'!G12*$B812)</f>
        <v>880497812.418378</v>
      </c>
      <c r="N812" s="39" t="n">
        <f aca="false">IF(COUNT('Business Case'!B11:G11)=0,"",H812+NPV(G812,I812:M812))</f>
        <v>-399758993.720999</v>
      </c>
      <c r="P812" s="40" t="n">
        <f aca="true">RAND()</f>
        <v>0.791587297686648</v>
      </c>
      <c r="Q812" s="40" t="n">
        <f aca="true">RAND()</f>
        <v>0.2433868275325</v>
      </c>
      <c r="R812" s="40" t="n">
        <f aca="true">RAND()</f>
        <v>0.401629411886728</v>
      </c>
      <c r="S812" s="40" t="n">
        <f aca="true">RAND()</f>
        <v>0.416403717621197</v>
      </c>
      <c r="T812" s="40" t="n">
        <f aca="true">RAND()</f>
        <v>0.222502976214249</v>
      </c>
      <c r="U812" s="40" t="n">
        <f aca="true">RAND()</f>
        <v>0.754905899062577</v>
      </c>
    </row>
    <row r="813" customFormat="false" ht="15" hidden="false" customHeight="false" outlineLevel="0" collapsed="false">
      <c r="A813" s="36" t="n">
        <v>733</v>
      </c>
      <c r="B813" s="37" t="n">
        <f aca="false">1+IF($G$6=$E$6,$F$6,IF(P813&lt;($F$6-$E$6)/($G$6-$E$6),$E$6+SQRT(P813*($G$6-$E$6)*($F$6-$E$6)),$G$6-SQRT((1-P813)*($G$6-$E$6)*($G$6-$F$6))))</f>
        <v>0.931830327454923</v>
      </c>
      <c r="C813" s="37" t="n">
        <f aca="false">1+IF($G$7=$E$7,$F$7,IF(Q813&lt;($F$7-$E$7)/($G$7-$E$7),$E$7+SQRT(Q813*($G$7-$E$7)*($F$7-$E$7)),$G$7-SQRT((1-Q813)*($G$7-$E$7)*($G$7-$F$7))))</f>
        <v>1.0084994930896</v>
      </c>
      <c r="D813" s="37" t="n">
        <f aca="false">1+IF($G$8=$E$8,$F$8,IF(R813&lt;($F$8-$E$8)/($G$8-$E$8),$E$8+SQRT(R813*($G$8-$E$8)*($F$8-$E$8)),$G$8-SQRT((1-R813)*($G$8-$E$8)*($G$8-$F$8))))</f>
        <v>1.07623222443078</v>
      </c>
      <c r="E813" s="37" t="n">
        <f aca="false">1+IF($G$9=$E$9,$F$9,IF(S813&lt;($F$9-$E$9)/($G$9-$E$9),$E$9+SQRT(S813*($G$9-$E$9)*($F$9-$E$9)),$G$9-SQRT((1-S813)*($G$9-$E$9)*($G$9-$F$9))))</f>
        <v>1.11290572752703</v>
      </c>
      <c r="F813" s="37" t="n">
        <f aca="false">1+IF($G$10=$E$10,$F$10,IF(T813&lt;($F$10-$E$10)/($G$10-$E$10),$E$10+SQRT(T813*($G$10-$E$10)*($F$10-$E$10)),$G$10-SQRT((1-T813)*($G$10-$E$10)*($G$10-$F$10))))</f>
        <v>0.970993953737552</v>
      </c>
      <c r="G813" s="38" t="n">
        <f aca="false">IF($G$11=$E$11,$F$11,IF(U813&lt;($F$11-$E$11)/($G$11-$E$11),$E$11+SQRT(U813*($G$11-$E$11)*($F$11-$E$11)),$G$11-SQRT((1-U813)*($G$11-$E$11)*($G$11-$F$11))))</f>
        <v>0.103168841297499</v>
      </c>
      <c r="H813" s="39" t="n">
        <f aca="false">(('Business Case'!B11*$C813*'Business Case'!B12*$B813)-'Business Case'!B11*$C813*'Business Case'!B13*$D813-'Business Case'!B14*$E813)-MAX(0,(('Business Case'!B11*$C813*'Business Case'!B12*$B813)-'Business Case'!B11*$C813*'Business Case'!B13*$D813-'Business Case'!B14*$E813))*'Business Case'!$B$7-'Business Case'!$B$8*('Business Case'!B11*$C813*'Business Case'!B12*$B813)-'Business Case'!B15*$F813</f>
        <v>-1941987907.4751</v>
      </c>
      <c r="I813" s="39" t="n">
        <f aca="false">(('Business Case'!C11*$C813*'Business Case'!C12*$B813)-'Business Case'!C11*$C813*'Business Case'!C13*$D813-'Business Case'!C14*$E813)-MAX(0,(('Business Case'!C11*$C813*'Business Case'!C12*$B813)-'Business Case'!C11*$C813*'Business Case'!C13*$D813-'Business Case'!C14*$E813))*'Business Case'!$B$7-'Business Case'!$B$8*(('Business Case'!C11*$C813*'Business Case'!C12*$B813)-('Business Case'!B11*$C813*'Business Case'!B12*$B813))-'Business Case'!C15*$F813</f>
        <v>-89975552.9041933</v>
      </c>
      <c r="J813" s="39" t="n">
        <f aca="false">(('Business Case'!D11*$C813*'Business Case'!D12*$B813)-'Business Case'!D11*$C813*'Business Case'!D13*$D813-'Business Case'!D14*$E813)-MAX(0,(('Business Case'!D11*$C813*'Business Case'!D12*$B813)-'Business Case'!D11*$C813*'Business Case'!D13*$D813-'Business Case'!D14*$E813))*'Business Case'!$B$7-'Business Case'!$B$8*(('Business Case'!D11*$C813*'Business Case'!D12*$B813)-('Business Case'!C11*$C813*'Business Case'!C12*$B813))-'Business Case'!D15*$F813</f>
        <v>124120145.423608</v>
      </c>
      <c r="K813" s="39" t="n">
        <f aca="false">(('Business Case'!E11*$C813*'Business Case'!E12*$B813)-'Business Case'!E11*$C813*'Business Case'!E13*$D813-'Business Case'!E14*$E813)-MAX(0,(('Business Case'!E11*$C813*'Business Case'!E12*$B813)-'Business Case'!E11*$C813*'Business Case'!E13*$D813-'Business Case'!E14*$E813))*'Business Case'!$B$7-'Business Case'!$B$8*(('Business Case'!E11*$C813*'Business Case'!E12*$B813)-('Business Case'!D11*$C813*'Business Case'!D12*$B813))-'Business Case'!E15*$F813</f>
        <v>386765541.438287</v>
      </c>
      <c r="L813" s="39" t="n">
        <f aca="false">(('Business Case'!F11*$C813*'Business Case'!F12*$B813)-'Business Case'!F11*$C813*'Business Case'!F13*$D813-'Business Case'!F14*$E813)-MAX(0,(('Business Case'!F11*$C813*'Business Case'!F12*$B813)-'Business Case'!F11*$C813*'Business Case'!F13*$D813-'Business Case'!F14*$E813))*'Business Case'!$B$7-'Business Case'!$B$8*(('Business Case'!F11*$C813*'Business Case'!F12*$B813)-('Business Case'!E11*$C813*'Business Case'!E12*$B813))-'Business Case'!F15*$F813</f>
        <v>490608548.483485</v>
      </c>
      <c r="M813" s="39" t="n">
        <f aca="false">(('Business Case'!G11*$C813*'Business Case'!G12*$B813)-'Business Case'!G11*$C813*'Business Case'!G13*$D813-'Business Case'!G14*$E813)-MAX(0,(('Business Case'!G11*$C813*'Business Case'!G12*$B813)-'Business Case'!G11*$C813*'Business Case'!G13*$D813-'Business Case'!G14*$E813))*'Business Case'!$B$7-'Business Case'!$B$8*(('Business Case'!G11*$C813*'Business Case'!G12*$B813)-('Business Case'!F11*$C813*'Business Case'!F12*$B813))-'Business Case'!G15*$F813+'Business Case'!$B$8*('Business Case'!G11*$C813*'Business Case'!G12*$B813)</f>
        <v>669236306.96444</v>
      </c>
      <c r="N813" s="39" t="n">
        <f aca="false">IF(COUNT('Business Case'!B11:G11)=0,"",H813+NPV(G813,I813:M813))</f>
        <v>-892605298.365159</v>
      </c>
      <c r="P813" s="40" t="n">
        <f aca="true">RAND()</f>
        <v>0.0675446497258422</v>
      </c>
      <c r="Q813" s="40" t="n">
        <f aca="true">RAND()</f>
        <v>0.703371948801484</v>
      </c>
      <c r="R813" s="40" t="n">
        <f aca="true">RAND()</f>
        <v>0.962339522966064</v>
      </c>
      <c r="S813" s="40" t="n">
        <f aca="true">RAND()</f>
        <v>0.963307065325353</v>
      </c>
      <c r="T813" s="40" t="n">
        <f aca="true">RAND()</f>
        <v>0.0293830729022984</v>
      </c>
      <c r="U813" s="40" t="n">
        <f aca="true">RAND()</f>
        <v>0.520059281787455</v>
      </c>
    </row>
    <row r="814" customFormat="false" ht="15" hidden="false" customHeight="false" outlineLevel="0" collapsed="false">
      <c r="A814" s="36" t="n">
        <v>734</v>
      </c>
      <c r="B814" s="37" t="n">
        <f aca="false">1+IF($G$6=$E$6,$F$6,IF(P814&lt;($F$6-$E$6)/($G$6-$E$6),$E$6+SQRT(P814*($G$6-$E$6)*($F$6-$E$6)),$G$6-SQRT((1-P814)*($G$6-$E$6)*($G$6-$F$6))))</f>
        <v>0.988593528165847</v>
      </c>
      <c r="C814" s="37" t="n">
        <f aca="false">1+IF($G$7=$E$7,$F$7,IF(Q814&lt;($F$7-$E$7)/($G$7-$E$7),$E$7+SQRT(Q814*($G$7-$E$7)*($F$7-$E$7)),$G$7-SQRT((1-Q814)*($G$7-$E$7)*($G$7-$F$7))))</f>
        <v>0.908289601283362</v>
      </c>
      <c r="D814" s="37" t="n">
        <f aca="false">1+IF($G$8=$E$8,$F$8,IF(R814&lt;($F$8-$E$8)/($G$8-$E$8),$E$8+SQRT(R814*($G$8-$E$8)*($F$8-$E$8)),$G$8-SQRT((1-R814)*($G$8-$E$8)*($G$8-$F$8))))</f>
        <v>1.01240849034123</v>
      </c>
      <c r="E814" s="37" t="n">
        <f aca="false">1+IF($G$9=$E$9,$F$9,IF(S814&lt;($F$9-$E$9)/($G$9-$E$9),$E$9+SQRT(S814*($G$9-$E$9)*($F$9-$E$9)),$G$9-SQRT((1-S814)*($G$9-$E$9)*($G$9-$F$9))))</f>
        <v>0.964260665166176</v>
      </c>
      <c r="F814" s="37" t="n">
        <f aca="false">1+IF($G$10=$E$10,$F$10,IF(T814&lt;($F$10-$E$10)/($G$10-$E$10),$E$10+SQRT(T814*($G$10-$E$10)*($F$10-$E$10)),$G$10-SQRT((1-T814)*($G$10-$E$10)*($G$10-$F$10))))</f>
        <v>1.03016439276022</v>
      </c>
      <c r="G814" s="38" t="n">
        <f aca="false">IF($G$11=$E$11,$F$11,IF(U814&lt;($F$11-$E$11)/($G$11-$E$11),$E$11+SQRT(U814*($G$11-$E$11)*($F$11-$E$11)),$G$11-SQRT((1-U814)*($G$11-$E$11)*($G$11-$F$11))))</f>
        <v>0.101589840614499</v>
      </c>
      <c r="H814" s="39" t="n">
        <f aca="false">(('Business Case'!B11*$C814*'Business Case'!B12*$B814)-'Business Case'!B11*$C814*'Business Case'!B13*$D814-'Business Case'!B14*$E814)-MAX(0,(('Business Case'!B11*$C814*'Business Case'!B12*$B814)-'Business Case'!B11*$C814*'Business Case'!B13*$D814-'Business Case'!B14*$E814))*'Business Case'!$B$7-'Business Case'!$B$8*('Business Case'!B11*$C814*'Business Case'!B12*$B814)-'Business Case'!B15*$F814</f>
        <v>-2060328785.52045</v>
      </c>
      <c r="I814" s="39" t="n">
        <f aca="false">(('Business Case'!C11*$C814*'Business Case'!C12*$B814)-'Business Case'!C11*$C814*'Business Case'!C13*$D814-'Business Case'!C14*$E814)-MAX(0,(('Business Case'!C11*$C814*'Business Case'!C12*$B814)-'Business Case'!C11*$C814*'Business Case'!C13*$D814-'Business Case'!C14*$E814))*'Business Case'!$B$7-'Business Case'!$B$8*(('Business Case'!C11*$C814*'Business Case'!C12*$B814)-('Business Case'!B11*$C814*'Business Case'!B12*$B814))-'Business Case'!C15*$F814</f>
        <v>-21955481.8244363</v>
      </c>
      <c r="J814" s="39" t="n">
        <f aca="false">(('Business Case'!D11*$C814*'Business Case'!D12*$B814)-'Business Case'!D11*$C814*'Business Case'!D13*$D814-'Business Case'!D14*$E814)-MAX(0,(('Business Case'!D11*$C814*'Business Case'!D12*$B814)-'Business Case'!D11*$C814*'Business Case'!D13*$D814-'Business Case'!D14*$E814))*'Business Case'!$B$7-'Business Case'!$B$8*(('Business Case'!D11*$C814*'Business Case'!D12*$B814)-('Business Case'!C11*$C814*'Business Case'!C12*$B814))-'Business Case'!D15*$F814</f>
        <v>242771993.057847</v>
      </c>
      <c r="K814" s="39" t="n">
        <f aca="false">(('Business Case'!E11*$C814*'Business Case'!E12*$B814)-'Business Case'!E11*$C814*'Business Case'!E13*$D814-'Business Case'!E14*$E814)-MAX(0,(('Business Case'!E11*$C814*'Business Case'!E12*$B814)-'Business Case'!E11*$C814*'Business Case'!E13*$D814-'Business Case'!E14*$E814))*'Business Case'!$B$7-'Business Case'!$B$8*(('Business Case'!E11*$C814*'Business Case'!E12*$B814)-('Business Case'!D11*$C814*'Business Case'!D12*$B814))-'Business Case'!E15*$F814</f>
        <v>559007687.578142</v>
      </c>
      <c r="L814" s="39" t="n">
        <f aca="false">(('Business Case'!F11*$C814*'Business Case'!F12*$B814)-'Business Case'!F11*$C814*'Business Case'!F13*$D814-'Business Case'!F14*$E814)-MAX(0,(('Business Case'!F11*$C814*'Business Case'!F12*$B814)-'Business Case'!F11*$C814*'Business Case'!F13*$D814-'Business Case'!F14*$E814))*'Business Case'!$B$7-'Business Case'!$B$8*(('Business Case'!F11*$C814*'Business Case'!F12*$B814)-('Business Case'!E11*$C814*'Business Case'!E12*$B814))-'Business Case'!F15*$F814</f>
        <v>678282613.101614</v>
      </c>
      <c r="M814" s="39" t="n">
        <f aca="false">(('Business Case'!G11*$C814*'Business Case'!G12*$B814)-'Business Case'!G11*$C814*'Business Case'!G13*$D814-'Business Case'!G14*$E814)-MAX(0,(('Business Case'!G11*$C814*'Business Case'!G12*$B814)-'Business Case'!G11*$C814*'Business Case'!G13*$D814-'Business Case'!G14*$E814))*'Business Case'!$B$7-'Business Case'!$B$8*(('Business Case'!G11*$C814*'Business Case'!G12*$B814)-('Business Case'!F11*$C814*'Business Case'!F12*$B814))-'Business Case'!G15*$F814+'Business Case'!$B$8*('Business Case'!G11*$C814*'Business Case'!G12*$B814)</f>
        <v>848960999.529859</v>
      </c>
      <c r="N814" s="39" t="n">
        <f aca="false">IF(COUNT('Business Case'!B11:G11)=0,"",H814+NPV(G814,I814:M814))</f>
        <v>-478072708.475317</v>
      </c>
      <c r="P814" s="40" t="n">
        <f aca="true">RAND()</f>
        <v>0.523254215524852</v>
      </c>
      <c r="Q814" s="40" t="n">
        <f aca="true">RAND()</f>
        <v>0.321367096316903</v>
      </c>
      <c r="R814" s="40" t="n">
        <f aca="true">RAND()</f>
        <v>0.488515162379809</v>
      </c>
      <c r="S814" s="40" t="n">
        <f aca="true">RAND()</f>
        <v>0.165177323503975</v>
      </c>
      <c r="T814" s="40" t="n">
        <f aca="true">RAND()</f>
        <v>0.355630743860253</v>
      </c>
      <c r="U814" s="40" t="n">
        <f aca="true">RAND()</f>
        <v>0.461908562460273</v>
      </c>
    </row>
    <row r="815" customFormat="false" ht="15" hidden="false" customHeight="false" outlineLevel="0" collapsed="false">
      <c r="A815" s="36" t="n">
        <v>735</v>
      </c>
      <c r="B815" s="37" t="n">
        <f aca="false">1+IF($G$6=$E$6,$F$6,IF(P815&lt;($F$6-$E$6)/($G$6-$E$6),$E$6+SQRT(P815*($G$6-$E$6)*($F$6-$E$6)),$G$6-SQRT((1-P815)*($G$6-$E$6)*($G$6-$F$6))))</f>
        <v>1.02134030320075</v>
      </c>
      <c r="C815" s="37" t="n">
        <f aca="false">1+IF($G$7=$E$7,$F$7,IF(Q815&lt;($F$7-$E$7)/($G$7-$E$7),$E$7+SQRT(Q815*($G$7-$E$7)*($F$7-$E$7)),$G$7-SQRT((1-Q815)*($G$7-$E$7)*($G$7-$F$7))))</f>
        <v>0.983423004171629</v>
      </c>
      <c r="D815" s="37" t="n">
        <f aca="false">1+IF($G$8=$E$8,$F$8,IF(R815&lt;($F$8-$E$8)/($G$8-$E$8),$E$8+SQRT(R815*($G$8-$E$8)*($F$8-$E$8)),$G$8-SQRT((1-R815)*($G$8-$E$8)*($G$8-$F$8))))</f>
        <v>0.972865011097349</v>
      </c>
      <c r="E815" s="37" t="n">
        <f aca="false">1+IF($G$9=$E$9,$F$9,IF(S815&lt;($F$9-$E$9)/($G$9-$E$9),$E$9+SQRT(S815*($G$9-$E$9)*($F$9-$E$9)),$G$9-SQRT((1-S815)*($G$9-$E$9)*($G$9-$F$9))))</f>
        <v>0.956422739617524</v>
      </c>
      <c r="F815" s="37" t="n">
        <f aca="false">1+IF($G$10=$E$10,$F$10,IF(T815&lt;($F$10-$E$10)/($G$10-$E$10),$E$10+SQRT(T815*($G$10-$E$10)*($F$10-$E$10)),$G$10-SQRT((1-T815)*($G$10-$E$10)*($G$10-$F$10))))</f>
        <v>1.09933481395737</v>
      </c>
      <c r="G815" s="38" t="n">
        <f aca="false">IF($G$11=$E$11,$F$11,IF(U815&lt;($F$11-$E$11)/($G$11-$E$11),$E$11+SQRT(U815*($G$11-$E$11)*($F$11-$E$11)),$G$11-SQRT((1-U815)*($G$11-$E$11)*($G$11-$F$11))))</f>
        <v>0.0921878381736301</v>
      </c>
      <c r="H815" s="39" t="n">
        <f aca="false">(('Business Case'!B11*$C815*'Business Case'!B12*$B815)-'Business Case'!B11*$C815*'Business Case'!B13*$D815-'Business Case'!B14*$E815)-MAX(0,(('Business Case'!B11*$C815*'Business Case'!B12*$B815)-'Business Case'!B11*$C815*'Business Case'!B13*$D815-'Business Case'!B14*$E815))*'Business Case'!$B$7-'Business Case'!$B$8*('Business Case'!B11*$C815*'Business Case'!B12*$B815)-'Business Case'!B15*$F815</f>
        <v>-2198669627.91475</v>
      </c>
      <c r="I815" s="39" t="n">
        <f aca="false">(('Business Case'!C11*$C815*'Business Case'!C12*$B815)-'Business Case'!C11*$C815*'Business Case'!C13*$D815-'Business Case'!C14*$E815)-MAX(0,(('Business Case'!C11*$C815*'Business Case'!C12*$B815)-'Business Case'!C11*$C815*'Business Case'!C13*$D815-'Business Case'!C14*$E815))*'Business Case'!$B$7-'Business Case'!$B$8*(('Business Case'!C11*$C815*'Business Case'!C12*$B815)-('Business Case'!B11*$C815*'Business Case'!B12*$B815))-'Business Case'!C15*$F815</f>
        <v>34905121.4355862</v>
      </c>
      <c r="J815" s="39" t="n">
        <f aca="false">(('Business Case'!D11*$C815*'Business Case'!D12*$B815)-'Business Case'!D11*$C815*'Business Case'!D13*$D815-'Business Case'!D14*$E815)-MAX(0,(('Business Case'!D11*$C815*'Business Case'!D12*$B815)-'Business Case'!D11*$C815*'Business Case'!D13*$D815-'Business Case'!D14*$E815))*'Business Case'!$B$7-'Business Case'!$B$8*(('Business Case'!D11*$C815*'Business Case'!D12*$B815)-('Business Case'!C11*$C815*'Business Case'!C12*$B815))-'Business Case'!D15*$F815</f>
        <v>367815628.873913</v>
      </c>
      <c r="K815" s="39" t="n">
        <f aca="false">(('Business Case'!E11*$C815*'Business Case'!E12*$B815)-'Business Case'!E11*$C815*'Business Case'!E13*$D815-'Business Case'!E14*$E815)-MAX(0,(('Business Case'!E11*$C815*'Business Case'!E12*$B815)-'Business Case'!E11*$C815*'Business Case'!E13*$D815-'Business Case'!E14*$E815))*'Business Case'!$B$7-'Business Case'!$B$8*(('Business Case'!E11*$C815*'Business Case'!E12*$B815)-('Business Case'!D11*$C815*'Business Case'!D12*$B815))-'Business Case'!E15*$F815</f>
        <v>755692877.010109</v>
      </c>
      <c r="L815" s="39" t="n">
        <f aca="false">(('Business Case'!F11*$C815*'Business Case'!F12*$B815)-'Business Case'!F11*$C815*'Business Case'!F13*$D815-'Business Case'!F14*$E815)-MAX(0,(('Business Case'!F11*$C815*'Business Case'!F12*$B815)-'Business Case'!F11*$C815*'Business Case'!F13*$D815-'Business Case'!F14*$E815))*'Business Case'!$B$7-'Business Case'!$B$8*(('Business Case'!F11*$C815*'Business Case'!F12*$B815)-('Business Case'!E11*$C815*'Business Case'!E12*$B815))-'Business Case'!F15*$F815</f>
        <v>901375440.178479</v>
      </c>
      <c r="M815" s="39" t="n">
        <f aca="false">(('Business Case'!G11*$C815*'Business Case'!G12*$B815)-'Business Case'!G11*$C815*'Business Case'!G13*$D815-'Business Case'!G14*$E815)-MAX(0,(('Business Case'!G11*$C815*'Business Case'!G12*$B815)-'Business Case'!G11*$C815*'Business Case'!G13*$D815-'Business Case'!G14*$E815))*'Business Case'!$B$7-'Business Case'!$B$8*(('Business Case'!G11*$C815*'Business Case'!G12*$B815)-('Business Case'!F11*$C815*'Business Case'!F12*$B815))-'Business Case'!G15*$F815+'Business Case'!$B$8*('Business Case'!G11*$C815*'Business Case'!G12*$B815)</f>
        <v>1092293607.30092</v>
      </c>
      <c r="N815" s="39" t="n">
        <f aca="false">IF(COUNT('Business Case'!B11:G11)=0,"",H815+NPV(G815,I815:M815))</f>
        <v>57956901.105947</v>
      </c>
      <c r="P815" s="40" t="n">
        <f aca="true">RAND()</f>
        <v>0.890482903916658</v>
      </c>
      <c r="Q815" s="40" t="n">
        <f aca="true">RAND()</f>
        <v>0.595026661434604</v>
      </c>
      <c r="R815" s="40" t="n">
        <f aca="true">RAND()</f>
        <v>0.0697078309975837</v>
      </c>
      <c r="S815" s="40" t="n">
        <f aca="true">RAND()</f>
        <v>0.127341021837876</v>
      </c>
      <c r="T815" s="40" t="n">
        <f aca="true">RAND()</f>
        <v>0.697333356196542</v>
      </c>
      <c r="U815" s="40" t="n">
        <f aca="true">RAND()</f>
        <v>0.148543399346596</v>
      </c>
    </row>
    <row r="816" customFormat="false" ht="15" hidden="false" customHeight="false" outlineLevel="0" collapsed="false">
      <c r="A816" s="36" t="n">
        <v>736</v>
      </c>
      <c r="B816" s="37" t="n">
        <f aca="false">1+IF($G$6=$E$6,$F$6,IF(P816&lt;($F$6-$E$6)/($G$6-$E$6),$E$6+SQRT(P816*($G$6-$E$6)*($F$6-$E$6)),$G$6-SQRT((1-P816)*($G$6-$E$6)*($G$6-$F$6))))</f>
        <v>1.00648457699148</v>
      </c>
      <c r="C816" s="37" t="n">
        <f aca="false">1+IF($G$7=$E$7,$F$7,IF(Q816&lt;($F$7-$E$7)/($G$7-$E$7),$E$7+SQRT(Q816*($G$7-$E$7)*($F$7-$E$7)),$G$7-SQRT((1-Q816)*($G$7-$E$7)*($G$7-$F$7))))</f>
        <v>0.837763604056067</v>
      </c>
      <c r="D816" s="37" t="n">
        <f aca="false">1+IF($G$8=$E$8,$F$8,IF(R816&lt;($F$8-$E$8)/($G$8-$E$8),$E$8+SQRT(R816*($G$8-$E$8)*($F$8-$E$8)),$G$8-SQRT((1-R816)*($G$8-$E$8)*($G$8-$F$8))))</f>
        <v>1.05751848181368</v>
      </c>
      <c r="E816" s="37" t="n">
        <f aca="false">1+IF($G$9=$E$9,$F$9,IF(S816&lt;($F$9-$E$9)/($G$9-$E$9),$E$9+SQRT(S816*($G$9-$E$9)*($F$9-$E$9)),$G$9-SQRT((1-S816)*($G$9-$E$9)*($G$9-$F$9))))</f>
        <v>1.01813620083385</v>
      </c>
      <c r="F816" s="37" t="n">
        <f aca="false">1+IF($G$10=$E$10,$F$10,IF(T816&lt;($F$10-$E$10)/($G$10-$E$10),$E$10+SQRT(T816*($G$10-$E$10)*($F$10-$E$10)),$G$10-SQRT((1-T816)*($G$10-$E$10)*($G$10-$F$10))))</f>
        <v>1.0097293542246</v>
      </c>
      <c r="G816" s="38" t="n">
        <f aca="false">IF($G$11=$E$11,$F$11,IF(U816&lt;($F$11-$E$11)/($G$11-$E$11),$E$11+SQRT(U816*($G$11-$E$11)*($F$11-$E$11)),$G$11-SQRT((1-U816)*($G$11-$E$11)*($G$11-$F$11))))</f>
        <v>0.108472005129824</v>
      </c>
      <c r="H816" s="39" t="n">
        <f aca="false">(('Business Case'!B11*$C816*'Business Case'!B12*$B816)-'Business Case'!B11*$C816*'Business Case'!B13*$D816-'Business Case'!B14*$E816)-MAX(0,(('Business Case'!B11*$C816*'Business Case'!B12*$B816)-'Business Case'!B11*$C816*'Business Case'!B13*$D816-'Business Case'!B14*$E816))*'Business Case'!$B$7-'Business Case'!$B$8*('Business Case'!B11*$C816*'Business Case'!B12*$B816)-'Business Case'!B15*$F816</f>
        <v>-2019458708.44919</v>
      </c>
      <c r="I816" s="39" t="n">
        <f aca="false">(('Business Case'!C11*$C816*'Business Case'!C12*$B816)-'Business Case'!C11*$C816*'Business Case'!C13*$D816-'Business Case'!C14*$E816)-MAX(0,(('Business Case'!C11*$C816*'Business Case'!C12*$B816)-'Business Case'!C11*$C816*'Business Case'!C13*$D816-'Business Case'!C14*$E816))*'Business Case'!$B$7-'Business Case'!$B$8*(('Business Case'!C11*$C816*'Business Case'!C12*$B816)-('Business Case'!B11*$C816*'Business Case'!B12*$B816))-'Business Case'!C15*$F816</f>
        <v>-52360614.4332366</v>
      </c>
      <c r="J816" s="39" t="n">
        <f aca="false">(('Business Case'!D11*$C816*'Business Case'!D12*$B816)-'Business Case'!D11*$C816*'Business Case'!D13*$D816-'Business Case'!D14*$E816)-MAX(0,(('Business Case'!D11*$C816*'Business Case'!D12*$B816)-'Business Case'!D11*$C816*'Business Case'!D13*$D816-'Business Case'!D14*$E816))*'Business Case'!$B$7-'Business Case'!$B$8*(('Business Case'!D11*$C816*'Business Case'!D12*$B816)-('Business Case'!C11*$C816*'Business Case'!C12*$B816))-'Business Case'!D15*$F816</f>
        <v>184741962.556752</v>
      </c>
      <c r="K816" s="39" t="n">
        <f aca="false">(('Business Case'!E11*$C816*'Business Case'!E12*$B816)-'Business Case'!E11*$C816*'Business Case'!E13*$D816-'Business Case'!E14*$E816)-MAX(0,(('Business Case'!E11*$C816*'Business Case'!E12*$B816)-'Business Case'!E11*$C816*'Business Case'!E13*$D816-'Business Case'!E14*$E816))*'Business Case'!$B$7-'Business Case'!$B$8*(('Business Case'!E11*$C816*'Business Case'!E12*$B816)-('Business Case'!D11*$C816*'Business Case'!D12*$B816))-'Business Case'!E15*$F816</f>
        <v>472331007.25797</v>
      </c>
      <c r="L816" s="39" t="n">
        <f aca="false">(('Business Case'!F11*$C816*'Business Case'!F12*$B816)-'Business Case'!F11*$C816*'Business Case'!F13*$D816-'Business Case'!F14*$E816)-MAX(0,(('Business Case'!F11*$C816*'Business Case'!F12*$B816)-'Business Case'!F11*$C816*'Business Case'!F13*$D816-'Business Case'!F14*$E816))*'Business Case'!$B$7-'Business Case'!$B$8*(('Business Case'!F11*$C816*'Business Case'!F12*$B816)-('Business Case'!E11*$C816*'Business Case'!E12*$B816))-'Business Case'!F15*$F816</f>
        <v>580506058.416094</v>
      </c>
      <c r="M816" s="39" t="n">
        <f aca="false">(('Business Case'!G11*$C816*'Business Case'!G12*$B816)-'Business Case'!G11*$C816*'Business Case'!G13*$D816-'Business Case'!G14*$E816)-MAX(0,(('Business Case'!G11*$C816*'Business Case'!G12*$B816)-'Business Case'!G11*$C816*'Business Case'!G13*$D816-'Business Case'!G14*$E816))*'Business Case'!$B$7-'Business Case'!$B$8*(('Business Case'!G11*$C816*'Business Case'!G12*$B816)-('Business Case'!F11*$C816*'Business Case'!F12*$B816))-'Business Case'!G15*$F816+'Business Case'!$B$8*('Business Case'!G11*$C816*'Business Case'!G12*$B816)</f>
        <v>740780781.9708</v>
      </c>
      <c r="N816" s="39" t="n">
        <f aca="false">IF(COUNT('Business Case'!B11:G11)=0,"",H816+NPV(G816,I816:M816))</f>
        <v>-742380643.695336</v>
      </c>
      <c r="P816" s="40" t="n">
        <f aca="true">RAND()</f>
        <v>0.747521061385314</v>
      </c>
      <c r="Q816" s="40" t="n">
        <f aca="true">RAND()</f>
        <v>0.140583782240864</v>
      </c>
      <c r="R816" s="40" t="n">
        <f aca="true">RAND()</f>
        <v>0.879688040839035</v>
      </c>
      <c r="S816" s="40" t="n">
        <f aca="true">RAND()</f>
        <v>0.536318359185815</v>
      </c>
      <c r="T816" s="40" t="n">
        <f aca="true">RAND()</f>
        <v>0.230266890382266</v>
      </c>
      <c r="U816" s="40" t="n">
        <f aca="true">RAND()</f>
        <v>0.691030291246445</v>
      </c>
    </row>
    <row r="817" customFormat="false" ht="15" hidden="false" customHeight="false" outlineLevel="0" collapsed="false">
      <c r="A817" s="36" t="n">
        <v>737</v>
      </c>
      <c r="B817" s="37" t="n">
        <f aca="false">1+IF($G$6=$E$6,$F$6,IF(P817&lt;($F$6-$E$6)/($G$6-$E$6),$E$6+SQRT(P817*($G$6-$E$6)*($F$6-$E$6)),$G$6-SQRT((1-P817)*($G$6-$E$6)*($G$6-$F$6))))</f>
        <v>1.00975436701844</v>
      </c>
      <c r="C817" s="37" t="n">
        <f aca="false">1+IF($G$7=$E$7,$F$7,IF(Q817&lt;($F$7-$E$7)/($G$7-$E$7),$E$7+SQRT(Q817*($G$7-$E$7)*($F$7-$E$7)),$G$7-SQRT((1-Q817)*($G$7-$E$7)*($G$7-$F$7))))</f>
        <v>1.00684374098344</v>
      </c>
      <c r="D817" s="37" t="n">
        <f aca="false">1+IF($G$8=$E$8,$F$8,IF(R817&lt;($F$8-$E$8)/($G$8-$E$8),$E$8+SQRT(R817*($G$8-$E$8)*($F$8-$E$8)),$G$8-SQRT((1-R817)*($G$8-$E$8)*($G$8-$F$8))))</f>
        <v>1.04452320619894</v>
      </c>
      <c r="E817" s="37" t="n">
        <f aca="false">1+IF($G$9=$E$9,$F$9,IF(S817&lt;($F$9-$E$9)/($G$9-$E$9),$E$9+SQRT(S817*($G$9-$E$9)*($F$9-$E$9)),$G$9-SQRT((1-S817)*($G$9-$E$9)*($G$9-$F$9))))</f>
        <v>0.923708732433861</v>
      </c>
      <c r="F817" s="37" t="n">
        <f aca="false">1+IF($G$10=$E$10,$F$10,IF(T817&lt;($F$10-$E$10)/($G$10-$E$10),$E$10+SQRT(T817*($G$10-$E$10)*($F$10-$E$10)),$G$10-SQRT((1-T817)*($G$10-$E$10)*($G$10-$F$10))))</f>
        <v>1.07987680382122</v>
      </c>
      <c r="G817" s="38" t="n">
        <f aca="false">IF($G$11=$E$11,$F$11,IF(U817&lt;($F$11-$E$11)/($G$11-$E$11),$E$11+SQRT(U817*($G$11-$E$11)*($F$11-$E$11)),$G$11-SQRT((1-U817)*($G$11-$E$11)*($G$11-$F$11))))</f>
        <v>0.117419423661281</v>
      </c>
      <c r="H817" s="39" t="n">
        <f aca="false">(('Business Case'!B11*$C817*'Business Case'!B12*$B817)-'Business Case'!B11*$C817*'Business Case'!B13*$D817-'Business Case'!B14*$E817)-MAX(0,(('Business Case'!B11*$C817*'Business Case'!B12*$B817)-'Business Case'!B11*$C817*'Business Case'!B13*$D817-'Business Case'!B14*$E817))*'Business Case'!$B$7-'Business Case'!$B$8*('Business Case'!B11*$C817*'Business Case'!B12*$B817)-'Business Case'!B15*$F817</f>
        <v>-2159753607.64244</v>
      </c>
      <c r="I817" s="39" t="n">
        <f aca="false">(('Business Case'!C11*$C817*'Business Case'!C12*$B817)-'Business Case'!C11*$C817*'Business Case'!C13*$D817-'Business Case'!C14*$E817)-MAX(0,(('Business Case'!C11*$C817*'Business Case'!C12*$B817)-'Business Case'!C11*$C817*'Business Case'!C13*$D817-'Business Case'!C14*$E817))*'Business Case'!$B$7-'Business Case'!$B$8*(('Business Case'!C11*$C817*'Business Case'!C12*$B817)-('Business Case'!B11*$C817*'Business Case'!B12*$B817))-'Business Case'!C15*$F817</f>
        <v>2307002.74673355</v>
      </c>
      <c r="J817" s="39" t="n">
        <f aca="false">(('Business Case'!D11*$C817*'Business Case'!D12*$B817)-'Business Case'!D11*$C817*'Business Case'!D13*$D817-'Business Case'!D14*$E817)-MAX(0,(('Business Case'!D11*$C817*'Business Case'!D12*$B817)-'Business Case'!D11*$C817*'Business Case'!D13*$D817-'Business Case'!D14*$E817))*'Business Case'!$B$7-'Business Case'!$B$8*(('Business Case'!D11*$C817*'Business Case'!D12*$B817)-('Business Case'!C11*$C817*'Business Case'!C12*$B817))-'Business Case'!D15*$F817</f>
        <v>296656974.196273</v>
      </c>
      <c r="K817" s="39" t="n">
        <f aca="false">(('Business Case'!E11*$C817*'Business Case'!E12*$B817)-'Business Case'!E11*$C817*'Business Case'!E13*$D817-'Business Case'!E14*$E817)-MAX(0,(('Business Case'!E11*$C817*'Business Case'!E12*$B817)-'Business Case'!E11*$C817*'Business Case'!E13*$D817-'Business Case'!E14*$E817))*'Business Case'!$B$7-'Business Case'!$B$8*(('Business Case'!E11*$C817*'Business Case'!E12*$B817)-('Business Case'!D11*$C817*'Business Case'!D12*$B817))-'Business Case'!E15*$F817</f>
        <v>645000785.836872</v>
      </c>
      <c r="L817" s="39" t="n">
        <f aca="false">(('Business Case'!F11*$C817*'Business Case'!F12*$B817)-'Business Case'!F11*$C817*'Business Case'!F13*$D817-'Business Case'!F14*$E817)-MAX(0,(('Business Case'!F11*$C817*'Business Case'!F12*$B817)-'Business Case'!F11*$C817*'Business Case'!F13*$D817-'Business Case'!F14*$E817))*'Business Case'!$B$7-'Business Case'!$B$8*(('Business Case'!F11*$C817*'Business Case'!F12*$B817)-('Business Case'!E11*$C817*'Business Case'!E12*$B817))-'Business Case'!F15*$F817</f>
        <v>778253380.699111</v>
      </c>
      <c r="M817" s="39" t="n">
        <f aca="false">(('Business Case'!G11*$C817*'Business Case'!G12*$B817)-'Business Case'!G11*$C817*'Business Case'!G13*$D817-'Business Case'!G14*$E817)-MAX(0,(('Business Case'!G11*$C817*'Business Case'!G12*$B817)-'Business Case'!G11*$C817*'Business Case'!G13*$D817-'Business Case'!G14*$E817))*'Business Case'!$B$7-'Business Case'!$B$8*(('Business Case'!G11*$C817*'Business Case'!G12*$B817)-('Business Case'!F11*$C817*'Business Case'!F12*$B817))-'Business Case'!G15*$F817+'Business Case'!$B$8*('Business Case'!G11*$C817*'Business Case'!G12*$B817)</f>
        <v>971501038.117269</v>
      </c>
      <c r="N817" s="39" t="n">
        <f aca="false">IF(COUNT('Business Case'!B11:G11)=0,"",H817+NPV(G817,I817:M817))</f>
        <v>-400985976.715946</v>
      </c>
      <c r="P817" s="40" t="n">
        <f aca="true">RAND()</f>
        <v>0.784038536788435</v>
      </c>
      <c r="Q817" s="40" t="n">
        <f aca="true">RAND()</f>
        <v>0.696389414879748</v>
      </c>
      <c r="R817" s="40" t="n">
        <f aca="true">RAND()</f>
        <v>0.794821689970317</v>
      </c>
      <c r="S817" s="40" t="n">
        <f aca="true">RAND()</f>
        <v>0.0224841597448173</v>
      </c>
      <c r="T817" s="40" t="n">
        <f aca="true">RAND()</f>
        <v>0.614107974958874</v>
      </c>
      <c r="U817" s="40" t="n">
        <f aca="true">RAND()</f>
        <v>0.894486065990441</v>
      </c>
    </row>
    <row r="818" customFormat="false" ht="15" hidden="false" customHeight="false" outlineLevel="0" collapsed="false">
      <c r="A818" s="36" t="n">
        <v>738</v>
      </c>
      <c r="B818" s="37" t="n">
        <f aca="false">1+IF($G$6=$E$6,$F$6,IF(P818&lt;($F$6-$E$6)/($G$6-$E$6),$E$6+SQRT(P818*($G$6-$E$6)*($F$6-$E$6)),$G$6-SQRT((1-P818)*($G$6-$E$6)*($G$6-$F$6))))</f>
        <v>1.04340355726776</v>
      </c>
      <c r="C818" s="37" t="n">
        <f aca="false">1+IF($G$7=$E$7,$F$7,IF(Q818&lt;($F$7-$E$7)/($G$7-$E$7),$E$7+SQRT(Q818*($G$7-$E$7)*($F$7-$E$7)),$G$7-SQRT((1-Q818)*($G$7-$E$7)*($G$7-$F$7))))</f>
        <v>0.946173646463251</v>
      </c>
      <c r="D818" s="37" t="n">
        <f aca="false">1+IF($G$8=$E$8,$F$8,IF(R818&lt;($F$8-$E$8)/($G$8-$E$8),$E$8+SQRT(R818*($G$8-$E$8)*($F$8-$E$8)),$G$8-SQRT((1-R818)*($G$8-$E$8)*($G$8-$F$8))))</f>
        <v>1.00925315660134</v>
      </c>
      <c r="E818" s="37" t="n">
        <f aca="false">1+IF($G$9=$E$9,$F$9,IF(S818&lt;($F$9-$E$9)/($G$9-$E$9),$E$9+SQRT(S818*($G$9-$E$9)*($F$9-$E$9)),$G$9-SQRT((1-S818)*($G$9-$E$9)*($G$9-$F$9))))</f>
        <v>0.99171173054284</v>
      </c>
      <c r="F818" s="37" t="n">
        <f aca="false">1+IF($G$10=$E$10,$F$10,IF(T818&lt;($F$10-$E$10)/($G$10-$E$10),$E$10+SQRT(T818*($G$10-$E$10)*($F$10-$E$10)),$G$10-SQRT((1-T818)*($G$10-$E$10)*($G$10-$F$10))))</f>
        <v>0.988867426188016</v>
      </c>
      <c r="G818" s="38" t="n">
        <f aca="false">IF($G$11=$E$11,$F$11,IF(U818&lt;($F$11-$E$11)/($G$11-$E$11),$E$11+SQRT(U818*($G$11-$E$11)*($F$11-$E$11)),$G$11-SQRT((1-U818)*($G$11-$E$11)*($G$11-$F$11))))</f>
        <v>0.0899022884743977</v>
      </c>
      <c r="H818" s="39" t="n">
        <f aca="false">(('Business Case'!B11*$C818*'Business Case'!B12*$B818)-'Business Case'!B11*$C818*'Business Case'!B13*$D818-'Business Case'!B14*$E818)-MAX(0,(('Business Case'!B11*$C818*'Business Case'!B12*$B818)-'Business Case'!B11*$C818*'Business Case'!B13*$D818-'Business Case'!B14*$E818))*'Business Case'!$B$7-'Business Case'!$B$8*('Business Case'!B11*$C818*'Business Case'!B12*$B818)-'Business Case'!B15*$F818</f>
        <v>-1977734852.37603</v>
      </c>
      <c r="I818" s="39" t="n">
        <f aca="false">(('Business Case'!C11*$C818*'Business Case'!C12*$B818)-'Business Case'!C11*$C818*'Business Case'!C13*$D818-'Business Case'!C14*$E818)-MAX(0,(('Business Case'!C11*$C818*'Business Case'!C12*$B818)-'Business Case'!C11*$C818*'Business Case'!C13*$D818-'Business Case'!C14*$E818))*'Business Case'!$B$7-'Business Case'!$B$8*(('Business Case'!C11*$C818*'Business Case'!C12*$B818)-('Business Case'!B11*$C818*'Business Case'!B12*$B818))-'Business Case'!C15*$F818</f>
        <v>28687576.4408505</v>
      </c>
      <c r="J818" s="39" t="n">
        <f aca="false">(('Business Case'!D11*$C818*'Business Case'!D12*$B818)-'Business Case'!D11*$C818*'Business Case'!D13*$D818-'Business Case'!D14*$E818)-MAX(0,(('Business Case'!D11*$C818*'Business Case'!D12*$B818)-'Business Case'!D11*$C818*'Business Case'!D13*$D818-'Business Case'!D14*$E818))*'Business Case'!$B$7-'Business Case'!$B$8*(('Business Case'!D11*$C818*'Business Case'!D12*$B818)-('Business Case'!C11*$C818*'Business Case'!C12*$B818))-'Business Case'!D15*$F818</f>
        <v>348461874.354596</v>
      </c>
      <c r="K818" s="39" t="n">
        <f aca="false">(('Business Case'!E11*$C818*'Business Case'!E12*$B818)-'Business Case'!E11*$C818*'Business Case'!E13*$D818-'Business Case'!E14*$E818)-MAX(0,(('Business Case'!E11*$C818*'Business Case'!E12*$B818)-'Business Case'!E11*$C818*'Business Case'!E13*$D818-'Business Case'!E14*$E818))*'Business Case'!$B$7-'Business Case'!$B$8*(('Business Case'!E11*$C818*'Business Case'!E12*$B818)-('Business Case'!D11*$C818*'Business Case'!D12*$B818))-'Business Case'!E15*$F818</f>
        <v>717679543.577743</v>
      </c>
      <c r="L818" s="39" t="n">
        <f aca="false">(('Business Case'!F11*$C818*'Business Case'!F12*$B818)-'Business Case'!F11*$C818*'Business Case'!F13*$D818-'Business Case'!F14*$E818)-MAX(0,(('Business Case'!F11*$C818*'Business Case'!F12*$B818)-'Business Case'!F11*$C818*'Business Case'!F13*$D818-'Business Case'!F14*$E818))*'Business Case'!$B$7-'Business Case'!$B$8*(('Business Case'!F11*$C818*'Business Case'!F12*$B818)-('Business Case'!E11*$C818*'Business Case'!E12*$B818))-'Business Case'!F15*$F818</f>
        <v>858390023.396259</v>
      </c>
      <c r="M818" s="39" t="n">
        <f aca="false">(('Business Case'!G11*$C818*'Business Case'!G12*$B818)-'Business Case'!G11*$C818*'Business Case'!G13*$D818-'Business Case'!G14*$E818)-MAX(0,(('Business Case'!G11*$C818*'Business Case'!G12*$B818)-'Business Case'!G11*$C818*'Business Case'!G13*$D818-'Business Case'!G14*$E818))*'Business Case'!$B$7-'Business Case'!$B$8*(('Business Case'!G11*$C818*'Business Case'!G12*$B818)-('Business Case'!F11*$C818*'Business Case'!F12*$B818))-'Business Case'!G15*$F818+'Business Case'!$B$8*('Business Case'!G11*$C818*'Business Case'!G12*$B818)</f>
        <v>1046044782.88956</v>
      </c>
      <c r="N818" s="39" t="n">
        <f aca="false">IF(COUNT('Business Case'!B11:G11)=0,"",H818+NPV(G818,I818:M818))</f>
        <v>184747089.364034</v>
      </c>
      <c r="P818" s="40" t="n">
        <f aca="true">RAND()</f>
        <v>0.994198259104035</v>
      </c>
      <c r="Q818" s="40" t="n">
        <f aca="true">RAND()</f>
        <v>0.448899734911213</v>
      </c>
      <c r="R818" s="40" t="n">
        <f aca="true">RAND()</f>
        <v>0.45100069421195</v>
      </c>
      <c r="S818" s="40" t="n">
        <f aca="true">RAND()</f>
        <v>0.336441660766499</v>
      </c>
      <c r="T818" s="40" t="n">
        <f aca="true">RAND()</f>
        <v>0.100711787898727</v>
      </c>
      <c r="U818" s="40" t="n">
        <f aca="true">RAND()</f>
        <v>0.098055317030189</v>
      </c>
    </row>
    <row r="819" customFormat="false" ht="15" hidden="false" customHeight="false" outlineLevel="0" collapsed="false">
      <c r="A819" s="36" t="n">
        <v>739</v>
      </c>
      <c r="B819" s="37" t="n">
        <f aca="false">1+IF($G$6=$E$6,$F$6,IF(P819&lt;($F$6-$E$6)/($G$6-$E$6),$E$6+SQRT(P819*($G$6-$E$6)*($F$6-$E$6)),$G$6-SQRT((1-P819)*($G$6-$E$6)*($G$6-$F$6))))</f>
        <v>0.961725773080939</v>
      </c>
      <c r="C819" s="37" t="n">
        <f aca="false">1+IF($G$7=$E$7,$F$7,IF(Q819&lt;($F$7-$E$7)/($G$7-$E$7),$E$7+SQRT(Q819*($G$7-$E$7)*($F$7-$E$7)),$G$7-SQRT((1-Q819)*($G$7-$E$7)*($G$7-$F$7))))</f>
        <v>0.793890209514017</v>
      </c>
      <c r="D819" s="37" t="n">
        <f aca="false">1+IF($G$8=$E$8,$F$8,IF(R819&lt;($F$8-$E$8)/($G$8-$E$8),$E$8+SQRT(R819*($G$8-$E$8)*($F$8-$E$8)),$G$8-SQRT((1-R819)*($G$8-$E$8)*($G$8-$F$8))))</f>
        <v>0.965573306185714</v>
      </c>
      <c r="E819" s="37" t="n">
        <f aca="false">1+IF($G$9=$E$9,$F$9,IF(S819&lt;($F$9-$E$9)/($G$9-$E$9),$E$9+SQRT(S819*($G$9-$E$9)*($F$9-$E$9)),$G$9-SQRT((1-S819)*($G$9-$E$9)*($G$9-$F$9))))</f>
        <v>1.00749301734478</v>
      </c>
      <c r="F819" s="37" t="n">
        <f aca="false">1+IF($G$10=$E$10,$F$10,IF(T819&lt;($F$10-$E$10)/($G$10-$E$10),$E$10+SQRT(T819*($G$10-$E$10)*($F$10-$E$10)),$G$10-SQRT((1-T819)*($G$10-$E$10)*($G$10-$F$10))))</f>
        <v>1.10316064622173</v>
      </c>
      <c r="G819" s="38" t="n">
        <f aca="false">IF($G$11=$E$11,$F$11,IF(U819&lt;($F$11-$E$11)/($G$11-$E$11),$E$11+SQRT(U819*($G$11-$E$11)*($F$11-$E$11)),$G$11-SQRT((1-U819)*($G$11-$E$11)*($G$11-$F$11))))</f>
        <v>0.0977349211391949</v>
      </c>
      <c r="H819" s="39" t="n">
        <f aca="false">(('Business Case'!B11*$C819*'Business Case'!B12*$B819)-'Business Case'!B11*$C819*'Business Case'!B13*$D819-'Business Case'!B14*$E819)-MAX(0,(('Business Case'!B11*$C819*'Business Case'!B12*$B819)-'Business Case'!B11*$C819*'Business Case'!B13*$D819-'Business Case'!B14*$E819))*'Business Case'!$B$7-'Business Case'!$B$8*('Business Case'!B11*$C819*'Business Case'!B12*$B819)-'Business Case'!B15*$F819</f>
        <v>-2206321292.44346</v>
      </c>
      <c r="I819" s="39" t="n">
        <f aca="false">(('Business Case'!C11*$C819*'Business Case'!C12*$B819)-'Business Case'!C11*$C819*'Business Case'!C13*$D819-'Business Case'!C14*$E819)-MAX(0,(('Business Case'!C11*$C819*'Business Case'!C12*$B819)-'Business Case'!C11*$C819*'Business Case'!C13*$D819-'Business Case'!C14*$E819))*'Business Case'!$B$7-'Business Case'!$B$8*(('Business Case'!C11*$C819*'Business Case'!C12*$B819)-('Business Case'!B11*$C819*'Business Case'!B12*$B819))-'Business Case'!C15*$F819</f>
        <v>-60213335.2770281</v>
      </c>
      <c r="J819" s="39" t="n">
        <f aca="false">(('Business Case'!D11*$C819*'Business Case'!D12*$B819)-'Business Case'!D11*$C819*'Business Case'!D13*$D819-'Business Case'!D14*$E819)-MAX(0,(('Business Case'!D11*$C819*'Business Case'!D12*$B819)-'Business Case'!D11*$C819*'Business Case'!D13*$D819-'Business Case'!D14*$E819))*'Business Case'!$B$7-'Business Case'!$B$8*(('Business Case'!D11*$C819*'Business Case'!D12*$B819)-('Business Case'!C11*$C819*'Business Case'!C12*$B819))-'Business Case'!D15*$F819</f>
        <v>172734983.511753</v>
      </c>
      <c r="K819" s="39" t="n">
        <f aca="false">(('Business Case'!E11*$C819*'Business Case'!E12*$B819)-'Business Case'!E11*$C819*'Business Case'!E13*$D819-'Business Case'!E14*$E819)-MAX(0,(('Business Case'!E11*$C819*'Business Case'!E12*$B819)-'Business Case'!E11*$C819*'Business Case'!E13*$D819-'Business Case'!E14*$E819))*'Business Case'!$B$7-'Business Case'!$B$8*(('Business Case'!E11*$C819*'Business Case'!E12*$B819)-('Business Case'!D11*$C819*'Business Case'!D12*$B819))-'Business Case'!E15*$F819</f>
        <v>460841334.61162</v>
      </c>
      <c r="L819" s="39" t="n">
        <f aca="false">(('Business Case'!F11*$C819*'Business Case'!F12*$B819)-'Business Case'!F11*$C819*'Business Case'!F13*$D819-'Business Case'!F14*$E819)-MAX(0,(('Business Case'!F11*$C819*'Business Case'!F12*$B819)-'Business Case'!F11*$C819*'Business Case'!F13*$D819-'Business Case'!F14*$E819))*'Business Case'!$B$7-'Business Case'!$B$8*(('Business Case'!F11*$C819*'Business Case'!F12*$B819)-('Business Case'!E11*$C819*'Business Case'!E12*$B819))-'Business Case'!F15*$F819</f>
        <v>564877495.792686</v>
      </c>
      <c r="M819" s="39" t="n">
        <f aca="false">(('Business Case'!G11*$C819*'Business Case'!G12*$B819)-'Business Case'!G11*$C819*'Business Case'!G13*$D819-'Business Case'!G14*$E819)-MAX(0,(('Business Case'!G11*$C819*'Business Case'!G12*$B819)-'Business Case'!G11*$C819*'Business Case'!G13*$D819-'Business Case'!G14*$E819))*'Business Case'!$B$7-'Business Case'!$B$8*(('Business Case'!G11*$C819*'Business Case'!G12*$B819)-('Business Case'!F11*$C819*'Business Case'!F12*$B819))-'Business Case'!G15*$F819+'Business Case'!$B$8*('Business Case'!G11*$C819*'Business Case'!G12*$B819)</f>
        <v>710004464.509113</v>
      </c>
      <c r="N819" s="39" t="n">
        <f aca="false">IF(COUNT('Business Case'!B11:G11)=0,"",H819+NPV(G819,I819:M819))</f>
        <v>-935005807.821377</v>
      </c>
      <c r="P819" s="40" t="n">
        <f aca="true">RAND()</f>
        <v>0.254004737495975</v>
      </c>
      <c r="Q819" s="40" t="n">
        <f aca="true">RAND()</f>
        <v>0.0652990477228586</v>
      </c>
      <c r="R819" s="40" t="n">
        <f aca="true">RAND()</f>
        <v>0.0323370487405327</v>
      </c>
      <c r="S819" s="40" t="n">
        <f aca="true">RAND()</f>
        <v>0.458446930520163</v>
      </c>
      <c r="T819" s="40" t="n">
        <f aca="true">RAND()</f>
        <v>0.712509389093073</v>
      </c>
      <c r="U819" s="40" t="n">
        <f aca="true">RAND()</f>
        <v>0.31452742781346</v>
      </c>
    </row>
    <row r="820" customFormat="false" ht="15" hidden="false" customHeight="false" outlineLevel="0" collapsed="false">
      <c r="A820" s="36" t="n">
        <v>740</v>
      </c>
      <c r="B820" s="37" t="n">
        <f aca="false">1+IF($G$6=$E$6,$F$6,IF(P820&lt;($F$6-$E$6)/($G$6-$E$6),$E$6+SQRT(P820*($G$6-$E$6)*($F$6-$E$6)),$G$6-SQRT((1-P820)*($G$6-$E$6)*($G$6-$F$6))))</f>
        <v>0.965315584963016</v>
      </c>
      <c r="C820" s="37" t="n">
        <f aca="false">1+IF($G$7=$E$7,$F$7,IF(Q820&lt;($F$7-$E$7)/($G$7-$E$7),$E$7+SQRT(Q820*($G$7-$E$7)*($F$7-$E$7)),$G$7-SQRT((1-Q820)*($G$7-$E$7)*($G$7-$F$7))))</f>
        <v>1.04141710864378</v>
      </c>
      <c r="D820" s="37" t="n">
        <f aca="false">1+IF($G$8=$E$8,$F$8,IF(R820&lt;($F$8-$E$8)/($G$8-$E$8),$E$8+SQRT(R820*($G$8-$E$8)*($F$8-$E$8)),$G$8-SQRT((1-R820)*($G$8-$E$8)*($G$8-$F$8))))</f>
        <v>1.0621962516452</v>
      </c>
      <c r="E820" s="37" t="n">
        <f aca="false">1+IF($G$9=$E$9,$F$9,IF(S820&lt;($F$9-$E$9)/($G$9-$E$9),$E$9+SQRT(S820*($G$9-$E$9)*($F$9-$E$9)),$G$9-SQRT((1-S820)*($G$9-$E$9)*($G$9-$F$9))))</f>
        <v>1.03833675178338</v>
      </c>
      <c r="F820" s="37" t="n">
        <f aca="false">1+IF($G$10=$E$10,$F$10,IF(T820&lt;($F$10-$E$10)/($G$10-$E$10),$E$10+SQRT(T820*($G$10-$E$10)*($F$10-$E$10)),$G$10-SQRT((1-T820)*($G$10-$E$10)*($G$10-$F$10))))</f>
        <v>0.980028871748627</v>
      </c>
      <c r="G820" s="38" t="n">
        <f aca="false">IF($G$11=$E$11,$F$11,IF(U820&lt;($F$11-$E$11)/($G$11-$E$11),$E$11+SQRT(U820*($G$11-$E$11)*($F$11-$E$11)),$G$11-SQRT((1-U820)*($G$11-$E$11)*($G$11-$F$11))))</f>
        <v>0.0962273577437202</v>
      </c>
      <c r="H820" s="39" t="n">
        <f aca="false">(('Business Case'!B11*$C820*'Business Case'!B12*$B820)-'Business Case'!B11*$C820*'Business Case'!B13*$D820-'Business Case'!B14*$E820)-MAX(0,(('Business Case'!B11*$C820*'Business Case'!B12*$B820)-'Business Case'!B11*$C820*'Business Case'!B13*$D820-'Business Case'!B14*$E820))*'Business Case'!$B$7-'Business Case'!$B$8*('Business Case'!B11*$C820*'Business Case'!B12*$B820)-'Business Case'!B15*$F820</f>
        <v>-1960057743.49725</v>
      </c>
      <c r="I820" s="39" t="n">
        <f aca="false">(('Business Case'!C11*$C820*'Business Case'!C12*$B820)-'Business Case'!C11*$C820*'Business Case'!C13*$D820-'Business Case'!C14*$E820)-MAX(0,(('Business Case'!C11*$C820*'Business Case'!C12*$B820)-'Business Case'!C11*$C820*'Business Case'!C13*$D820-'Business Case'!C14*$E820))*'Business Case'!$B$7-'Business Case'!$B$8*(('Business Case'!C11*$C820*'Business Case'!C12*$B820)-('Business Case'!B11*$C820*'Business Case'!B12*$B820))-'Business Case'!C15*$F820</f>
        <v>-40639437.3329746</v>
      </c>
      <c r="J820" s="39" t="n">
        <f aca="false">(('Business Case'!D11*$C820*'Business Case'!D12*$B820)-'Business Case'!D11*$C820*'Business Case'!D13*$D820-'Business Case'!D14*$E820)-MAX(0,(('Business Case'!D11*$C820*'Business Case'!D12*$B820)-'Business Case'!D11*$C820*'Business Case'!D13*$D820-'Business Case'!D14*$E820))*'Business Case'!$B$7-'Business Case'!$B$8*(('Business Case'!D11*$C820*'Business Case'!D12*$B820)-('Business Case'!C11*$C820*'Business Case'!C12*$B820))-'Business Case'!D15*$F820</f>
        <v>216490051.827933</v>
      </c>
      <c r="K820" s="39" t="n">
        <f aca="false">(('Business Case'!E11*$C820*'Business Case'!E12*$B820)-'Business Case'!E11*$C820*'Business Case'!E13*$D820-'Business Case'!E14*$E820)-MAX(0,(('Business Case'!E11*$C820*'Business Case'!E12*$B820)-'Business Case'!E11*$C820*'Business Case'!E13*$D820-'Business Case'!E14*$E820))*'Business Case'!$B$7-'Business Case'!$B$8*(('Business Case'!E11*$C820*'Business Case'!E12*$B820)-('Business Case'!D11*$C820*'Business Case'!D12*$B820))-'Business Case'!E15*$F820</f>
        <v>522620984.576271</v>
      </c>
      <c r="L820" s="39" t="n">
        <f aca="false">(('Business Case'!F11*$C820*'Business Case'!F12*$B820)-'Business Case'!F11*$C820*'Business Case'!F13*$D820-'Business Case'!F14*$E820)-MAX(0,(('Business Case'!F11*$C820*'Business Case'!F12*$B820)-'Business Case'!F11*$C820*'Business Case'!F13*$D820-'Business Case'!F14*$E820))*'Business Case'!$B$7-'Business Case'!$B$8*(('Business Case'!F11*$C820*'Business Case'!F12*$B820)-('Business Case'!E11*$C820*'Business Case'!E12*$B820))-'Business Case'!F15*$F820</f>
        <v>643073849.773523</v>
      </c>
      <c r="M820" s="39" t="n">
        <f aca="false">(('Business Case'!G11*$C820*'Business Case'!G12*$B820)-'Business Case'!G11*$C820*'Business Case'!G13*$D820-'Business Case'!G14*$E820)-MAX(0,(('Business Case'!G11*$C820*'Business Case'!G12*$B820)-'Business Case'!G11*$C820*'Business Case'!G13*$D820-'Business Case'!G14*$E820))*'Business Case'!$B$7-'Business Case'!$B$8*(('Business Case'!G11*$C820*'Business Case'!G12*$B820)-('Business Case'!F11*$C820*'Business Case'!F12*$B820))-'Business Case'!G15*$F820+'Business Case'!$B$8*('Business Case'!G11*$C820*'Business Case'!G12*$B820)</f>
        <v>834160544.89674</v>
      </c>
      <c r="N820" s="39" t="n">
        <f aca="false">IF(COUNT('Business Case'!B11:G11)=0,"",H820+NPV(G820,I820:M820))</f>
        <v>-448030155.614751</v>
      </c>
      <c r="P820" s="40" t="n">
        <f aca="true">RAND()</f>
        <v>0.2844083759374</v>
      </c>
      <c r="Q820" s="40" t="n">
        <f aca="true">RAND()</f>
        <v>0.825329714144059</v>
      </c>
      <c r="R820" s="40" t="n">
        <f aca="true">RAND()</f>
        <v>0.904725107355122</v>
      </c>
      <c r="S820" s="40" t="n">
        <f aca="true">RAND()</f>
        <v>0.667501839939017</v>
      </c>
      <c r="T820" s="40" t="n">
        <f aca="true">RAND()</f>
        <v>0.0601155425663662</v>
      </c>
      <c r="U820" s="40" t="n">
        <f aca="true">RAND()</f>
        <v>0.263327139342677</v>
      </c>
    </row>
    <row r="821" customFormat="false" ht="15" hidden="false" customHeight="false" outlineLevel="0" collapsed="false">
      <c r="A821" s="36" t="n">
        <v>741</v>
      </c>
      <c r="B821" s="37" t="n">
        <f aca="false">1+IF($G$6=$E$6,$F$6,IF(P821&lt;($F$6-$E$6)/($G$6-$E$6),$E$6+SQRT(P821*($G$6-$E$6)*($F$6-$E$6)),$G$6-SQRT((1-P821)*($G$6-$E$6)*($G$6-$F$6))))</f>
        <v>1.0116144203885</v>
      </c>
      <c r="C821" s="37" t="n">
        <f aca="false">1+IF($G$7=$E$7,$F$7,IF(Q821&lt;($F$7-$E$7)/($G$7-$E$7),$E$7+SQRT(Q821*($G$7-$E$7)*($F$7-$E$7)),$G$7-SQRT((1-Q821)*($G$7-$E$7)*($G$7-$F$7))))</f>
        <v>0.806782414500033</v>
      </c>
      <c r="D821" s="37" t="n">
        <f aca="false">1+IF($G$8=$E$8,$F$8,IF(R821&lt;($F$8-$E$8)/($G$8-$E$8),$E$8+SQRT(R821*($G$8-$E$8)*($F$8-$E$8)),$G$8-SQRT((1-R821)*($G$8-$E$8)*($G$8-$F$8))))</f>
        <v>1.01291815265758</v>
      </c>
      <c r="E821" s="37" t="n">
        <f aca="false">1+IF($G$9=$E$9,$F$9,IF(S821&lt;($F$9-$E$9)/($G$9-$E$9),$E$9+SQRT(S821*($G$9-$E$9)*($F$9-$E$9)),$G$9-SQRT((1-S821)*($G$9-$E$9)*($G$9-$F$9))))</f>
        <v>1.00738955430428</v>
      </c>
      <c r="F821" s="37" t="n">
        <f aca="false">1+IF($G$10=$E$10,$F$10,IF(T821&lt;($F$10-$E$10)/($G$10-$E$10),$E$10+SQRT(T821*($G$10-$E$10)*($F$10-$E$10)),$G$10-SQRT((1-T821)*($G$10-$E$10)*($G$10-$F$10))))</f>
        <v>1.01825791949128</v>
      </c>
      <c r="G821" s="38" t="n">
        <f aca="false">IF($G$11=$E$11,$F$11,IF(U821&lt;($F$11-$E$11)/($G$11-$E$11),$E$11+SQRT(U821*($G$11-$E$11)*($F$11-$E$11)),$G$11-SQRT((1-U821)*($G$11-$E$11)*($G$11-$F$11))))</f>
        <v>0.107591539195257</v>
      </c>
      <c r="H821" s="39" t="n">
        <f aca="false">(('Business Case'!B11*$C821*'Business Case'!B12*$B821)-'Business Case'!B11*$C821*'Business Case'!B13*$D821-'Business Case'!B14*$E821)-MAX(0,(('Business Case'!B11*$C821*'Business Case'!B12*$B821)-'Business Case'!B11*$C821*'Business Case'!B13*$D821-'Business Case'!B14*$E821))*'Business Case'!$B$7-'Business Case'!$B$8*('Business Case'!B11*$C821*'Business Case'!B12*$B821)-'Business Case'!B15*$F821</f>
        <v>-2036515838.98256</v>
      </c>
      <c r="I821" s="39" t="n">
        <f aca="false">(('Business Case'!C11*$C821*'Business Case'!C12*$B821)-'Business Case'!C11*$C821*'Business Case'!C13*$D821-'Business Case'!C14*$E821)-MAX(0,(('Business Case'!C11*$C821*'Business Case'!C12*$B821)-'Business Case'!C11*$C821*'Business Case'!C13*$D821-'Business Case'!C14*$E821))*'Business Case'!$B$7-'Business Case'!$B$8*(('Business Case'!C11*$C821*'Business Case'!C12*$B821)-('Business Case'!B11*$C821*'Business Case'!B12*$B821))-'Business Case'!C15*$F821</f>
        <v>-37241454.0688848</v>
      </c>
      <c r="J821" s="39" t="n">
        <f aca="false">(('Business Case'!D11*$C821*'Business Case'!D12*$B821)-'Business Case'!D11*$C821*'Business Case'!D13*$D821-'Business Case'!D14*$E821)-MAX(0,(('Business Case'!D11*$C821*'Business Case'!D12*$B821)-'Business Case'!D11*$C821*'Business Case'!D13*$D821-'Business Case'!D14*$E821))*'Business Case'!$B$7-'Business Case'!$B$8*(('Business Case'!D11*$C821*'Business Case'!D12*$B821)-('Business Case'!C11*$C821*'Business Case'!C12*$B821))-'Business Case'!D15*$F821</f>
        <v>212903035.677939</v>
      </c>
      <c r="K821" s="39" t="n">
        <f aca="false">(('Business Case'!E11*$C821*'Business Case'!E12*$B821)-'Business Case'!E11*$C821*'Business Case'!E13*$D821-'Business Case'!E14*$E821)-MAX(0,(('Business Case'!E11*$C821*'Business Case'!E12*$B821)-'Business Case'!E11*$C821*'Business Case'!E13*$D821-'Business Case'!E14*$E821))*'Business Case'!$B$7-'Business Case'!$B$8*(('Business Case'!E11*$C821*'Business Case'!E12*$B821)-('Business Case'!D11*$C821*'Business Case'!D12*$B821))-'Business Case'!E15*$F821</f>
        <v>513960421.399327</v>
      </c>
      <c r="L821" s="39" t="n">
        <f aca="false">(('Business Case'!F11*$C821*'Business Case'!F12*$B821)-'Business Case'!F11*$C821*'Business Case'!F13*$D821-'Business Case'!F14*$E821)-MAX(0,(('Business Case'!F11*$C821*'Business Case'!F12*$B821)-'Business Case'!F11*$C821*'Business Case'!F13*$D821-'Business Case'!F14*$E821))*'Business Case'!$B$7-'Business Case'!$B$8*(('Business Case'!F11*$C821*'Business Case'!F12*$B821)-('Business Case'!E11*$C821*'Business Case'!E12*$B821))-'Business Case'!F15*$F821</f>
        <v>625548156.14461</v>
      </c>
      <c r="M821" s="39" t="n">
        <f aca="false">(('Business Case'!G11*$C821*'Business Case'!G12*$B821)-'Business Case'!G11*$C821*'Business Case'!G13*$D821-'Business Case'!G14*$E821)-MAX(0,(('Business Case'!G11*$C821*'Business Case'!G12*$B821)-'Business Case'!G11*$C821*'Business Case'!G13*$D821-'Business Case'!G14*$E821))*'Business Case'!$B$7-'Business Case'!$B$8*(('Business Case'!G11*$C821*'Business Case'!G12*$B821)-('Business Case'!F11*$C821*'Business Case'!F12*$B821))-'Business Case'!G15*$F821+'Business Case'!$B$8*('Business Case'!G11*$C821*'Business Case'!G12*$B821)</f>
        <v>780682466.041155</v>
      </c>
      <c r="N821" s="39" t="n">
        <f aca="false">IF(COUNT('Business Case'!B11:G11)=0,"",H821+NPV(G821,I821:M821))</f>
        <v>-634310111.900543</v>
      </c>
      <c r="P821" s="40" t="n">
        <f aca="true">RAND()</f>
        <v>0.80353963705184</v>
      </c>
      <c r="Q821" s="40" t="n">
        <f aca="true">RAND()</f>
        <v>0.0844628447885689</v>
      </c>
      <c r="R821" s="40" t="n">
        <f aca="true">RAND()</f>
        <v>0.494450124228801</v>
      </c>
      <c r="S821" s="40" t="n">
        <f aca="true">RAND()</f>
        <v>0.457660287425793</v>
      </c>
      <c r="T821" s="40" t="n">
        <f aca="true">RAND()</f>
        <v>0.283941441619878</v>
      </c>
      <c r="U821" s="40" t="n">
        <f aca="true">RAND()</f>
        <v>0.665240589574875</v>
      </c>
    </row>
    <row r="822" customFormat="false" ht="15" hidden="false" customHeight="false" outlineLevel="0" collapsed="false">
      <c r="A822" s="36" t="n">
        <v>742</v>
      </c>
      <c r="B822" s="37" t="n">
        <f aca="false">1+IF($G$6=$E$6,$F$6,IF(P822&lt;($F$6-$E$6)/($G$6-$E$6),$E$6+SQRT(P822*($G$6-$E$6)*($F$6-$E$6)),$G$6-SQRT((1-P822)*($G$6-$E$6)*($G$6-$F$6))))</f>
        <v>0.970978093016928</v>
      </c>
      <c r="C822" s="37" t="n">
        <f aca="false">1+IF($G$7=$E$7,$F$7,IF(Q822&lt;($F$7-$E$7)/($G$7-$E$7),$E$7+SQRT(Q822*($G$7-$E$7)*($F$7-$E$7)),$G$7-SQRT((1-Q822)*($G$7-$E$7)*($G$7-$F$7))))</f>
        <v>0.818982894593965</v>
      </c>
      <c r="D822" s="37" t="n">
        <f aca="false">1+IF($G$8=$E$8,$F$8,IF(R822&lt;($F$8-$E$8)/($G$8-$E$8),$E$8+SQRT(R822*($G$8-$E$8)*($F$8-$E$8)),$G$8-SQRT((1-R822)*($G$8-$E$8)*($G$8-$F$8))))</f>
        <v>1.02951517344586</v>
      </c>
      <c r="E822" s="37" t="n">
        <f aca="false">1+IF($G$9=$E$9,$F$9,IF(S822&lt;($F$9-$E$9)/($G$9-$E$9),$E$9+SQRT(S822*($G$9-$E$9)*($F$9-$E$9)),$G$9-SQRT((1-S822)*($G$9-$E$9)*($G$9-$F$9))))</f>
        <v>0.944978935647159</v>
      </c>
      <c r="F822" s="37" t="n">
        <f aca="false">1+IF($G$10=$E$10,$F$10,IF(T822&lt;($F$10-$E$10)/($G$10-$E$10),$E$10+SQRT(T822*($G$10-$E$10)*($F$10-$E$10)),$G$10-SQRT((1-T822)*($G$10-$E$10)*($G$10-$F$10))))</f>
        <v>1.18664544149035</v>
      </c>
      <c r="G822" s="38" t="n">
        <f aca="false">IF($G$11=$E$11,$F$11,IF(U822&lt;($F$11-$E$11)/($G$11-$E$11),$E$11+SQRT(U822*($G$11-$E$11)*($F$11-$E$11)),$G$11-SQRT((1-U822)*($G$11-$E$11)*($G$11-$F$11))))</f>
        <v>0.104207567640985</v>
      </c>
      <c r="H822" s="39" t="n">
        <f aca="false">(('Business Case'!B11*$C822*'Business Case'!B12*$B822)-'Business Case'!B11*$C822*'Business Case'!B13*$D822-'Business Case'!B14*$E822)-MAX(0,(('Business Case'!B11*$C822*'Business Case'!B12*$B822)-'Business Case'!B11*$C822*'Business Case'!B13*$D822-'Business Case'!B14*$E822))*'Business Case'!$B$7-'Business Case'!$B$8*('Business Case'!B11*$C822*'Business Case'!B12*$B822)-'Business Case'!B15*$F822</f>
        <v>-2373290882.9807</v>
      </c>
      <c r="I822" s="39" t="n">
        <f aca="false">(('Business Case'!C11*$C822*'Business Case'!C12*$B822)-'Business Case'!C11*$C822*'Business Case'!C13*$D822-'Business Case'!C14*$E822)-MAX(0,(('Business Case'!C11*$C822*'Business Case'!C12*$B822)-'Business Case'!C11*$C822*'Business Case'!C13*$D822-'Business Case'!C14*$E822))*'Business Case'!$B$7-'Business Case'!$B$8*(('Business Case'!C11*$C822*'Business Case'!C12*$B822)-('Business Case'!B11*$C822*'Business Case'!B12*$B822))-'Business Case'!C15*$F822</f>
        <v>-74554646.2691206</v>
      </c>
      <c r="J822" s="39" t="n">
        <f aca="false">(('Business Case'!D11*$C822*'Business Case'!D12*$B822)-'Business Case'!D11*$C822*'Business Case'!D13*$D822-'Business Case'!D14*$E822)-MAX(0,(('Business Case'!D11*$C822*'Business Case'!D12*$B822)-'Business Case'!D11*$C822*'Business Case'!D13*$D822-'Business Case'!D14*$E822))*'Business Case'!$B$7-'Business Case'!$B$8*(('Business Case'!D11*$C822*'Business Case'!D12*$B822)-('Business Case'!C11*$C822*'Business Case'!C12*$B822))-'Business Case'!D15*$F822</f>
        <v>145155173.306676</v>
      </c>
      <c r="K822" s="39" t="n">
        <f aca="false">(('Business Case'!E11*$C822*'Business Case'!E12*$B822)-'Business Case'!E11*$C822*'Business Case'!E13*$D822-'Business Case'!E14*$E822)-MAX(0,(('Business Case'!E11*$C822*'Business Case'!E12*$B822)-'Business Case'!E11*$C822*'Business Case'!E13*$D822-'Business Case'!E14*$E822))*'Business Case'!$B$7-'Business Case'!$B$8*(('Business Case'!E11*$C822*'Business Case'!E12*$B822)-('Business Case'!D11*$C822*'Business Case'!D12*$B822))-'Business Case'!E15*$F822</f>
        <v>424197264.956991</v>
      </c>
      <c r="L822" s="39" t="n">
        <f aca="false">(('Business Case'!F11*$C822*'Business Case'!F12*$B822)-'Business Case'!F11*$C822*'Business Case'!F13*$D822-'Business Case'!F14*$E822)-MAX(0,(('Business Case'!F11*$C822*'Business Case'!F12*$B822)-'Business Case'!F11*$C822*'Business Case'!F13*$D822-'Business Case'!F14*$E822))*'Business Case'!$B$7-'Business Case'!$B$8*(('Business Case'!F11*$C822*'Business Case'!F12*$B822)-('Business Case'!E11*$C822*'Business Case'!E12*$B822))-'Business Case'!F15*$F822</f>
        <v>524916482.846827</v>
      </c>
      <c r="M822" s="39" t="n">
        <f aca="false">(('Business Case'!G11*$C822*'Business Case'!G12*$B822)-'Business Case'!G11*$C822*'Business Case'!G13*$D822-'Business Case'!G14*$E822)-MAX(0,(('Business Case'!G11*$C822*'Business Case'!G12*$B822)-'Business Case'!G11*$C822*'Business Case'!G13*$D822-'Business Case'!G14*$E822))*'Business Case'!$B$7-'Business Case'!$B$8*(('Business Case'!G11*$C822*'Business Case'!G12*$B822)-('Business Case'!F11*$C822*'Business Case'!F12*$B822))-'Business Case'!G15*$F822+'Business Case'!$B$8*('Business Case'!G11*$C822*'Business Case'!G12*$B822)</f>
        <v>676070845.351967</v>
      </c>
      <c r="N822" s="39" t="n">
        <f aca="false">IF(COUNT('Business Case'!B11:G11)=0,"",H822+NPV(G822,I822:M822))</f>
        <v>-1241741710.05524</v>
      </c>
      <c r="P822" s="40" t="n">
        <f aca="true">RAND()</f>
        <v>0.335859312554643</v>
      </c>
      <c r="Q822" s="40" t="n">
        <f aca="true">RAND()</f>
        <v>0.10486614226636</v>
      </c>
      <c r="R822" s="40" t="n">
        <f aca="true">RAND()</f>
        <v>0.668792615042175</v>
      </c>
      <c r="S822" s="40" t="n">
        <f aca="true">RAND()</f>
        <v>0.0809241860780494</v>
      </c>
      <c r="T822" s="40" t="n">
        <f aca="true">RAND()</f>
        <v>0.9464826655473</v>
      </c>
      <c r="U822" s="40" t="n">
        <f aca="true">RAND()</f>
        <v>0.556500288670408</v>
      </c>
    </row>
    <row r="823" customFormat="false" ht="15" hidden="false" customHeight="false" outlineLevel="0" collapsed="false">
      <c r="A823" s="36" t="n">
        <v>743</v>
      </c>
      <c r="B823" s="37" t="n">
        <f aca="false">1+IF($G$6=$E$6,$F$6,IF(P823&lt;($F$6-$E$6)/($G$6-$E$6),$E$6+SQRT(P823*($G$6-$E$6)*($F$6-$E$6)),$G$6-SQRT((1-P823)*($G$6-$E$6)*($G$6-$F$6))))</f>
        <v>1.03227792363637</v>
      </c>
      <c r="C823" s="37" t="n">
        <f aca="false">1+IF($G$7=$E$7,$F$7,IF(Q823&lt;($F$7-$E$7)/($G$7-$E$7),$E$7+SQRT(Q823*($G$7-$E$7)*($F$7-$E$7)),$G$7-SQRT((1-Q823)*($G$7-$E$7)*($G$7-$F$7))))</f>
        <v>0.944773797276624</v>
      </c>
      <c r="D823" s="37" t="n">
        <f aca="false">1+IF($G$8=$E$8,$F$8,IF(R823&lt;($F$8-$E$8)/($G$8-$E$8),$E$8+SQRT(R823*($G$8-$E$8)*($F$8-$E$8)),$G$8-SQRT((1-R823)*($G$8-$E$8)*($G$8-$F$8))))</f>
        <v>0.995272532862784</v>
      </c>
      <c r="E823" s="37" t="n">
        <f aca="false">1+IF($G$9=$E$9,$F$9,IF(S823&lt;($F$9-$E$9)/($G$9-$E$9),$E$9+SQRT(S823*($G$9-$E$9)*($F$9-$E$9)),$G$9-SQRT((1-S823)*($G$9-$E$9)*($G$9-$F$9))))</f>
        <v>1.02066553689434</v>
      </c>
      <c r="F823" s="37" t="n">
        <f aca="false">1+IF($G$10=$E$10,$F$10,IF(T823&lt;($F$10-$E$10)/($G$10-$E$10),$E$10+SQRT(T823*($G$10-$E$10)*($F$10-$E$10)),$G$10-SQRT((1-T823)*($G$10-$E$10)*($G$10-$F$10))))</f>
        <v>0.990435693467797</v>
      </c>
      <c r="G823" s="38" t="n">
        <f aca="false">IF($G$11=$E$11,$F$11,IF(U823&lt;($F$11-$E$11)/($G$11-$E$11),$E$11+SQRT(U823*($G$11-$E$11)*($F$11-$E$11)),$G$11-SQRT((1-U823)*($G$11-$E$11)*($G$11-$F$11))))</f>
        <v>0.102970139892084</v>
      </c>
      <c r="H823" s="39" t="n">
        <f aca="false">(('Business Case'!B11*$C823*'Business Case'!B12*$B823)-'Business Case'!B11*$C823*'Business Case'!B13*$D823-'Business Case'!B14*$E823)-MAX(0,(('Business Case'!B11*$C823*'Business Case'!B12*$B823)-'Business Case'!B11*$C823*'Business Case'!B13*$D823-'Business Case'!B14*$E823))*'Business Case'!$B$7-'Business Case'!$B$8*('Business Case'!B11*$C823*'Business Case'!B12*$B823)-'Business Case'!B15*$F823</f>
        <v>-1980871386.93559</v>
      </c>
      <c r="I823" s="39" t="n">
        <f aca="false">(('Business Case'!C11*$C823*'Business Case'!C12*$B823)-'Business Case'!C11*$C823*'Business Case'!C13*$D823-'Business Case'!C14*$E823)-MAX(0,(('Business Case'!C11*$C823*'Business Case'!C12*$B823)-'Business Case'!C11*$C823*'Business Case'!C13*$D823-'Business Case'!C14*$E823))*'Business Case'!$B$7-'Business Case'!$B$8*(('Business Case'!C11*$C823*'Business Case'!C12*$B823)-('Business Case'!B11*$C823*'Business Case'!B12*$B823))-'Business Case'!C15*$F823</f>
        <v>22713309.9103391</v>
      </c>
      <c r="J823" s="39" t="n">
        <f aca="false">(('Business Case'!D11*$C823*'Business Case'!D12*$B823)-'Business Case'!D11*$C823*'Business Case'!D13*$D823-'Business Case'!D14*$E823)-MAX(0,(('Business Case'!D11*$C823*'Business Case'!D12*$B823)-'Business Case'!D11*$C823*'Business Case'!D13*$D823-'Business Case'!D14*$E823))*'Business Case'!$B$7-'Business Case'!$B$8*(('Business Case'!D11*$C823*'Business Case'!D12*$B823)-('Business Case'!C11*$C823*'Business Case'!C12*$B823))-'Business Case'!D15*$F823</f>
        <v>340166780.407887</v>
      </c>
      <c r="K823" s="39" t="n">
        <f aca="false">(('Business Case'!E11*$C823*'Business Case'!E12*$B823)-'Business Case'!E11*$C823*'Business Case'!E13*$D823-'Business Case'!E14*$E823)-MAX(0,(('Business Case'!E11*$C823*'Business Case'!E12*$B823)-'Business Case'!E11*$C823*'Business Case'!E13*$D823-'Business Case'!E14*$E823))*'Business Case'!$B$7-'Business Case'!$B$8*(('Business Case'!E11*$C823*'Business Case'!E12*$B823)-('Business Case'!D11*$C823*'Business Case'!D12*$B823))-'Business Case'!E15*$F823</f>
        <v>707142035.578825</v>
      </c>
      <c r="L823" s="39" t="n">
        <f aca="false">(('Business Case'!F11*$C823*'Business Case'!F12*$B823)-'Business Case'!F11*$C823*'Business Case'!F13*$D823-'Business Case'!F14*$E823)-MAX(0,(('Business Case'!F11*$C823*'Business Case'!F12*$B823)-'Business Case'!F11*$C823*'Business Case'!F13*$D823-'Business Case'!F14*$E823))*'Business Case'!$B$7-'Business Case'!$B$8*(('Business Case'!F11*$C823*'Business Case'!F12*$B823)-('Business Case'!E11*$C823*'Business Case'!E12*$B823))-'Business Case'!F15*$F823</f>
        <v>846665160.340709</v>
      </c>
      <c r="M823" s="39" t="n">
        <f aca="false">(('Business Case'!G11*$C823*'Business Case'!G12*$B823)-'Business Case'!G11*$C823*'Business Case'!G13*$D823-'Business Case'!G14*$E823)-MAX(0,(('Business Case'!G11*$C823*'Business Case'!G12*$B823)-'Business Case'!G11*$C823*'Business Case'!G13*$D823-'Business Case'!G14*$E823))*'Business Case'!$B$7-'Business Case'!$B$8*(('Business Case'!G11*$C823*'Business Case'!G12*$B823)-('Business Case'!F11*$C823*'Business Case'!F12*$B823))-'Business Case'!G15*$F823+'Business Case'!$B$8*('Business Case'!G11*$C823*'Business Case'!G12*$B823)</f>
        <v>1032044317.28557</v>
      </c>
      <c r="N823" s="39" t="n">
        <f aca="false">IF(COUNT('Business Case'!B11:G11)=0,"",H823+NPV(G823,I823:M823))</f>
        <v>50661173.9926474</v>
      </c>
      <c r="P823" s="40" t="n">
        <f aca="true">RAND()</f>
        <v>0.958123734581539</v>
      </c>
      <c r="Q823" s="40" t="n">
        <f aca="true">RAND()</f>
        <v>0.443808976542356</v>
      </c>
      <c r="R823" s="40" t="n">
        <f aca="true">RAND()</f>
        <v>0.273280297574909</v>
      </c>
      <c r="S823" s="40" t="n">
        <f aca="true">RAND()</f>
        <v>0.553935910751197</v>
      </c>
      <c r="T823" s="40" t="n">
        <f aca="true">RAND()</f>
        <v>0.109003020414773</v>
      </c>
      <c r="U823" s="40" t="n">
        <f aca="true">RAND()</f>
        <v>0.512924441697651</v>
      </c>
    </row>
    <row r="824" customFormat="false" ht="15" hidden="false" customHeight="false" outlineLevel="0" collapsed="false">
      <c r="A824" s="36" t="n">
        <v>744</v>
      </c>
      <c r="B824" s="37" t="n">
        <f aca="false">1+IF($G$6=$E$6,$F$6,IF(P824&lt;($F$6-$E$6)/($G$6-$E$6),$E$6+SQRT(P824*($G$6-$E$6)*($F$6-$E$6)),$G$6-SQRT((1-P824)*($G$6-$E$6)*($G$6-$F$6))))</f>
        <v>0.994830694775848</v>
      </c>
      <c r="C824" s="37" t="n">
        <f aca="false">1+IF($G$7=$E$7,$F$7,IF(Q824&lt;($F$7-$E$7)/($G$7-$E$7),$E$7+SQRT(Q824*($G$7-$E$7)*($F$7-$E$7)),$G$7-SQRT((1-Q824)*($G$7-$E$7)*($G$7-$F$7))))</f>
        <v>1.06532045678035</v>
      </c>
      <c r="D824" s="37" t="n">
        <f aca="false">1+IF($G$8=$E$8,$F$8,IF(R824&lt;($F$8-$E$8)/($G$8-$E$8),$E$8+SQRT(R824*($G$8-$E$8)*($F$8-$E$8)),$G$8-SQRT((1-R824)*($G$8-$E$8)*($G$8-$F$8))))</f>
        <v>1.0522444268609</v>
      </c>
      <c r="E824" s="37" t="n">
        <f aca="false">1+IF($G$9=$E$9,$F$9,IF(S824&lt;($F$9-$E$9)/($G$9-$E$9),$E$9+SQRT(S824*($G$9-$E$9)*($F$9-$E$9)),$G$9-SQRT((1-S824)*($G$9-$E$9)*($G$9-$F$9))))</f>
        <v>0.955975019852641</v>
      </c>
      <c r="F824" s="37" t="n">
        <f aca="false">1+IF($G$10=$E$10,$F$10,IF(T824&lt;($F$10-$E$10)/($G$10-$E$10),$E$10+SQRT(T824*($G$10-$E$10)*($F$10-$E$10)),$G$10-SQRT((1-T824)*($G$10-$E$10)*($G$10-$F$10))))</f>
        <v>1.08372901711721</v>
      </c>
      <c r="G824" s="38" t="n">
        <f aca="false">IF($G$11=$E$11,$F$11,IF(U824&lt;($F$11-$E$11)/($G$11-$E$11),$E$11+SQRT(U824*($G$11-$E$11)*($F$11-$E$11)),$G$11-SQRT((1-U824)*($G$11-$E$11)*($G$11-$F$11))))</f>
        <v>0.0930456057800326</v>
      </c>
      <c r="H824" s="39" t="n">
        <f aca="false">(('Business Case'!B11*$C824*'Business Case'!B12*$B824)-'Business Case'!B11*$C824*'Business Case'!B13*$D824-'Business Case'!B14*$E824)-MAX(0,(('Business Case'!B11*$C824*'Business Case'!B12*$B824)-'Business Case'!B11*$C824*'Business Case'!B13*$D824-'Business Case'!B14*$E824))*'Business Case'!$B$7-'Business Case'!$B$8*('Business Case'!B11*$C824*'Business Case'!B12*$B824)-'Business Case'!B15*$F824</f>
        <v>-2167458034.23443</v>
      </c>
      <c r="I824" s="39" t="n">
        <f aca="false">(('Business Case'!C11*$C824*'Business Case'!C12*$B824)-'Business Case'!C11*$C824*'Business Case'!C13*$D824-'Business Case'!C14*$E824)-MAX(0,(('Business Case'!C11*$C824*'Business Case'!C12*$B824)-'Business Case'!C11*$C824*'Business Case'!C13*$D824-'Business Case'!C14*$E824))*'Business Case'!$B$7-'Business Case'!$B$8*(('Business Case'!C11*$C824*'Business Case'!C12*$B824)-('Business Case'!B11*$C824*'Business Case'!B12*$B824))-'Business Case'!C15*$F824</f>
        <v>-5040534.53328803</v>
      </c>
      <c r="J824" s="39" t="n">
        <f aca="false">(('Business Case'!D11*$C824*'Business Case'!D12*$B824)-'Business Case'!D11*$C824*'Business Case'!D13*$D824-'Business Case'!D14*$E824)-MAX(0,(('Business Case'!D11*$C824*'Business Case'!D12*$B824)-'Business Case'!D11*$C824*'Business Case'!D13*$D824-'Business Case'!D14*$E824))*'Business Case'!$B$7-'Business Case'!$B$8*(('Business Case'!D11*$C824*'Business Case'!D12*$B824)-('Business Case'!C11*$C824*'Business Case'!C12*$B824))-'Business Case'!D15*$F824</f>
        <v>289172211.799004</v>
      </c>
      <c r="K824" s="39" t="n">
        <f aca="false">(('Business Case'!E11*$C824*'Business Case'!E12*$B824)-'Business Case'!E11*$C824*'Business Case'!E13*$D824-'Business Case'!E14*$E824)-MAX(0,(('Business Case'!E11*$C824*'Business Case'!E12*$B824)-'Business Case'!E11*$C824*'Business Case'!E13*$D824-'Business Case'!E14*$E824))*'Business Case'!$B$7-'Business Case'!$B$8*(('Business Case'!E11*$C824*'Business Case'!E12*$B824)-('Business Case'!D11*$C824*'Business Case'!D12*$B824))-'Business Case'!E15*$F824</f>
        <v>637571408.987158</v>
      </c>
      <c r="L824" s="39" t="n">
        <f aca="false">(('Business Case'!F11*$C824*'Business Case'!F12*$B824)-'Business Case'!F11*$C824*'Business Case'!F13*$D824-'Business Case'!F14*$E824)-MAX(0,(('Business Case'!F11*$C824*'Business Case'!F12*$B824)-'Business Case'!F11*$C824*'Business Case'!F13*$D824-'Business Case'!F14*$E824))*'Business Case'!$B$7-'Business Case'!$B$8*(('Business Case'!F11*$C824*'Business Case'!F12*$B824)-('Business Case'!E11*$C824*'Business Case'!E12*$B824))-'Business Case'!F15*$F824</f>
        <v>772269478.651797</v>
      </c>
      <c r="M824" s="39" t="n">
        <f aca="false">(('Business Case'!G11*$C824*'Business Case'!G12*$B824)-'Business Case'!G11*$C824*'Business Case'!G13*$D824-'Business Case'!G14*$E824)-MAX(0,(('Business Case'!G11*$C824*'Business Case'!G12*$B824)-'Business Case'!G11*$C824*'Business Case'!G13*$D824-'Business Case'!G14*$E824))*'Business Case'!$B$7-'Business Case'!$B$8*(('Business Case'!G11*$C824*'Business Case'!G12*$B824)-('Business Case'!F11*$C824*'Business Case'!F12*$B824))-'Business Case'!G15*$F824+'Business Case'!$B$8*('Business Case'!G11*$C824*'Business Case'!G12*$B824)</f>
        <v>973718826.864778</v>
      </c>
      <c r="N824" s="39" t="n">
        <f aca="false">IF(COUNT('Business Case'!B11:G11)=0,"",H824+NPV(G824,I824:M824))</f>
        <v>-276709526.400367</v>
      </c>
      <c r="P824" s="40" t="n">
        <f aca="true">RAND()</f>
        <v>0.599524044777998</v>
      </c>
      <c r="Q824" s="40" t="n">
        <f aca="true">RAND()</f>
        <v>0.893768517927585</v>
      </c>
      <c r="R824" s="40" t="n">
        <f aca="true">RAND()</f>
        <v>0.847960348943722</v>
      </c>
      <c r="S824" s="40" t="n">
        <f aca="true">RAND()</f>
        <v>0.125328113900144</v>
      </c>
      <c r="T824" s="40" t="n">
        <f aca="true">RAND()</f>
        <v>0.631386136682567</v>
      </c>
      <c r="U824" s="40" t="n">
        <f aca="true">RAND()</f>
        <v>0.170187830168019</v>
      </c>
    </row>
    <row r="825" customFormat="false" ht="15" hidden="false" customHeight="false" outlineLevel="0" collapsed="false">
      <c r="A825" s="36" t="n">
        <v>745</v>
      </c>
      <c r="B825" s="37" t="n">
        <f aca="false">1+IF($G$6=$E$6,$F$6,IF(P825&lt;($F$6-$E$6)/($G$6-$E$6),$E$6+SQRT(P825*($G$6-$E$6)*($F$6-$E$6)),$G$6-SQRT((1-P825)*($G$6-$E$6)*($G$6-$F$6))))</f>
        <v>0.99285380015016</v>
      </c>
      <c r="C825" s="37" t="n">
        <f aca="false">1+IF($G$7=$E$7,$F$7,IF(Q825&lt;($F$7-$E$7)/($G$7-$E$7),$E$7+SQRT(Q825*($G$7-$E$7)*($F$7-$E$7)),$G$7-SQRT((1-Q825)*($G$7-$E$7)*($G$7-$F$7))))</f>
        <v>0.883556445873946</v>
      </c>
      <c r="D825" s="37" t="n">
        <f aca="false">1+IF($G$8=$E$8,$F$8,IF(R825&lt;($F$8-$E$8)/($G$8-$E$8),$E$8+SQRT(R825*($G$8-$E$8)*($F$8-$E$8)),$G$8-SQRT((1-R825)*($G$8-$E$8)*($G$8-$F$8))))</f>
        <v>0.963897774826774</v>
      </c>
      <c r="E825" s="37" t="n">
        <f aca="false">1+IF($G$9=$E$9,$F$9,IF(S825&lt;($F$9-$E$9)/($G$9-$E$9),$E$9+SQRT(S825*($G$9-$E$9)*($F$9-$E$9)),$G$9-SQRT((1-S825)*($G$9-$E$9)*($G$9-$F$9))))</f>
        <v>0.982372706350997</v>
      </c>
      <c r="F825" s="37" t="n">
        <f aca="false">1+IF($G$10=$E$10,$F$10,IF(T825&lt;($F$10-$E$10)/($G$10-$E$10),$E$10+SQRT(T825*($G$10-$E$10)*($F$10-$E$10)),$G$10-SQRT((1-T825)*($G$10-$E$10)*($G$10-$F$10))))</f>
        <v>1.05145522685527</v>
      </c>
      <c r="G825" s="38" t="n">
        <f aca="false">IF($G$11=$E$11,$F$11,IF(U825&lt;($F$11-$E$11)/($G$11-$E$11),$E$11+SQRT(U825*($G$11-$E$11)*($F$11-$E$11)),$G$11-SQRT((1-U825)*($G$11-$E$11)*($G$11-$F$11))))</f>
        <v>0.0975223777870714</v>
      </c>
      <c r="H825" s="39" t="n">
        <f aca="false">(('Business Case'!B11*$C825*'Business Case'!B12*$B825)-'Business Case'!B11*$C825*'Business Case'!B13*$D825-'Business Case'!B14*$E825)-MAX(0,(('Business Case'!B11*$C825*'Business Case'!B12*$B825)-'Business Case'!B11*$C825*'Business Case'!B13*$D825-'Business Case'!B14*$E825))*'Business Case'!$B$7-'Business Case'!$B$8*('Business Case'!B11*$C825*'Business Case'!B12*$B825)-'Business Case'!B15*$F825</f>
        <v>-2102910453.71053</v>
      </c>
      <c r="I825" s="39" t="n">
        <f aca="false">(('Business Case'!C11*$C825*'Business Case'!C12*$B825)-'Business Case'!C11*$C825*'Business Case'!C13*$D825-'Business Case'!C14*$E825)-MAX(0,(('Business Case'!C11*$C825*'Business Case'!C12*$B825)-'Business Case'!C11*$C825*'Business Case'!C13*$D825-'Business Case'!C14*$E825))*'Business Case'!$B$7-'Business Case'!$B$8*(('Business Case'!C11*$C825*'Business Case'!C12*$B825)-('Business Case'!B11*$C825*'Business Case'!B12*$B825))-'Business Case'!C15*$F825</f>
        <v>-7771310.23780035</v>
      </c>
      <c r="J825" s="39" t="n">
        <f aca="false">(('Business Case'!D11*$C825*'Business Case'!D12*$B825)-'Business Case'!D11*$C825*'Business Case'!D13*$D825-'Business Case'!D14*$E825)-MAX(0,(('Business Case'!D11*$C825*'Business Case'!D12*$B825)-'Business Case'!D11*$C825*'Business Case'!D13*$D825-'Business Case'!D14*$E825))*'Business Case'!$B$7-'Business Case'!$B$8*(('Business Case'!D11*$C825*'Business Case'!D12*$B825)-('Business Case'!C11*$C825*'Business Case'!C12*$B825))-'Business Case'!D15*$F825</f>
        <v>274772545.769571</v>
      </c>
      <c r="K825" s="39" t="n">
        <f aca="false">(('Business Case'!E11*$C825*'Business Case'!E12*$B825)-'Business Case'!E11*$C825*'Business Case'!E13*$D825-'Business Case'!E14*$E825)-MAX(0,(('Business Case'!E11*$C825*'Business Case'!E12*$B825)-'Business Case'!E11*$C825*'Business Case'!E13*$D825-'Business Case'!E14*$E825))*'Business Case'!$B$7-'Business Case'!$B$8*(('Business Case'!E11*$C825*'Business Case'!E12*$B825)-('Business Case'!D11*$C825*'Business Case'!D12*$B825))-'Business Case'!E15*$F825</f>
        <v>609889163.119705</v>
      </c>
      <c r="L825" s="39" t="n">
        <f aca="false">(('Business Case'!F11*$C825*'Business Case'!F12*$B825)-'Business Case'!F11*$C825*'Business Case'!F13*$D825-'Business Case'!F14*$E825)-MAX(0,(('Business Case'!F11*$C825*'Business Case'!F12*$B825)-'Business Case'!F11*$C825*'Business Case'!F13*$D825-'Business Case'!F14*$E825))*'Business Case'!$B$7-'Business Case'!$B$8*(('Business Case'!F11*$C825*'Business Case'!F12*$B825)-('Business Case'!E11*$C825*'Business Case'!E12*$B825))-'Business Case'!F15*$F825</f>
        <v>734387944.933184</v>
      </c>
      <c r="M825" s="39" t="n">
        <f aca="false">(('Business Case'!G11*$C825*'Business Case'!G12*$B825)-'Business Case'!G11*$C825*'Business Case'!G13*$D825-'Business Case'!G14*$E825)-MAX(0,(('Business Case'!G11*$C825*'Business Case'!G12*$B825)-'Business Case'!G11*$C825*'Business Case'!G13*$D825-'Business Case'!G14*$E825))*'Business Case'!$B$7-'Business Case'!$B$8*(('Business Case'!G11*$C825*'Business Case'!G12*$B825)-('Business Case'!F11*$C825*'Business Case'!F12*$B825))-'Business Case'!G15*$F825+'Business Case'!$B$8*('Business Case'!G11*$C825*'Business Case'!G12*$B825)</f>
        <v>901134175.560471</v>
      </c>
      <c r="N825" s="39" t="n">
        <f aca="false">IF(COUNT('Business Case'!B11:G11)=0,"",H825+NPV(G825,I825:M825))</f>
        <v>-348531827.705492</v>
      </c>
      <c r="P825" s="40" t="n">
        <f aca="true">RAND()</f>
        <v>0.574788546821725</v>
      </c>
      <c r="Q825" s="40" t="n">
        <f aca="true">RAND()</f>
        <v>0.249577546828702</v>
      </c>
      <c r="R825" s="40" t="n">
        <f aca="true">RAND()</f>
        <v>0.0257530860180935</v>
      </c>
      <c r="S825" s="40" t="n">
        <f aca="true">RAND()</f>
        <v>0.271410510063504</v>
      </c>
      <c r="T825" s="40" t="n">
        <f aca="true">RAND()</f>
        <v>0.474399640758752</v>
      </c>
      <c r="U825" s="40" t="n">
        <f aca="true">RAND()</f>
        <v>0.307033723312854</v>
      </c>
    </row>
    <row r="826" customFormat="false" ht="15" hidden="false" customHeight="false" outlineLevel="0" collapsed="false">
      <c r="A826" s="36" t="n">
        <v>746</v>
      </c>
      <c r="B826" s="37" t="n">
        <f aca="false">1+IF($G$6=$E$6,$F$6,IF(P826&lt;($F$6-$E$6)/($G$6-$E$6),$E$6+SQRT(P826*($G$6-$E$6)*($F$6-$E$6)),$G$6-SQRT((1-P826)*($G$6-$E$6)*($G$6-$F$6))))</f>
        <v>1.01593782208811</v>
      </c>
      <c r="C826" s="37" t="n">
        <f aca="false">1+IF($G$7=$E$7,$F$7,IF(Q826&lt;($F$7-$E$7)/($G$7-$E$7),$E$7+SQRT(Q826*($G$7-$E$7)*($F$7-$E$7)),$G$7-SQRT((1-Q826)*($G$7-$E$7)*($G$7-$F$7))))</f>
        <v>0.710154114144459</v>
      </c>
      <c r="D826" s="37" t="n">
        <f aca="false">1+IF($G$8=$E$8,$F$8,IF(R826&lt;($F$8-$E$8)/($G$8-$E$8),$E$8+SQRT(R826*($G$8-$E$8)*($F$8-$E$8)),$G$8-SQRT((1-R826)*($G$8-$E$8)*($G$8-$F$8))))</f>
        <v>1.01709905213017</v>
      </c>
      <c r="E826" s="37" t="n">
        <f aca="false">1+IF($G$9=$E$9,$F$9,IF(S826&lt;($F$9-$E$9)/($G$9-$E$9),$E$9+SQRT(S826*($G$9-$E$9)*($F$9-$E$9)),$G$9-SQRT((1-S826)*($G$9-$E$9)*($G$9-$F$9))))</f>
        <v>1.05763030648889</v>
      </c>
      <c r="F826" s="37" t="n">
        <f aca="false">1+IF($G$10=$E$10,$F$10,IF(T826&lt;($F$10-$E$10)/($G$10-$E$10),$E$10+SQRT(T826*($G$10-$E$10)*($F$10-$E$10)),$G$10-SQRT((1-T826)*($G$10-$E$10)*($G$10-$F$10))))</f>
        <v>1.10669989193149</v>
      </c>
      <c r="G826" s="38" t="n">
        <f aca="false">IF($G$11=$E$11,$F$11,IF(U826&lt;($F$11-$E$11)/($G$11-$E$11),$E$11+SQRT(U826*($G$11-$E$11)*($F$11-$E$11)),$G$11-SQRT((1-U826)*($G$11-$E$11)*($G$11-$F$11))))</f>
        <v>0.106338353403168</v>
      </c>
      <c r="H826" s="39" t="n">
        <f aca="false">(('Business Case'!B11*$C826*'Business Case'!B12*$B826)-'Business Case'!B11*$C826*'Business Case'!B13*$D826-'Business Case'!B14*$E826)-MAX(0,(('Business Case'!B11*$C826*'Business Case'!B12*$B826)-'Business Case'!B11*$C826*'Business Case'!B13*$D826-'Business Case'!B14*$E826))*'Business Case'!$B$7-'Business Case'!$B$8*('Business Case'!B11*$C826*'Business Case'!B12*$B826)-'Business Case'!B15*$F826</f>
        <v>-2213399783.86299</v>
      </c>
      <c r="I826" s="39" t="n">
        <f aca="false">(('Business Case'!C11*$C826*'Business Case'!C12*$B826)-'Business Case'!C11*$C826*'Business Case'!C13*$D826-'Business Case'!C14*$E826)-MAX(0,(('Business Case'!C11*$C826*'Business Case'!C12*$B826)-'Business Case'!C11*$C826*'Business Case'!C13*$D826-'Business Case'!C14*$E826))*'Business Case'!$B$7-'Business Case'!$B$8*(('Business Case'!C11*$C826*'Business Case'!C12*$B826)-('Business Case'!B11*$C826*'Business Case'!B12*$B826))-'Business Case'!C15*$F826</f>
        <v>-77286607.2427322</v>
      </c>
      <c r="J826" s="39" t="n">
        <f aca="false">(('Business Case'!D11*$C826*'Business Case'!D12*$B826)-'Business Case'!D11*$C826*'Business Case'!D13*$D826-'Business Case'!D14*$E826)-MAX(0,(('Business Case'!D11*$C826*'Business Case'!D12*$B826)-'Business Case'!D11*$C826*'Business Case'!D13*$D826-'Business Case'!D14*$E826))*'Business Case'!$B$7-'Business Case'!$B$8*(('Business Case'!D11*$C826*'Business Case'!D12*$B826)-('Business Case'!C11*$C826*'Business Case'!C12*$B826))-'Business Case'!D15*$F826</f>
        <v>143892934.754238</v>
      </c>
      <c r="K826" s="39" t="n">
        <f aca="false">(('Business Case'!E11*$C826*'Business Case'!E12*$B826)-'Business Case'!E11*$C826*'Business Case'!E13*$D826-'Business Case'!E14*$E826)-MAX(0,(('Business Case'!E11*$C826*'Business Case'!E12*$B826)-'Business Case'!E11*$C826*'Business Case'!E13*$D826-'Business Case'!E14*$E826))*'Business Case'!$B$7-'Business Case'!$B$8*(('Business Case'!E11*$C826*'Business Case'!E12*$B826)-('Business Case'!D11*$C826*'Business Case'!D12*$B826))-'Business Case'!E15*$F826</f>
        <v>420407471.347783</v>
      </c>
      <c r="L826" s="39" t="n">
        <f aca="false">(('Business Case'!F11*$C826*'Business Case'!F12*$B826)-'Business Case'!F11*$C826*'Business Case'!F13*$D826-'Business Case'!F14*$E826)-MAX(0,(('Business Case'!F11*$C826*'Business Case'!F12*$B826)-'Business Case'!F11*$C826*'Business Case'!F13*$D826-'Business Case'!F14*$E826))*'Business Case'!$B$7-'Business Case'!$B$8*(('Business Case'!F11*$C826*'Business Case'!F12*$B826)-('Business Case'!E11*$C826*'Business Case'!E12*$B826))-'Business Case'!F15*$F826</f>
        <v>519068072.322661</v>
      </c>
      <c r="M826" s="39" t="n">
        <f aca="false">(('Business Case'!G11*$C826*'Business Case'!G12*$B826)-'Business Case'!G11*$C826*'Business Case'!G13*$D826-'Business Case'!G14*$E826)-MAX(0,(('Business Case'!G11*$C826*'Business Case'!G12*$B826)-'Business Case'!G11*$C826*'Business Case'!G13*$D826-'Business Case'!G14*$E826))*'Business Case'!$B$7-'Business Case'!$B$8*(('Business Case'!G11*$C826*'Business Case'!G12*$B826)-('Business Case'!F11*$C826*'Business Case'!F12*$B826))-'Business Case'!G15*$F826+'Business Case'!$B$8*('Business Case'!G11*$C826*'Business Case'!G12*$B826)</f>
        <v>656205550.690045</v>
      </c>
      <c r="N826" s="39" t="n">
        <f aca="false">IF(COUNT('Business Case'!B11:G11)=0,"",H826+NPV(G826,I826:M826))</f>
        <v>-1112847413.06621</v>
      </c>
      <c r="P826" s="40" t="n">
        <f aca="true">RAND()</f>
        <v>0.845302404786527</v>
      </c>
      <c r="Q826" s="40" t="n">
        <f aca="true">RAND()</f>
        <v>0.000763748400434763</v>
      </c>
      <c r="R826" s="40" t="n">
        <f aca="true">RAND()</f>
        <v>0.541828856152213</v>
      </c>
      <c r="S826" s="40" t="n">
        <f aca="true">RAND()</f>
        <v>0.772475725884383</v>
      </c>
      <c r="T826" s="40" t="n">
        <f aca="true">RAND()</f>
        <v>0.726201053700726</v>
      </c>
      <c r="U826" s="40" t="n">
        <f aca="true">RAND()</f>
        <v>0.626750986884404</v>
      </c>
    </row>
    <row r="827" customFormat="false" ht="15" hidden="false" customHeight="false" outlineLevel="0" collapsed="false">
      <c r="A827" s="36" t="n">
        <v>747</v>
      </c>
      <c r="B827" s="37" t="n">
        <f aca="false">1+IF($G$6=$E$6,$F$6,IF(P827&lt;($F$6-$E$6)/($G$6-$E$6),$E$6+SQRT(P827*($G$6-$E$6)*($F$6-$E$6)),$G$6-SQRT((1-P827)*($G$6-$E$6)*($G$6-$F$6))))</f>
        <v>0.961789913037648</v>
      </c>
      <c r="C827" s="37" t="n">
        <f aca="false">1+IF($G$7=$E$7,$F$7,IF(Q827&lt;($F$7-$E$7)/($G$7-$E$7),$E$7+SQRT(Q827*($G$7-$E$7)*($F$7-$E$7)),$G$7-SQRT((1-Q827)*($G$7-$E$7)*($G$7-$F$7))))</f>
        <v>1.03556687686823</v>
      </c>
      <c r="D827" s="37" t="n">
        <f aca="false">1+IF($G$8=$E$8,$F$8,IF(R827&lt;($F$8-$E$8)/($G$8-$E$8),$E$8+SQRT(R827*($G$8-$E$8)*($F$8-$E$8)),$G$8-SQRT((1-R827)*($G$8-$E$8)*($G$8-$F$8))))</f>
        <v>1.09033464161272</v>
      </c>
      <c r="E827" s="37" t="n">
        <f aca="false">1+IF($G$9=$E$9,$F$9,IF(S827&lt;($F$9-$E$9)/($G$9-$E$9),$E$9+SQRT(S827*($G$9-$E$9)*($F$9-$E$9)),$G$9-SQRT((1-S827)*($G$9-$E$9)*($G$9-$F$9))))</f>
        <v>1.07383714060855</v>
      </c>
      <c r="F827" s="37" t="n">
        <f aca="false">1+IF($G$10=$E$10,$F$10,IF(T827&lt;($F$10-$E$10)/($G$10-$E$10),$E$10+SQRT(T827*($G$10-$E$10)*($F$10-$E$10)),$G$10-SQRT((1-T827)*($G$10-$E$10)*($G$10-$F$10))))</f>
        <v>1.03964194148611</v>
      </c>
      <c r="G827" s="38" t="n">
        <f aca="false">IF($G$11=$E$11,$F$11,IF(U827&lt;($F$11-$E$11)/($G$11-$E$11),$E$11+SQRT(U827*($G$11-$E$11)*($F$11-$E$11)),$G$11-SQRT((1-U827)*($G$11-$E$11)*($G$11-$F$11))))</f>
        <v>0.110678476051453</v>
      </c>
      <c r="H827" s="39" t="n">
        <f aca="false">(('Business Case'!B11*$C827*'Business Case'!B12*$B827)-'Business Case'!B11*$C827*'Business Case'!B13*$D827-'Business Case'!B14*$E827)-MAX(0,(('Business Case'!B11*$C827*'Business Case'!B12*$B827)-'Business Case'!B11*$C827*'Business Case'!B13*$D827-'Business Case'!B14*$E827))*'Business Case'!$B$7-'Business Case'!$B$8*('Business Case'!B11*$C827*'Business Case'!B12*$B827)-'Business Case'!B15*$F827</f>
        <v>-2079283882.97222</v>
      </c>
      <c r="I827" s="39" t="n">
        <f aca="false">(('Business Case'!C11*$C827*'Business Case'!C12*$B827)-'Business Case'!C11*$C827*'Business Case'!C13*$D827-'Business Case'!C14*$E827)-MAX(0,(('Business Case'!C11*$C827*'Business Case'!C12*$B827)-'Business Case'!C11*$C827*'Business Case'!C13*$D827-'Business Case'!C14*$E827))*'Business Case'!$B$7-'Business Case'!$B$8*(('Business Case'!C11*$C827*'Business Case'!C12*$B827)-('Business Case'!B11*$C827*'Business Case'!B12*$B827))-'Business Case'!C15*$F827</f>
        <v>-70518733.4211499</v>
      </c>
      <c r="J827" s="39" t="n">
        <f aca="false">(('Business Case'!D11*$C827*'Business Case'!D12*$B827)-'Business Case'!D11*$C827*'Business Case'!D13*$D827-'Business Case'!D14*$E827)-MAX(0,(('Business Case'!D11*$C827*'Business Case'!D12*$B827)-'Business Case'!D11*$C827*'Business Case'!D13*$D827-'Business Case'!D14*$E827))*'Business Case'!$B$7-'Business Case'!$B$8*(('Business Case'!D11*$C827*'Business Case'!D12*$B827)-('Business Case'!C11*$C827*'Business Case'!C12*$B827))-'Business Case'!D15*$F827</f>
        <v>167258893.431899</v>
      </c>
      <c r="K827" s="39" t="n">
        <f aca="false">(('Business Case'!E11*$C827*'Business Case'!E12*$B827)-'Business Case'!E11*$C827*'Business Case'!E13*$D827-'Business Case'!E14*$E827)-MAX(0,(('Business Case'!E11*$C827*'Business Case'!E12*$B827)-'Business Case'!E11*$C827*'Business Case'!E13*$D827-'Business Case'!E14*$E827))*'Business Case'!$B$7-'Business Case'!$B$8*(('Business Case'!E11*$C827*'Business Case'!E12*$B827)-('Business Case'!D11*$C827*'Business Case'!D12*$B827))-'Business Case'!E15*$F827</f>
        <v>457018617.359253</v>
      </c>
      <c r="L827" s="39" t="n">
        <f aca="false">(('Business Case'!F11*$C827*'Business Case'!F12*$B827)-'Business Case'!F11*$C827*'Business Case'!F13*$D827-'Business Case'!F14*$E827)-MAX(0,(('Business Case'!F11*$C827*'Business Case'!F12*$B827)-'Business Case'!F11*$C827*'Business Case'!F13*$D827-'Business Case'!F14*$E827))*'Business Case'!$B$7-'Business Case'!$B$8*(('Business Case'!F11*$C827*'Business Case'!F12*$B827)-('Business Case'!E11*$C827*'Business Case'!E12*$B827))-'Business Case'!F15*$F827</f>
        <v>570699509.464304</v>
      </c>
      <c r="M827" s="39" t="n">
        <f aca="false">(('Business Case'!G11*$C827*'Business Case'!G12*$B827)-'Business Case'!G11*$C827*'Business Case'!G13*$D827-'Business Case'!G14*$E827)-MAX(0,(('Business Case'!G11*$C827*'Business Case'!G12*$B827)-'Business Case'!G11*$C827*'Business Case'!G13*$D827-'Business Case'!G14*$E827))*'Business Case'!$B$7-'Business Case'!$B$8*(('Business Case'!G11*$C827*'Business Case'!G12*$B827)-('Business Case'!F11*$C827*'Business Case'!F12*$B827))-'Business Case'!G15*$F827+'Business Case'!$B$8*('Business Case'!G11*$C827*'Business Case'!G12*$B827)</f>
        <v>760018766.811495</v>
      </c>
      <c r="N827" s="39" t="n">
        <f aca="false">IF(COUNT('Business Case'!B11:G11)=0,"",H827+NPV(G827,I827:M827))</f>
        <v>-848956227.706772</v>
      </c>
      <c r="P827" s="40" t="n">
        <f aca="true">RAND()</f>
        <v>0.254532890213336</v>
      </c>
      <c r="Q827" s="40" t="n">
        <f aca="true">RAND()</f>
        <v>0.806000893782366</v>
      </c>
      <c r="R827" s="40" t="n">
        <f aca="true">RAND()</f>
        <v>0.993772056483035</v>
      </c>
      <c r="S827" s="40" t="n">
        <f aca="true">RAND()</f>
        <v>0.845312502648471</v>
      </c>
      <c r="T827" s="40" t="n">
        <f aca="true">RAND()</f>
        <v>0.409993162910237</v>
      </c>
      <c r="U827" s="40" t="n">
        <f aca="true">RAND()</f>
        <v>0.751119141537143</v>
      </c>
    </row>
    <row r="828" customFormat="false" ht="15" hidden="false" customHeight="false" outlineLevel="0" collapsed="false">
      <c r="A828" s="36" t="n">
        <v>748</v>
      </c>
      <c r="B828" s="37" t="n">
        <f aca="false">1+IF($G$6=$E$6,$F$6,IF(P828&lt;($F$6-$E$6)/($G$6-$E$6),$E$6+SQRT(P828*($G$6-$E$6)*($F$6-$E$6)),$G$6-SQRT((1-P828)*($G$6-$E$6)*($G$6-$F$6))))</f>
        <v>0.990095365753814</v>
      </c>
      <c r="C828" s="37" t="n">
        <f aca="false">1+IF($G$7=$E$7,$F$7,IF(Q828&lt;($F$7-$E$7)/($G$7-$E$7),$E$7+SQRT(Q828*($G$7-$E$7)*($F$7-$E$7)),$G$7-SQRT((1-Q828)*($G$7-$E$7)*($G$7-$F$7))))</f>
        <v>1.05475051755783</v>
      </c>
      <c r="D828" s="37" t="n">
        <f aca="false">1+IF($G$8=$E$8,$F$8,IF(R828&lt;($F$8-$E$8)/($G$8-$E$8),$E$8+SQRT(R828*($G$8-$E$8)*($F$8-$E$8)),$G$8-SQRT((1-R828)*($G$8-$E$8)*($G$8-$F$8))))</f>
        <v>1.0342051755103</v>
      </c>
      <c r="E828" s="37" t="n">
        <f aca="false">1+IF($G$9=$E$9,$F$9,IF(S828&lt;($F$9-$E$9)/($G$9-$E$9),$E$9+SQRT(S828*($G$9-$E$9)*($F$9-$E$9)),$G$9-SQRT((1-S828)*($G$9-$E$9)*($G$9-$F$9))))</f>
        <v>0.993115383724101</v>
      </c>
      <c r="F828" s="37" t="n">
        <f aca="false">1+IF($G$10=$E$10,$F$10,IF(T828&lt;($F$10-$E$10)/($G$10-$E$10),$E$10+SQRT(T828*($G$10-$E$10)*($F$10-$E$10)),$G$10-SQRT((1-T828)*($G$10-$E$10)*($G$10-$F$10))))</f>
        <v>1.00628757887666</v>
      </c>
      <c r="G828" s="38" t="n">
        <f aca="false">IF($G$11=$E$11,$F$11,IF(U828&lt;($F$11-$E$11)/($G$11-$E$11),$E$11+SQRT(U828*($G$11-$E$11)*($F$11-$E$11)),$G$11-SQRT((1-U828)*($G$11-$E$11)*($G$11-$F$11))))</f>
        <v>0.104735547447935</v>
      </c>
      <c r="H828" s="39" t="n">
        <f aca="false">(('Business Case'!B11*$C828*'Business Case'!B12*$B828)-'Business Case'!B11*$C828*'Business Case'!B13*$D828-'Business Case'!B14*$E828)-MAX(0,(('Business Case'!B11*$C828*'Business Case'!B12*$B828)-'Business Case'!B11*$C828*'Business Case'!B13*$D828-'Business Case'!B14*$E828))*'Business Case'!$B$7-'Business Case'!$B$8*('Business Case'!B11*$C828*'Business Case'!B12*$B828)-'Business Case'!B15*$F828</f>
        <v>-2012575157.75333</v>
      </c>
      <c r="I828" s="39" t="n">
        <f aca="false">(('Business Case'!C11*$C828*'Business Case'!C12*$B828)-'Business Case'!C11*$C828*'Business Case'!C13*$D828-'Business Case'!C14*$E828)-MAX(0,(('Business Case'!C11*$C828*'Business Case'!C12*$B828)-'Business Case'!C11*$C828*'Business Case'!C13*$D828-'Business Case'!C14*$E828))*'Business Case'!$B$7-'Business Case'!$B$8*(('Business Case'!C11*$C828*'Business Case'!C12*$B828)-('Business Case'!B11*$C828*'Business Case'!B12*$B828))-'Business Case'!C15*$F828</f>
        <v>956476.648730069</v>
      </c>
      <c r="J828" s="39" t="n">
        <f aca="false">(('Business Case'!D11*$C828*'Business Case'!D12*$B828)-'Business Case'!D11*$C828*'Business Case'!D13*$D828-'Business Case'!D14*$E828)-MAX(0,(('Business Case'!D11*$C828*'Business Case'!D12*$B828)-'Business Case'!D11*$C828*'Business Case'!D13*$D828-'Business Case'!D14*$E828))*'Business Case'!$B$7-'Business Case'!$B$8*(('Business Case'!D11*$C828*'Business Case'!D12*$B828)-('Business Case'!C11*$C828*'Business Case'!C12*$B828))-'Business Case'!D15*$F828</f>
        <v>297899417.346723</v>
      </c>
      <c r="K828" s="39" t="n">
        <f aca="false">(('Business Case'!E11*$C828*'Business Case'!E12*$B828)-'Business Case'!E11*$C828*'Business Case'!E13*$D828-'Business Case'!E14*$E828)-MAX(0,(('Business Case'!E11*$C828*'Business Case'!E12*$B828)-'Business Case'!E11*$C828*'Business Case'!E13*$D828-'Business Case'!E14*$E828))*'Business Case'!$B$7-'Business Case'!$B$8*(('Business Case'!E11*$C828*'Business Case'!E12*$B828)-('Business Case'!D11*$C828*'Business Case'!D12*$B828))-'Business Case'!E15*$F828</f>
        <v>645156736.98855</v>
      </c>
      <c r="L828" s="39" t="n">
        <f aca="false">(('Business Case'!F11*$C828*'Business Case'!F12*$B828)-'Business Case'!F11*$C828*'Business Case'!F13*$D828-'Business Case'!F14*$E828)-MAX(0,(('Business Case'!F11*$C828*'Business Case'!F12*$B828)-'Business Case'!F11*$C828*'Business Case'!F13*$D828-'Business Case'!F14*$E828))*'Business Case'!$B$7-'Business Case'!$B$8*(('Business Case'!F11*$C828*'Business Case'!F12*$B828)-('Business Case'!E11*$C828*'Business Case'!E12*$B828))-'Business Case'!F15*$F828</f>
        <v>780228849.618567</v>
      </c>
      <c r="M828" s="39" t="n">
        <f aca="false">(('Business Case'!G11*$C828*'Business Case'!G12*$B828)-'Business Case'!G11*$C828*'Business Case'!G13*$D828-'Business Case'!G14*$E828)-MAX(0,(('Business Case'!G11*$C828*'Business Case'!G12*$B828)-'Business Case'!G11*$C828*'Business Case'!G13*$D828-'Business Case'!G14*$E828))*'Business Case'!$B$7-'Business Case'!$B$8*(('Business Case'!G11*$C828*'Business Case'!G12*$B828)-('Business Case'!F11*$C828*'Business Case'!F12*$B828))-'Business Case'!G15*$F828+'Business Case'!$B$8*('Business Case'!G11*$C828*'Business Case'!G12*$B828)</f>
        <v>978730077.804009</v>
      </c>
      <c r="N828" s="39" t="n">
        <f aca="false">IF(COUNT('Business Case'!B11:G11)=0,"",H828+NPV(G828,I828:M828))</f>
        <v>-170480083.618393</v>
      </c>
      <c r="P828" s="40" t="n">
        <f aca="true">RAND()</f>
        <v>0.541144995354238</v>
      </c>
      <c r="Q828" s="40" t="n">
        <f aca="true">RAND()</f>
        <v>0.865593127325917</v>
      </c>
      <c r="R828" s="40" t="n">
        <f aca="true">RAND()</f>
        <v>0.711402738024641</v>
      </c>
      <c r="S828" s="40" t="n">
        <f aca="true">RAND()</f>
        <v>0.346818987443459</v>
      </c>
      <c r="T828" s="40" t="n">
        <f aca="true">RAND()</f>
        <v>0.208056743869358</v>
      </c>
      <c r="U828" s="40" t="n">
        <f aca="true">RAND()</f>
        <v>0.57447162482963</v>
      </c>
    </row>
    <row r="829" customFormat="false" ht="15" hidden="false" customHeight="false" outlineLevel="0" collapsed="false">
      <c r="A829" s="36" t="n">
        <v>749</v>
      </c>
      <c r="B829" s="37" t="n">
        <f aca="false">1+IF($G$6=$E$6,$F$6,IF(P829&lt;($F$6-$E$6)/($G$6-$E$6),$E$6+SQRT(P829*($G$6-$E$6)*($F$6-$E$6)),$G$6-SQRT((1-P829)*($G$6-$E$6)*($G$6-$F$6))))</f>
        <v>0.990678270512218</v>
      </c>
      <c r="C829" s="37" t="n">
        <f aca="false">1+IF($G$7=$E$7,$F$7,IF(Q829&lt;($F$7-$E$7)/($G$7-$E$7),$E$7+SQRT(Q829*($G$7-$E$7)*($F$7-$E$7)),$G$7-SQRT((1-Q829)*($G$7-$E$7)*($G$7-$F$7))))</f>
        <v>1.01341883154736</v>
      </c>
      <c r="D829" s="37" t="n">
        <f aca="false">1+IF($G$8=$E$8,$F$8,IF(R829&lt;($F$8-$E$8)/($G$8-$E$8),$E$8+SQRT(R829*($G$8-$E$8)*($F$8-$E$8)),$G$8-SQRT((1-R829)*($G$8-$E$8)*($G$8-$F$8))))</f>
        <v>1.03595456324329</v>
      </c>
      <c r="E829" s="37" t="n">
        <f aca="false">1+IF($G$9=$E$9,$F$9,IF(S829&lt;($F$9-$E$9)/($G$9-$E$9),$E$9+SQRT(S829*($G$9-$E$9)*($F$9-$E$9)),$G$9-SQRT((1-S829)*($G$9-$E$9)*($G$9-$F$9))))</f>
        <v>0.998714181330937</v>
      </c>
      <c r="F829" s="37" t="n">
        <f aca="false">1+IF($G$10=$E$10,$F$10,IF(T829&lt;($F$10-$E$10)/($G$10-$E$10),$E$10+SQRT(T829*($G$10-$E$10)*($F$10-$E$10)),$G$10-SQRT((1-T829)*($G$10-$E$10)*($G$10-$F$10))))</f>
        <v>1.12306401627815</v>
      </c>
      <c r="G829" s="38" t="n">
        <f aca="false">IF($G$11=$E$11,$F$11,IF(U829&lt;($F$11-$E$11)/($G$11-$E$11),$E$11+SQRT(U829*($G$11-$E$11)*($F$11-$E$11)),$G$11-SQRT((1-U829)*($G$11-$E$11)*($G$11-$F$11))))</f>
        <v>0.0900181836712845</v>
      </c>
      <c r="H829" s="39" t="n">
        <f aca="false">(('Business Case'!B11*$C829*'Business Case'!B12*$B829)-'Business Case'!B11*$C829*'Business Case'!B13*$D829-'Business Case'!B14*$E829)-MAX(0,(('Business Case'!B11*$C829*'Business Case'!B12*$B829)-'Business Case'!B11*$C829*'Business Case'!B13*$D829-'Business Case'!B14*$E829))*'Business Case'!$B$7-'Business Case'!$B$8*('Business Case'!B11*$C829*'Business Case'!B12*$B829)-'Business Case'!B15*$F829</f>
        <v>-2246128032.55631</v>
      </c>
      <c r="I829" s="39" t="n">
        <f aca="false">(('Business Case'!C11*$C829*'Business Case'!C12*$B829)-'Business Case'!C11*$C829*'Business Case'!C13*$D829-'Business Case'!C14*$E829)-MAX(0,(('Business Case'!C11*$C829*'Business Case'!C12*$B829)-'Business Case'!C11*$C829*'Business Case'!C13*$D829-'Business Case'!C14*$E829))*'Business Case'!$B$7-'Business Case'!$B$8*(('Business Case'!C11*$C829*'Business Case'!C12*$B829)-('Business Case'!B11*$C829*'Business Case'!B12*$B829))-'Business Case'!C15*$F829</f>
        <v>-21486314.3345758</v>
      </c>
      <c r="J829" s="39" t="n">
        <f aca="false">(('Business Case'!D11*$C829*'Business Case'!D12*$B829)-'Business Case'!D11*$C829*'Business Case'!D13*$D829-'Business Case'!D14*$E829)-MAX(0,(('Business Case'!D11*$C829*'Business Case'!D12*$B829)-'Business Case'!D11*$C829*'Business Case'!D13*$D829-'Business Case'!D14*$E829))*'Business Case'!$B$7-'Business Case'!$B$8*(('Business Case'!D11*$C829*'Business Case'!D12*$B829)-('Business Case'!C11*$C829*'Business Case'!C12*$B829))-'Business Case'!D15*$F829</f>
        <v>263396838.819245</v>
      </c>
      <c r="K829" s="39" t="n">
        <f aca="false">(('Business Case'!E11*$C829*'Business Case'!E12*$B829)-'Business Case'!E11*$C829*'Business Case'!E13*$D829-'Business Case'!E14*$E829)-MAX(0,(('Business Case'!E11*$C829*'Business Case'!E12*$B829)-'Business Case'!E11*$C829*'Business Case'!E13*$D829-'Business Case'!E14*$E829))*'Business Case'!$B$7-'Business Case'!$B$8*(('Business Case'!E11*$C829*'Business Case'!E12*$B829)-('Business Case'!D11*$C829*'Business Case'!D12*$B829))-'Business Case'!E15*$F829</f>
        <v>604433192.786972</v>
      </c>
      <c r="L829" s="39" t="n">
        <f aca="false">(('Business Case'!F11*$C829*'Business Case'!F12*$B829)-'Business Case'!F11*$C829*'Business Case'!F13*$D829-'Business Case'!F14*$E829)-MAX(0,(('Business Case'!F11*$C829*'Business Case'!F12*$B829)-'Business Case'!F11*$C829*'Business Case'!F13*$D829-'Business Case'!F14*$E829))*'Business Case'!$B$7-'Business Case'!$B$8*(('Business Case'!F11*$C829*'Business Case'!F12*$B829)-('Business Case'!E11*$C829*'Business Case'!E12*$B829))-'Business Case'!F15*$F829</f>
        <v>734091516.688461</v>
      </c>
      <c r="M829" s="39" t="n">
        <f aca="false">(('Business Case'!G11*$C829*'Business Case'!G12*$B829)-'Business Case'!G11*$C829*'Business Case'!G13*$D829-'Business Case'!G14*$E829)-MAX(0,(('Business Case'!G11*$C829*'Business Case'!G12*$B829)-'Business Case'!G11*$C829*'Business Case'!G13*$D829-'Business Case'!G14*$E829))*'Business Case'!$B$7-'Business Case'!$B$8*(('Business Case'!G11*$C829*'Business Case'!G12*$B829)-('Business Case'!F11*$C829*'Business Case'!F12*$B829))-'Business Case'!G15*$F829+'Business Case'!$B$8*('Business Case'!G11*$C829*'Business Case'!G12*$B829)</f>
        <v>924926517.36464</v>
      </c>
      <c r="N829" s="39" t="n">
        <f aca="false">IF(COUNT('Business Case'!B11:G11)=0,"",H829+NPV(G829,I829:M829))</f>
        <v>-456338626.140424</v>
      </c>
      <c r="P829" s="40" t="n">
        <f aca="true">RAND()</f>
        <v>0.548169916205802</v>
      </c>
      <c r="Q829" s="40" t="n">
        <f aca="true">RAND()</f>
        <v>0.723638287764613</v>
      </c>
      <c r="R829" s="40" t="n">
        <f aca="true">RAND()</f>
        <v>0.726545468709461</v>
      </c>
      <c r="S829" s="40" t="n">
        <f aca="true">RAND()</f>
        <v>0.389779583833487</v>
      </c>
      <c r="T829" s="40" t="n">
        <f aca="true">RAND()</f>
        <v>0.785163413820896</v>
      </c>
      <c r="U829" s="40" t="n">
        <f aca="true">RAND()</f>
        <v>0.100364004071591</v>
      </c>
    </row>
    <row r="830" customFormat="false" ht="15" hidden="false" customHeight="false" outlineLevel="0" collapsed="false">
      <c r="A830" s="36" t="n">
        <v>750</v>
      </c>
      <c r="B830" s="37" t="n">
        <f aca="false">1+IF($G$6=$E$6,$F$6,IF(P830&lt;($F$6-$E$6)/($G$6-$E$6),$E$6+SQRT(P830*($G$6-$E$6)*($F$6-$E$6)),$G$6-SQRT((1-P830)*($G$6-$E$6)*($G$6-$F$6))))</f>
        <v>0.960001578299319</v>
      </c>
      <c r="C830" s="37" t="n">
        <f aca="false">1+IF($G$7=$E$7,$F$7,IF(Q830&lt;($F$7-$E$7)/($G$7-$E$7),$E$7+SQRT(Q830*($G$7-$E$7)*($F$7-$E$7)),$G$7-SQRT((1-Q830)*($G$7-$E$7)*($G$7-$F$7))))</f>
        <v>0.987280310478301</v>
      </c>
      <c r="D830" s="37" t="n">
        <f aca="false">1+IF($G$8=$E$8,$F$8,IF(R830&lt;($F$8-$E$8)/($G$8-$E$8),$E$8+SQRT(R830*($G$8-$E$8)*($F$8-$E$8)),$G$8-SQRT((1-R830)*($G$8-$E$8)*($G$8-$F$8))))</f>
        <v>1.07166730513568</v>
      </c>
      <c r="E830" s="37" t="n">
        <f aca="false">1+IF($G$9=$E$9,$F$9,IF(S830&lt;($F$9-$E$9)/($G$9-$E$9),$E$9+SQRT(S830*($G$9-$E$9)*($F$9-$E$9)),$G$9-SQRT((1-S830)*($G$9-$E$9)*($G$9-$F$9))))</f>
        <v>1.0479751368032</v>
      </c>
      <c r="F830" s="37" t="n">
        <f aca="false">1+IF($G$10=$E$10,$F$10,IF(T830&lt;($F$10-$E$10)/($G$10-$E$10),$E$10+SQRT(T830*($G$10-$E$10)*($F$10-$E$10)),$G$10-SQRT((1-T830)*($G$10-$E$10)*($G$10-$F$10))))</f>
        <v>1.22275427958174</v>
      </c>
      <c r="G830" s="38" t="n">
        <f aca="false">IF($G$11=$E$11,$F$11,IF(U830&lt;($F$11-$E$11)/($G$11-$E$11),$E$11+SQRT(U830*($G$11-$E$11)*($F$11-$E$11)),$G$11-SQRT((1-U830)*($G$11-$E$11)*($G$11-$F$11))))</f>
        <v>0.113085704829997</v>
      </c>
      <c r="H830" s="39" t="n">
        <f aca="false">(('Business Case'!B11*$C830*'Business Case'!B12*$B830)-'Business Case'!B11*$C830*'Business Case'!B13*$D830-'Business Case'!B14*$E830)-MAX(0,(('Business Case'!B11*$C830*'Business Case'!B12*$B830)-'Business Case'!B11*$C830*'Business Case'!B13*$D830-'Business Case'!B14*$E830))*'Business Case'!$B$7-'Business Case'!$B$8*('Business Case'!B11*$C830*'Business Case'!B12*$B830)-'Business Case'!B15*$F830</f>
        <v>-2445508559.16347</v>
      </c>
      <c r="I830" s="39" t="n">
        <f aca="false">(('Business Case'!C11*$C830*'Business Case'!C12*$B830)-'Business Case'!C11*$C830*'Business Case'!C13*$D830-'Business Case'!C14*$E830)-MAX(0,(('Business Case'!C11*$C830*'Business Case'!C12*$B830)-'Business Case'!C11*$C830*'Business Case'!C13*$D830-'Business Case'!C14*$E830))*'Business Case'!$B$7-'Business Case'!$B$8*(('Business Case'!C11*$C830*'Business Case'!C12*$B830)-('Business Case'!B11*$C830*'Business Case'!B12*$B830))-'Business Case'!C15*$F830</f>
        <v>-85751975.9567072</v>
      </c>
      <c r="J830" s="39" t="n">
        <f aca="false">(('Business Case'!D11*$C830*'Business Case'!D12*$B830)-'Business Case'!D11*$C830*'Business Case'!D13*$D830-'Business Case'!D14*$E830)-MAX(0,(('Business Case'!D11*$C830*'Business Case'!D12*$B830)-'Business Case'!D11*$C830*'Business Case'!D13*$D830-'Business Case'!D14*$E830))*'Business Case'!$B$7-'Business Case'!$B$8*(('Business Case'!D11*$C830*'Business Case'!D12*$B830)-('Business Case'!C11*$C830*'Business Case'!C12*$B830))-'Business Case'!D15*$F830</f>
        <v>148927008.119886</v>
      </c>
      <c r="K830" s="39" t="n">
        <f aca="false">(('Business Case'!E11*$C830*'Business Case'!E12*$B830)-'Business Case'!E11*$C830*'Business Case'!E13*$D830-'Business Case'!E14*$E830)-MAX(0,(('Business Case'!E11*$C830*'Business Case'!E12*$B830)-'Business Case'!E11*$C830*'Business Case'!E13*$D830-'Business Case'!E14*$E830))*'Business Case'!$B$7-'Business Case'!$B$8*(('Business Case'!E11*$C830*'Business Case'!E12*$B830)-('Business Case'!D11*$C830*'Business Case'!D12*$B830))-'Business Case'!E15*$F830</f>
        <v>444743706.175566</v>
      </c>
      <c r="L830" s="39" t="n">
        <f aca="false">(('Business Case'!F11*$C830*'Business Case'!F12*$B830)-'Business Case'!F11*$C830*'Business Case'!F13*$D830-'Business Case'!F14*$E830)-MAX(0,(('Business Case'!F11*$C830*'Business Case'!F12*$B830)-'Business Case'!F11*$C830*'Business Case'!F13*$D830-'Business Case'!F14*$E830))*'Business Case'!$B$7-'Business Case'!$B$8*(('Business Case'!F11*$C830*'Business Case'!F12*$B830)-('Business Case'!E11*$C830*'Business Case'!E12*$B830))-'Business Case'!F15*$F830</f>
        <v>555725679.282237</v>
      </c>
      <c r="M830" s="39" t="n">
        <f aca="false">(('Business Case'!G11*$C830*'Business Case'!G12*$B830)-'Business Case'!G11*$C830*'Business Case'!G13*$D830-'Business Case'!G14*$E830)-MAX(0,(('Business Case'!G11*$C830*'Business Case'!G12*$B830)-'Business Case'!G11*$C830*'Business Case'!G13*$D830-'Business Case'!G14*$E830))*'Business Case'!$B$7-'Business Case'!$B$8*(('Business Case'!G11*$C830*'Business Case'!G12*$B830)-('Business Case'!F11*$C830*'Business Case'!F12*$B830))-'Business Case'!G15*$F830+'Business Case'!$B$8*('Business Case'!G11*$C830*'Business Case'!G12*$B830)</f>
        <v>735881727.228512</v>
      </c>
      <c r="N830" s="39" t="n">
        <f aca="false">IF(COUNT('Business Case'!B11:G11)=0,"",H830+NPV(G830,I830:M830))</f>
        <v>-1287127975.11232</v>
      </c>
      <c r="P830" s="40" t="n">
        <f aca="true">RAND()</f>
        <v>0.240012626560617</v>
      </c>
      <c r="Q830" s="40" t="n">
        <f aca="true">RAND()</f>
        <v>0.611333161396364</v>
      </c>
      <c r="R830" s="40" t="n">
        <f aca="true">RAND()</f>
        <v>0.946483893448353</v>
      </c>
      <c r="S830" s="40" t="n">
        <f aca="true">RAND()</f>
        <v>0.722424727724644</v>
      </c>
      <c r="T830" s="40" t="n">
        <f aca="true">RAND()</f>
        <v>0.990102276251865</v>
      </c>
      <c r="U830" s="40" t="n">
        <f aca="true">RAND()</f>
        <v>0.809271079268018</v>
      </c>
    </row>
    <row r="831" customFormat="false" ht="15" hidden="false" customHeight="false" outlineLevel="0" collapsed="false">
      <c r="A831" s="36" t="n">
        <v>751</v>
      </c>
      <c r="B831" s="37" t="n">
        <f aca="false">1+IF($G$6=$E$6,$F$6,IF(P831&lt;($F$6-$E$6)/($G$6-$E$6),$E$6+SQRT(P831*($G$6-$E$6)*($F$6-$E$6)),$G$6-SQRT((1-P831)*($G$6-$E$6)*($G$6-$F$6))))</f>
        <v>0.993099644182155</v>
      </c>
      <c r="C831" s="37" t="n">
        <f aca="false">1+IF($G$7=$E$7,$F$7,IF(Q831&lt;($F$7-$E$7)/($G$7-$E$7),$E$7+SQRT(Q831*($G$7-$E$7)*($F$7-$E$7)),$G$7-SQRT((1-Q831)*($G$7-$E$7)*($G$7-$F$7))))</f>
        <v>0.999766279543521</v>
      </c>
      <c r="D831" s="37" t="n">
        <f aca="false">1+IF($G$8=$E$8,$F$8,IF(R831&lt;($F$8-$E$8)/($G$8-$E$8),$E$8+SQRT(R831*($G$8-$E$8)*($F$8-$E$8)),$G$8-SQRT((1-R831)*($G$8-$E$8)*($G$8-$F$8))))</f>
        <v>1.05001696178497</v>
      </c>
      <c r="E831" s="37" t="n">
        <f aca="false">1+IF($G$9=$E$9,$F$9,IF(S831&lt;($F$9-$E$9)/($G$9-$E$9),$E$9+SQRT(S831*($G$9-$E$9)*($F$9-$E$9)),$G$9-SQRT((1-S831)*($G$9-$E$9)*($G$9-$F$9))))</f>
        <v>1.08634798408776</v>
      </c>
      <c r="F831" s="37" t="n">
        <f aca="false">1+IF($G$10=$E$10,$F$10,IF(T831&lt;($F$10-$E$10)/($G$10-$E$10),$E$10+SQRT(T831*($G$10-$E$10)*($F$10-$E$10)),$G$10-SQRT((1-T831)*($G$10-$E$10)*($G$10-$F$10))))</f>
        <v>1.11496575909865</v>
      </c>
      <c r="G831" s="38" t="n">
        <f aca="false">IF($G$11=$E$11,$F$11,IF(U831&lt;($F$11-$E$11)/($G$11-$E$11),$E$11+SQRT(U831*($G$11-$E$11)*($F$11-$E$11)),$G$11-SQRT((1-U831)*($G$11-$E$11)*($G$11-$F$11))))</f>
        <v>0.103103731740956</v>
      </c>
      <c r="H831" s="39" t="n">
        <f aca="false">(('Business Case'!B11*$C831*'Business Case'!B12*$B831)-'Business Case'!B11*$C831*'Business Case'!B13*$D831-'Business Case'!B14*$E831)-MAX(0,(('Business Case'!B11*$C831*'Business Case'!B12*$B831)-'Business Case'!B11*$C831*'Business Case'!B13*$D831-'Business Case'!B14*$E831))*'Business Case'!$B$7-'Business Case'!$B$8*('Business Case'!B11*$C831*'Business Case'!B12*$B831)-'Business Case'!B15*$F831</f>
        <v>-2229931518.1973</v>
      </c>
      <c r="I831" s="39" t="n">
        <f aca="false">(('Business Case'!C11*$C831*'Business Case'!C12*$B831)-'Business Case'!C11*$C831*'Business Case'!C13*$D831-'Business Case'!C14*$E831)-MAX(0,(('Business Case'!C11*$C831*'Business Case'!C12*$B831)-'Business Case'!C11*$C831*'Business Case'!C13*$D831-'Business Case'!C14*$E831))*'Business Case'!$B$7-'Business Case'!$B$8*(('Business Case'!C11*$C831*'Business Case'!C12*$B831)-('Business Case'!B11*$C831*'Business Case'!B12*$B831))-'Business Case'!C15*$F831</f>
        <v>-41614566.0611934</v>
      </c>
      <c r="J831" s="39" t="n">
        <f aca="false">(('Business Case'!D11*$C831*'Business Case'!D12*$B831)-'Business Case'!D11*$C831*'Business Case'!D13*$D831-'Business Case'!D14*$E831)-MAX(0,(('Business Case'!D11*$C831*'Business Case'!D12*$B831)-'Business Case'!D11*$C831*'Business Case'!D13*$D831-'Business Case'!D14*$E831))*'Business Case'!$B$7-'Business Case'!$B$8*(('Business Case'!D11*$C831*'Business Case'!D12*$B831)-('Business Case'!C11*$C831*'Business Case'!C12*$B831))-'Business Case'!D15*$F831</f>
        <v>234216380.215881</v>
      </c>
      <c r="K831" s="39" t="n">
        <f aca="false">(('Business Case'!E11*$C831*'Business Case'!E12*$B831)-'Business Case'!E11*$C831*'Business Case'!E13*$D831-'Business Case'!E14*$E831)-MAX(0,(('Business Case'!E11*$C831*'Business Case'!E12*$B831)-'Business Case'!E11*$C831*'Business Case'!E13*$D831-'Business Case'!E14*$E831))*'Business Case'!$B$7-'Business Case'!$B$8*(('Business Case'!E11*$C831*'Business Case'!E12*$B831)-('Business Case'!D11*$C831*'Business Case'!D12*$B831))-'Business Case'!E15*$F831</f>
        <v>565795614.447888</v>
      </c>
      <c r="L831" s="39" t="n">
        <f aca="false">(('Business Case'!F11*$C831*'Business Case'!F12*$B831)-'Business Case'!F11*$C831*'Business Case'!F13*$D831-'Business Case'!F14*$E831)-MAX(0,(('Business Case'!F11*$C831*'Business Case'!F12*$B831)-'Business Case'!F11*$C831*'Business Case'!F13*$D831-'Business Case'!F14*$E831))*'Business Case'!$B$7-'Business Case'!$B$8*(('Business Case'!F11*$C831*'Business Case'!F12*$B831)-('Business Case'!E11*$C831*'Business Case'!E12*$B831))-'Business Case'!F15*$F831</f>
        <v>692052765.267661</v>
      </c>
      <c r="M831" s="39" t="n">
        <f aca="false">(('Business Case'!G11*$C831*'Business Case'!G12*$B831)-'Business Case'!G11*$C831*'Business Case'!G13*$D831-'Business Case'!G14*$E831)-MAX(0,(('Business Case'!G11*$C831*'Business Case'!G12*$B831)-'Business Case'!G11*$C831*'Business Case'!G13*$D831-'Business Case'!G14*$E831))*'Business Case'!$B$7-'Business Case'!$B$8*(('Business Case'!G11*$C831*'Business Case'!G12*$B831)-('Business Case'!F11*$C831*'Business Case'!F12*$B831))-'Business Case'!G15*$F831+'Business Case'!$B$8*('Business Case'!G11*$C831*'Business Case'!G12*$B831)</f>
        <v>880777026.601777</v>
      </c>
      <c r="N831" s="39" t="n">
        <f aca="false">IF(COUNT('Business Case'!B11:G11)=0,"",H831+NPV(G831,I831:M831))</f>
        <v>-647037841.456991</v>
      </c>
      <c r="P831" s="40" t="n">
        <f aca="true">RAND()</f>
        <v>0.577836249789592</v>
      </c>
      <c r="Q831" s="40" t="n">
        <f aca="true">RAND()</f>
        <v>0.66562831371381</v>
      </c>
      <c r="R831" s="40" t="n">
        <f aca="true">RAND()</f>
        <v>0.833446392719627</v>
      </c>
      <c r="S831" s="40" t="n">
        <f aca="true">RAND()</f>
        <v>0.891957889874893</v>
      </c>
      <c r="T831" s="40" t="n">
        <f aca="true">RAND()</f>
        <v>0.756876717122619</v>
      </c>
      <c r="U831" s="40" t="n">
        <f aca="true">RAND()</f>
        <v>0.517727169158361</v>
      </c>
    </row>
    <row r="832" customFormat="false" ht="15" hidden="false" customHeight="false" outlineLevel="0" collapsed="false">
      <c r="A832" s="36" t="n">
        <v>752</v>
      </c>
      <c r="B832" s="37" t="n">
        <f aca="false">1+IF($G$6=$E$6,$F$6,IF(P832&lt;($F$6-$E$6)/($G$6-$E$6),$E$6+SQRT(P832*($G$6-$E$6)*($F$6-$E$6)),$G$6-SQRT((1-P832)*($G$6-$E$6)*($G$6-$F$6))))</f>
        <v>1.01422466211212</v>
      </c>
      <c r="C832" s="37" t="n">
        <f aca="false">1+IF($G$7=$E$7,$F$7,IF(Q832&lt;($F$7-$E$7)/($G$7-$E$7),$E$7+SQRT(Q832*($G$7-$E$7)*($F$7-$E$7)),$G$7-SQRT((1-Q832)*($G$7-$E$7)*($G$7-$F$7))))</f>
        <v>0.855359506168915</v>
      </c>
      <c r="D832" s="37" t="n">
        <f aca="false">1+IF($G$8=$E$8,$F$8,IF(R832&lt;($F$8-$E$8)/($G$8-$E$8),$E$8+SQRT(R832*($G$8-$E$8)*($F$8-$E$8)),$G$8-SQRT((1-R832)*($G$8-$E$8)*($G$8-$F$8))))</f>
        <v>1.00836486406884</v>
      </c>
      <c r="E832" s="37" t="n">
        <f aca="false">1+IF($G$9=$E$9,$F$9,IF(S832&lt;($F$9-$E$9)/($G$9-$E$9),$E$9+SQRT(S832*($G$9-$E$9)*($F$9-$E$9)),$G$9-SQRT((1-S832)*($G$9-$E$9)*($G$9-$F$9))))</f>
        <v>0.95694954392737</v>
      </c>
      <c r="F832" s="37" t="n">
        <f aca="false">1+IF($G$10=$E$10,$F$10,IF(T832&lt;($F$10-$E$10)/($G$10-$E$10),$E$10+SQRT(T832*($G$10-$E$10)*($F$10-$E$10)),$G$10-SQRT((1-T832)*($G$10-$E$10)*($G$10-$F$10))))</f>
        <v>1.06999517922673</v>
      </c>
      <c r="G832" s="38" t="n">
        <f aca="false">IF($G$11=$E$11,$F$11,IF(U832&lt;($F$11-$E$11)/($G$11-$E$11),$E$11+SQRT(U832*($G$11-$E$11)*($F$11-$E$11)),$G$11-SQRT((1-U832)*($G$11-$E$11)*($G$11-$F$11))))</f>
        <v>0.100380172738971</v>
      </c>
      <c r="H832" s="39" t="n">
        <f aca="false">(('Business Case'!B11*$C832*'Business Case'!B12*$B832)-'Business Case'!B11*$C832*'Business Case'!B13*$D832-'Business Case'!B14*$E832)-MAX(0,(('Business Case'!B11*$C832*'Business Case'!B12*$B832)-'Business Case'!B11*$C832*'Business Case'!B13*$D832-'Business Case'!B14*$E832))*'Business Case'!$B$7-'Business Case'!$B$8*('Business Case'!B11*$C832*'Business Case'!B12*$B832)-'Business Case'!B15*$F832</f>
        <v>-2139990358.45346</v>
      </c>
      <c r="I832" s="39" t="n">
        <f aca="false">(('Business Case'!C11*$C832*'Business Case'!C12*$B832)-'Business Case'!C11*$C832*'Business Case'!C13*$D832-'Business Case'!C14*$E832)-MAX(0,(('Business Case'!C11*$C832*'Business Case'!C12*$B832)-'Business Case'!C11*$C832*'Business Case'!C13*$D832-'Business Case'!C14*$E832))*'Business Case'!$B$7-'Business Case'!$B$8*(('Business Case'!C11*$C832*'Business Case'!C12*$B832)-('Business Case'!B11*$C832*'Business Case'!B12*$B832))-'Business Case'!C15*$F832</f>
        <v>-19021901.864967</v>
      </c>
      <c r="J832" s="39" t="n">
        <f aca="false">(('Business Case'!D11*$C832*'Business Case'!D12*$B832)-'Business Case'!D11*$C832*'Business Case'!D13*$D832-'Business Case'!D14*$E832)-MAX(0,(('Business Case'!D11*$C832*'Business Case'!D12*$B832)-'Business Case'!D11*$C832*'Business Case'!D13*$D832-'Business Case'!D14*$E832))*'Business Case'!$B$7-'Business Case'!$B$8*(('Business Case'!D11*$C832*'Business Case'!D12*$B832)-('Business Case'!C11*$C832*'Business Case'!C12*$B832))-'Business Case'!D15*$F832</f>
        <v>250006523.784915</v>
      </c>
      <c r="K832" s="39" t="n">
        <f aca="false">(('Business Case'!E11*$C832*'Business Case'!E12*$B832)-'Business Case'!E11*$C832*'Business Case'!E13*$D832-'Business Case'!E14*$E832)-MAX(0,(('Business Case'!E11*$C832*'Business Case'!E12*$B832)-'Business Case'!E11*$C832*'Business Case'!E13*$D832-'Business Case'!E14*$E832))*'Business Case'!$B$7-'Business Case'!$B$8*(('Business Case'!E11*$C832*'Business Case'!E12*$B832)-('Business Case'!D11*$C832*'Business Case'!D12*$B832))-'Business Case'!E15*$F832</f>
        <v>572534708.396134</v>
      </c>
      <c r="L832" s="39" t="n">
        <f aca="false">(('Business Case'!F11*$C832*'Business Case'!F12*$B832)-'Business Case'!F11*$C832*'Business Case'!F13*$D832-'Business Case'!F14*$E832)-MAX(0,(('Business Case'!F11*$C832*'Business Case'!F12*$B832)-'Business Case'!F11*$C832*'Business Case'!F13*$D832-'Business Case'!F14*$E832))*'Business Case'!$B$7-'Business Case'!$B$8*(('Business Case'!F11*$C832*'Business Case'!F12*$B832)-('Business Case'!E11*$C832*'Business Case'!E12*$B832))-'Business Case'!F15*$F832</f>
        <v>692192573.24323</v>
      </c>
      <c r="M832" s="39" t="n">
        <f aca="false">(('Business Case'!G11*$C832*'Business Case'!G12*$B832)-'Business Case'!G11*$C832*'Business Case'!G13*$D832-'Business Case'!G14*$E832)-MAX(0,(('Business Case'!G11*$C832*'Business Case'!G12*$B832)-'Business Case'!G11*$C832*'Business Case'!G13*$D832-'Business Case'!G14*$E832))*'Business Case'!$B$7-'Business Case'!$B$8*(('Business Case'!G11*$C832*'Business Case'!G12*$B832)-('Business Case'!F11*$C832*'Business Case'!F12*$B832))-'Business Case'!G15*$F832+'Business Case'!$B$8*('Business Case'!G11*$C832*'Business Case'!G12*$B832)</f>
        <v>857092049.544146</v>
      </c>
      <c r="N832" s="39" t="n">
        <f aca="false">IF(COUNT('Business Case'!B11:G11)=0,"",H832+NPV(G832,I832:M832))</f>
        <v>-517702844.899524</v>
      </c>
      <c r="P832" s="40" t="n">
        <f aca="true">RAND()</f>
        <v>0.829350026534386</v>
      </c>
      <c r="Q832" s="40" t="n">
        <f aca="true">RAND()</f>
        <v>0.178789453015178</v>
      </c>
      <c r="R832" s="40" t="n">
        <f aca="true">RAND()</f>
        <v>0.440200124191851</v>
      </c>
      <c r="S832" s="40" t="n">
        <f aca="true">RAND()</f>
        <v>0.129730022141416</v>
      </c>
      <c r="T832" s="40" t="n">
        <f aca="true">RAND()</f>
        <v>0.56797685997843</v>
      </c>
      <c r="U832" s="40" t="n">
        <f aca="true">RAND()</f>
        <v>0.415110555351209</v>
      </c>
    </row>
    <row r="833" customFormat="false" ht="15" hidden="false" customHeight="false" outlineLevel="0" collapsed="false">
      <c r="A833" s="36" t="n">
        <v>753</v>
      </c>
      <c r="B833" s="37" t="n">
        <f aca="false">1+IF($G$6=$E$6,$F$6,IF(P833&lt;($F$6-$E$6)/($G$6-$E$6),$E$6+SQRT(P833*($G$6-$E$6)*($F$6-$E$6)),$G$6-SQRT((1-P833)*($G$6-$E$6)*($G$6-$F$6))))</f>
        <v>1.00489799769971</v>
      </c>
      <c r="C833" s="37" t="n">
        <f aca="false">1+IF($G$7=$E$7,$F$7,IF(Q833&lt;($F$7-$E$7)/($G$7-$E$7),$E$7+SQRT(Q833*($G$7-$E$7)*($F$7-$E$7)),$G$7-SQRT((1-Q833)*($G$7-$E$7)*($G$7-$F$7))))</f>
        <v>0.830503402353817</v>
      </c>
      <c r="D833" s="37" t="n">
        <f aca="false">1+IF($G$8=$E$8,$F$8,IF(R833&lt;($F$8-$E$8)/($G$8-$E$8),$E$8+SQRT(R833*($G$8-$E$8)*($F$8-$E$8)),$G$8-SQRT((1-R833)*($G$8-$E$8)*($G$8-$F$8))))</f>
        <v>1.06647650324687</v>
      </c>
      <c r="E833" s="37" t="n">
        <f aca="false">1+IF($G$9=$E$9,$F$9,IF(S833&lt;($F$9-$E$9)/($G$9-$E$9),$E$9+SQRT(S833*($G$9-$E$9)*($F$9-$E$9)),$G$9-SQRT((1-S833)*($G$9-$E$9)*($G$9-$F$9))))</f>
        <v>1.09141989691515</v>
      </c>
      <c r="F833" s="37" t="n">
        <f aca="false">1+IF($G$10=$E$10,$F$10,IF(T833&lt;($F$10-$E$10)/($G$10-$E$10),$E$10+SQRT(T833*($G$10-$E$10)*($F$10-$E$10)),$G$10-SQRT((1-T833)*($G$10-$E$10)*($G$10-$F$10))))</f>
        <v>1.02377882000684</v>
      </c>
      <c r="G833" s="38" t="n">
        <f aca="false">IF($G$11=$E$11,$F$11,IF(U833&lt;($F$11-$E$11)/($G$11-$E$11),$E$11+SQRT(U833*($G$11-$E$11)*($F$11-$E$11)),$G$11-SQRT((1-U833)*($G$11-$E$11)*($G$11-$F$11))))</f>
        <v>0.0957216868817205</v>
      </c>
      <c r="H833" s="39" t="n">
        <f aca="false">(('Business Case'!B11*$C833*'Business Case'!B12*$B833)-'Business Case'!B11*$C833*'Business Case'!B13*$D833-'Business Case'!B14*$E833)-MAX(0,(('Business Case'!B11*$C833*'Business Case'!B12*$B833)-'Business Case'!B11*$C833*'Business Case'!B13*$D833-'Business Case'!B14*$E833))*'Business Case'!$B$7-'Business Case'!$B$8*('Business Case'!B11*$C833*'Business Case'!B12*$B833)-'Business Case'!B15*$F833</f>
        <v>-2047557640.01367</v>
      </c>
      <c r="I833" s="39" t="n">
        <f aca="false">(('Business Case'!C11*$C833*'Business Case'!C12*$B833)-'Business Case'!C11*$C833*'Business Case'!C13*$D833-'Business Case'!C14*$E833)-MAX(0,(('Business Case'!C11*$C833*'Business Case'!C12*$B833)-'Business Case'!C11*$C833*'Business Case'!C13*$D833-'Business Case'!C14*$E833))*'Business Case'!$B$7-'Business Case'!$B$8*(('Business Case'!C11*$C833*'Business Case'!C12*$B833)-('Business Case'!B11*$C833*'Business Case'!B12*$B833))-'Business Case'!C15*$F833</f>
        <v>-70681929.3602824</v>
      </c>
      <c r="J833" s="39" t="n">
        <f aca="false">(('Business Case'!D11*$C833*'Business Case'!D12*$B833)-'Business Case'!D11*$C833*'Business Case'!D13*$D833-'Business Case'!D14*$E833)-MAX(0,(('Business Case'!D11*$C833*'Business Case'!D12*$B833)-'Business Case'!D11*$C833*'Business Case'!D13*$D833-'Business Case'!D14*$E833))*'Business Case'!$B$7-'Business Case'!$B$8*(('Business Case'!D11*$C833*'Business Case'!D12*$B833)-('Business Case'!C11*$C833*'Business Case'!C12*$B833))-'Business Case'!D15*$F833</f>
        <v>159478103.9461</v>
      </c>
      <c r="K833" s="39" t="n">
        <f aca="false">(('Business Case'!E11*$C833*'Business Case'!E12*$B833)-'Business Case'!E11*$C833*'Business Case'!E13*$D833-'Business Case'!E14*$E833)-MAX(0,(('Business Case'!E11*$C833*'Business Case'!E12*$B833)-'Business Case'!E11*$C833*'Business Case'!E13*$D833-'Business Case'!E14*$E833))*'Business Case'!$B$7-'Business Case'!$B$8*(('Business Case'!E11*$C833*'Business Case'!E12*$B833)-('Business Case'!D11*$C833*'Business Case'!D12*$B833))-'Business Case'!E15*$F833</f>
        <v>440827078.252824</v>
      </c>
      <c r="L833" s="39" t="n">
        <f aca="false">(('Business Case'!F11*$C833*'Business Case'!F12*$B833)-'Business Case'!F11*$C833*'Business Case'!F13*$D833-'Business Case'!F14*$E833)-MAX(0,(('Business Case'!F11*$C833*'Business Case'!F12*$B833)-'Business Case'!F11*$C833*'Business Case'!F13*$D833-'Business Case'!F14*$E833))*'Business Case'!$B$7-'Business Case'!$B$8*(('Business Case'!F11*$C833*'Business Case'!F12*$B833)-('Business Case'!E11*$C833*'Business Case'!E12*$B833))-'Business Case'!F15*$F833</f>
        <v>546389870.238049</v>
      </c>
      <c r="M833" s="39" t="n">
        <f aca="false">(('Business Case'!G11*$C833*'Business Case'!G12*$B833)-'Business Case'!G11*$C833*'Business Case'!G13*$D833-'Business Case'!G14*$E833)-MAX(0,(('Business Case'!G11*$C833*'Business Case'!G12*$B833)-'Business Case'!G11*$C833*'Business Case'!G13*$D833-'Business Case'!G14*$E833))*'Business Case'!$B$7-'Business Case'!$B$8*(('Business Case'!G11*$C833*'Business Case'!G12*$B833)-('Business Case'!F11*$C833*'Business Case'!F12*$B833))-'Business Case'!G15*$F833+'Business Case'!$B$8*('Business Case'!G11*$C833*'Business Case'!G12*$B833)</f>
        <v>705025165.095085</v>
      </c>
      <c r="N833" s="39" t="n">
        <f aca="false">IF(COUNT('Business Case'!B11:G11)=0,"",H833+NPV(G833,I833:M833))</f>
        <v>-818705822.062369</v>
      </c>
      <c r="P833" s="40" t="n">
        <f aca="true">RAND()</f>
        <v>0.728774585133892</v>
      </c>
      <c r="Q833" s="40" t="n">
        <f aca="true">RAND()</f>
        <v>0.126156577969795</v>
      </c>
      <c r="R833" s="40" t="n">
        <f aca="true">RAND()</f>
        <v>0.925078344362843</v>
      </c>
      <c r="S833" s="40" t="n">
        <f aca="true">RAND()</f>
        <v>0.908489907268499</v>
      </c>
      <c r="T833" s="40" t="n">
        <f aca="true">RAND()</f>
        <v>0.317653036300011</v>
      </c>
      <c r="U833" s="40" t="n">
        <f aca="true">RAND()</f>
        <v>0.24717143840686</v>
      </c>
    </row>
    <row r="834" customFormat="false" ht="15" hidden="false" customHeight="false" outlineLevel="0" collapsed="false">
      <c r="A834" s="36" t="n">
        <v>754</v>
      </c>
      <c r="B834" s="37" t="n">
        <f aca="false">1+IF($G$6=$E$6,$F$6,IF(P834&lt;($F$6-$E$6)/($G$6-$E$6),$E$6+SQRT(P834*($G$6-$E$6)*($F$6-$E$6)),$G$6-SQRT((1-P834)*($G$6-$E$6)*($G$6-$F$6))))</f>
        <v>0.954434186062565</v>
      </c>
      <c r="C834" s="37" t="n">
        <f aca="false">1+IF($G$7=$E$7,$F$7,IF(Q834&lt;($F$7-$E$7)/($G$7-$E$7),$E$7+SQRT(Q834*($G$7-$E$7)*($F$7-$E$7)),$G$7-SQRT((1-Q834)*($G$7-$E$7)*($G$7-$F$7))))</f>
        <v>1.07241288753258</v>
      </c>
      <c r="D834" s="37" t="n">
        <f aca="false">1+IF($G$8=$E$8,$F$8,IF(R834&lt;($F$8-$E$8)/($G$8-$E$8),$E$8+SQRT(R834*($G$8-$E$8)*($F$8-$E$8)),$G$8-SQRT((1-R834)*($G$8-$E$8)*($G$8-$F$8))))</f>
        <v>0.989590498606735</v>
      </c>
      <c r="E834" s="37" t="n">
        <f aca="false">1+IF($G$9=$E$9,$F$9,IF(S834&lt;($F$9-$E$9)/($G$9-$E$9),$E$9+SQRT(S834*($G$9-$E$9)*($F$9-$E$9)),$G$9-SQRT((1-S834)*($G$9-$E$9)*($G$9-$F$9))))</f>
        <v>1.05841727516731</v>
      </c>
      <c r="F834" s="37" t="n">
        <f aca="false">1+IF($G$10=$E$10,$F$10,IF(T834&lt;($F$10-$E$10)/($G$10-$E$10),$E$10+SQRT(T834*($G$10-$E$10)*($F$10-$E$10)),$G$10-SQRT((1-T834)*($G$10-$E$10)*($G$10-$F$10))))</f>
        <v>1.14095362889509</v>
      </c>
      <c r="G834" s="38" t="n">
        <f aca="false">IF($G$11=$E$11,$F$11,IF(U834&lt;($F$11-$E$11)/($G$11-$E$11),$E$11+SQRT(U834*($G$11-$E$11)*($F$11-$E$11)),$G$11-SQRT((1-U834)*($G$11-$E$11)*($G$11-$F$11))))</f>
        <v>0.109238635340344</v>
      </c>
      <c r="H834" s="39" t="n">
        <f aca="false">(('Business Case'!B11*$C834*'Business Case'!B12*$B834)-'Business Case'!B11*$C834*'Business Case'!B13*$D834-'Business Case'!B14*$E834)-MAX(0,(('Business Case'!B11*$C834*'Business Case'!B12*$B834)-'Business Case'!B11*$C834*'Business Case'!B13*$D834-'Business Case'!B14*$E834))*'Business Case'!$B$7-'Business Case'!$B$8*('Business Case'!B11*$C834*'Business Case'!B12*$B834)-'Business Case'!B15*$F834</f>
        <v>-2281907257.79018</v>
      </c>
      <c r="I834" s="39" t="n">
        <f aca="false">(('Business Case'!C11*$C834*'Business Case'!C12*$B834)-'Business Case'!C11*$C834*'Business Case'!C13*$D834-'Business Case'!C14*$E834)-MAX(0,(('Business Case'!C11*$C834*'Business Case'!C12*$B834)-'Business Case'!C11*$C834*'Business Case'!C13*$D834-'Business Case'!C14*$E834))*'Business Case'!$B$7-'Business Case'!$B$8*(('Business Case'!C11*$C834*'Business Case'!C12*$B834)-('Business Case'!B11*$C834*'Business Case'!B12*$B834))-'Business Case'!C15*$F834</f>
        <v>-22578784.7760871</v>
      </c>
      <c r="J834" s="39" t="n">
        <f aca="false">(('Business Case'!D11*$C834*'Business Case'!D12*$B834)-'Business Case'!D11*$C834*'Business Case'!D13*$D834-'Business Case'!D14*$E834)-MAX(0,(('Business Case'!D11*$C834*'Business Case'!D12*$B834)-'Business Case'!D11*$C834*'Business Case'!D13*$D834-'Business Case'!D14*$E834))*'Business Case'!$B$7-'Business Case'!$B$8*(('Business Case'!D11*$C834*'Business Case'!D12*$B834)-('Business Case'!C11*$C834*'Business Case'!C12*$B834))-'Business Case'!D15*$F834</f>
        <v>272505433.377325</v>
      </c>
      <c r="K834" s="39" t="n">
        <f aca="false">(('Business Case'!E11*$C834*'Business Case'!E12*$B834)-'Business Case'!E11*$C834*'Business Case'!E13*$D834-'Business Case'!E14*$E834)-MAX(0,(('Business Case'!E11*$C834*'Business Case'!E12*$B834)-'Business Case'!E11*$C834*'Business Case'!E13*$D834-'Business Case'!E14*$E834))*'Business Case'!$B$7-'Business Case'!$B$8*(('Business Case'!E11*$C834*'Business Case'!E12*$B834)-('Business Case'!D11*$C834*'Business Case'!D12*$B834))-'Business Case'!E15*$F834</f>
        <v>624637332.975492</v>
      </c>
      <c r="L834" s="39" t="n">
        <f aca="false">(('Business Case'!F11*$C834*'Business Case'!F12*$B834)-'Business Case'!F11*$C834*'Business Case'!F13*$D834-'Business Case'!F14*$E834)-MAX(0,(('Business Case'!F11*$C834*'Business Case'!F12*$B834)-'Business Case'!F11*$C834*'Business Case'!F13*$D834-'Business Case'!F14*$E834))*'Business Case'!$B$7-'Business Case'!$B$8*(('Business Case'!F11*$C834*'Business Case'!F12*$B834)-('Business Case'!E11*$C834*'Business Case'!E12*$B834))-'Business Case'!F15*$F834</f>
        <v>758372541.367428</v>
      </c>
      <c r="M834" s="39" t="n">
        <f aca="false">(('Business Case'!G11*$C834*'Business Case'!G12*$B834)-'Business Case'!G11*$C834*'Business Case'!G13*$D834-'Business Case'!G14*$E834)-MAX(0,(('Business Case'!G11*$C834*'Business Case'!G12*$B834)-'Business Case'!G11*$C834*'Business Case'!G13*$D834-'Business Case'!G14*$E834))*'Business Case'!$B$7-'Business Case'!$B$8*(('Business Case'!G11*$C834*'Business Case'!G12*$B834)-('Business Case'!F11*$C834*'Business Case'!F12*$B834))-'Business Case'!G15*$F834+'Business Case'!$B$8*('Business Case'!G11*$C834*'Business Case'!G12*$B834)</f>
        <v>952928454.241823</v>
      </c>
      <c r="N834" s="39" t="n">
        <f aca="false">IF(COUNT('Business Case'!B11:G11)=0,"",H834+NPV(G834,I834:M834))</f>
        <v>-554720065.608294</v>
      </c>
      <c r="P834" s="40" t="n">
        <f aca="true">RAND()</f>
        <v>0.197538707486262</v>
      </c>
      <c r="Q834" s="40" t="n">
        <f aca="true">RAND()</f>
        <v>0.910818370058774</v>
      </c>
      <c r="R834" s="40" t="n">
        <f aca="true">RAND()</f>
        <v>0.20898767732399</v>
      </c>
      <c r="S834" s="40" t="n">
        <f aca="true">RAND()</f>
        <v>0.776336120325866</v>
      </c>
      <c r="T834" s="40" t="n">
        <f aca="true">RAND()</f>
        <v>0.841451852651336</v>
      </c>
      <c r="U834" s="40" t="n">
        <f aca="true">RAND()</f>
        <v>0.712643824979199</v>
      </c>
    </row>
    <row r="835" customFormat="false" ht="15" hidden="false" customHeight="false" outlineLevel="0" collapsed="false">
      <c r="A835" s="36" t="n">
        <v>755</v>
      </c>
      <c r="B835" s="37" t="n">
        <f aca="false">1+IF($G$6=$E$6,$F$6,IF(P835&lt;($F$6-$E$6)/($G$6-$E$6),$E$6+SQRT(P835*($G$6-$E$6)*($F$6-$E$6)),$G$6-SQRT((1-P835)*($G$6-$E$6)*($G$6-$F$6))))</f>
        <v>0.938414842139161</v>
      </c>
      <c r="C835" s="37" t="n">
        <f aca="false">1+IF($G$7=$E$7,$F$7,IF(Q835&lt;($F$7-$E$7)/($G$7-$E$7),$E$7+SQRT(Q835*($G$7-$E$7)*($F$7-$E$7)),$G$7-SQRT((1-Q835)*($G$7-$E$7)*($G$7-$F$7))))</f>
        <v>0.724276940674002</v>
      </c>
      <c r="D835" s="37" t="n">
        <f aca="false">1+IF($G$8=$E$8,$F$8,IF(R835&lt;($F$8-$E$8)/($G$8-$E$8),$E$8+SQRT(R835*($G$8-$E$8)*($F$8-$E$8)),$G$8-SQRT((1-R835)*($G$8-$E$8)*($G$8-$F$8))))</f>
        <v>1.01112357811314</v>
      </c>
      <c r="E835" s="37" t="n">
        <f aca="false">1+IF($G$9=$E$9,$F$9,IF(S835&lt;($F$9-$E$9)/($G$9-$E$9),$E$9+SQRT(S835*($G$9-$E$9)*($F$9-$E$9)),$G$9-SQRT((1-S835)*($G$9-$E$9)*($G$9-$F$9))))</f>
        <v>1.05763496080005</v>
      </c>
      <c r="F835" s="37" t="n">
        <f aca="false">1+IF($G$10=$E$10,$F$10,IF(T835&lt;($F$10-$E$10)/($G$10-$E$10),$E$10+SQRT(T835*($G$10-$E$10)*($F$10-$E$10)),$G$10-SQRT((1-T835)*($G$10-$E$10)*($G$10-$F$10))))</f>
        <v>1.0651607392506</v>
      </c>
      <c r="G835" s="38" t="n">
        <f aca="false">IF($G$11=$E$11,$F$11,IF(U835&lt;($F$11-$E$11)/($G$11-$E$11),$E$11+SQRT(U835*($G$11-$E$11)*($F$11-$E$11)),$G$11-SQRT((1-U835)*($G$11-$E$11)*($G$11-$F$11))))</f>
        <v>0.0895330081581977</v>
      </c>
      <c r="H835" s="39" t="n">
        <f aca="false">(('Business Case'!B11*$C835*'Business Case'!B12*$B835)-'Business Case'!B11*$C835*'Business Case'!B13*$D835-'Business Case'!B14*$E835)-MAX(0,(('Business Case'!B11*$C835*'Business Case'!B12*$B835)-'Business Case'!B11*$C835*'Business Case'!B13*$D835-'Business Case'!B14*$E835))*'Business Case'!$B$7-'Business Case'!$B$8*('Business Case'!B11*$C835*'Business Case'!B12*$B835)-'Business Case'!B15*$F835</f>
        <v>-2130321478.5012</v>
      </c>
      <c r="I835" s="39" t="n">
        <f aca="false">(('Business Case'!C11*$C835*'Business Case'!C12*$B835)-'Business Case'!C11*$C835*'Business Case'!C13*$D835-'Business Case'!C14*$E835)-MAX(0,(('Business Case'!C11*$C835*'Business Case'!C12*$B835)-'Business Case'!C11*$C835*'Business Case'!C13*$D835-'Business Case'!C14*$E835))*'Business Case'!$B$7-'Business Case'!$B$8*(('Business Case'!C11*$C835*'Business Case'!C12*$B835)-('Business Case'!B11*$C835*'Business Case'!B12*$B835))-'Business Case'!C15*$F835</f>
        <v>-110341641.37823</v>
      </c>
      <c r="J835" s="39" t="n">
        <f aca="false">(('Business Case'!D11*$C835*'Business Case'!D12*$B835)-'Business Case'!D11*$C835*'Business Case'!D13*$D835-'Business Case'!D14*$E835)-MAX(0,(('Business Case'!D11*$C835*'Business Case'!D12*$B835)-'Business Case'!D11*$C835*'Business Case'!D13*$D835-'Business Case'!D14*$E835))*'Business Case'!$B$7-'Business Case'!$B$8*(('Business Case'!D11*$C835*'Business Case'!D12*$B835)-('Business Case'!C11*$C835*'Business Case'!C12*$B835))-'Business Case'!D15*$F835</f>
        <v>71462691.0466921</v>
      </c>
      <c r="K835" s="39" t="n">
        <f aca="false">(('Business Case'!E11*$C835*'Business Case'!E12*$B835)-'Business Case'!E11*$C835*'Business Case'!E13*$D835-'Business Case'!E14*$E835)-MAX(0,(('Business Case'!E11*$C835*'Business Case'!E12*$B835)-'Business Case'!E11*$C835*'Business Case'!E13*$D835-'Business Case'!E14*$E835))*'Business Case'!$B$7-'Business Case'!$B$8*(('Business Case'!E11*$C835*'Business Case'!E12*$B835)-('Business Case'!D11*$C835*'Business Case'!D12*$B835))-'Business Case'!E15*$F835</f>
        <v>306525060.434144</v>
      </c>
      <c r="L835" s="39" t="n">
        <f aca="false">(('Business Case'!F11*$C835*'Business Case'!F12*$B835)-'Business Case'!F11*$C835*'Business Case'!F13*$D835-'Business Case'!F14*$E835)-MAX(0,(('Business Case'!F11*$C835*'Business Case'!F12*$B835)-'Business Case'!F11*$C835*'Business Case'!F13*$D835-'Business Case'!F14*$E835))*'Business Case'!$B$7-'Business Case'!$B$8*(('Business Case'!F11*$C835*'Business Case'!F12*$B835)-('Business Case'!E11*$C835*'Business Case'!E12*$B835))-'Business Case'!F15*$F835</f>
        <v>390615976.877335</v>
      </c>
      <c r="M835" s="39" t="n">
        <f aca="false">(('Business Case'!G11*$C835*'Business Case'!G12*$B835)-'Business Case'!G11*$C835*'Business Case'!G13*$D835-'Business Case'!G14*$E835)-MAX(0,(('Business Case'!G11*$C835*'Business Case'!G12*$B835)-'Business Case'!G11*$C835*'Business Case'!G13*$D835-'Business Case'!G14*$E835))*'Business Case'!$B$7-'Business Case'!$B$8*(('Business Case'!G11*$C835*'Business Case'!G12*$B835)-('Business Case'!F11*$C835*'Business Case'!F12*$B835))-'Business Case'!G15*$F835+'Business Case'!$B$8*('Business Case'!G11*$C835*'Business Case'!G12*$B835)</f>
        <v>519808074.53586</v>
      </c>
      <c r="N835" s="39" t="n">
        <f aca="false">IF(COUNT('Business Case'!B11:G11)=0,"",H835+NPV(G835,I835:M835))</f>
        <v>-1318636207.49041</v>
      </c>
      <c r="P835" s="40" t="n">
        <f aca="true">RAND()</f>
        <v>0.0983800064384439</v>
      </c>
      <c r="Q835" s="40" t="n">
        <f aca="true">RAND()</f>
        <v>0.0043657025814</v>
      </c>
      <c r="R835" s="40" t="n">
        <f aca="true">RAND()</f>
        <v>0.473398775505926</v>
      </c>
      <c r="S835" s="40" t="n">
        <f aca="true">RAND()</f>
        <v>0.772498654229116</v>
      </c>
      <c r="T835" s="40" t="n">
        <f aca="true">RAND()</f>
        <v>0.544459302474871</v>
      </c>
      <c r="U835" s="40" t="n">
        <f aca="true">RAND()</f>
        <v>0.0908782445442646</v>
      </c>
    </row>
    <row r="836" customFormat="false" ht="15" hidden="false" customHeight="false" outlineLevel="0" collapsed="false">
      <c r="A836" s="36" t="n">
        <v>756</v>
      </c>
      <c r="B836" s="37" t="n">
        <f aca="false">1+IF($G$6=$E$6,$F$6,IF(P836&lt;($F$6-$E$6)/($G$6-$E$6),$E$6+SQRT(P836*($G$6-$E$6)*($F$6-$E$6)),$G$6-SQRT((1-P836)*($G$6-$E$6)*($G$6-$F$6))))</f>
        <v>0.939221687227787</v>
      </c>
      <c r="C836" s="37" t="n">
        <f aca="false">1+IF($G$7=$E$7,$F$7,IF(Q836&lt;($F$7-$E$7)/($G$7-$E$7),$E$7+SQRT(Q836*($G$7-$E$7)*($F$7-$E$7)),$G$7-SQRT((1-Q836)*($G$7-$E$7)*($G$7-$F$7))))</f>
        <v>0.781451683356544</v>
      </c>
      <c r="D836" s="37" t="n">
        <f aca="false">1+IF($G$8=$E$8,$F$8,IF(R836&lt;($F$8-$E$8)/($G$8-$E$8),$E$8+SQRT(R836*($G$8-$E$8)*($F$8-$E$8)),$G$8-SQRT((1-R836)*($G$8-$E$8)*($G$8-$F$8))))</f>
        <v>1.02606413203912</v>
      </c>
      <c r="E836" s="37" t="n">
        <f aca="false">1+IF($G$9=$E$9,$F$9,IF(S836&lt;($F$9-$E$9)/($G$9-$E$9),$E$9+SQRT(S836*($G$9-$E$9)*($F$9-$E$9)),$G$9-SQRT((1-S836)*($G$9-$E$9)*($G$9-$F$9))))</f>
        <v>0.942201266738631</v>
      </c>
      <c r="F836" s="37" t="n">
        <f aca="false">1+IF($G$10=$E$10,$F$10,IF(T836&lt;($F$10-$E$10)/($G$10-$E$10),$E$10+SQRT(T836*($G$10-$E$10)*($F$10-$E$10)),$G$10-SQRT((1-T836)*($G$10-$E$10)*($G$10-$F$10))))</f>
        <v>1.16837687343563</v>
      </c>
      <c r="G836" s="38" t="n">
        <f aca="false">IF($G$11=$E$11,$F$11,IF(U836&lt;($F$11-$E$11)/($G$11-$E$11),$E$11+SQRT(U836*($G$11-$E$11)*($F$11-$E$11)),$G$11-SQRT((1-U836)*($G$11-$E$11)*($G$11-$F$11))))</f>
        <v>0.0927451076719522</v>
      </c>
      <c r="H836" s="39" t="n">
        <f aca="false">(('Business Case'!B11*$C836*'Business Case'!B12*$B836)-'Business Case'!B11*$C836*'Business Case'!B13*$D836-'Business Case'!B14*$E836)-MAX(0,(('Business Case'!B11*$C836*'Business Case'!B12*$B836)-'Business Case'!B11*$C836*'Business Case'!B13*$D836-'Business Case'!B14*$E836))*'Business Case'!$B$7-'Business Case'!$B$8*('Business Case'!B11*$C836*'Business Case'!B12*$B836)-'Business Case'!B15*$F836</f>
        <v>-2336753746.87126</v>
      </c>
      <c r="I836" s="39" t="n">
        <f aca="false">(('Business Case'!C11*$C836*'Business Case'!C12*$B836)-'Business Case'!C11*$C836*'Business Case'!C13*$D836-'Business Case'!C14*$E836)-MAX(0,(('Business Case'!C11*$C836*'Business Case'!C12*$B836)-'Business Case'!C11*$C836*'Business Case'!C13*$D836-'Business Case'!C14*$E836))*'Business Case'!$B$7-'Business Case'!$B$8*(('Business Case'!C11*$C836*'Business Case'!C12*$B836)-('Business Case'!B11*$C836*'Business Case'!B12*$B836))-'Business Case'!C15*$F836</f>
        <v>-98171355.4964372</v>
      </c>
      <c r="J836" s="39" t="n">
        <f aca="false">(('Business Case'!D11*$C836*'Business Case'!D12*$B836)-'Business Case'!D11*$C836*'Business Case'!D13*$D836-'Business Case'!D14*$E836)-MAX(0,(('Business Case'!D11*$C836*'Business Case'!D12*$B836)-'Business Case'!D11*$C836*'Business Case'!D13*$D836-'Business Case'!D14*$E836))*'Business Case'!$B$7-'Business Case'!$B$8*(('Business Case'!D11*$C836*'Business Case'!D12*$B836)-('Business Case'!C11*$C836*'Business Case'!C12*$B836))-'Business Case'!D15*$F836</f>
        <v>92524294.6254721</v>
      </c>
      <c r="K836" s="39" t="n">
        <f aca="false">(('Business Case'!E11*$C836*'Business Case'!E12*$B836)-'Business Case'!E11*$C836*'Business Case'!E13*$D836-'Business Case'!E14*$E836)-MAX(0,(('Business Case'!E11*$C836*'Business Case'!E12*$B836)-'Business Case'!E11*$C836*'Business Case'!E13*$D836-'Business Case'!E14*$E836))*'Business Case'!$B$7-'Business Case'!$B$8*(('Business Case'!E11*$C836*'Business Case'!E12*$B836)-('Business Case'!D11*$C836*'Business Case'!D12*$B836))-'Business Case'!E15*$F836</f>
        <v>341638788.419163</v>
      </c>
      <c r="L836" s="39" t="n">
        <f aca="false">(('Business Case'!F11*$C836*'Business Case'!F12*$B836)-'Business Case'!F11*$C836*'Business Case'!F13*$D836-'Business Case'!F14*$E836)-MAX(0,(('Business Case'!F11*$C836*'Business Case'!F12*$B836)-'Business Case'!F11*$C836*'Business Case'!F13*$D836-'Business Case'!F14*$E836))*'Business Case'!$B$7-'Business Case'!$B$8*(('Business Case'!F11*$C836*'Business Case'!F12*$B836)-('Business Case'!E11*$C836*'Business Case'!E12*$B836))-'Business Case'!F15*$F836</f>
        <v>430569537.222833</v>
      </c>
      <c r="M836" s="39" t="n">
        <f aca="false">(('Business Case'!G11*$C836*'Business Case'!G12*$B836)-'Business Case'!G11*$C836*'Business Case'!G13*$D836-'Business Case'!G14*$E836)-MAX(0,(('Business Case'!G11*$C836*'Business Case'!G12*$B836)-'Business Case'!G11*$C836*'Business Case'!G13*$D836-'Business Case'!G14*$E836))*'Business Case'!$B$7-'Business Case'!$B$8*(('Business Case'!G11*$C836*'Business Case'!G12*$B836)-('Business Case'!F11*$C836*'Business Case'!F12*$B836))-'Business Case'!G15*$F836+'Business Case'!$B$8*('Business Case'!G11*$C836*'Business Case'!G12*$B836)</f>
        <v>570079963.752849</v>
      </c>
      <c r="N836" s="39" t="n">
        <f aca="false">IF(COUNT('Business Case'!B11:G11)=0,"",H836+NPV(G836,I836:M836))</f>
        <v>-1419428102.51945</v>
      </c>
      <c r="P836" s="40" t="n">
        <f aca="true">RAND()</f>
        <v>0.102556049932956</v>
      </c>
      <c r="Q836" s="40" t="n">
        <f aca="true">RAND()</f>
        <v>0.04914353127122</v>
      </c>
      <c r="R836" s="40" t="n">
        <f aca="true">RAND()</f>
        <v>0.635565828591465</v>
      </c>
      <c r="S836" s="40" t="n">
        <f aca="true">RAND()</f>
        <v>0.0712378765738043</v>
      </c>
      <c r="T836" s="40" t="n">
        <f aca="true">RAND()</f>
        <v>0.911168869464761</v>
      </c>
      <c r="U836" s="40" t="n">
        <f aca="true">RAND()</f>
        <v>0.162437769569654</v>
      </c>
    </row>
    <row r="837" customFormat="false" ht="15" hidden="false" customHeight="false" outlineLevel="0" collapsed="false">
      <c r="A837" s="36" t="n">
        <v>757</v>
      </c>
      <c r="B837" s="37" t="n">
        <f aca="false">1+IF($G$6=$E$6,$F$6,IF(P837&lt;($F$6-$E$6)/($G$6-$E$6),$E$6+SQRT(P837*($G$6-$E$6)*($F$6-$E$6)),$G$6-SQRT((1-P837)*($G$6-$E$6)*($G$6-$F$6))))</f>
        <v>0.967427079034606</v>
      </c>
      <c r="C837" s="37" t="n">
        <f aca="false">1+IF($G$7=$E$7,$F$7,IF(Q837&lt;($F$7-$E$7)/($G$7-$E$7),$E$7+SQRT(Q837*($G$7-$E$7)*($F$7-$E$7)),$G$7-SQRT((1-Q837)*($G$7-$E$7)*($G$7-$F$7))))</f>
        <v>0.892279567910016</v>
      </c>
      <c r="D837" s="37" t="n">
        <f aca="false">1+IF($G$8=$E$8,$F$8,IF(R837&lt;($F$8-$E$8)/($G$8-$E$8),$E$8+SQRT(R837*($G$8-$E$8)*($F$8-$E$8)),$G$8-SQRT((1-R837)*($G$8-$E$8)*($G$8-$F$8))))</f>
        <v>1.08594773170054</v>
      </c>
      <c r="E837" s="37" t="n">
        <f aca="false">1+IF($G$9=$E$9,$F$9,IF(S837&lt;($F$9-$E$9)/($G$9-$E$9),$E$9+SQRT(S837*($G$9-$E$9)*($F$9-$E$9)),$G$9-SQRT((1-S837)*($G$9-$E$9)*($G$9-$F$9))))</f>
        <v>1.00696565602226</v>
      </c>
      <c r="F837" s="37" t="n">
        <f aca="false">1+IF($G$10=$E$10,$F$10,IF(T837&lt;($F$10-$E$10)/($G$10-$E$10),$E$10+SQRT(T837*($G$10-$E$10)*($F$10-$E$10)),$G$10-SQRT((1-T837)*($G$10-$E$10)*($G$10-$F$10))))</f>
        <v>0.983114378652003</v>
      </c>
      <c r="G837" s="38" t="n">
        <f aca="false">IF($G$11=$E$11,$F$11,IF(U837&lt;($F$11-$E$11)/($G$11-$E$11),$E$11+SQRT(U837*($G$11-$E$11)*($F$11-$E$11)),$G$11-SQRT((1-U837)*($G$11-$E$11)*($G$11-$F$11))))</f>
        <v>0.109347393680222</v>
      </c>
      <c r="H837" s="39" t="n">
        <f aca="false">(('Business Case'!B11*$C837*'Business Case'!B12*$B837)-'Business Case'!B11*$C837*'Business Case'!B13*$D837-'Business Case'!B14*$E837)-MAX(0,(('Business Case'!B11*$C837*'Business Case'!B12*$B837)-'Business Case'!B11*$C837*'Business Case'!B13*$D837-'Business Case'!B14*$E837))*'Business Case'!$B$7-'Business Case'!$B$8*('Business Case'!B11*$C837*'Business Case'!B12*$B837)-'Business Case'!B15*$F837</f>
        <v>-1966228757.30401</v>
      </c>
      <c r="I837" s="39" t="n">
        <f aca="false">(('Business Case'!C11*$C837*'Business Case'!C12*$B837)-'Business Case'!C11*$C837*'Business Case'!C13*$D837-'Business Case'!C14*$E837)-MAX(0,(('Business Case'!C11*$C837*'Business Case'!C12*$B837)-'Business Case'!C11*$C837*'Business Case'!C13*$D837-'Business Case'!C14*$E837))*'Business Case'!$B$7-'Business Case'!$B$8*(('Business Case'!C11*$C837*'Business Case'!C12*$B837)-('Business Case'!B11*$C837*'Business Case'!B12*$B837))-'Business Case'!C15*$F837</f>
        <v>-75250060.6161008</v>
      </c>
      <c r="J837" s="39" t="n">
        <f aca="false">(('Business Case'!D11*$C837*'Business Case'!D12*$B837)-'Business Case'!D11*$C837*'Business Case'!D13*$D837-'Business Case'!D14*$E837)-MAX(0,(('Business Case'!D11*$C837*'Business Case'!D12*$B837)-'Business Case'!D11*$C837*'Business Case'!D13*$D837-'Business Case'!D14*$E837))*'Business Case'!$B$7-'Business Case'!$B$8*(('Business Case'!D11*$C837*'Business Case'!D12*$B837)-('Business Case'!C11*$C837*'Business Case'!C12*$B837))-'Business Case'!D15*$F837</f>
        <v>135750920.088197</v>
      </c>
      <c r="K837" s="39" t="n">
        <f aca="false">(('Business Case'!E11*$C837*'Business Case'!E12*$B837)-'Business Case'!E11*$C837*'Business Case'!E13*$D837-'Business Case'!E14*$E837)-MAX(0,(('Business Case'!E11*$C837*'Business Case'!E12*$B837)-'Business Case'!E11*$C837*'Business Case'!E13*$D837-'Business Case'!E14*$E837))*'Business Case'!$B$7-'Business Case'!$B$8*(('Business Case'!E11*$C837*'Business Case'!E12*$B837)-('Business Case'!D11*$C837*'Business Case'!D12*$B837))-'Business Case'!E15*$F837</f>
        <v>395907619.725095</v>
      </c>
      <c r="L837" s="39" t="n">
        <f aca="false">(('Business Case'!F11*$C837*'Business Case'!F12*$B837)-'Business Case'!F11*$C837*'Business Case'!F13*$D837-'Business Case'!F14*$E837)-MAX(0,(('Business Case'!F11*$C837*'Business Case'!F12*$B837)-'Business Case'!F11*$C837*'Business Case'!F13*$D837-'Business Case'!F14*$E837))*'Business Case'!$B$7-'Business Case'!$B$8*(('Business Case'!F11*$C837*'Business Case'!F12*$B837)-('Business Case'!E11*$C837*'Business Case'!E12*$B837))-'Business Case'!F15*$F837</f>
        <v>496074004.739082</v>
      </c>
      <c r="M837" s="39" t="n">
        <f aca="false">(('Business Case'!G11*$C837*'Business Case'!G12*$B837)-'Business Case'!G11*$C837*'Business Case'!G13*$D837-'Business Case'!G14*$E837)-MAX(0,(('Business Case'!G11*$C837*'Business Case'!G12*$B837)-'Business Case'!G11*$C837*'Business Case'!G13*$D837-'Business Case'!G14*$E837))*'Business Case'!$B$7-'Business Case'!$B$8*(('Business Case'!G11*$C837*'Business Case'!G12*$B837)-('Business Case'!F11*$C837*'Business Case'!F12*$B837))-'Business Case'!G15*$F837+'Business Case'!$B$8*('Business Case'!G11*$C837*'Business Case'!G12*$B837)</f>
        <v>660153991.024802</v>
      </c>
      <c r="N837" s="39" t="n">
        <f aca="false">IF(COUNT('Business Case'!B11:G11)=0,"",H837+NPV(G837,I837:M837))</f>
        <v>-913285981.407216</v>
      </c>
      <c r="P837" s="40" t="n">
        <f aca="true">RAND()</f>
        <v>0.303094065809267</v>
      </c>
      <c r="Q837" s="40" t="n">
        <f aca="true">RAND()</f>
        <v>0.273862461004906</v>
      </c>
      <c r="R837" s="40" t="n">
        <f aca="true">RAND()</f>
        <v>0.986835583709333</v>
      </c>
      <c r="S837" s="40" t="n">
        <f aca="true">RAND()</f>
        <v>0.45443137180952</v>
      </c>
      <c r="T837" s="40" t="n">
        <f aca="true">RAND()</f>
        <v>0.0731041382338827</v>
      </c>
      <c r="U837" s="40" t="n">
        <f aca="true">RAND()</f>
        <v>0.715646568133512</v>
      </c>
    </row>
    <row r="838" customFormat="false" ht="15" hidden="false" customHeight="false" outlineLevel="0" collapsed="false">
      <c r="A838" s="36" t="n">
        <v>758</v>
      </c>
      <c r="B838" s="37" t="n">
        <f aca="false">1+IF($G$6=$E$6,$F$6,IF(P838&lt;($F$6-$E$6)/($G$6-$E$6),$E$6+SQRT(P838*($G$6-$E$6)*($F$6-$E$6)),$G$6-SQRT((1-P838)*($G$6-$E$6)*($G$6-$F$6))))</f>
        <v>0.934300532770006</v>
      </c>
      <c r="C838" s="37" t="n">
        <f aca="false">1+IF($G$7=$E$7,$F$7,IF(Q838&lt;($F$7-$E$7)/($G$7-$E$7),$E$7+SQRT(Q838*($G$7-$E$7)*($F$7-$E$7)),$G$7-SQRT((1-Q838)*($G$7-$E$7)*($G$7-$F$7))))</f>
        <v>0.881361789456594</v>
      </c>
      <c r="D838" s="37" t="n">
        <f aca="false">1+IF($G$8=$E$8,$F$8,IF(R838&lt;($F$8-$E$8)/($G$8-$E$8),$E$8+SQRT(R838*($G$8-$E$8)*($F$8-$E$8)),$G$8-SQRT((1-R838)*($G$8-$E$8)*($G$8-$F$8))))</f>
        <v>0.988575434869394</v>
      </c>
      <c r="E838" s="37" t="n">
        <f aca="false">1+IF($G$9=$E$9,$F$9,IF(S838&lt;($F$9-$E$9)/($G$9-$E$9),$E$9+SQRT(S838*($G$9-$E$9)*($F$9-$E$9)),$G$9-SQRT((1-S838)*($G$9-$E$9)*($G$9-$F$9))))</f>
        <v>1.00898087658441</v>
      </c>
      <c r="F838" s="37" t="n">
        <f aca="false">1+IF($G$10=$E$10,$F$10,IF(T838&lt;($F$10-$E$10)/($G$10-$E$10),$E$10+SQRT(T838*($G$10-$E$10)*($F$10-$E$10)),$G$10-SQRT((1-T838)*($G$10-$E$10)*($G$10-$F$10))))</f>
        <v>1.13177624229247</v>
      </c>
      <c r="G838" s="38" t="n">
        <f aca="false">IF($G$11=$E$11,$F$11,IF(U838&lt;($F$11-$E$11)/($G$11-$E$11),$E$11+SQRT(U838*($G$11-$E$11)*($F$11-$E$11)),$G$11-SQRT((1-U838)*($G$11-$E$11)*($G$11-$F$11))))</f>
        <v>0.108991331073856</v>
      </c>
      <c r="H838" s="39" t="n">
        <f aca="false">(('Business Case'!B11*$C838*'Business Case'!B12*$B838)-'Business Case'!B11*$C838*'Business Case'!B13*$D838-'Business Case'!B14*$E838)-MAX(0,(('Business Case'!B11*$C838*'Business Case'!B12*$B838)-'Business Case'!B11*$C838*'Business Case'!B13*$D838-'Business Case'!B14*$E838))*'Business Case'!$B$7-'Business Case'!$B$8*('Business Case'!B11*$C838*'Business Case'!B12*$B838)-'Business Case'!B15*$F838</f>
        <v>-2263552484.58495</v>
      </c>
      <c r="I838" s="39" t="n">
        <f aca="false">(('Business Case'!C11*$C838*'Business Case'!C12*$B838)-'Business Case'!C11*$C838*'Business Case'!C13*$D838-'Business Case'!C14*$E838)-MAX(0,(('Business Case'!C11*$C838*'Business Case'!C12*$B838)-'Business Case'!C11*$C838*'Business Case'!C13*$D838-'Business Case'!C14*$E838))*'Business Case'!$B$7-'Business Case'!$B$8*(('Business Case'!C11*$C838*'Business Case'!C12*$B838)-('Business Case'!B11*$C838*'Business Case'!B12*$B838))-'Business Case'!C15*$F838</f>
        <v>-70904420.5013792</v>
      </c>
      <c r="J838" s="39" t="n">
        <f aca="false">(('Business Case'!D11*$C838*'Business Case'!D12*$B838)-'Business Case'!D11*$C838*'Business Case'!D13*$D838-'Business Case'!D14*$E838)-MAX(0,(('Business Case'!D11*$C838*'Business Case'!D12*$B838)-'Business Case'!D11*$C838*'Business Case'!D13*$D838-'Business Case'!D14*$E838))*'Business Case'!$B$7-'Business Case'!$B$8*(('Business Case'!D11*$C838*'Business Case'!D12*$B838)-('Business Case'!C11*$C838*'Business Case'!C12*$B838))-'Business Case'!D15*$F838</f>
        <v>157533863.842006</v>
      </c>
      <c r="K838" s="39" t="n">
        <f aca="false">(('Business Case'!E11*$C838*'Business Case'!E12*$B838)-'Business Case'!E11*$C838*'Business Case'!E13*$D838-'Business Case'!E14*$E838)-MAX(0,(('Business Case'!E11*$C838*'Business Case'!E12*$B838)-'Business Case'!E11*$C838*'Business Case'!E13*$D838-'Business Case'!E14*$E838))*'Business Case'!$B$7-'Business Case'!$B$8*(('Business Case'!E11*$C838*'Business Case'!E12*$B838)-('Business Case'!D11*$C838*'Business Case'!D12*$B838))-'Business Case'!E15*$F838</f>
        <v>442560960.300015</v>
      </c>
      <c r="L838" s="39" t="n">
        <f aca="false">(('Business Case'!F11*$C838*'Business Case'!F12*$B838)-'Business Case'!F11*$C838*'Business Case'!F13*$D838-'Business Case'!F14*$E838)-MAX(0,(('Business Case'!F11*$C838*'Business Case'!F12*$B838)-'Business Case'!F11*$C838*'Business Case'!F13*$D838-'Business Case'!F14*$E838))*'Business Case'!$B$7-'Business Case'!$B$8*(('Business Case'!F11*$C838*'Business Case'!F12*$B838)-('Business Case'!E11*$C838*'Business Case'!E12*$B838))-'Business Case'!F15*$F838</f>
        <v>547165721.72462</v>
      </c>
      <c r="M838" s="39" t="n">
        <f aca="false">(('Business Case'!G11*$C838*'Business Case'!G12*$B838)-'Business Case'!G11*$C838*'Business Case'!G13*$D838-'Business Case'!G14*$E838)-MAX(0,(('Business Case'!G11*$C838*'Business Case'!G12*$B838)-'Business Case'!G11*$C838*'Business Case'!G13*$D838-'Business Case'!G14*$E838))*'Business Case'!$B$7-'Business Case'!$B$8*(('Business Case'!G11*$C838*'Business Case'!G12*$B838)-('Business Case'!F11*$C838*'Business Case'!F12*$B838))-'Business Case'!G15*$F838+'Business Case'!$B$8*('Business Case'!G11*$C838*'Business Case'!G12*$B838)</f>
        <v>703688388.263736</v>
      </c>
      <c r="N838" s="39" t="n">
        <f aca="false">IF(COUNT('Business Case'!B11:G11)=0,"",H838+NPV(G838,I838:M838))</f>
        <v>-1093661682.83576</v>
      </c>
      <c r="P838" s="40" t="n">
        <f aca="true">RAND()</f>
        <v>0.0784351032204163</v>
      </c>
      <c r="Q838" s="40" t="n">
        <f aca="true">RAND()</f>
        <v>0.243645175369615</v>
      </c>
      <c r="R838" s="40" t="n">
        <f aca="true">RAND()</f>
        <v>0.198408556715044</v>
      </c>
      <c r="S838" s="40" t="n">
        <f aca="true">RAND()</f>
        <v>0.469696182162664</v>
      </c>
      <c r="T838" s="40" t="n">
        <f aca="true">RAND()</f>
        <v>0.813641908180163</v>
      </c>
      <c r="U838" s="40" t="n">
        <f aca="true">RAND()</f>
        <v>0.705757219967794</v>
      </c>
    </row>
    <row r="839" customFormat="false" ht="15" hidden="false" customHeight="false" outlineLevel="0" collapsed="false">
      <c r="A839" s="36" t="n">
        <v>759</v>
      </c>
      <c r="B839" s="37" t="n">
        <f aca="false">1+IF($G$6=$E$6,$F$6,IF(P839&lt;($F$6-$E$6)/($G$6-$E$6),$E$6+SQRT(P839*($G$6-$E$6)*($F$6-$E$6)),$G$6-SQRT((1-P839)*($G$6-$E$6)*($G$6-$F$6))))</f>
        <v>1.02627956213858</v>
      </c>
      <c r="C839" s="37" t="n">
        <f aca="false">1+IF($G$7=$E$7,$F$7,IF(Q839&lt;($F$7-$E$7)/($G$7-$E$7),$E$7+SQRT(Q839*($G$7-$E$7)*($F$7-$E$7)),$G$7-SQRT((1-Q839)*($G$7-$E$7)*($G$7-$F$7))))</f>
        <v>0.854407356762428</v>
      </c>
      <c r="D839" s="37" t="n">
        <f aca="false">1+IF($G$8=$E$8,$F$8,IF(R839&lt;($F$8-$E$8)/($G$8-$E$8),$E$8+SQRT(R839*($G$8-$E$8)*($F$8-$E$8)),$G$8-SQRT((1-R839)*($G$8-$E$8)*($G$8-$F$8))))</f>
        <v>1.07032482104027</v>
      </c>
      <c r="E839" s="37" t="n">
        <f aca="false">1+IF($G$9=$E$9,$F$9,IF(S839&lt;($F$9-$E$9)/($G$9-$E$9),$E$9+SQRT(S839*($G$9-$E$9)*($F$9-$E$9)),$G$9-SQRT((1-S839)*($G$9-$E$9)*($G$9-$F$9))))</f>
        <v>1.00233096665491</v>
      </c>
      <c r="F839" s="37" t="n">
        <f aca="false">1+IF($G$10=$E$10,$F$10,IF(T839&lt;($F$10-$E$10)/($G$10-$E$10),$E$10+SQRT(T839*($G$10-$E$10)*($F$10-$E$10)),$G$10-SQRT((1-T839)*($G$10-$E$10)*($G$10-$F$10))))</f>
        <v>1.09506921887752</v>
      </c>
      <c r="G839" s="38" t="n">
        <f aca="false">IF($G$11=$E$11,$F$11,IF(U839&lt;($F$11-$E$11)/($G$11-$E$11),$E$11+SQRT(U839*($G$11-$E$11)*($F$11-$E$11)),$G$11-SQRT((1-U839)*($G$11-$E$11)*($G$11-$F$11))))</f>
        <v>0.101605969807108</v>
      </c>
      <c r="H839" s="39" t="n">
        <f aca="false">(('Business Case'!B11*$C839*'Business Case'!B12*$B839)-'Business Case'!B11*$C839*'Business Case'!B13*$D839-'Business Case'!B14*$E839)-MAX(0,(('Business Case'!B11*$C839*'Business Case'!B12*$B839)-'Business Case'!B11*$C839*'Business Case'!B13*$D839-'Business Case'!B14*$E839))*'Business Case'!$B$7-'Business Case'!$B$8*('Business Case'!B11*$C839*'Business Case'!B12*$B839)-'Business Case'!B15*$F839</f>
        <v>-2190138437.75505</v>
      </c>
      <c r="I839" s="39" t="n">
        <f aca="false">(('Business Case'!C11*$C839*'Business Case'!C12*$B839)-'Business Case'!C11*$C839*'Business Case'!C13*$D839-'Business Case'!C14*$E839)-MAX(0,(('Business Case'!C11*$C839*'Business Case'!C12*$B839)-'Business Case'!C11*$C839*'Business Case'!C13*$D839-'Business Case'!C14*$E839))*'Business Case'!$B$7-'Business Case'!$B$8*(('Business Case'!C11*$C839*'Business Case'!C12*$B839)-('Business Case'!B11*$C839*'Business Case'!B12*$B839))-'Business Case'!C15*$F839</f>
        <v>-47430175.866956</v>
      </c>
      <c r="J839" s="39" t="n">
        <f aca="false">(('Business Case'!D11*$C839*'Business Case'!D12*$B839)-'Business Case'!D11*$C839*'Business Case'!D13*$D839-'Business Case'!D14*$E839)-MAX(0,(('Business Case'!D11*$C839*'Business Case'!D12*$B839)-'Business Case'!D11*$C839*'Business Case'!D13*$D839-'Business Case'!D14*$E839))*'Business Case'!$B$7-'Business Case'!$B$8*(('Business Case'!D11*$C839*'Business Case'!D12*$B839)-('Business Case'!C11*$C839*'Business Case'!C12*$B839))-'Business Case'!D15*$F839</f>
        <v>202634497.898169</v>
      </c>
      <c r="K839" s="39" t="n">
        <f aca="false">(('Business Case'!E11*$C839*'Business Case'!E12*$B839)-'Business Case'!E11*$C839*'Business Case'!E13*$D839-'Business Case'!E14*$E839)-MAX(0,(('Business Case'!E11*$C839*'Business Case'!E12*$B839)-'Business Case'!E11*$C839*'Business Case'!E13*$D839-'Business Case'!E14*$E839))*'Business Case'!$B$7-'Business Case'!$B$8*(('Business Case'!E11*$C839*'Business Case'!E12*$B839)-('Business Case'!D11*$C839*'Business Case'!D12*$B839))-'Business Case'!E15*$F839</f>
        <v>507452632.60717</v>
      </c>
      <c r="L839" s="39" t="n">
        <f aca="false">(('Business Case'!F11*$C839*'Business Case'!F12*$B839)-'Business Case'!F11*$C839*'Business Case'!F13*$D839-'Business Case'!F14*$E839)-MAX(0,(('Business Case'!F11*$C839*'Business Case'!F12*$B839)-'Business Case'!F11*$C839*'Business Case'!F13*$D839-'Business Case'!F14*$E839))*'Business Case'!$B$7-'Business Case'!$B$8*(('Business Case'!F11*$C839*'Business Case'!F12*$B839)-('Business Case'!E11*$C839*'Business Case'!E12*$B839))-'Business Case'!F15*$F839</f>
        <v>621111833.386212</v>
      </c>
      <c r="M839" s="39" t="n">
        <f aca="false">(('Business Case'!G11*$C839*'Business Case'!G12*$B839)-'Business Case'!G11*$C839*'Business Case'!G13*$D839-'Business Case'!G14*$E839)-MAX(0,(('Business Case'!G11*$C839*'Business Case'!G12*$B839)-'Business Case'!G11*$C839*'Business Case'!G13*$D839-'Business Case'!G14*$E839))*'Business Case'!$B$7-'Business Case'!$B$8*(('Business Case'!G11*$C839*'Business Case'!G12*$B839)-('Business Case'!F11*$C839*'Business Case'!F12*$B839))-'Business Case'!G15*$F839+'Business Case'!$B$8*('Business Case'!G11*$C839*'Business Case'!G12*$B839)</f>
        <v>787785535.768215</v>
      </c>
      <c r="N839" s="39" t="n">
        <f aca="false">IF(COUNT('Business Case'!B11:G11)=0,"",H839+NPV(G839,I839:M839))</f>
        <v>-779266664.549596</v>
      </c>
      <c r="P839" s="40" t="n">
        <f aca="true">RAND()</f>
        <v>0.92497877702165</v>
      </c>
      <c r="Q839" s="40" t="n">
        <f aca="true">RAND()</f>
        <v>0.176604680165628</v>
      </c>
      <c r="R839" s="40" t="n">
        <f aca="true">RAND()</f>
        <v>0.941292250247185</v>
      </c>
      <c r="S839" s="40" t="n">
        <f aca="true">RAND()</f>
        <v>0.418502842424703</v>
      </c>
      <c r="T839" s="40" t="n">
        <f aca="true">RAND()</f>
        <v>0.679952707477053</v>
      </c>
      <c r="U839" s="40" t="n">
        <f aca="true">RAND()</f>
        <v>0.462519366270089</v>
      </c>
    </row>
    <row r="840" customFormat="false" ht="15" hidden="false" customHeight="false" outlineLevel="0" collapsed="false">
      <c r="A840" s="36" t="n">
        <v>760</v>
      </c>
      <c r="B840" s="37" t="n">
        <f aca="false">1+IF($G$6=$E$6,$F$6,IF(P840&lt;($F$6-$E$6)/($G$6-$E$6),$E$6+SQRT(P840*($G$6-$E$6)*($F$6-$E$6)),$G$6-SQRT((1-P840)*($G$6-$E$6)*($G$6-$F$6))))</f>
        <v>1.00796139782776</v>
      </c>
      <c r="C840" s="37" t="n">
        <f aca="false">1+IF($G$7=$E$7,$F$7,IF(Q840&lt;($F$7-$E$7)/($G$7-$E$7),$E$7+SQRT(Q840*($G$7-$E$7)*($F$7-$E$7)),$G$7-SQRT((1-Q840)*($G$7-$E$7)*($G$7-$F$7))))</f>
        <v>1.00098264447773</v>
      </c>
      <c r="D840" s="37" t="n">
        <f aca="false">1+IF($G$8=$E$8,$F$8,IF(R840&lt;($F$8-$E$8)/($G$8-$E$8),$E$8+SQRT(R840*($G$8-$E$8)*($F$8-$E$8)),$G$8-SQRT((1-R840)*($G$8-$E$8)*($G$8-$F$8))))</f>
        <v>0.984973663975282</v>
      </c>
      <c r="E840" s="37" t="n">
        <f aca="false">1+IF($G$9=$E$9,$F$9,IF(S840&lt;($F$9-$E$9)/($G$9-$E$9),$E$9+SQRT(S840*($G$9-$E$9)*($F$9-$E$9)),$G$9-SQRT((1-S840)*($G$9-$E$9)*($G$9-$F$9))))</f>
        <v>1.02984838505369</v>
      </c>
      <c r="F840" s="37" t="n">
        <f aca="false">1+IF($G$10=$E$10,$F$10,IF(T840&lt;($F$10-$E$10)/($G$10-$E$10),$E$10+SQRT(T840*($G$10-$E$10)*($F$10-$E$10)),$G$10-SQRT((1-T840)*($G$10-$E$10)*($G$10-$F$10))))</f>
        <v>1.00633106288697</v>
      </c>
      <c r="G840" s="38" t="n">
        <f aca="false">IF($G$11=$E$11,$F$11,IF(U840&lt;($F$11-$E$11)/($G$11-$E$11),$E$11+SQRT(U840*($G$11-$E$11)*($F$11-$E$11)),$G$11-SQRT((1-U840)*($G$11-$E$11)*($G$11-$F$11))))</f>
        <v>0.0940937821257911</v>
      </c>
      <c r="H840" s="39" t="n">
        <f aca="false">(('Business Case'!B11*$C840*'Business Case'!B12*$B840)-'Business Case'!B11*$C840*'Business Case'!B13*$D840-'Business Case'!B14*$E840)-MAX(0,(('Business Case'!B11*$C840*'Business Case'!B12*$B840)-'Business Case'!B11*$C840*'Business Case'!B13*$D840-'Business Case'!B14*$E840))*'Business Case'!$B$7-'Business Case'!$B$8*('Business Case'!B11*$C840*'Business Case'!B12*$B840)-'Business Case'!B15*$F840</f>
        <v>-2012662125.77395</v>
      </c>
      <c r="I840" s="39" t="n">
        <f aca="false">(('Business Case'!C11*$C840*'Business Case'!C12*$B840)-'Business Case'!C11*$C840*'Business Case'!C13*$D840-'Business Case'!C14*$E840)-MAX(0,(('Business Case'!C11*$C840*'Business Case'!C12*$B840)-'Business Case'!C11*$C840*'Business Case'!C13*$D840-'Business Case'!C14*$E840))*'Business Case'!$B$7-'Business Case'!$B$8*(('Business Case'!C11*$C840*'Business Case'!C12*$B840)-('Business Case'!B11*$C840*'Business Case'!B12*$B840))-'Business Case'!C15*$F840</f>
        <v>22299416.4053952</v>
      </c>
      <c r="J840" s="39" t="n">
        <f aca="false">(('Business Case'!D11*$C840*'Business Case'!D12*$B840)-'Business Case'!D11*$C840*'Business Case'!D13*$D840-'Business Case'!D14*$E840)-MAX(0,(('Business Case'!D11*$C840*'Business Case'!D12*$B840)-'Business Case'!D11*$C840*'Business Case'!D13*$D840-'Business Case'!D14*$E840))*'Business Case'!$B$7-'Business Case'!$B$8*(('Business Case'!D11*$C840*'Business Case'!D12*$B840)-('Business Case'!C11*$C840*'Business Case'!C12*$B840))-'Business Case'!D15*$F840</f>
        <v>343980444.163151</v>
      </c>
      <c r="K840" s="39" t="n">
        <f aca="false">(('Business Case'!E11*$C840*'Business Case'!E12*$B840)-'Business Case'!E11*$C840*'Business Case'!E13*$D840-'Business Case'!E14*$E840)-MAX(0,(('Business Case'!E11*$C840*'Business Case'!E12*$B840)-'Business Case'!E11*$C840*'Business Case'!E13*$D840-'Business Case'!E14*$E840))*'Business Case'!$B$7-'Business Case'!$B$8*(('Business Case'!E11*$C840*'Business Case'!E12*$B840)-('Business Case'!D11*$C840*'Business Case'!D12*$B840))-'Business Case'!E15*$F840</f>
        <v>715978025.065255</v>
      </c>
      <c r="L840" s="39" t="n">
        <f aca="false">(('Business Case'!F11*$C840*'Business Case'!F12*$B840)-'Business Case'!F11*$C840*'Business Case'!F13*$D840-'Business Case'!F14*$E840)-MAX(0,(('Business Case'!F11*$C840*'Business Case'!F12*$B840)-'Business Case'!F11*$C840*'Business Case'!F13*$D840-'Business Case'!F14*$E840))*'Business Case'!$B$7-'Business Case'!$B$8*(('Business Case'!F11*$C840*'Business Case'!F12*$B840)-('Business Case'!E11*$C840*'Business Case'!E12*$B840))-'Business Case'!F15*$F840</f>
        <v>858074410.790527</v>
      </c>
      <c r="M840" s="39" t="n">
        <f aca="false">(('Business Case'!G11*$C840*'Business Case'!G12*$B840)-'Business Case'!G11*$C840*'Business Case'!G13*$D840-'Business Case'!G14*$E840)-MAX(0,(('Business Case'!G11*$C840*'Business Case'!G12*$B840)-'Business Case'!G11*$C840*'Business Case'!G13*$D840-'Business Case'!G14*$E840))*'Business Case'!$B$7-'Business Case'!$B$8*(('Business Case'!G11*$C840*'Business Case'!G12*$B840)-('Business Case'!F11*$C840*'Business Case'!F12*$B840))-'Business Case'!G15*$F840+'Business Case'!$B$8*('Business Case'!G11*$C840*'Business Case'!G12*$B840)</f>
        <v>1049855981.3903</v>
      </c>
      <c r="N840" s="39" t="n">
        <f aca="false">IF(COUNT('Business Case'!B11:G11)=0,"",H840+NPV(G840,I840:M840))</f>
        <v>110260456.592208</v>
      </c>
      <c r="P840" s="40" t="n">
        <f aca="true">RAND()</f>
        <v>0.764367456987261</v>
      </c>
      <c r="Q840" s="40" t="n">
        <f aca="true">RAND()</f>
        <v>0.671019670417025</v>
      </c>
      <c r="R840" s="40" t="n">
        <f aca="true">RAND()</f>
        <v>0.163087622914121</v>
      </c>
      <c r="S840" s="40" t="n">
        <f aca="true">RAND()</f>
        <v>0.615029051354494</v>
      </c>
      <c r="T840" s="40" t="n">
        <f aca="true">RAND()</f>
        <v>0.208339321149438</v>
      </c>
      <c r="U840" s="40" t="n">
        <f aca="true">RAND()</f>
        <v>0.198634694609269</v>
      </c>
    </row>
    <row r="841" customFormat="false" ht="15" hidden="false" customHeight="false" outlineLevel="0" collapsed="false">
      <c r="A841" s="36" t="n">
        <v>761</v>
      </c>
      <c r="B841" s="37" t="n">
        <f aca="false">1+IF($G$6=$E$6,$F$6,IF(P841&lt;($F$6-$E$6)/($G$6-$E$6),$E$6+SQRT(P841*($G$6-$E$6)*($F$6-$E$6)),$G$6-SQRT((1-P841)*($G$6-$E$6)*($G$6-$F$6))))</f>
        <v>0.941290515109323</v>
      </c>
      <c r="C841" s="37" t="n">
        <f aca="false">1+IF($G$7=$E$7,$F$7,IF(Q841&lt;($F$7-$E$7)/($G$7-$E$7),$E$7+SQRT(Q841*($G$7-$E$7)*($F$7-$E$7)),$G$7-SQRT((1-Q841)*($G$7-$E$7)*($G$7-$F$7))))</f>
        <v>0.999630382044934</v>
      </c>
      <c r="D841" s="37" t="n">
        <f aca="false">1+IF($G$8=$E$8,$F$8,IF(R841&lt;($F$8-$E$8)/($G$8-$E$8),$E$8+SQRT(R841*($G$8-$E$8)*($F$8-$E$8)),$G$8-SQRT((1-R841)*($G$8-$E$8)*($G$8-$F$8))))</f>
        <v>0.982724680991558</v>
      </c>
      <c r="E841" s="37" t="n">
        <f aca="false">1+IF($G$9=$E$9,$F$9,IF(S841&lt;($F$9-$E$9)/($G$9-$E$9),$E$9+SQRT(S841*($G$9-$E$9)*($F$9-$E$9)),$G$9-SQRT((1-S841)*($G$9-$E$9)*($G$9-$F$9))))</f>
        <v>1.0981594548241</v>
      </c>
      <c r="F841" s="37" t="n">
        <f aca="false">1+IF($G$10=$E$10,$F$10,IF(T841&lt;($F$10-$E$10)/($G$10-$E$10),$E$10+SQRT(T841*($G$10-$E$10)*($F$10-$E$10)),$G$10-SQRT((1-T841)*($G$10-$E$10)*($G$10-$F$10))))</f>
        <v>1.00670597725861</v>
      </c>
      <c r="G841" s="38" t="n">
        <f aca="false">IF($G$11=$E$11,$F$11,IF(U841&lt;($F$11-$E$11)/($G$11-$E$11),$E$11+SQRT(U841*($G$11-$E$11)*($F$11-$E$11)),$G$11-SQRT((1-U841)*($G$11-$E$11)*($G$11-$F$11))))</f>
        <v>0.102010133047372</v>
      </c>
      <c r="H841" s="39" t="n">
        <f aca="false">(('Business Case'!B11*$C841*'Business Case'!B12*$B841)-'Business Case'!B11*$C841*'Business Case'!B13*$D841-'Business Case'!B14*$E841)-MAX(0,(('Business Case'!B11*$C841*'Business Case'!B12*$B841)-'Business Case'!B11*$C841*'Business Case'!B13*$D841-'Business Case'!B14*$E841))*'Business Case'!$B$7-'Business Case'!$B$8*('Business Case'!B11*$C841*'Business Case'!B12*$B841)-'Business Case'!B15*$F841</f>
        <v>-2013411954.51722</v>
      </c>
      <c r="I841" s="39" t="n">
        <f aca="false">(('Business Case'!C11*$C841*'Business Case'!C12*$B841)-'Business Case'!C11*$C841*'Business Case'!C13*$D841-'Business Case'!C14*$E841)-MAX(0,(('Business Case'!C11*$C841*'Business Case'!C12*$B841)-'Business Case'!C11*$C841*'Business Case'!C13*$D841-'Business Case'!C14*$E841))*'Business Case'!$B$7-'Business Case'!$B$8*(('Business Case'!C11*$C841*'Business Case'!C12*$B841)-('Business Case'!B11*$C841*'Business Case'!B12*$B841))-'Business Case'!C15*$F841</f>
        <v>-37798074.0568871</v>
      </c>
      <c r="J841" s="39" t="n">
        <f aca="false">(('Business Case'!D11*$C841*'Business Case'!D12*$B841)-'Business Case'!D11*$C841*'Business Case'!D13*$D841-'Business Case'!D14*$E841)-MAX(0,(('Business Case'!D11*$C841*'Business Case'!D12*$B841)-'Business Case'!D11*$C841*'Business Case'!D13*$D841-'Business Case'!D14*$E841))*'Business Case'!$B$7-'Business Case'!$B$8*(('Business Case'!D11*$C841*'Business Case'!D12*$B841)-('Business Case'!C11*$C841*'Business Case'!C12*$B841))-'Business Case'!D15*$F841</f>
        <v>230011188.328685</v>
      </c>
      <c r="K841" s="39" t="n">
        <f aca="false">(('Business Case'!E11*$C841*'Business Case'!E12*$B841)-'Business Case'!E11*$C841*'Business Case'!E13*$D841-'Business Case'!E14*$E841)-MAX(0,(('Business Case'!E11*$C841*'Business Case'!E12*$B841)-'Business Case'!E11*$C841*'Business Case'!E13*$D841-'Business Case'!E14*$E841))*'Business Case'!$B$7-'Business Case'!$B$8*(('Business Case'!E11*$C841*'Business Case'!E12*$B841)-('Business Case'!D11*$C841*'Business Case'!D12*$B841))-'Business Case'!E15*$F841</f>
        <v>548155749.577188</v>
      </c>
      <c r="L841" s="39" t="n">
        <f aca="false">(('Business Case'!F11*$C841*'Business Case'!F12*$B841)-'Business Case'!F11*$C841*'Business Case'!F13*$D841-'Business Case'!F14*$E841)-MAX(0,(('Business Case'!F11*$C841*'Business Case'!F12*$B841)-'Business Case'!F11*$C841*'Business Case'!F13*$D841-'Business Case'!F14*$E841))*'Business Case'!$B$7-'Business Case'!$B$8*(('Business Case'!F11*$C841*'Business Case'!F12*$B841)-('Business Case'!E11*$C841*'Business Case'!E12*$B841))-'Business Case'!F15*$F841</f>
        <v>669944479.866119</v>
      </c>
      <c r="M841" s="39" t="n">
        <f aca="false">(('Business Case'!G11*$C841*'Business Case'!G12*$B841)-'Business Case'!G11*$C841*'Business Case'!G13*$D841-'Business Case'!G14*$E841)-MAX(0,(('Business Case'!G11*$C841*'Business Case'!G12*$B841)-'Business Case'!G11*$C841*'Business Case'!G13*$D841-'Business Case'!G14*$E841))*'Business Case'!$B$7-'Business Case'!$B$8*(('Business Case'!G11*$C841*'Business Case'!G12*$B841)-('Business Case'!F11*$C841*'Business Case'!F12*$B841))-'Business Case'!G15*$F841+'Business Case'!$B$8*('Business Case'!G11*$C841*'Business Case'!G12*$B841)</f>
        <v>848798848.748359</v>
      </c>
      <c r="N841" s="39" t="n">
        <f aca="false">IF(COUNT('Business Case'!B11:G11)=0,"",H841+NPV(G841,I841:M841))</f>
        <v>-472224465.88498</v>
      </c>
      <c r="P841" s="40" t="n">
        <f aca="true">RAND()</f>
        <v>0.113660442532882</v>
      </c>
      <c r="Q841" s="40" t="n">
        <f aca="true">RAND()</f>
        <v>0.665024932180691</v>
      </c>
      <c r="R841" s="40" t="n">
        <f aca="true">RAND()</f>
        <v>0.142787299466564</v>
      </c>
      <c r="S841" s="40" t="n">
        <f aca="true">RAND()</f>
        <v>0.928334876689758</v>
      </c>
      <c r="T841" s="40" t="n">
        <f aca="true">RAND()</f>
        <v>0.210773579977479</v>
      </c>
      <c r="U841" s="40" t="n">
        <f aca="true">RAND()</f>
        <v>0.477711565316106</v>
      </c>
    </row>
    <row r="842" customFormat="false" ht="15" hidden="false" customHeight="false" outlineLevel="0" collapsed="false">
      <c r="A842" s="36" t="n">
        <v>762</v>
      </c>
      <c r="B842" s="37" t="n">
        <f aca="false">1+IF($G$6=$E$6,$F$6,IF(P842&lt;($F$6-$E$6)/($G$6-$E$6),$E$6+SQRT(P842*($G$6-$E$6)*($F$6-$E$6)),$G$6-SQRT((1-P842)*($G$6-$E$6)*($G$6-$F$6))))</f>
        <v>0.967605238153437</v>
      </c>
      <c r="C842" s="37" t="n">
        <f aca="false">1+IF($G$7=$E$7,$F$7,IF(Q842&lt;($F$7-$E$7)/($G$7-$E$7),$E$7+SQRT(Q842*($G$7-$E$7)*($F$7-$E$7)),$G$7-SQRT((1-Q842)*($G$7-$E$7)*($G$7-$F$7))))</f>
        <v>0.982977197747345</v>
      </c>
      <c r="D842" s="37" t="n">
        <f aca="false">1+IF($G$8=$E$8,$F$8,IF(R842&lt;($F$8-$E$8)/($G$8-$E$8),$E$8+SQRT(R842*($G$8-$E$8)*($F$8-$E$8)),$G$8-SQRT((1-R842)*($G$8-$E$8)*($G$8-$F$8))))</f>
        <v>0.961798927725416</v>
      </c>
      <c r="E842" s="37" t="n">
        <f aca="false">1+IF($G$9=$E$9,$F$9,IF(S842&lt;($F$9-$E$9)/($G$9-$E$9),$E$9+SQRT(S842*($G$9-$E$9)*($F$9-$E$9)),$G$9-SQRT((1-S842)*($G$9-$E$9)*($G$9-$F$9))))</f>
        <v>1.00610989300284</v>
      </c>
      <c r="F842" s="37" t="n">
        <f aca="false">1+IF($G$10=$E$10,$F$10,IF(T842&lt;($F$10-$E$10)/($G$10-$E$10),$E$10+SQRT(T842*($G$10-$E$10)*($F$10-$E$10)),$G$10-SQRT((1-T842)*($G$10-$E$10)*($G$10-$F$10))))</f>
        <v>1.03166839419446</v>
      </c>
      <c r="G842" s="38" t="n">
        <f aca="false">IF($G$11=$E$11,$F$11,IF(U842&lt;($F$11-$E$11)/($G$11-$E$11),$E$11+SQRT(U842*($G$11-$E$11)*($F$11-$E$11)),$G$11-SQRT((1-U842)*($G$11-$E$11)*($G$11-$F$11))))</f>
        <v>0.109787889499817</v>
      </c>
      <c r="H842" s="39" t="n">
        <f aca="false">(('Business Case'!B11*$C842*'Business Case'!B12*$B842)-'Business Case'!B11*$C842*'Business Case'!B13*$D842-'Business Case'!B14*$E842)-MAX(0,(('Business Case'!B11*$C842*'Business Case'!B12*$B842)-'Business Case'!B11*$C842*'Business Case'!B13*$D842-'Business Case'!B14*$E842))*'Business Case'!$B$7-'Business Case'!$B$8*('Business Case'!B11*$C842*'Business Case'!B12*$B842)-'Business Case'!B15*$F842</f>
        <v>-2063336788.38892</v>
      </c>
      <c r="I842" s="39" t="n">
        <f aca="false">(('Business Case'!C11*$C842*'Business Case'!C12*$B842)-'Business Case'!C11*$C842*'Business Case'!C13*$D842-'Business Case'!C14*$E842)-MAX(0,(('Business Case'!C11*$C842*'Business Case'!C12*$B842)-'Business Case'!C11*$C842*'Business Case'!C13*$D842-'Business Case'!C14*$E842))*'Business Case'!$B$7-'Business Case'!$B$8*(('Business Case'!C11*$C842*'Business Case'!C12*$B842)-('Business Case'!B11*$C842*'Business Case'!B12*$B842))-'Business Case'!C15*$F842</f>
        <v>-478003.194828853</v>
      </c>
      <c r="J842" s="39" t="n">
        <f aca="false">(('Business Case'!D11*$C842*'Business Case'!D12*$B842)-'Business Case'!D11*$C842*'Business Case'!D13*$D842-'Business Case'!D14*$E842)-MAX(0,(('Business Case'!D11*$C842*'Business Case'!D12*$B842)-'Business Case'!D11*$C842*'Business Case'!D13*$D842-'Business Case'!D14*$E842))*'Business Case'!$B$7-'Business Case'!$B$8*(('Business Case'!D11*$C842*'Business Case'!D12*$B842)-('Business Case'!C11*$C842*'Business Case'!C12*$B842))-'Business Case'!D15*$F842</f>
        <v>294586440.440445</v>
      </c>
      <c r="K842" s="39" t="n">
        <f aca="false">(('Business Case'!E11*$C842*'Business Case'!E12*$B842)-'Business Case'!E11*$C842*'Business Case'!E13*$D842-'Business Case'!E14*$E842)-MAX(0,(('Business Case'!E11*$C842*'Business Case'!E12*$B842)-'Business Case'!E11*$C842*'Business Case'!E13*$D842-'Business Case'!E14*$E842))*'Business Case'!$B$7-'Business Case'!$B$8*(('Business Case'!E11*$C842*'Business Case'!E12*$B842)-('Business Case'!D11*$C842*'Business Case'!D12*$B842))-'Business Case'!E15*$F842</f>
        <v>641234303.785443</v>
      </c>
      <c r="L842" s="39" t="n">
        <f aca="false">(('Business Case'!F11*$C842*'Business Case'!F12*$B842)-'Business Case'!F11*$C842*'Business Case'!F13*$D842-'Business Case'!F14*$E842)-MAX(0,(('Business Case'!F11*$C842*'Business Case'!F12*$B842)-'Business Case'!F11*$C842*'Business Case'!F13*$D842-'Business Case'!F14*$E842))*'Business Case'!$B$7-'Business Case'!$B$8*(('Business Case'!F11*$C842*'Business Case'!F12*$B842)-('Business Case'!E11*$C842*'Business Case'!E12*$B842))-'Business Case'!F15*$F842</f>
        <v>772460305.414303</v>
      </c>
      <c r="M842" s="39" t="n">
        <f aca="false">(('Business Case'!G11*$C842*'Business Case'!G12*$B842)-'Business Case'!G11*$C842*'Business Case'!G13*$D842-'Business Case'!G14*$E842)-MAX(0,(('Business Case'!G11*$C842*'Business Case'!G12*$B842)-'Business Case'!G11*$C842*'Business Case'!G13*$D842-'Business Case'!G14*$E842))*'Business Case'!$B$7-'Business Case'!$B$8*(('Business Case'!G11*$C842*'Business Case'!G12*$B842)-('Business Case'!F11*$C842*'Business Case'!F12*$B842))-'Business Case'!G15*$F842+'Business Case'!$B$8*('Business Case'!G11*$C842*'Business Case'!G12*$B842)</f>
        <v>953251834.375031</v>
      </c>
      <c r="N842" s="39" t="n">
        <f aca="false">IF(COUNT('Business Case'!B11:G11)=0,"",H842+NPV(G842,I842:M842))</f>
        <v>-279967210.576291</v>
      </c>
      <c r="P842" s="40" t="n">
        <f aca="true">RAND()</f>
        <v>0.304697881718863</v>
      </c>
      <c r="Q842" s="40" t="n">
        <f aca="true">RAND()</f>
        <v>0.593156255147702</v>
      </c>
      <c r="R842" s="40" t="n">
        <f aca="true">RAND()</f>
        <v>0.0185619593959441</v>
      </c>
      <c r="S842" s="40" t="n">
        <f aca="true">RAND()</f>
        <v>0.447883656222557</v>
      </c>
      <c r="T842" s="40" t="n">
        <f aca="true">RAND()</f>
        <v>0.364417465418324</v>
      </c>
      <c r="U842" s="40" t="n">
        <f aca="true">RAND()</f>
        <v>0.727647059418936</v>
      </c>
    </row>
    <row r="843" customFormat="false" ht="15" hidden="false" customHeight="false" outlineLevel="0" collapsed="false">
      <c r="A843" s="36" t="n">
        <v>763</v>
      </c>
      <c r="B843" s="37" t="n">
        <f aca="false">1+IF($G$6=$E$6,$F$6,IF(P843&lt;($F$6-$E$6)/($G$6-$E$6),$E$6+SQRT(P843*($G$6-$E$6)*($F$6-$E$6)),$G$6-SQRT((1-P843)*($G$6-$E$6)*($G$6-$F$6))))</f>
        <v>0.976004016502806</v>
      </c>
      <c r="C843" s="37" t="n">
        <f aca="false">1+IF($G$7=$E$7,$F$7,IF(Q843&lt;($F$7-$E$7)/($G$7-$E$7),$E$7+SQRT(Q843*($G$7-$E$7)*($F$7-$E$7)),$G$7-SQRT((1-Q843)*($G$7-$E$7)*($G$7-$F$7))))</f>
        <v>0.949463736856877</v>
      </c>
      <c r="D843" s="37" t="n">
        <f aca="false">1+IF($G$8=$E$8,$F$8,IF(R843&lt;($F$8-$E$8)/($G$8-$E$8),$E$8+SQRT(R843*($G$8-$E$8)*($F$8-$E$8)),$G$8-SQRT((1-R843)*($G$8-$E$8)*($G$8-$F$8))))</f>
        <v>0.975875942883643</v>
      </c>
      <c r="E843" s="37" t="n">
        <f aca="false">1+IF($G$9=$E$9,$F$9,IF(S843&lt;($F$9-$E$9)/($G$9-$E$9),$E$9+SQRT(S843*($G$9-$E$9)*($F$9-$E$9)),$G$9-SQRT((1-S843)*($G$9-$E$9)*($G$9-$F$9))))</f>
        <v>1.00140106810366</v>
      </c>
      <c r="F843" s="37" t="n">
        <f aca="false">1+IF($G$10=$E$10,$F$10,IF(T843&lt;($F$10-$E$10)/($G$10-$E$10),$E$10+SQRT(T843*($G$10-$E$10)*($F$10-$E$10)),$G$10-SQRT((1-T843)*($G$10-$E$10)*($G$10-$F$10))))</f>
        <v>0.99706227228012</v>
      </c>
      <c r="G843" s="38" t="n">
        <f aca="false">IF($G$11=$E$11,$F$11,IF(U843&lt;($F$11-$E$11)/($G$11-$E$11),$E$11+SQRT(U843*($G$11-$E$11)*($F$11-$E$11)),$G$11-SQRT((1-U843)*($G$11-$E$11)*($G$11-$F$11))))</f>
        <v>0.110489729175953</v>
      </c>
      <c r="H843" s="39" t="n">
        <f aca="false">(('Business Case'!B11*$C843*'Business Case'!B12*$B843)-'Business Case'!B11*$C843*'Business Case'!B13*$D843-'Business Case'!B14*$E843)-MAX(0,(('Business Case'!B11*$C843*'Business Case'!B12*$B843)-'Business Case'!B11*$C843*'Business Case'!B13*$D843-'Business Case'!B14*$E843))*'Business Case'!$B$7-'Business Case'!$B$8*('Business Case'!B11*$C843*'Business Case'!B12*$B843)-'Business Case'!B15*$F843</f>
        <v>-1994124544.56024</v>
      </c>
      <c r="I843" s="39" t="n">
        <f aca="false">(('Business Case'!C11*$C843*'Business Case'!C12*$B843)-'Business Case'!C11*$C843*'Business Case'!C13*$D843-'Business Case'!C14*$E843)-MAX(0,(('Business Case'!C11*$C843*'Business Case'!C12*$B843)-'Business Case'!C11*$C843*'Business Case'!C13*$D843-'Business Case'!C14*$E843))*'Business Case'!$B$7-'Business Case'!$B$8*(('Business Case'!C11*$C843*'Business Case'!C12*$B843)-('Business Case'!B11*$C843*'Business Case'!B12*$B843))-'Business Case'!C15*$F843</f>
        <v>-5450577.42809011</v>
      </c>
      <c r="J843" s="39" t="n">
        <f aca="false">(('Business Case'!D11*$C843*'Business Case'!D12*$B843)-'Business Case'!D11*$C843*'Business Case'!D13*$D843-'Business Case'!D14*$E843)-MAX(0,(('Business Case'!D11*$C843*'Business Case'!D12*$B843)-'Business Case'!D11*$C843*'Business Case'!D13*$D843-'Business Case'!D14*$E843))*'Business Case'!$B$7-'Business Case'!$B$8*(('Business Case'!D11*$C843*'Business Case'!D12*$B843)-('Business Case'!C11*$C843*'Business Case'!C12*$B843))-'Business Case'!D15*$F843</f>
        <v>279243417.265056</v>
      </c>
      <c r="K843" s="39" t="n">
        <f aca="false">(('Business Case'!E11*$C843*'Business Case'!E12*$B843)-'Business Case'!E11*$C843*'Business Case'!E13*$D843-'Business Case'!E14*$E843)-MAX(0,(('Business Case'!E11*$C843*'Business Case'!E12*$B843)-'Business Case'!E11*$C843*'Business Case'!E13*$D843-'Business Case'!E14*$E843))*'Business Case'!$B$7-'Business Case'!$B$8*(('Business Case'!E11*$C843*'Business Case'!E12*$B843)-('Business Case'!D11*$C843*'Business Case'!D12*$B843))-'Business Case'!E15*$F843</f>
        <v>613790525.572208</v>
      </c>
      <c r="L843" s="39" t="n">
        <f aca="false">(('Business Case'!F11*$C843*'Business Case'!F12*$B843)-'Business Case'!F11*$C843*'Business Case'!F13*$D843-'Business Case'!F14*$E843)-MAX(0,(('Business Case'!F11*$C843*'Business Case'!F12*$B843)-'Business Case'!F11*$C843*'Business Case'!F13*$D843-'Business Case'!F14*$E843))*'Business Case'!$B$7-'Business Case'!$B$8*(('Business Case'!F11*$C843*'Business Case'!F12*$B843)-('Business Case'!E11*$C843*'Business Case'!E12*$B843))-'Business Case'!F15*$F843</f>
        <v>740714599.142513</v>
      </c>
      <c r="M843" s="39" t="n">
        <f aca="false">(('Business Case'!G11*$C843*'Business Case'!G12*$B843)-'Business Case'!G11*$C843*'Business Case'!G13*$D843-'Business Case'!G14*$E843)-MAX(0,(('Business Case'!G11*$C843*'Business Case'!G12*$B843)-'Business Case'!G11*$C843*'Business Case'!G13*$D843-'Business Case'!G14*$E843))*'Business Case'!$B$7-'Business Case'!$B$8*(('Business Case'!G11*$C843*'Business Case'!G12*$B843)-('Business Case'!F11*$C843*'Business Case'!F12*$B843))-'Business Case'!G15*$F843+'Business Case'!$B$8*('Business Case'!G11*$C843*'Business Case'!G12*$B843)</f>
        <v>916858013.508423</v>
      </c>
      <c r="N843" s="39" t="n">
        <f aca="false">IF(COUNT('Business Case'!B11:G11)=0,"",H843+NPV(G843,I843:M843))</f>
        <v>-294404207.984946</v>
      </c>
      <c r="P843" s="40" t="n">
        <f aca="true">RAND()</f>
        <v>0.385107368303916</v>
      </c>
      <c r="Q843" s="40" t="n">
        <f aca="true">RAND()</f>
        <v>0.4609789333822</v>
      </c>
      <c r="R843" s="40" t="n">
        <f aca="true">RAND()</f>
        <v>0.0892752560156721</v>
      </c>
      <c r="S843" s="40" t="n">
        <f aca="true">RAND()</f>
        <v>0.411156198380412</v>
      </c>
      <c r="T843" s="40" t="n">
        <f aca="true">RAND()</f>
        <v>0.147657164811209</v>
      </c>
      <c r="U843" s="40" t="n">
        <f aca="true">RAND()</f>
        <v>0.74623288824823</v>
      </c>
    </row>
    <row r="844" customFormat="false" ht="15" hidden="false" customHeight="false" outlineLevel="0" collapsed="false">
      <c r="A844" s="36" t="n">
        <v>764</v>
      </c>
      <c r="B844" s="37" t="n">
        <f aca="false">1+IF($G$6=$E$6,$F$6,IF(P844&lt;($F$6-$E$6)/($G$6-$E$6),$E$6+SQRT(P844*($G$6-$E$6)*($F$6-$E$6)),$G$6-SQRT((1-P844)*($G$6-$E$6)*($G$6-$F$6))))</f>
        <v>0.945919557692299</v>
      </c>
      <c r="C844" s="37" t="n">
        <f aca="false">1+IF($G$7=$E$7,$F$7,IF(Q844&lt;($F$7-$E$7)/($G$7-$E$7),$E$7+SQRT(Q844*($G$7-$E$7)*($F$7-$E$7)),$G$7-SQRT((1-Q844)*($G$7-$E$7)*($G$7-$F$7))))</f>
        <v>0.955874715269833</v>
      </c>
      <c r="D844" s="37" t="n">
        <f aca="false">1+IF($G$8=$E$8,$F$8,IF(R844&lt;($F$8-$E$8)/($G$8-$E$8),$E$8+SQRT(R844*($G$8-$E$8)*($F$8-$E$8)),$G$8-SQRT((1-R844)*($G$8-$E$8)*($G$8-$F$8))))</f>
        <v>1.00040583129387</v>
      </c>
      <c r="E844" s="37" t="n">
        <f aca="false">1+IF($G$9=$E$9,$F$9,IF(S844&lt;($F$9-$E$9)/($G$9-$E$9),$E$9+SQRT(S844*($G$9-$E$9)*($F$9-$E$9)),$G$9-SQRT((1-S844)*($G$9-$E$9)*($G$9-$F$9))))</f>
        <v>0.930675012291737</v>
      </c>
      <c r="F844" s="37" t="n">
        <f aca="false">1+IF($G$10=$E$10,$F$10,IF(T844&lt;($F$10-$E$10)/($G$10-$E$10),$E$10+SQRT(T844*($G$10-$E$10)*($F$10-$E$10)),$G$10-SQRT((1-T844)*($G$10-$E$10)*($G$10-$F$10))))</f>
        <v>1.22974377776785</v>
      </c>
      <c r="G844" s="38" t="n">
        <f aca="false">IF($G$11=$E$11,$F$11,IF(U844&lt;($F$11-$E$11)/($G$11-$E$11),$E$11+SQRT(U844*($G$11-$E$11)*($F$11-$E$11)),$G$11-SQRT((1-U844)*($G$11-$E$11)*($G$11-$F$11))))</f>
        <v>0.103185679909415</v>
      </c>
      <c r="H844" s="39" t="n">
        <f aca="false">(('Business Case'!B11*$C844*'Business Case'!B12*$B844)-'Business Case'!B11*$C844*'Business Case'!B13*$D844-'Business Case'!B14*$E844)-MAX(0,(('Business Case'!B11*$C844*'Business Case'!B12*$B844)-'Business Case'!B11*$C844*'Business Case'!B13*$D844-'Business Case'!B14*$E844))*'Business Case'!$B$7-'Business Case'!$B$8*('Business Case'!B11*$C844*'Business Case'!B12*$B844)-'Business Case'!B15*$F844</f>
        <v>-2459487555.53571</v>
      </c>
      <c r="I844" s="39" t="n">
        <f aca="false">(('Business Case'!C11*$C844*'Business Case'!C12*$B844)-'Business Case'!C11*$C844*'Business Case'!C13*$D844-'Business Case'!C14*$E844)-MAX(0,(('Business Case'!C11*$C844*'Business Case'!C12*$B844)-'Business Case'!C11*$C844*'Business Case'!C13*$D844-'Business Case'!C14*$E844))*'Business Case'!$B$7-'Business Case'!$B$8*(('Business Case'!C11*$C844*'Business Case'!C12*$B844)-('Business Case'!B11*$C844*'Business Case'!B12*$B844))-'Business Case'!C15*$F844</f>
        <v>-51130053.9561279</v>
      </c>
      <c r="J844" s="39" t="n">
        <f aca="false">(('Business Case'!D11*$C844*'Business Case'!D12*$B844)-'Business Case'!D11*$C844*'Business Case'!D13*$D844-'Business Case'!D14*$E844)-MAX(0,(('Business Case'!D11*$C844*'Business Case'!D12*$B844)-'Business Case'!D11*$C844*'Business Case'!D13*$D844-'Business Case'!D14*$E844))*'Business Case'!$B$7-'Business Case'!$B$8*(('Business Case'!D11*$C844*'Business Case'!D12*$B844)-('Business Case'!C11*$C844*'Business Case'!C12*$B844))-'Business Case'!D15*$F844</f>
        <v>199928978.287974</v>
      </c>
      <c r="K844" s="39" t="n">
        <f aca="false">(('Business Case'!E11*$C844*'Business Case'!E12*$B844)-'Business Case'!E11*$C844*'Business Case'!E13*$D844-'Business Case'!E14*$E844)-MAX(0,(('Business Case'!E11*$C844*'Business Case'!E12*$B844)-'Business Case'!E11*$C844*'Business Case'!E13*$D844-'Business Case'!E14*$E844))*'Business Case'!$B$7-'Business Case'!$B$8*(('Business Case'!E11*$C844*'Business Case'!E12*$B844)-('Business Case'!D11*$C844*'Business Case'!D12*$B844))-'Business Case'!E15*$F844</f>
        <v>512475199.420467</v>
      </c>
      <c r="L844" s="39" t="n">
        <f aca="false">(('Business Case'!F11*$C844*'Business Case'!F12*$B844)-'Business Case'!F11*$C844*'Business Case'!F13*$D844-'Business Case'!F14*$E844)-MAX(0,(('Business Case'!F11*$C844*'Business Case'!F12*$B844)-'Business Case'!F11*$C844*'Business Case'!F13*$D844-'Business Case'!F14*$E844))*'Business Case'!$B$7-'Business Case'!$B$8*(('Business Case'!F11*$C844*'Business Case'!F12*$B844)-('Business Case'!E11*$C844*'Business Case'!E12*$B844))-'Business Case'!F15*$F844</f>
        <v>627410024.618874</v>
      </c>
      <c r="M844" s="39" t="n">
        <f aca="false">(('Business Case'!G11*$C844*'Business Case'!G12*$B844)-'Business Case'!G11*$C844*'Business Case'!G13*$D844-'Business Case'!G14*$E844)-MAX(0,(('Business Case'!G11*$C844*'Business Case'!G12*$B844)-'Business Case'!G11*$C844*'Business Case'!G13*$D844-'Business Case'!G14*$E844))*'Business Case'!$B$7-'Business Case'!$B$8*(('Business Case'!G11*$C844*'Business Case'!G12*$B844)-('Business Case'!F11*$C844*'Business Case'!F12*$B844))-'Business Case'!G15*$F844+'Business Case'!$B$8*('Business Case'!G11*$C844*'Business Case'!G12*$B844)</f>
        <v>799276670.76259</v>
      </c>
      <c r="N844" s="39" t="n">
        <f aca="false">IF(COUNT('Business Case'!B11:G11)=0,"",H844+NPV(G844,I844:M844))</f>
        <v>-1047088745.36847</v>
      </c>
      <c r="P844" s="40" t="n">
        <f aca="true">RAND()</f>
        <v>0.140573718577094</v>
      </c>
      <c r="Q844" s="40" t="n">
        <f aca="true">RAND()</f>
        <v>0.484976814180874</v>
      </c>
      <c r="R844" s="40" t="n">
        <f aca="true">RAND()</f>
        <v>0.33873343731561</v>
      </c>
      <c r="S844" s="40" t="n">
        <f aca="true">RAND()</f>
        <v>0.0376382551639278</v>
      </c>
      <c r="T844" s="40" t="n">
        <f aca="true">RAND()</f>
        <v>0.994529139478426</v>
      </c>
      <c r="U844" s="40" t="n">
        <f aca="true">RAND()</f>
        <v>0.520661492053088</v>
      </c>
    </row>
    <row r="845" customFormat="false" ht="15" hidden="false" customHeight="false" outlineLevel="0" collapsed="false">
      <c r="A845" s="36" t="n">
        <v>765</v>
      </c>
      <c r="B845" s="37" t="n">
        <f aca="false">1+IF($G$6=$E$6,$F$6,IF(P845&lt;($F$6-$E$6)/($G$6-$E$6),$E$6+SQRT(P845*($G$6-$E$6)*($F$6-$E$6)),$G$6-SQRT((1-P845)*($G$6-$E$6)*($G$6-$F$6))))</f>
        <v>0.960527525017663</v>
      </c>
      <c r="C845" s="37" t="n">
        <f aca="false">1+IF($G$7=$E$7,$F$7,IF(Q845&lt;($F$7-$E$7)/($G$7-$E$7),$E$7+SQRT(Q845*($G$7-$E$7)*($F$7-$E$7)),$G$7-SQRT((1-Q845)*($G$7-$E$7)*($G$7-$F$7))))</f>
        <v>1.02966885756289</v>
      </c>
      <c r="D845" s="37" t="n">
        <f aca="false">1+IF($G$8=$E$8,$F$8,IF(R845&lt;($F$8-$E$8)/($G$8-$E$8),$E$8+SQRT(R845*($G$8-$E$8)*($F$8-$E$8)),$G$8-SQRT((1-R845)*($G$8-$E$8)*($G$8-$F$8))))</f>
        <v>0.982596078434631</v>
      </c>
      <c r="E845" s="37" t="n">
        <f aca="false">1+IF($G$9=$E$9,$F$9,IF(S845&lt;($F$9-$E$9)/($G$9-$E$9),$E$9+SQRT(S845*($G$9-$E$9)*($F$9-$E$9)),$G$9-SQRT((1-S845)*($G$9-$E$9)*($G$9-$F$9))))</f>
        <v>1.09214670044673</v>
      </c>
      <c r="F845" s="37" t="n">
        <f aca="false">1+IF($G$10=$E$10,$F$10,IF(T845&lt;($F$10-$E$10)/($G$10-$E$10),$E$10+SQRT(T845*($G$10-$E$10)*($F$10-$E$10)),$G$10-SQRT((1-T845)*($G$10-$E$10)*($G$10-$F$10))))</f>
        <v>1.07180039732016</v>
      </c>
      <c r="G845" s="38" t="n">
        <f aca="false">IF($G$11=$E$11,$F$11,IF(U845&lt;($F$11-$E$11)/($G$11-$E$11),$E$11+SQRT(U845*($G$11-$E$11)*($F$11-$E$11)),$G$11-SQRT((1-U845)*($G$11-$E$11)*($G$11-$F$11))))</f>
        <v>0.0819898202808898</v>
      </c>
      <c r="H845" s="39" t="n">
        <f aca="false">(('Business Case'!B11*$C845*'Business Case'!B12*$B845)-'Business Case'!B11*$C845*'Business Case'!B13*$D845-'Business Case'!B14*$E845)-MAX(0,(('Business Case'!B11*$C845*'Business Case'!B12*$B845)-'Business Case'!B11*$C845*'Business Case'!B13*$D845-'Business Case'!B14*$E845))*'Business Case'!$B$7-'Business Case'!$B$8*('Business Case'!B11*$C845*'Business Case'!B12*$B845)-'Business Case'!B15*$F845</f>
        <v>-2143600794.64032</v>
      </c>
      <c r="I845" s="39" t="n">
        <f aca="false">(('Business Case'!C11*$C845*'Business Case'!C12*$B845)-'Business Case'!C11*$C845*'Business Case'!C13*$D845-'Business Case'!C14*$E845)-MAX(0,(('Business Case'!C11*$C845*'Business Case'!C12*$B845)-'Business Case'!C11*$C845*'Business Case'!C13*$D845-'Business Case'!C14*$E845))*'Business Case'!$B$7-'Business Case'!$B$8*(('Business Case'!C11*$C845*'Business Case'!C12*$B845)-('Business Case'!B11*$C845*'Business Case'!B12*$B845))-'Business Case'!C15*$F845</f>
        <v>-21605791.2705138</v>
      </c>
      <c r="J845" s="39" t="n">
        <f aca="false">(('Business Case'!D11*$C845*'Business Case'!D12*$B845)-'Business Case'!D11*$C845*'Business Case'!D13*$D845-'Business Case'!D14*$E845)-MAX(0,(('Business Case'!D11*$C845*'Business Case'!D12*$B845)-'Business Case'!D11*$C845*'Business Case'!D13*$D845-'Business Case'!D14*$E845))*'Business Case'!$B$7-'Business Case'!$B$8*(('Business Case'!D11*$C845*'Business Case'!D12*$B845)-('Business Case'!C11*$C845*'Business Case'!C12*$B845))-'Business Case'!D15*$F845</f>
        <v>270542788.475637</v>
      </c>
      <c r="K845" s="39" t="n">
        <f aca="false">(('Business Case'!E11*$C845*'Business Case'!E12*$B845)-'Business Case'!E11*$C845*'Business Case'!E13*$D845-'Business Case'!E14*$E845)-MAX(0,(('Business Case'!E11*$C845*'Business Case'!E12*$B845)-'Business Case'!E11*$C845*'Business Case'!E13*$D845-'Business Case'!E14*$E845))*'Business Case'!$B$7-'Business Case'!$B$8*(('Business Case'!E11*$C845*'Business Case'!E12*$B845)-('Business Case'!D11*$C845*'Business Case'!D12*$B845))-'Business Case'!E15*$F845</f>
        <v>616281388.087795</v>
      </c>
      <c r="L845" s="39" t="n">
        <f aca="false">(('Business Case'!F11*$C845*'Business Case'!F12*$B845)-'Business Case'!F11*$C845*'Business Case'!F13*$D845-'Business Case'!F14*$E845)-MAX(0,(('Business Case'!F11*$C845*'Business Case'!F12*$B845)-'Business Case'!F11*$C845*'Business Case'!F13*$D845-'Business Case'!F14*$E845))*'Business Case'!$B$7-'Business Case'!$B$8*(('Business Case'!F11*$C845*'Business Case'!F12*$B845)-('Business Case'!E11*$C845*'Business Case'!E12*$B845))-'Business Case'!F15*$F845</f>
        <v>747844961.65726</v>
      </c>
      <c r="M845" s="39" t="n">
        <f aca="false">(('Business Case'!G11*$C845*'Business Case'!G12*$B845)-'Business Case'!G11*$C845*'Business Case'!G13*$D845-'Business Case'!G14*$E845)-MAX(0,(('Business Case'!G11*$C845*'Business Case'!G12*$B845)-'Business Case'!G11*$C845*'Business Case'!G13*$D845-'Business Case'!G14*$E845))*'Business Case'!$B$7-'Business Case'!$B$8*(('Business Case'!G11*$C845*'Business Case'!G12*$B845)-('Business Case'!F11*$C845*'Business Case'!F12*$B845))-'Business Case'!G15*$F845+'Business Case'!$B$8*('Business Case'!G11*$C845*'Business Case'!G12*$B845)</f>
        <v>935838886.75471</v>
      </c>
      <c r="N845" s="39" t="n">
        <f aca="false">IF(COUNT('Business Case'!B11:G11)=0,"",H845+NPV(G845,I845:M845))</f>
        <v>-269207893.941269</v>
      </c>
      <c r="P845" s="40" t="n">
        <f aca="true">RAND()</f>
        <v>0.244238752317589</v>
      </c>
      <c r="Q845" s="40" t="n">
        <f aca="true">RAND()</f>
        <v>0.785487646811548</v>
      </c>
      <c r="R845" s="40" t="n">
        <f aca="true">RAND()</f>
        <v>0.141667243908885</v>
      </c>
      <c r="S845" s="40" t="n">
        <f aca="true">RAND()</f>
        <v>0.910746552821337</v>
      </c>
      <c r="T845" s="40" t="n">
        <f aca="true">RAND()</f>
        <v>0.576598688063294</v>
      </c>
      <c r="U845" s="40" t="n">
        <f aca="true">RAND()</f>
        <v>0.00395938475024029</v>
      </c>
    </row>
    <row r="846" customFormat="false" ht="15" hidden="false" customHeight="false" outlineLevel="0" collapsed="false">
      <c r="A846" s="36" t="n">
        <v>766</v>
      </c>
      <c r="B846" s="37" t="n">
        <f aca="false">1+IF($G$6=$E$6,$F$6,IF(P846&lt;($F$6-$E$6)/($G$6-$E$6),$E$6+SQRT(P846*($G$6-$E$6)*($F$6-$E$6)),$G$6-SQRT((1-P846)*($G$6-$E$6)*($G$6-$F$6))))</f>
        <v>0.954119534821858</v>
      </c>
      <c r="C846" s="37" t="n">
        <f aca="false">1+IF($G$7=$E$7,$F$7,IF(Q846&lt;($F$7-$E$7)/($G$7-$E$7),$E$7+SQRT(Q846*($G$7-$E$7)*($F$7-$E$7)),$G$7-SQRT((1-Q846)*($G$7-$E$7)*($G$7-$F$7))))</f>
        <v>0.941794807285236</v>
      </c>
      <c r="D846" s="37" t="n">
        <f aca="false">1+IF($G$8=$E$8,$F$8,IF(R846&lt;($F$8-$E$8)/($G$8-$E$8),$E$8+SQRT(R846*($G$8-$E$8)*($F$8-$E$8)),$G$8-SQRT((1-R846)*($G$8-$E$8)*($G$8-$F$8))))</f>
        <v>1.03158010872119</v>
      </c>
      <c r="E846" s="37" t="n">
        <f aca="false">1+IF($G$9=$E$9,$F$9,IF(S846&lt;($F$9-$E$9)/($G$9-$E$9),$E$9+SQRT(S846*($G$9-$E$9)*($F$9-$E$9)),$G$9-SQRT((1-S846)*($G$9-$E$9)*($G$9-$F$9))))</f>
        <v>1.06207398364809</v>
      </c>
      <c r="F846" s="37" t="n">
        <f aca="false">1+IF($G$10=$E$10,$F$10,IF(T846&lt;($F$10-$E$10)/($G$10-$E$10),$E$10+SQRT(T846*($G$10-$E$10)*($F$10-$E$10)),$G$10-SQRT((1-T846)*($G$10-$E$10)*($G$10-$F$10))))</f>
        <v>1.07701901932659</v>
      </c>
      <c r="G846" s="38" t="n">
        <f aca="false">IF($G$11=$E$11,$F$11,IF(U846&lt;($F$11-$E$11)/($G$11-$E$11),$E$11+SQRT(U846*($G$11-$E$11)*($F$11-$E$11)),$G$11-SQRT((1-U846)*($G$11-$E$11)*($G$11-$F$11))))</f>
        <v>0.101403202500713</v>
      </c>
      <c r="H846" s="39" t="n">
        <f aca="false">(('Business Case'!B11*$C846*'Business Case'!B12*$B846)-'Business Case'!B11*$C846*'Business Case'!B13*$D846-'Business Case'!B14*$E846)-MAX(0,(('Business Case'!B11*$C846*'Business Case'!B12*$B846)-'Business Case'!B11*$C846*'Business Case'!B13*$D846-'Business Case'!B14*$E846))*'Business Case'!$B$7-'Business Case'!$B$8*('Business Case'!B11*$C846*'Business Case'!B12*$B846)-'Business Case'!B15*$F846</f>
        <v>-2154038038.65318</v>
      </c>
      <c r="I846" s="39" t="n">
        <f aca="false">(('Business Case'!C11*$C846*'Business Case'!C12*$B846)-'Business Case'!C11*$C846*'Business Case'!C13*$D846-'Business Case'!C14*$E846)-MAX(0,(('Business Case'!C11*$C846*'Business Case'!C12*$B846)-'Business Case'!C11*$C846*'Business Case'!C13*$D846-'Business Case'!C14*$E846))*'Business Case'!$B$7-'Business Case'!$B$8*(('Business Case'!C11*$C846*'Business Case'!C12*$B846)-('Business Case'!B11*$C846*'Business Case'!B12*$B846))-'Business Case'!C15*$F846</f>
        <v>-66654904.5410029</v>
      </c>
      <c r="J846" s="39" t="n">
        <f aca="false">(('Business Case'!D11*$C846*'Business Case'!D12*$B846)-'Business Case'!D11*$C846*'Business Case'!D13*$D846-'Business Case'!D14*$E846)-MAX(0,(('Business Case'!D11*$C846*'Business Case'!D12*$B846)-'Business Case'!D11*$C846*'Business Case'!D13*$D846-'Business Case'!D14*$E846))*'Business Case'!$B$7-'Business Case'!$B$8*(('Business Case'!D11*$C846*'Business Case'!D12*$B846)-('Business Case'!C11*$C846*'Business Case'!C12*$B846))-'Business Case'!D15*$F846</f>
        <v>172001650.571745</v>
      </c>
      <c r="K846" s="39" t="n">
        <f aca="false">(('Business Case'!E11*$C846*'Business Case'!E12*$B846)-'Business Case'!E11*$C846*'Business Case'!E13*$D846-'Business Case'!E14*$E846)-MAX(0,(('Business Case'!E11*$C846*'Business Case'!E12*$B846)-'Business Case'!E11*$C846*'Business Case'!E13*$D846-'Business Case'!E14*$E846))*'Business Case'!$B$7-'Business Case'!$B$8*(('Business Case'!E11*$C846*'Business Case'!E12*$B846)-('Business Case'!D11*$C846*'Business Case'!D12*$B846))-'Business Case'!E15*$F846</f>
        <v>464509156.650822</v>
      </c>
      <c r="L846" s="39" t="n">
        <f aca="false">(('Business Case'!F11*$C846*'Business Case'!F12*$B846)-'Business Case'!F11*$C846*'Business Case'!F13*$D846-'Business Case'!F14*$E846)-MAX(0,(('Business Case'!F11*$C846*'Business Case'!F12*$B846)-'Business Case'!F11*$C846*'Business Case'!F13*$D846-'Business Case'!F14*$E846))*'Business Case'!$B$7-'Business Case'!$B$8*(('Business Case'!F11*$C846*'Business Case'!F12*$B846)-('Business Case'!E11*$C846*'Business Case'!E12*$B846))-'Business Case'!F15*$F846</f>
        <v>575116433.185959</v>
      </c>
      <c r="M846" s="39" t="n">
        <f aca="false">(('Business Case'!G11*$C846*'Business Case'!G12*$B846)-'Business Case'!G11*$C846*'Business Case'!G13*$D846-'Business Case'!G14*$E846)-MAX(0,(('Business Case'!G11*$C846*'Business Case'!G12*$B846)-'Business Case'!G11*$C846*'Business Case'!G13*$D846-'Business Case'!G14*$E846))*'Business Case'!$B$7-'Business Case'!$B$8*(('Business Case'!G11*$C846*'Business Case'!G12*$B846)-('Business Case'!F11*$C846*'Business Case'!F12*$B846))-'Business Case'!G15*$F846+'Business Case'!$B$8*('Business Case'!G11*$C846*'Business Case'!G12*$B846)</f>
        <v>745919436.422513</v>
      </c>
      <c r="N846" s="39" t="n">
        <f aca="false">IF(COUNT('Business Case'!B11:G11)=0,"",H846+NPV(G846,I846:M846))</f>
        <v>-874078874.58174</v>
      </c>
      <c r="P846" s="40" t="n">
        <f aca="true">RAND()</f>
        <v>0.195261603288952</v>
      </c>
      <c r="Q846" s="40" t="n">
        <f aca="true">RAND()</f>
        <v>0.433072065408182</v>
      </c>
      <c r="R846" s="40" t="n">
        <f aca="true">RAND()</f>
        <v>0.687914565159736</v>
      </c>
      <c r="S846" s="40" t="n">
        <f aca="true">RAND()</f>
        <v>0.793840417292899</v>
      </c>
      <c r="T846" s="40" t="n">
        <f aca="true">RAND()</f>
        <v>0.601034404336878</v>
      </c>
      <c r="U846" s="40" t="n">
        <f aca="true">RAND()</f>
        <v>0.45481544852318</v>
      </c>
    </row>
    <row r="847" customFormat="false" ht="15" hidden="false" customHeight="false" outlineLevel="0" collapsed="false">
      <c r="A847" s="36" t="n">
        <v>767</v>
      </c>
      <c r="B847" s="37" t="n">
        <f aca="false">1+IF($G$6=$E$6,$F$6,IF(P847&lt;($F$6-$E$6)/($G$6-$E$6),$E$6+SQRT(P847*($G$6-$E$6)*($F$6-$E$6)),$G$6-SQRT((1-P847)*($G$6-$E$6)*($G$6-$F$6))))</f>
        <v>0.985829825417227</v>
      </c>
      <c r="C847" s="37" t="n">
        <f aca="false">1+IF($G$7=$E$7,$F$7,IF(Q847&lt;($F$7-$E$7)/($G$7-$E$7),$E$7+SQRT(Q847*($G$7-$E$7)*($F$7-$E$7)),$G$7-SQRT((1-Q847)*($G$7-$E$7)*($G$7-$F$7))))</f>
        <v>1.11749720580564</v>
      </c>
      <c r="D847" s="37" t="n">
        <f aca="false">1+IF($G$8=$E$8,$F$8,IF(R847&lt;($F$8-$E$8)/($G$8-$E$8),$E$8+SQRT(R847*($G$8-$E$8)*($F$8-$E$8)),$G$8-SQRT((1-R847)*($G$8-$E$8)*($G$8-$F$8))))</f>
        <v>1.06886257478917</v>
      </c>
      <c r="E847" s="37" t="n">
        <f aca="false">1+IF($G$9=$E$9,$F$9,IF(S847&lt;($F$9-$E$9)/($G$9-$E$9),$E$9+SQRT(S847*($G$9-$E$9)*($F$9-$E$9)),$G$9-SQRT((1-S847)*($G$9-$E$9)*($G$9-$F$9))))</f>
        <v>0.951829385379732</v>
      </c>
      <c r="F847" s="37" t="n">
        <f aca="false">1+IF($G$10=$E$10,$F$10,IF(T847&lt;($F$10-$E$10)/($G$10-$E$10),$E$10+SQRT(T847*($G$10-$E$10)*($F$10-$E$10)),$G$10-SQRT((1-T847)*($G$10-$E$10)*($G$10-$F$10))))</f>
        <v>1.13865848628263</v>
      </c>
      <c r="G847" s="38" t="n">
        <f aca="false">IF($G$11=$E$11,$F$11,IF(U847&lt;($F$11-$E$11)/($G$11-$E$11),$E$11+SQRT(U847*($G$11-$E$11)*($F$11-$E$11)),$G$11-SQRT((1-U847)*($G$11-$E$11)*($G$11-$F$11))))</f>
        <v>0.11561504471561</v>
      </c>
      <c r="H847" s="39" t="n">
        <f aca="false">(('Business Case'!B11*$C847*'Business Case'!B12*$B847)-'Business Case'!B11*$C847*'Business Case'!B13*$D847-'Business Case'!B14*$E847)-MAX(0,(('Business Case'!B11*$C847*'Business Case'!B12*$B847)-'Business Case'!B11*$C847*'Business Case'!B13*$D847-'Business Case'!B14*$E847))*'Business Case'!$B$7-'Business Case'!$B$8*('Business Case'!B11*$C847*'Business Case'!B12*$B847)-'Business Case'!B15*$F847</f>
        <v>-2277316972.56525</v>
      </c>
      <c r="I847" s="39" t="n">
        <f aca="false">(('Business Case'!C11*$C847*'Business Case'!C12*$B847)-'Business Case'!C11*$C847*'Business Case'!C13*$D847-'Business Case'!C14*$E847)-MAX(0,(('Business Case'!C11*$C847*'Business Case'!C12*$B847)-'Business Case'!C11*$C847*'Business Case'!C13*$D847-'Business Case'!C14*$E847))*'Business Case'!$B$7-'Business Case'!$B$8*(('Business Case'!C11*$C847*'Business Case'!C12*$B847)-('Business Case'!B11*$C847*'Business Case'!B12*$B847))-'Business Case'!C15*$F847</f>
        <v>-15448915.4418285</v>
      </c>
      <c r="J847" s="39" t="n">
        <f aca="false">(('Business Case'!D11*$C847*'Business Case'!D12*$B847)-'Business Case'!D11*$C847*'Business Case'!D13*$D847-'Business Case'!D14*$E847)-MAX(0,(('Business Case'!D11*$C847*'Business Case'!D12*$B847)-'Business Case'!D11*$C847*'Business Case'!D13*$D847-'Business Case'!D14*$E847))*'Business Case'!$B$7-'Business Case'!$B$8*(('Business Case'!D11*$C847*'Business Case'!D12*$B847)-('Business Case'!C11*$C847*'Business Case'!C12*$B847))-'Business Case'!D15*$F847</f>
        <v>275428318.329343</v>
      </c>
      <c r="K847" s="39" t="n">
        <f aca="false">(('Business Case'!E11*$C847*'Business Case'!E12*$B847)-'Business Case'!E11*$C847*'Business Case'!E13*$D847-'Business Case'!E14*$E847)-MAX(0,(('Business Case'!E11*$C847*'Business Case'!E12*$B847)-'Business Case'!E11*$C847*'Business Case'!E13*$D847-'Business Case'!E14*$E847))*'Business Case'!$B$7-'Business Case'!$B$8*(('Business Case'!E11*$C847*'Business Case'!E12*$B847)-('Business Case'!D11*$C847*'Business Case'!D12*$B847))-'Business Case'!E15*$F847</f>
        <v>623238476.414646</v>
      </c>
      <c r="L847" s="39" t="n">
        <f aca="false">(('Business Case'!F11*$C847*'Business Case'!F12*$B847)-'Business Case'!F11*$C847*'Business Case'!F13*$D847-'Business Case'!F14*$E847)-MAX(0,(('Business Case'!F11*$C847*'Business Case'!F12*$B847)-'Business Case'!F11*$C847*'Business Case'!F13*$D847-'Business Case'!F14*$E847))*'Business Case'!$B$7-'Business Case'!$B$8*(('Business Case'!F11*$C847*'Business Case'!F12*$B847)-('Business Case'!E11*$C847*'Business Case'!E12*$B847))-'Business Case'!F15*$F847</f>
        <v>758270995.660862</v>
      </c>
      <c r="M847" s="39" t="n">
        <f aca="false">(('Business Case'!G11*$C847*'Business Case'!G12*$B847)-'Business Case'!G11*$C847*'Business Case'!G13*$D847-'Business Case'!G14*$E847)-MAX(0,(('Business Case'!G11*$C847*'Business Case'!G12*$B847)-'Business Case'!G11*$C847*'Business Case'!G13*$D847-'Business Case'!G14*$E847))*'Business Case'!$B$7-'Business Case'!$B$8*(('Business Case'!G11*$C847*'Business Case'!G12*$B847)-('Business Case'!F11*$C847*'Business Case'!F12*$B847))-'Business Case'!G15*$F847+'Business Case'!$B$8*('Business Case'!G11*$C847*'Business Case'!G12*$B847)</f>
        <v>967674922.934573</v>
      </c>
      <c r="N847" s="39" t="n">
        <f aca="false">IF(COUNT('Business Case'!B11:G11)=0,"",H847+NPV(G847,I847:M847))</f>
        <v>-571528398.004238</v>
      </c>
      <c r="P847" s="40" t="n">
        <f aca="true">RAND()</f>
        <v>0.491117262076774</v>
      </c>
      <c r="Q847" s="40" t="n">
        <f aca="true">RAND()</f>
        <v>0.984349161030504</v>
      </c>
      <c r="R847" s="40" t="n">
        <f aca="true">RAND()</f>
        <v>0.935364050082675</v>
      </c>
      <c r="S847" s="40" t="n">
        <f aca="true">RAND()</f>
        <v>0.107451407553632</v>
      </c>
      <c r="T847" s="40" t="n">
        <f aca="true">RAND()</f>
        <v>0.834707564308316</v>
      </c>
      <c r="U847" s="40" t="n">
        <f aca="true">RAND()</f>
        <v>0.862048707644067</v>
      </c>
    </row>
    <row r="848" customFormat="false" ht="15" hidden="false" customHeight="false" outlineLevel="0" collapsed="false">
      <c r="A848" s="36" t="n">
        <v>768</v>
      </c>
      <c r="B848" s="37" t="n">
        <f aca="false">1+IF($G$6=$E$6,$F$6,IF(P848&lt;($F$6-$E$6)/($G$6-$E$6),$E$6+SQRT(P848*($G$6-$E$6)*($F$6-$E$6)),$G$6-SQRT((1-P848)*($G$6-$E$6)*($G$6-$F$6))))</f>
        <v>0.967598516980321</v>
      </c>
      <c r="C848" s="37" t="n">
        <f aca="false">1+IF($G$7=$E$7,$F$7,IF(Q848&lt;($F$7-$E$7)/($G$7-$E$7),$E$7+SQRT(Q848*($G$7-$E$7)*($F$7-$E$7)),$G$7-SQRT((1-Q848)*($G$7-$E$7)*($G$7-$F$7))))</f>
        <v>1.00695561228105</v>
      </c>
      <c r="D848" s="37" t="n">
        <f aca="false">1+IF($G$8=$E$8,$F$8,IF(R848&lt;($F$8-$E$8)/($G$8-$E$8),$E$8+SQRT(R848*($G$8-$E$8)*($F$8-$E$8)),$G$8-SQRT((1-R848)*($G$8-$E$8)*($G$8-$F$8))))</f>
        <v>1.01525511189814</v>
      </c>
      <c r="E848" s="37" t="n">
        <f aca="false">1+IF($G$9=$E$9,$F$9,IF(S848&lt;($F$9-$E$9)/($G$9-$E$9),$E$9+SQRT(S848*($G$9-$E$9)*($F$9-$E$9)),$G$9-SQRT((1-S848)*($G$9-$E$9)*($G$9-$F$9))))</f>
        <v>0.97181882791813</v>
      </c>
      <c r="F848" s="37" t="n">
        <f aca="false">1+IF($G$10=$E$10,$F$10,IF(T848&lt;($F$10-$E$10)/($G$10-$E$10),$E$10+SQRT(T848*($G$10-$E$10)*($F$10-$E$10)),$G$10-SQRT((1-T848)*($G$10-$E$10)*($G$10-$F$10))))</f>
        <v>0.987302446583436</v>
      </c>
      <c r="G848" s="38" t="n">
        <f aca="false">IF($G$11=$E$11,$F$11,IF(U848&lt;($F$11-$E$11)/($G$11-$E$11),$E$11+SQRT(U848*($G$11-$E$11)*($F$11-$E$11)),$G$11-SQRT((1-U848)*($G$11-$E$11)*($G$11-$F$11))))</f>
        <v>0.0949487029437394</v>
      </c>
      <c r="H848" s="39" t="n">
        <f aca="false">(('Business Case'!B11*$C848*'Business Case'!B12*$B848)-'Business Case'!B11*$C848*'Business Case'!B13*$D848-'Business Case'!B14*$E848)-MAX(0,(('Business Case'!B11*$C848*'Business Case'!B12*$B848)-'Business Case'!B11*$C848*'Business Case'!B13*$D848-'Business Case'!B14*$E848))*'Business Case'!$B$7-'Business Case'!$B$8*('Business Case'!B11*$C848*'Business Case'!B12*$B848)-'Business Case'!B15*$F848</f>
        <v>-1974604893.16687</v>
      </c>
      <c r="I848" s="39" t="n">
        <f aca="false">(('Business Case'!C11*$C848*'Business Case'!C12*$B848)-'Business Case'!C11*$C848*'Business Case'!C13*$D848-'Business Case'!C14*$E848)-MAX(0,(('Business Case'!C11*$C848*'Business Case'!C12*$B848)-'Business Case'!C11*$C848*'Business Case'!C13*$D848-'Business Case'!C14*$E848))*'Business Case'!$B$7-'Business Case'!$B$8*(('Business Case'!C11*$C848*'Business Case'!C12*$B848)-('Business Case'!B11*$C848*'Business Case'!B12*$B848))-'Business Case'!C15*$F848</f>
        <v>-12731114.0733763</v>
      </c>
      <c r="J848" s="39" t="n">
        <f aca="false">(('Business Case'!D11*$C848*'Business Case'!D12*$B848)-'Business Case'!D11*$C848*'Business Case'!D13*$D848-'Business Case'!D14*$E848)-MAX(0,(('Business Case'!D11*$C848*'Business Case'!D12*$B848)-'Business Case'!D11*$C848*'Business Case'!D13*$D848-'Business Case'!D14*$E848))*'Business Case'!$B$7-'Business Case'!$B$8*(('Business Case'!D11*$C848*'Business Case'!D12*$B848)-('Business Case'!C11*$C848*'Business Case'!C12*$B848))-'Business Case'!D15*$F848</f>
        <v>261969856.610036</v>
      </c>
      <c r="K848" s="39" t="n">
        <f aca="false">(('Business Case'!E11*$C848*'Business Case'!E12*$B848)-'Business Case'!E11*$C848*'Business Case'!E13*$D848-'Business Case'!E14*$E848)-MAX(0,(('Business Case'!E11*$C848*'Business Case'!E12*$B848)-'Business Case'!E11*$C848*'Business Case'!E13*$D848-'Business Case'!E14*$E848))*'Business Case'!$B$7-'Business Case'!$B$8*(('Business Case'!E11*$C848*'Business Case'!E12*$B848)-('Business Case'!D11*$C848*'Business Case'!D12*$B848))-'Business Case'!E15*$F848</f>
        <v>586035949.62262</v>
      </c>
      <c r="L848" s="39" t="n">
        <f aca="false">(('Business Case'!F11*$C848*'Business Case'!F12*$B848)-'Business Case'!F11*$C848*'Business Case'!F13*$D848-'Business Case'!F14*$E848)-MAX(0,(('Business Case'!F11*$C848*'Business Case'!F12*$B848)-'Business Case'!F11*$C848*'Business Case'!F13*$D848-'Business Case'!F14*$E848))*'Business Case'!$B$7-'Business Case'!$B$8*(('Business Case'!F11*$C848*'Business Case'!F12*$B848)-('Business Case'!E11*$C848*'Business Case'!E12*$B848))-'Business Case'!F15*$F848</f>
        <v>711275741.696081</v>
      </c>
      <c r="M848" s="39" t="n">
        <f aca="false">(('Business Case'!G11*$C848*'Business Case'!G12*$B848)-'Business Case'!G11*$C848*'Business Case'!G13*$D848-'Business Case'!G14*$E848)-MAX(0,(('Business Case'!G11*$C848*'Business Case'!G12*$B848)-'Business Case'!G11*$C848*'Business Case'!G13*$D848-'Business Case'!G14*$E848))*'Business Case'!$B$7-'Business Case'!$B$8*(('Business Case'!G11*$C848*'Business Case'!G12*$B848)-('Business Case'!F11*$C848*'Business Case'!F12*$B848))-'Business Case'!G15*$F848+'Business Case'!$B$8*('Business Case'!G11*$C848*'Business Case'!G12*$B848)</f>
        <v>896476151.847199</v>
      </c>
      <c r="N848" s="39" t="n">
        <f aca="false">IF(COUNT('Business Case'!B11:G11)=0,"",H848+NPV(G848,I848:M848))</f>
        <v>-256868845.135268</v>
      </c>
      <c r="P848" s="40" t="n">
        <f aca="true">RAND()</f>
        <v>0.304637299862587</v>
      </c>
      <c r="Q848" s="40" t="n">
        <f aca="true">RAND()</f>
        <v>0.696863750253488</v>
      </c>
      <c r="R848" s="40" t="n">
        <f aca="true">RAND()</f>
        <v>0.521220262706917</v>
      </c>
      <c r="S848" s="40" t="n">
        <f aca="true">RAND()</f>
        <v>0.206317761741357</v>
      </c>
      <c r="T848" s="40" t="n">
        <f aca="true">RAND()</f>
        <v>0.0927648347406731</v>
      </c>
      <c r="U848" s="40" t="n">
        <f aca="true">RAND()</f>
        <v>0.223463719700163</v>
      </c>
    </row>
    <row r="849" customFormat="false" ht="15" hidden="false" customHeight="false" outlineLevel="0" collapsed="false">
      <c r="A849" s="36" t="n">
        <v>769</v>
      </c>
      <c r="B849" s="37" t="n">
        <f aca="false">1+IF($G$6=$E$6,$F$6,IF(P849&lt;($F$6-$E$6)/($G$6-$E$6),$E$6+SQRT(P849*($G$6-$E$6)*($F$6-$E$6)),$G$6-SQRT((1-P849)*($G$6-$E$6)*($G$6-$F$6))))</f>
        <v>0.998346112186665</v>
      </c>
      <c r="C849" s="37" t="n">
        <f aca="false">1+IF($G$7=$E$7,$F$7,IF(Q849&lt;($F$7-$E$7)/($G$7-$E$7),$E$7+SQRT(Q849*($G$7-$E$7)*($F$7-$E$7)),$G$7-SQRT((1-Q849)*($G$7-$E$7)*($G$7-$F$7))))</f>
        <v>1.05184095437158</v>
      </c>
      <c r="D849" s="37" t="n">
        <f aca="false">1+IF($G$8=$E$8,$F$8,IF(R849&lt;($F$8-$E$8)/($G$8-$E$8),$E$8+SQRT(R849*($G$8-$E$8)*($F$8-$E$8)),$G$8-SQRT((1-R849)*($G$8-$E$8)*($G$8-$F$8))))</f>
        <v>1.03201329910761</v>
      </c>
      <c r="E849" s="37" t="n">
        <f aca="false">1+IF($G$9=$E$9,$F$9,IF(S849&lt;($F$9-$E$9)/($G$9-$E$9),$E$9+SQRT(S849*($G$9-$E$9)*($F$9-$E$9)),$G$9-SQRT((1-S849)*($G$9-$E$9)*($G$9-$F$9))))</f>
        <v>1.05533034245972</v>
      </c>
      <c r="F849" s="37" t="n">
        <f aca="false">1+IF($G$10=$E$10,$F$10,IF(T849&lt;($F$10-$E$10)/($G$10-$E$10),$E$10+SQRT(T849*($G$10-$E$10)*($F$10-$E$10)),$G$10-SQRT((1-T849)*($G$10-$E$10)*($G$10-$F$10))))</f>
        <v>1.06740605795881</v>
      </c>
      <c r="G849" s="38" t="n">
        <f aca="false">IF($G$11=$E$11,$F$11,IF(U849&lt;($F$11-$E$11)/($G$11-$E$11),$E$11+SQRT(U849*($G$11-$E$11)*($F$11-$E$11)),$G$11-SQRT((1-U849)*($G$11-$E$11)*($G$11-$F$11))))</f>
        <v>0.110871020713316</v>
      </c>
      <c r="H849" s="39" t="n">
        <f aca="false">(('Business Case'!B11*$C849*'Business Case'!B12*$B849)-'Business Case'!B11*$C849*'Business Case'!B13*$D849-'Business Case'!B14*$E849)-MAX(0,(('Business Case'!B11*$C849*'Business Case'!B12*$B849)-'Business Case'!B11*$C849*'Business Case'!B13*$D849-'Business Case'!B14*$E849))*'Business Case'!$B$7-'Business Case'!$B$8*('Business Case'!B11*$C849*'Business Case'!B12*$B849)-'Business Case'!B15*$F849</f>
        <v>-2134812115.91763</v>
      </c>
      <c r="I849" s="39" t="n">
        <f aca="false">(('Business Case'!C11*$C849*'Business Case'!C12*$B849)-'Business Case'!C11*$C849*'Business Case'!C13*$D849-'Business Case'!C14*$E849)-MAX(0,(('Business Case'!C11*$C849*'Business Case'!C12*$B849)-'Business Case'!C11*$C849*'Business Case'!C13*$D849-'Business Case'!C14*$E849))*'Business Case'!$B$7-'Business Case'!$B$8*(('Business Case'!C11*$C849*'Business Case'!C12*$B849)-('Business Case'!B11*$C849*'Business Case'!B12*$B849))-'Business Case'!C15*$F849</f>
        <v>-6833490.70456976</v>
      </c>
      <c r="J849" s="39" t="n">
        <f aca="false">(('Business Case'!D11*$C849*'Business Case'!D12*$B849)-'Business Case'!D11*$C849*'Business Case'!D13*$D849-'Business Case'!D14*$E849)-MAX(0,(('Business Case'!D11*$C849*'Business Case'!D12*$B849)-'Business Case'!D11*$C849*'Business Case'!D13*$D849-'Business Case'!D14*$E849))*'Business Case'!$B$7-'Business Case'!$B$8*(('Business Case'!D11*$C849*'Business Case'!D12*$B849)-('Business Case'!C11*$C849*'Business Case'!C12*$B849))-'Business Case'!D15*$F849</f>
        <v>297578851.898775</v>
      </c>
      <c r="K849" s="39" t="n">
        <f aca="false">(('Business Case'!E11*$C849*'Business Case'!E12*$B849)-'Business Case'!E11*$C849*'Business Case'!E13*$D849-'Business Case'!E14*$E849)-MAX(0,(('Business Case'!E11*$C849*'Business Case'!E12*$B849)-'Business Case'!E11*$C849*'Business Case'!E13*$D849-'Business Case'!E14*$E849))*'Business Case'!$B$7-'Business Case'!$B$8*(('Business Case'!E11*$C849*'Business Case'!E12*$B849)-('Business Case'!D11*$C849*'Business Case'!D12*$B849))-'Business Case'!E15*$F849</f>
        <v>655361497.40006</v>
      </c>
      <c r="L849" s="39" t="n">
        <f aca="false">(('Business Case'!F11*$C849*'Business Case'!F12*$B849)-'Business Case'!F11*$C849*'Business Case'!F13*$D849-'Business Case'!F14*$E849)-MAX(0,(('Business Case'!F11*$C849*'Business Case'!F12*$B849)-'Business Case'!F11*$C849*'Business Case'!F13*$D849-'Business Case'!F14*$E849))*'Business Case'!$B$7-'Business Case'!$B$8*(('Business Case'!F11*$C849*'Business Case'!F12*$B849)-('Business Case'!E11*$C849*'Business Case'!E12*$B849))-'Business Case'!F15*$F849</f>
        <v>793123780.144016</v>
      </c>
      <c r="M849" s="39" t="n">
        <f aca="false">(('Business Case'!G11*$C849*'Business Case'!G12*$B849)-'Business Case'!G11*$C849*'Business Case'!G13*$D849-'Business Case'!G14*$E849)-MAX(0,(('Business Case'!G11*$C849*'Business Case'!G12*$B849)-'Business Case'!G11*$C849*'Business Case'!G13*$D849-'Business Case'!G14*$E849))*'Business Case'!$B$7-'Business Case'!$B$8*(('Business Case'!G11*$C849*'Business Case'!G12*$B849)-('Business Case'!F11*$C849*'Business Case'!F12*$B849))-'Business Case'!G15*$F849+'Business Case'!$B$8*('Business Case'!G11*$C849*'Business Case'!G12*$B849)</f>
        <v>992727040.462971</v>
      </c>
      <c r="N849" s="39" t="n">
        <f aca="false">IF(COUNT('Business Case'!B11:G11)=0,"",H849+NPV(G849,I849:M849))</f>
        <v>-314104491.98927</v>
      </c>
      <c r="P849" s="40" t="n">
        <f aca="true">RAND()</f>
        <v>0.644797185482145</v>
      </c>
      <c r="Q849" s="40" t="n">
        <f aca="true">RAND()</f>
        <v>0.857256322389905</v>
      </c>
      <c r="R849" s="40" t="n">
        <f aca="true">RAND()</f>
        <v>0.69185390011794</v>
      </c>
      <c r="S849" s="40" t="n">
        <f aca="true">RAND()</f>
        <v>0.761004158432166</v>
      </c>
      <c r="T849" s="40" t="n">
        <f aca="true">RAND()</f>
        <v>0.555459364398136</v>
      </c>
      <c r="U849" s="40" t="n">
        <f aca="true">RAND()</f>
        <v>0.756054767633071</v>
      </c>
    </row>
    <row r="850" customFormat="false" ht="15" hidden="false" customHeight="false" outlineLevel="0" collapsed="false">
      <c r="A850" s="36" t="n">
        <v>770</v>
      </c>
      <c r="B850" s="37" t="n">
        <f aca="false">1+IF($G$6=$E$6,$F$6,IF(P850&lt;($F$6-$E$6)/($G$6-$E$6),$E$6+SQRT(P850*($G$6-$E$6)*($F$6-$E$6)),$G$6-SQRT((1-P850)*($G$6-$E$6)*($G$6-$F$6))))</f>
        <v>1.01587422879837</v>
      </c>
      <c r="C850" s="37" t="n">
        <f aca="false">1+IF($G$7=$E$7,$F$7,IF(Q850&lt;($F$7-$E$7)/($G$7-$E$7),$E$7+SQRT(Q850*($G$7-$E$7)*($F$7-$E$7)),$G$7-SQRT((1-Q850)*($G$7-$E$7)*($G$7-$F$7))))</f>
        <v>0.93818143517281</v>
      </c>
      <c r="D850" s="37" t="n">
        <f aca="false">1+IF($G$8=$E$8,$F$8,IF(R850&lt;($F$8-$E$8)/($G$8-$E$8),$E$8+SQRT(R850*($G$8-$E$8)*($F$8-$E$8)),$G$8-SQRT((1-R850)*($G$8-$E$8)*($G$8-$F$8))))</f>
        <v>1.07893014962408</v>
      </c>
      <c r="E850" s="37" t="n">
        <f aca="false">1+IF($G$9=$E$9,$F$9,IF(S850&lt;($F$9-$E$9)/($G$9-$E$9),$E$9+SQRT(S850*($G$9-$E$9)*($F$9-$E$9)),$G$9-SQRT((1-S850)*($G$9-$E$9)*($G$9-$F$9))))</f>
        <v>0.96186406670588</v>
      </c>
      <c r="F850" s="37" t="n">
        <f aca="false">1+IF($G$10=$E$10,$F$10,IF(T850&lt;($F$10-$E$10)/($G$10-$E$10),$E$10+SQRT(T850*($G$10-$E$10)*($F$10-$E$10)),$G$10-SQRT((1-T850)*($G$10-$E$10)*($G$10-$F$10))))</f>
        <v>1.0721077777845</v>
      </c>
      <c r="G850" s="38" t="n">
        <f aca="false">IF($G$11=$E$11,$F$11,IF(U850&lt;($F$11-$E$11)/($G$11-$E$11),$E$11+SQRT(U850*($G$11-$E$11)*($F$11-$E$11)),$G$11-SQRT((1-U850)*($G$11-$E$11)*($G$11-$F$11))))</f>
        <v>0.113808679844614</v>
      </c>
      <c r="H850" s="39" t="n">
        <f aca="false">(('Business Case'!B11*$C850*'Business Case'!B12*$B850)-'Business Case'!B11*$C850*'Business Case'!B13*$D850-'Business Case'!B14*$E850)-MAX(0,(('Business Case'!B11*$C850*'Business Case'!B12*$B850)-'Business Case'!B11*$C850*'Business Case'!B13*$D850-'Business Case'!B14*$E850))*'Business Case'!$B$7-'Business Case'!$B$8*('Business Case'!B11*$C850*'Business Case'!B12*$B850)-'Business Case'!B15*$F850</f>
        <v>-2144215555.569</v>
      </c>
      <c r="I850" s="39" t="n">
        <f aca="false">(('Business Case'!C11*$C850*'Business Case'!C12*$B850)-'Business Case'!C11*$C850*'Business Case'!C13*$D850-'Business Case'!C14*$E850)-MAX(0,(('Business Case'!C11*$C850*'Business Case'!C12*$B850)-'Business Case'!C11*$C850*'Business Case'!C13*$D850-'Business Case'!C14*$E850))*'Business Case'!$B$7-'Business Case'!$B$8*(('Business Case'!C11*$C850*'Business Case'!C12*$B850)-('Business Case'!B11*$C850*'Business Case'!B12*$B850))-'Business Case'!C15*$F850</f>
        <v>-30940640.9256354</v>
      </c>
      <c r="J850" s="39" t="n">
        <f aca="false">(('Business Case'!D11*$C850*'Business Case'!D12*$B850)-'Business Case'!D11*$C850*'Business Case'!D13*$D850-'Business Case'!D14*$E850)-MAX(0,(('Business Case'!D11*$C850*'Business Case'!D12*$B850)-'Business Case'!D11*$C850*'Business Case'!D13*$D850-'Business Case'!D14*$E850))*'Business Case'!$B$7-'Business Case'!$B$8*(('Business Case'!D11*$C850*'Business Case'!D12*$B850)-('Business Case'!C11*$C850*'Business Case'!C12*$B850))-'Business Case'!D15*$F850</f>
        <v>231513940.098361</v>
      </c>
      <c r="K850" s="39" t="n">
        <f aca="false">(('Business Case'!E11*$C850*'Business Case'!E12*$B850)-'Business Case'!E11*$C850*'Business Case'!E13*$D850-'Business Case'!E14*$E850)-MAX(0,(('Business Case'!E11*$C850*'Business Case'!E12*$B850)-'Business Case'!E11*$C850*'Business Case'!E13*$D850-'Business Case'!E14*$E850))*'Business Case'!$B$7-'Business Case'!$B$8*(('Business Case'!E11*$C850*'Business Case'!E12*$B850)-('Business Case'!D11*$C850*'Business Case'!D12*$B850))-'Business Case'!E15*$F850</f>
        <v>547573910.011582</v>
      </c>
      <c r="L850" s="39" t="n">
        <f aca="false">(('Business Case'!F11*$C850*'Business Case'!F12*$B850)-'Business Case'!F11*$C850*'Business Case'!F13*$D850-'Business Case'!F14*$E850)-MAX(0,(('Business Case'!F11*$C850*'Business Case'!F12*$B850)-'Business Case'!F11*$C850*'Business Case'!F13*$D850-'Business Case'!F14*$E850))*'Business Case'!$B$7-'Business Case'!$B$8*(('Business Case'!F11*$C850*'Business Case'!F12*$B850)-('Business Case'!E11*$C850*'Business Case'!E12*$B850))-'Business Case'!F15*$F850</f>
        <v>667997019.609985</v>
      </c>
      <c r="M850" s="39" t="n">
        <f aca="false">(('Business Case'!G11*$C850*'Business Case'!G12*$B850)-'Business Case'!G11*$C850*'Business Case'!G13*$D850-'Business Case'!G14*$E850)-MAX(0,(('Business Case'!G11*$C850*'Business Case'!G12*$B850)-'Business Case'!G11*$C850*'Business Case'!G13*$D850-'Business Case'!G14*$E850))*'Business Case'!$B$7-'Business Case'!$B$8*(('Business Case'!G11*$C850*'Business Case'!G12*$B850)-('Business Case'!F11*$C850*'Business Case'!F12*$B850))-'Business Case'!G15*$F850+'Business Case'!$B$8*('Business Case'!G11*$C850*'Business Case'!G12*$B850)</f>
        <v>849157390.523872</v>
      </c>
      <c r="N850" s="39" t="n">
        <f aca="false">IF(COUNT('Business Case'!B11:G11)=0,"",H850+NPV(G850,I850:M850))</f>
        <v>-659668968.959603</v>
      </c>
      <c r="P850" s="40" t="n">
        <f aca="true">RAND()</f>
        <v>0.844724231985836</v>
      </c>
      <c r="Q850" s="40" t="n">
        <f aca="true">RAND()</f>
        <v>0.420225156007255</v>
      </c>
      <c r="R850" s="40" t="n">
        <f aca="true">RAND()</f>
        <v>0.970404093675751</v>
      </c>
      <c r="S850" s="40" t="n">
        <f aca="true">RAND()</f>
        <v>0.15308650997558</v>
      </c>
      <c r="T850" s="40" t="n">
        <f aca="true">RAND()</f>
        <v>0.578058097003075</v>
      </c>
      <c r="U850" s="40" t="n">
        <f aca="true">RAND()</f>
        <v>0.825227434417187</v>
      </c>
    </row>
    <row r="851" customFormat="false" ht="15" hidden="false" customHeight="false" outlineLevel="0" collapsed="false">
      <c r="A851" s="36" t="n">
        <v>771</v>
      </c>
      <c r="B851" s="37" t="n">
        <f aca="false">1+IF($G$6=$E$6,$F$6,IF(P851&lt;($F$6-$E$6)/($G$6-$E$6),$E$6+SQRT(P851*($G$6-$E$6)*($F$6-$E$6)),$G$6-SQRT((1-P851)*($G$6-$E$6)*($G$6-$F$6))))</f>
        <v>0.978134269580196</v>
      </c>
      <c r="C851" s="37" t="n">
        <f aca="false">1+IF($G$7=$E$7,$F$7,IF(Q851&lt;($F$7-$E$7)/($G$7-$E$7),$E$7+SQRT(Q851*($G$7-$E$7)*($F$7-$E$7)),$G$7-SQRT((1-Q851)*($G$7-$E$7)*($G$7-$F$7))))</f>
        <v>1.09346486421331</v>
      </c>
      <c r="D851" s="37" t="n">
        <f aca="false">1+IF($G$8=$E$8,$F$8,IF(R851&lt;($F$8-$E$8)/($G$8-$E$8),$E$8+SQRT(R851*($G$8-$E$8)*($F$8-$E$8)),$G$8-SQRT((1-R851)*($G$8-$E$8)*($G$8-$F$8))))</f>
        <v>1.01460621124063</v>
      </c>
      <c r="E851" s="37" t="n">
        <f aca="false">1+IF($G$9=$E$9,$F$9,IF(S851&lt;($F$9-$E$9)/($G$9-$E$9),$E$9+SQRT(S851*($G$9-$E$9)*($F$9-$E$9)),$G$9-SQRT((1-S851)*($G$9-$E$9)*($G$9-$F$9))))</f>
        <v>1.0737770685365</v>
      </c>
      <c r="F851" s="37" t="n">
        <f aca="false">1+IF($G$10=$E$10,$F$10,IF(T851&lt;($F$10-$E$10)/($G$10-$E$10),$E$10+SQRT(T851*($G$10-$E$10)*($F$10-$E$10)),$G$10-SQRT((1-T851)*($G$10-$E$10)*($G$10-$F$10))))</f>
        <v>1.05804328320917</v>
      </c>
      <c r="G851" s="38" t="n">
        <f aca="false">IF($G$11=$E$11,$F$11,IF(U851&lt;($F$11-$E$11)/($G$11-$E$11),$E$11+SQRT(U851*($G$11-$E$11)*($F$11-$E$11)),$G$11-SQRT((1-U851)*($G$11-$E$11)*($G$11-$F$11))))</f>
        <v>0.0989830788528175</v>
      </c>
      <c r="H851" s="39" t="n">
        <f aca="false">(('Business Case'!B11*$C851*'Business Case'!B12*$B851)-'Business Case'!B11*$C851*'Business Case'!B13*$D851-'Business Case'!B14*$E851)-MAX(0,(('Business Case'!B11*$C851*'Business Case'!B12*$B851)-'Business Case'!B11*$C851*'Business Case'!B13*$D851-'Business Case'!B14*$E851))*'Business Case'!$B$7-'Business Case'!$B$8*('Business Case'!B11*$C851*'Business Case'!B12*$B851)-'Business Case'!B15*$F851</f>
        <v>-2116086566.41834</v>
      </c>
      <c r="I851" s="39" t="n">
        <f aca="false">(('Business Case'!C11*$C851*'Business Case'!C12*$B851)-'Business Case'!C11*$C851*'Business Case'!C13*$D851-'Business Case'!C14*$E851)-MAX(0,(('Business Case'!C11*$C851*'Business Case'!C12*$B851)-'Business Case'!C11*$C851*'Business Case'!C13*$D851-'Business Case'!C14*$E851))*'Business Case'!$B$7-'Business Case'!$B$8*(('Business Case'!C11*$C851*'Business Case'!C12*$B851)-('Business Case'!B11*$C851*'Business Case'!B12*$B851))-'Business Case'!C15*$F851</f>
        <v>-5840857.16142945</v>
      </c>
      <c r="J851" s="39" t="n">
        <f aca="false">(('Business Case'!D11*$C851*'Business Case'!D12*$B851)-'Business Case'!D11*$C851*'Business Case'!D13*$D851-'Business Case'!D14*$E851)-MAX(0,(('Business Case'!D11*$C851*'Business Case'!D12*$B851)-'Business Case'!D11*$C851*'Business Case'!D13*$D851-'Business Case'!D14*$E851))*'Business Case'!$B$7-'Business Case'!$B$8*(('Business Case'!D11*$C851*'Business Case'!D12*$B851)-('Business Case'!C11*$C851*'Business Case'!C12*$B851))-'Business Case'!D15*$F851</f>
        <v>302259467.996928</v>
      </c>
      <c r="K851" s="39" t="n">
        <f aca="false">(('Business Case'!E11*$C851*'Business Case'!E12*$B851)-'Business Case'!E11*$C851*'Business Case'!E13*$D851-'Business Case'!E14*$E851)-MAX(0,(('Business Case'!E11*$C851*'Business Case'!E12*$B851)-'Business Case'!E11*$C851*'Business Case'!E13*$D851-'Business Case'!E14*$E851))*'Business Case'!$B$7-'Business Case'!$B$8*(('Business Case'!E11*$C851*'Business Case'!E12*$B851)-('Business Case'!D11*$C851*'Business Case'!D12*$B851))-'Business Case'!E15*$F851</f>
        <v>663261957.315744</v>
      </c>
      <c r="L851" s="39" t="n">
        <f aca="false">(('Business Case'!F11*$C851*'Business Case'!F12*$B851)-'Business Case'!F11*$C851*'Business Case'!F13*$D851-'Business Case'!F14*$E851)-MAX(0,(('Business Case'!F11*$C851*'Business Case'!F12*$B851)-'Business Case'!F11*$C851*'Business Case'!F13*$D851-'Business Case'!F14*$E851))*'Business Case'!$B$7-'Business Case'!$B$8*(('Business Case'!F11*$C851*'Business Case'!F12*$B851)-('Business Case'!E11*$C851*'Business Case'!E12*$B851))-'Business Case'!F15*$F851</f>
        <v>802925902.270516</v>
      </c>
      <c r="M851" s="39" t="n">
        <f aca="false">(('Business Case'!G11*$C851*'Business Case'!G12*$B851)-'Business Case'!G11*$C851*'Business Case'!G13*$D851-'Business Case'!G14*$E851)-MAX(0,(('Business Case'!G11*$C851*'Business Case'!G12*$B851)-'Business Case'!G11*$C851*'Business Case'!G13*$D851-'Business Case'!G14*$E851))*'Business Case'!$B$7-'Business Case'!$B$8*(('Business Case'!G11*$C851*'Business Case'!G12*$B851)-('Business Case'!F11*$C851*'Business Case'!F12*$B851))-'Business Case'!G15*$F851+'Business Case'!$B$8*('Business Case'!G11*$C851*'Business Case'!G12*$B851)</f>
        <v>1006227003.39811</v>
      </c>
      <c r="N851" s="39" t="n">
        <f aca="false">IF(COUNT('Business Case'!B11:G11)=0,"",H851+NPV(G851,I851:M851))</f>
        <v>-193308815.097075</v>
      </c>
      <c r="P851" s="40" t="n">
        <f aca="true">RAND()</f>
        <v>0.406997605522054</v>
      </c>
      <c r="Q851" s="40" t="n">
        <f aca="true">RAND()</f>
        <v>0.952648569208592</v>
      </c>
      <c r="R851" s="40" t="n">
        <f aca="true">RAND()</f>
        <v>0.513860056087982</v>
      </c>
      <c r="S851" s="40" t="n">
        <f aca="true">RAND()</f>
        <v>0.84506839250962</v>
      </c>
      <c r="T851" s="40" t="n">
        <f aca="true">RAND()</f>
        <v>0.508701585051805</v>
      </c>
      <c r="U851" s="40" t="n">
        <f aca="true">RAND()</f>
        <v>0.360357282732286</v>
      </c>
    </row>
    <row r="852" customFormat="false" ht="15" hidden="false" customHeight="false" outlineLevel="0" collapsed="false">
      <c r="A852" s="36" t="n">
        <v>772</v>
      </c>
      <c r="B852" s="37" t="n">
        <f aca="false">1+IF($G$6=$E$6,$F$6,IF(P852&lt;($F$6-$E$6)/($G$6-$E$6),$E$6+SQRT(P852*($G$6-$E$6)*($F$6-$E$6)),$G$6-SQRT((1-P852)*($G$6-$E$6)*($G$6-$F$6))))</f>
        <v>1.01766117914464</v>
      </c>
      <c r="C852" s="37" t="n">
        <f aca="false">1+IF($G$7=$E$7,$F$7,IF(Q852&lt;($F$7-$E$7)/($G$7-$E$7),$E$7+SQRT(Q852*($G$7-$E$7)*($F$7-$E$7)),$G$7-SQRT((1-Q852)*($G$7-$E$7)*($G$7-$F$7))))</f>
        <v>0.847214346300767</v>
      </c>
      <c r="D852" s="37" t="n">
        <f aca="false">1+IF($G$8=$E$8,$F$8,IF(R852&lt;($F$8-$E$8)/($G$8-$E$8),$E$8+SQRT(R852*($G$8-$E$8)*($F$8-$E$8)),$G$8-SQRT((1-R852)*($G$8-$E$8)*($G$8-$F$8))))</f>
        <v>1.07407575341043</v>
      </c>
      <c r="E852" s="37" t="n">
        <f aca="false">1+IF($G$9=$E$9,$F$9,IF(S852&lt;($F$9-$E$9)/($G$9-$E$9),$E$9+SQRT(S852*($G$9-$E$9)*($F$9-$E$9)),$G$9-SQRT((1-S852)*($G$9-$E$9)*($G$9-$F$9))))</f>
        <v>1.0573915442605</v>
      </c>
      <c r="F852" s="37" t="n">
        <f aca="false">1+IF($G$10=$E$10,$F$10,IF(T852&lt;($F$10-$E$10)/($G$10-$E$10),$E$10+SQRT(T852*($G$10-$E$10)*($F$10-$E$10)),$G$10-SQRT((1-T852)*($G$10-$E$10)*($G$10-$F$10))))</f>
        <v>1.0452152455001</v>
      </c>
      <c r="G852" s="38" t="n">
        <f aca="false">IF($G$11=$E$11,$F$11,IF(U852&lt;($F$11-$E$11)/($G$11-$E$11),$E$11+SQRT(U852*($G$11-$E$11)*($F$11-$E$11)),$G$11-SQRT((1-U852)*($G$11-$E$11)*($G$11-$F$11))))</f>
        <v>0.105625782654461</v>
      </c>
      <c r="H852" s="39" t="n">
        <f aca="false">(('Business Case'!B11*$C852*'Business Case'!B12*$B852)-'Business Case'!B11*$C852*'Business Case'!B13*$D852-'Business Case'!B14*$E852)-MAX(0,(('Business Case'!B11*$C852*'Business Case'!B12*$B852)-'Business Case'!B11*$C852*'Business Case'!B13*$D852-'Business Case'!B14*$E852))*'Business Case'!$B$7-'Business Case'!$B$8*('Business Case'!B11*$C852*'Business Case'!B12*$B852)-'Business Case'!B15*$F852</f>
        <v>-2090430491.0002</v>
      </c>
      <c r="I852" s="39" t="n">
        <f aca="false">(('Business Case'!C11*$C852*'Business Case'!C12*$B852)-'Business Case'!C11*$C852*'Business Case'!C13*$D852-'Business Case'!C14*$E852)-MAX(0,(('Business Case'!C11*$C852*'Business Case'!C12*$B852)-'Business Case'!C11*$C852*'Business Case'!C13*$D852-'Business Case'!C14*$E852))*'Business Case'!$B$7-'Business Case'!$B$8*(('Business Case'!C11*$C852*'Business Case'!C12*$B852)-('Business Case'!B11*$C852*'Business Case'!B12*$B852))-'Business Case'!C15*$F852</f>
        <v>-59225767.0086395</v>
      </c>
      <c r="J852" s="39" t="n">
        <f aca="false">(('Business Case'!D11*$C852*'Business Case'!D12*$B852)-'Business Case'!D11*$C852*'Business Case'!D13*$D852-'Business Case'!D14*$E852)-MAX(0,(('Business Case'!D11*$C852*'Business Case'!D12*$B852)-'Business Case'!D11*$C852*'Business Case'!D13*$D852-'Business Case'!D14*$E852))*'Business Case'!$B$7-'Business Case'!$B$8*(('Business Case'!D11*$C852*'Business Case'!D12*$B852)-('Business Case'!C11*$C852*'Business Case'!C12*$B852))-'Business Case'!D15*$F852</f>
        <v>181126331.615995</v>
      </c>
      <c r="K852" s="39" t="n">
        <f aca="false">(('Business Case'!E11*$C852*'Business Case'!E12*$B852)-'Business Case'!E11*$C852*'Business Case'!E13*$D852-'Business Case'!E14*$E852)-MAX(0,(('Business Case'!E11*$C852*'Business Case'!E12*$B852)-'Business Case'!E11*$C852*'Business Case'!E13*$D852-'Business Case'!E14*$E852))*'Business Case'!$B$7-'Business Case'!$B$8*(('Business Case'!E11*$C852*'Business Case'!E12*$B852)-('Business Case'!D11*$C852*'Business Case'!D12*$B852))-'Business Case'!E15*$F852</f>
        <v>473739192.515634</v>
      </c>
      <c r="L852" s="39" t="n">
        <f aca="false">(('Business Case'!F11*$C852*'Business Case'!F12*$B852)-'Business Case'!F11*$C852*'Business Case'!F13*$D852-'Business Case'!F14*$E852)-MAX(0,(('Business Case'!F11*$C852*'Business Case'!F12*$B852)-'Business Case'!F11*$C852*'Business Case'!F13*$D852-'Business Case'!F14*$E852))*'Business Case'!$B$7-'Business Case'!$B$8*(('Business Case'!F11*$C852*'Business Case'!F12*$B852)-('Business Case'!E11*$C852*'Business Case'!E12*$B852))-'Business Case'!F15*$F852</f>
        <v>583653401.050126</v>
      </c>
      <c r="M852" s="39" t="n">
        <f aca="false">(('Business Case'!G11*$C852*'Business Case'!G12*$B852)-'Business Case'!G11*$C852*'Business Case'!G13*$D852-'Business Case'!G14*$E852)-MAX(0,(('Business Case'!G11*$C852*'Business Case'!G12*$B852)-'Business Case'!G11*$C852*'Business Case'!G13*$D852-'Business Case'!G14*$E852))*'Business Case'!$B$7-'Business Case'!$B$8*(('Business Case'!G11*$C852*'Business Case'!G12*$B852)-('Business Case'!F11*$C852*'Business Case'!F12*$B852))-'Business Case'!G15*$F852+'Business Case'!$B$8*('Business Case'!G11*$C852*'Business Case'!G12*$B852)</f>
        <v>747536033.844668</v>
      </c>
      <c r="N852" s="39" t="n">
        <f aca="false">IF(COUNT('Business Case'!B11:G11)=0,"",H852+NPV(G852,I852:M852))</f>
        <v>-802242022.639752</v>
      </c>
      <c r="P852" s="40" t="n">
        <f aca="true">RAND()</f>
        <v>0.860560088757948</v>
      </c>
      <c r="Q852" s="40" t="n">
        <f aca="true">RAND()</f>
        <v>0.160533805605646</v>
      </c>
      <c r="R852" s="40" t="n">
        <f aca="true">RAND()</f>
        <v>0.955195562584206</v>
      </c>
      <c r="S852" s="40" t="n">
        <f aca="true">RAND()</f>
        <v>0.771297971347857</v>
      </c>
      <c r="T852" s="40" t="n">
        <f aca="true">RAND()</f>
        <v>0.440842724325551</v>
      </c>
      <c r="U852" s="40" t="n">
        <f aca="true">RAND()</f>
        <v>0.603931685861619</v>
      </c>
    </row>
    <row r="853" customFormat="false" ht="15" hidden="false" customHeight="false" outlineLevel="0" collapsed="false">
      <c r="A853" s="36" t="n">
        <v>773</v>
      </c>
      <c r="B853" s="37" t="n">
        <f aca="false">1+IF($G$6=$E$6,$F$6,IF(P853&lt;($F$6-$E$6)/($G$6-$E$6),$E$6+SQRT(P853*($G$6-$E$6)*($F$6-$E$6)),$G$6-SQRT((1-P853)*($G$6-$E$6)*($G$6-$F$6))))</f>
        <v>0.990303448810555</v>
      </c>
      <c r="C853" s="37" t="n">
        <f aca="false">1+IF($G$7=$E$7,$F$7,IF(Q853&lt;($F$7-$E$7)/($G$7-$E$7),$E$7+SQRT(Q853*($G$7-$E$7)*($F$7-$E$7)),$G$7-SQRT((1-Q853)*($G$7-$E$7)*($G$7-$F$7))))</f>
        <v>1.05452915400081</v>
      </c>
      <c r="D853" s="37" t="n">
        <f aca="false">1+IF($G$8=$E$8,$F$8,IF(R853&lt;($F$8-$E$8)/($G$8-$E$8),$E$8+SQRT(R853*($G$8-$E$8)*($F$8-$E$8)),$G$8-SQRT((1-R853)*($G$8-$E$8)*($G$8-$F$8))))</f>
        <v>1.02754083561148</v>
      </c>
      <c r="E853" s="37" t="n">
        <f aca="false">1+IF($G$9=$E$9,$F$9,IF(S853&lt;($F$9-$E$9)/($G$9-$E$9),$E$9+SQRT(S853*($G$9-$E$9)*($F$9-$E$9)),$G$9-SQRT((1-S853)*($G$9-$E$9)*($G$9-$F$9))))</f>
        <v>0.999301385647839</v>
      </c>
      <c r="F853" s="37" t="n">
        <f aca="false">1+IF($G$10=$E$10,$F$10,IF(T853&lt;($F$10-$E$10)/($G$10-$E$10),$E$10+SQRT(T853*($G$10-$E$10)*($F$10-$E$10)),$G$10-SQRT((1-T853)*($G$10-$E$10)*($G$10-$F$10))))</f>
        <v>1.01445675205883</v>
      </c>
      <c r="G853" s="38" t="n">
        <f aca="false">IF($G$11=$E$11,$F$11,IF(U853&lt;($F$11-$E$11)/($G$11-$E$11),$E$11+SQRT(U853*($G$11-$E$11)*($F$11-$E$11)),$G$11-SQRT((1-U853)*($G$11-$E$11)*($G$11-$F$11))))</f>
        <v>0.116607454986821</v>
      </c>
      <c r="H853" s="39" t="n">
        <f aca="false">(('Business Case'!B11*$C853*'Business Case'!B12*$B853)-'Business Case'!B11*$C853*'Business Case'!B13*$D853-'Business Case'!B14*$E853)-MAX(0,(('Business Case'!B11*$C853*'Business Case'!B12*$B853)-'Business Case'!B11*$C853*'Business Case'!B13*$D853-'Business Case'!B14*$E853))*'Business Case'!$B$7-'Business Case'!$B$8*('Business Case'!B11*$C853*'Business Case'!B12*$B853)-'Business Case'!B15*$F853</f>
        <v>-2028913504.11765</v>
      </c>
      <c r="I853" s="39" t="n">
        <f aca="false">(('Business Case'!C11*$C853*'Business Case'!C12*$B853)-'Business Case'!C11*$C853*'Business Case'!C13*$D853-'Business Case'!C14*$E853)-MAX(0,(('Business Case'!C11*$C853*'Business Case'!C12*$B853)-'Business Case'!C11*$C853*'Business Case'!C13*$D853-'Business Case'!C14*$E853))*'Business Case'!$B$7-'Business Case'!$B$8*(('Business Case'!C11*$C853*'Business Case'!C12*$B853)-('Business Case'!B11*$C853*'Business Case'!B12*$B853))-'Business Case'!C15*$F853</f>
        <v>2974945.88128106</v>
      </c>
      <c r="J853" s="39" t="n">
        <f aca="false">(('Business Case'!D11*$C853*'Business Case'!D12*$B853)-'Business Case'!D11*$C853*'Business Case'!D13*$D853-'Business Case'!D14*$E853)-MAX(0,(('Business Case'!D11*$C853*'Business Case'!D12*$B853)-'Business Case'!D11*$C853*'Business Case'!D13*$D853-'Business Case'!D14*$E853))*'Business Case'!$B$7-'Business Case'!$B$8*(('Business Case'!D11*$C853*'Business Case'!D12*$B853)-('Business Case'!C11*$C853*'Business Case'!C12*$B853))-'Business Case'!D15*$F853</f>
        <v>303632936.010346</v>
      </c>
      <c r="K853" s="39" t="n">
        <f aca="false">(('Business Case'!E11*$C853*'Business Case'!E12*$B853)-'Business Case'!E11*$C853*'Business Case'!E13*$D853-'Business Case'!E14*$E853)-MAX(0,(('Business Case'!E11*$C853*'Business Case'!E12*$B853)-'Business Case'!E11*$C853*'Business Case'!E13*$D853-'Business Case'!E14*$E853))*'Business Case'!$B$7-'Business Case'!$B$8*(('Business Case'!E11*$C853*'Business Case'!E12*$B853)-('Business Case'!D11*$C853*'Business Case'!D12*$B853))-'Business Case'!E15*$F853</f>
        <v>655013763.742352</v>
      </c>
      <c r="L853" s="39" t="n">
        <f aca="false">(('Business Case'!F11*$C853*'Business Case'!F12*$B853)-'Business Case'!F11*$C853*'Business Case'!F13*$D853-'Business Case'!F14*$E853)-MAX(0,(('Business Case'!F11*$C853*'Business Case'!F12*$B853)-'Business Case'!F11*$C853*'Business Case'!F13*$D853-'Business Case'!F14*$E853))*'Business Case'!$B$7-'Business Case'!$B$8*(('Business Case'!F11*$C853*'Business Case'!F12*$B853)-('Business Case'!E11*$C853*'Business Case'!E12*$B853))-'Business Case'!F15*$F853</f>
        <v>791324235.120558</v>
      </c>
      <c r="M853" s="39" t="n">
        <f aca="false">(('Business Case'!G11*$C853*'Business Case'!G12*$B853)-'Business Case'!G11*$C853*'Business Case'!G13*$D853-'Business Case'!G14*$E853)-MAX(0,(('Business Case'!G11*$C853*'Business Case'!G12*$B853)-'Business Case'!G11*$C853*'Business Case'!G13*$D853-'Business Case'!G14*$E853))*'Business Case'!$B$7-'Business Case'!$B$8*(('Business Case'!G11*$C853*'Business Case'!G12*$B853)-('Business Case'!F11*$C853*'Business Case'!F12*$B853))-'Business Case'!G15*$F853+'Business Case'!$B$8*('Business Case'!G11*$C853*'Business Case'!G12*$B853)</f>
        <v>989825512.464078</v>
      </c>
      <c r="N853" s="39" t="n">
        <f aca="false">IF(COUNT('Business Case'!B11:G11)=0,"",H853+NPV(G853,I853:M853))</f>
        <v>-232955123.089437</v>
      </c>
      <c r="P853" s="40" t="n">
        <f aca="true">RAND()</f>
        <v>0.543647524472032</v>
      </c>
      <c r="Q853" s="40" t="n">
        <f aca="true">RAND()</f>
        <v>0.864967667617771</v>
      </c>
      <c r="R853" s="40" t="n">
        <f aca="true">RAND()</f>
        <v>0.649977966407844</v>
      </c>
      <c r="S853" s="40" t="n">
        <f aca="true">RAND()</f>
        <v>0.394430607663237</v>
      </c>
      <c r="T853" s="40" t="n">
        <f aca="true">RAND()</f>
        <v>0.260258377990971</v>
      </c>
      <c r="U853" s="40" t="n">
        <f aca="true">RAND()</f>
        <v>0.880426492046658</v>
      </c>
    </row>
    <row r="854" customFormat="false" ht="15" hidden="false" customHeight="false" outlineLevel="0" collapsed="false">
      <c r="A854" s="36" t="n">
        <v>774</v>
      </c>
      <c r="B854" s="37" t="n">
        <f aca="false">1+IF($G$6=$E$6,$F$6,IF(P854&lt;($F$6-$E$6)/($G$6-$E$6),$E$6+SQRT(P854*($G$6-$E$6)*($F$6-$E$6)),$G$6-SQRT((1-P854)*($G$6-$E$6)*($G$6-$F$6))))</f>
        <v>0.965349030562513</v>
      </c>
      <c r="C854" s="37" t="n">
        <f aca="false">1+IF($G$7=$E$7,$F$7,IF(Q854&lt;($F$7-$E$7)/($G$7-$E$7),$E$7+SQRT(Q854*($G$7-$E$7)*($F$7-$E$7)),$G$7-SQRT((1-Q854)*($G$7-$E$7)*($G$7-$F$7))))</f>
        <v>0.925645991497951</v>
      </c>
      <c r="D854" s="37" t="n">
        <f aca="false">1+IF($G$8=$E$8,$F$8,IF(R854&lt;($F$8-$E$8)/($G$8-$E$8),$E$8+SQRT(R854*($G$8-$E$8)*($F$8-$E$8)),$G$8-SQRT((1-R854)*($G$8-$E$8)*($G$8-$F$8))))</f>
        <v>1.07884013231406</v>
      </c>
      <c r="E854" s="37" t="n">
        <f aca="false">1+IF($G$9=$E$9,$F$9,IF(S854&lt;($F$9-$E$9)/($G$9-$E$9),$E$9+SQRT(S854*($G$9-$E$9)*($F$9-$E$9)),$G$9-SQRT((1-S854)*($G$9-$E$9)*($G$9-$F$9))))</f>
        <v>1.03655786179414</v>
      </c>
      <c r="F854" s="37" t="n">
        <f aca="false">1+IF($G$10=$E$10,$F$10,IF(T854&lt;($F$10-$E$10)/($G$10-$E$10),$E$10+SQRT(T854*($G$10-$E$10)*($F$10-$E$10)),$G$10-SQRT((1-T854)*($G$10-$E$10)*($G$10-$F$10))))</f>
        <v>1.03367208468715</v>
      </c>
      <c r="G854" s="38" t="n">
        <f aca="false">IF($G$11=$E$11,$F$11,IF(U854&lt;($F$11-$E$11)/($G$11-$E$11),$E$11+SQRT(U854*($G$11-$E$11)*($F$11-$E$11)),$G$11-SQRT((1-U854)*($G$11-$E$11)*($G$11-$F$11))))</f>
        <v>0.105961588166757</v>
      </c>
      <c r="H854" s="39" t="n">
        <f aca="false">(('Business Case'!B11*$C854*'Business Case'!B12*$B854)-'Business Case'!B11*$C854*'Business Case'!B13*$D854-'Business Case'!B14*$E854)-MAX(0,(('Business Case'!B11*$C854*'Business Case'!B12*$B854)-'Business Case'!B11*$C854*'Business Case'!B13*$D854-'Business Case'!B14*$E854))*'Business Case'!$B$7-'Business Case'!$B$8*('Business Case'!B11*$C854*'Business Case'!B12*$B854)-'Business Case'!B15*$F854</f>
        <v>-2067344169.37429</v>
      </c>
      <c r="I854" s="39" t="n">
        <f aca="false">(('Business Case'!C11*$C854*'Business Case'!C12*$B854)-'Business Case'!C11*$C854*'Business Case'!C13*$D854-'Business Case'!C14*$E854)-MAX(0,(('Business Case'!C11*$C854*'Business Case'!C12*$B854)-'Business Case'!C11*$C854*'Business Case'!C13*$D854-'Business Case'!C14*$E854))*'Business Case'!$B$7-'Business Case'!$B$8*(('Business Case'!C11*$C854*'Business Case'!C12*$B854)-('Business Case'!B11*$C854*'Business Case'!B12*$B854))-'Business Case'!C15*$F854</f>
        <v>-76404738.1810277</v>
      </c>
      <c r="J854" s="39" t="n">
        <f aca="false">(('Business Case'!D11*$C854*'Business Case'!D12*$B854)-'Business Case'!D11*$C854*'Business Case'!D13*$D854-'Business Case'!D14*$E854)-MAX(0,(('Business Case'!D11*$C854*'Business Case'!D12*$B854)-'Business Case'!D11*$C854*'Business Case'!D13*$D854-'Business Case'!D14*$E854))*'Business Case'!$B$7-'Business Case'!$B$8*(('Business Case'!D11*$C854*'Business Case'!D12*$B854)-('Business Case'!C11*$C854*'Business Case'!C12*$B854))-'Business Case'!D15*$F854</f>
        <v>144279004.568005</v>
      </c>
      <c r="K854" s="39" t="n">
        <f aca="false">(('Business Case'!E11*$C854*'Business Case'!E12*$B854)-'Business Case'!E11*$C854*'Business Case'!E13*$D854-'Business Case'!E14*$E854)-MAX(0,(('Business Case'!E11*$C854*'Business Case'!E12*$B854)-'Business Case'!E11*$C854*'Business Case'!E13*$D854-'Business Case'!E14*$E854))*'Business Case'!$B$7-'Business Case'!$B$8*(('Business Case'!E11*$C854*'Business Case'!E12*$B854)-('Business Case'!D11*$C854*'Business Case'!D12*$B854))-'Business Case'!E15*$F854</f>
        <v>416646351.551396</v>
      </c>
      <c r="L854" s="39" t="n">
        <f aca="false">(('Business Case'!F11*$C854*'Business Case'!F12*$B854)-'Business Case'!F11*$C854*'Business Case'!F13*$D854-'Business Case'!F14*$E854)-MAX(0,(('Business Case'!F11*$C854*'Business Case'!F12*$B854)-'Business Case'!F11*$C854*'Business Case'!F13*$D854-'Business Case'!F14*$E854))*'Business Case'!$B$7-'Business Case'!$B$8*(('Business Case'!F11*$C854*'Business Case'!F12*$B854)-('Business Case'!E11*$C854*'Business Case'!E12*$B854))-'Business Case'!F15*$F854</f>
        <v>521089428.810552</v>
      </c>
      <c r="M854" s="39" t="n">
        <f aca="false">(('Business Case'!G11*$C854*'Business Case'!G12*$B854)-'Business Case'!G11*$C854*'Business Case'!G13*$D854-'Business Case'!G14*$E854)-MAX(0,(('Business Case'!G11*$C854*'Business Case'!G12*$B854)-'Business Case'!G11*$C854*'Business Case'!G13*$D854-'Business Case'!G14*$E854))*'Business Case'!$B$7-'Business Case'!$B$8*(('Business Case'!G11*$C854*'Business Case'!G12*$B854)-('Business Case'!F11*$C854*'Business Case'!F12*$B854))-'Business Case'!G15*$F854+'Business Case'!$B$8*('Business Case'!G11*$C854*'Business Case'!G12*$B854)</f>
        <v>690939492.029354</v>
      </c>
      <c r="N854" s="39" t="n">
        <f aca="false">IF(COUNT('Business Case'!B11:G11)=0,"",H854+NPV(G854,I854:M854))</f>
        <v>-944595112.972665</v>
      </c>
      <c r="P854" s="40" t="n">
        <f aca="true">RAND()</f>
        <v>0.284699719697354</v>
      </c>
      <c r="Q854" s="40" t="n">
        <f aca="true">RAND()</f>
        <v>0.377156396141433</v>
      </c>
      <c r="R854" s="40" t="n">
        <f aca="true">RAND()</f>
        <v>0.970150666634222</v>
      </c>
      <c r="S854" s="40" t="n">
        <f aca="true">RAND()</f>
        <v>0.656823500780896</v>
      </c>
      <c r="T854" s="40" t="n">
        <f aca="true">RAND()</f>
        <v>0.376029774085268</v>
      </c>
      <c r="U854" s="40" t="n">
        <f aca="true">RAND()</f>
        <v>0.614769837690283</v>
      </c>
    </row>
    <row r="855" customFormat="false" ht="15" hidden="false" customHeight="false" outlineLevel="0" collapsed="false">
      <c r="A855" s="36" t="n">
        <v>775</v>
      </c>
      <c r="B855" s="37" t="n">
        <f aca="false">1+IF($G$6=$E$6,$F$6,IF(P855&lt;($F$6-$E$6)/($G$6-$E$6),$E$6+SQRT(P855*($G$6-$E$6)*($F$6-$E$6)),$G$6-SQRT((1-P855)*($G$6-$E$6)*($G$6-$F$6))))</f>
        <v>0.949554815636309</v>
      </c>
      <c r="C855" s="37" t="n">
        <f aca="false">1+IF($G$7=$E$7,$F$7,IF(Q855&lt;($F$7-$E$7)/($G$7-$E$7),$E$7+SQRT(Q855*($G$7-$E$7)*($F$7-$E$7)),$G$7-SQRT((1-Q855)*($G$7-$E$7)*($G$7-$F$7))))</f>
        <v>0.99566939615449</v>
      </c>
      <c r="D855" s="37" t="n">
        <f aca="false">1+IF($G$8=$E$8,$F$8,IF(R855&lt;($F$8-$E$8)/($G$8-$E$8),$E$8+SQRT(R855*($G$8-$E$8)*($F$8-$E$8)),$G$8-SQRT((1-R855)*($G$8-$E$8)*($G$8-$F$8))))</f>
        <v>0.996822992022862</v>
      </c>
      <c r="E855" s="37" t="n">
        <f aca="false">1+IF($G$9=$E$9,$F$9,IF(S855&lt;($F$9-$E$9)/($G$9-$E$9),$E$9+SQRT(S855*($G$9-$E$9)*($F$9-$E$9)),$G$9-SQRT((1-S855)*($G$9-$E$9)*($G$9-$F$9))))</f>
        <v>0.997431877061558</v>
      </c>
      <c r="F855" s="37" t="n">
        <f aca="false">1+IF($G$10=$E$10,$F$10,IF(T855&lt;($F$10-$E$10)/($G$10-$E$10),$E$10+SQRT(T855*($G$10-$E$10)*($F$10-$E$10)),$G$10-SQRT((1-T855)*($G$10-$E$10)*($G$10-$F$10))))</f>
        <v>1.06486736991279</v>
      </c>
      <c r="G855" s="38" t="n">
        <f aca="false">IF($G$11=$E$11,$F$11,IF(U855&lt;($F$11-$E$11)/($G$11-$E$11),$E$11+SQRT(U855*($G$11-$E$11)*($F$11-$E$11)),$G$11-SQRT((1-U855)*($G$11-$E$11)*($G$11-$F$11))))</f>
        <v>0.0982378950978904</v>
      </c>
      <c r="H855" s="39" t="n">
        <f aca="false">(('Business Case'!B11*$C855*'Business Case'!B12*$B855)-'Business Case'!B11*$C855*'Business Case'!B13*$D855-'Business Case'!B14*$E855)-MAX(0,(('Business Case'!B11*$C855*'Business Case'!B12*$B855)-'Business Case'!B11*$C855*'Business Case'!B13*$D855-'Business Case'!B14*$E855))*'Business Case'!$B$7-'Business Case'!$B$8*('Business Case'!B11*$C855*'Business Case'!B12*$B855)-'Business Case'!B15*$F855</f>
        <v>-2129734739.82558</v>
      </c>
      <c r="I855" s="39" t="n">
        <f aca="false">(('Business Case'!C11*$C855*'Business Case'!C12*$B855)-'Business Case'!C11*$C855*'Business Case'!C13*$D855-'Business Case'!C14*$E855)-MAX(0,(('Business Case'!C11*$C855*'Business Case'!C12*$B855)-'Business Case'!C11*$C855*'Business Case'!C13*$D855-'Business Case'!C14*$E855))*'Business Case'!$B$7-'Business Case'!$B$8*(('Business Case'!C11*$C855*'Business Case'!C12*$B855)-('Business Case'!B11*$C855*'Business Case'!B12*$B855))-'Business Case'!C15*$F855</f>
        <v>-31031425.9334872</v>
      </c>
      <c r="J855" s="39" t="n">
        <f aca="false">(('Business Case'!D11*$C855*'Business Case'!D12*$B855)-'Business Case'!D11*$C855*'Business Case'!D13*$D855-'Business Case'!D14*$E855)-MAX(0,(('Business Case'!D11*$C855*'Business Case'!D12*$B855)-'Business Case'!D11*$C855*'Business Case'!D13*$D855-'Business Case'!D14*$E855))*'Business Case'!$B$7-'Business Case'!$B$8*(('Business Case'!D11*$C855*'Business Case'!D12*$B855)-('Business Case'!C11*$C855*'Business Case'!C12*$B855))-'Business Case'!D15*$F855</f>
        <v>235270446.050084</v>
      </c>
      <c r="K855" s="39" t="n">
        <f aca="false">(('Business Case'!E11*$C855*'Business Case'!E12*$B855)-'Business Case'!E11*$C855*'Business Case'!E13*$D855-'Business Case'!E14*$E855)-MAX(0,(('Business Case'!E11*$C855*'Business Case'!E12*$B855)-'Business Case'!E11*$C855*'Business Case'!E13*$D855-'Business Case'!E14*$E855))*'Business Case'!$B$7-'Business Case'!$B$8*(('Business Case'!E11*$C855*'Business Case'!E12*$B855)-('Business Case'!D11*$C855*'Business Case'!D12*$B855))-'Business Case'!E15*$F855</f>
        <v>554815686.529295</v>
      </c>
      <c r="L855" s="39" t="n">
        <f aca="false">(('Business Case'!F11*$C855*'Business Case'!F12*$B855)-'Business Case'!F11*$C855*'Business Case'!F13*$D855-'Business Case'!F14*$E855)-MAX(0,(('Business Case'!F11*$C855*'Business Case'!F12*$B855)-'Business Case'!F11*$C855*'Business Case'!F13*$D855-'Business Case'!F14*$E855))*'Business Case'!$B$7-'Business Case'!$B$8*(('Business Case'!F11*$C855*'Business Case'!F12*$B855)-('Business Case'!E11*$C855*'Business Case'!E12*$B855))-'Business Case'!F15*$F855</f>
        <v>676257475.862236</v>
      </c>
      <c r="M855" s="39" t="n">
        <f aca="false">(('Business Case'!G11*$C855*'Business Case'!G12*$B855)-'Business Case'!G11*$C855*'Business Case'!G13*$D855-'Business Case'!G14*$E855)-MAX(0,(('Business Case'!G11*$C855*'Business Case'!G12*$B855)-'Business Case'!G11*$C855*'Business Case'!G13*$D855-'Business Case'!G14*$E855))*'Business Case'!$B$7-'Business Case'!$B$8*(('Business Case'!G11*$C855*'Business Case'!G12*$B855)-('Business Case'!F11*$C855*'Business Case'!F12*$B855))-'Business Case'!G15*$F855+'Business Case'!$B$8*('Business Case'!G11*$C855*'Business Case'!G12*$B855)</f>
        <v>855967218.556865</v>
      </c>
      <c r="N855" s="39" t="n">
        <f aca="false">IF(COUNT('Business Case'!B11:G11)=0,"",H855+NPV(G855,I855:M855))</f>
        <v>-543446334.281354</v>
      </c>
      <c r="P855" s="40" t="n">
        <f aca="true">RAND()</f>
        <v>0.163711983516569</v>
      </c>
      <c r="Q855" s="40" t="n">
        <f aca="true">RAND()</f>
        <v>0.647558457943412</v>
      </c>
      <c r="R855" s="40" t="n">
        <f aca="true">RAND()</f>
        <v>0.292319010929737</v>
      </c>
      <c r="S855" s="40" t="n">
        <f aca="true">RAND()</f>
        <v>0.379718826709543</v>
      </c>
      <c r="T855" s="40" t="n">
        <f aca="true">RAND()</f>
        <v>0.543012123693232</v>
      </c>
      <c r="U855" s="40" t="n">
        <f aca="true">RAND()</f>
        <v>0.332620817601654</v>
      </c>
    </row>
    <row r="856" customFormat="false" ht="15" hidden="false" customHeight="false" outlineLevel="0" collapsed="false">
      <c r="A856" s="36" t="n">
        <v>776</v>
      </c>
      <c r="B856" s="37" t="n">
        <f aca="false">1+IF($G$6=$E$6,$F$6,IF(P856&lt;($F$6-$E$6)/($G$6-$E$6),$E$6+SQRT(P856*($G$6-$E$6)*($F$6-$E$6)),$G$6-SQRT((1-P856)*($G$6-$E$6)*($G$6-$F$6))))</f>
        <v>1.00615054880913</v>
      </c>
      <c r="C856" s="37" t="n">
        <f aca="false">1+IF($G$7=$E$7,$F$7,IF(Q856&lt;($F$7-$E$7)/($G$7-$E$7),$E$7+SQRT(Q856*($G$7-$E$7)*($F$7-$E$7)),$G$7-SQRT((1-Q856)*($G$7-$E$7)*($G$7-$F$7))))</f>
        <v>1.02069863058899</v>
      </c>
      <c r="D856" s="37" t="n">
        <f aca="false">1+IF($G$8=$E$8,$F$8,IF(R856&lt;($F$8-$E$8)/($G$8-$E$8),$E$8+SQRT(R856*($G$8-$E$8)*($F$8-$E$8)),$G$8-SQRT((1-R856)*($G$8-$E$8)*($G$8-$F$8))))</f>
        <v>1.00694121840462</v>
      </c>
      <c r="E856" s="37" t="n">
        <f aca="false">1+IF($G$9=$E$9,$F$9,IF(S856&lt;($F$9-$E$9)/($G$9-$E$9),$E$9+SQRT(S856*($G$9-$E$9)*($F$9-$E$9)),$G$9-SQRT((1-S856)*($G$9-$E$9)*($G$9-$F$9))))</f>
        <v>1.00810422153261</v>
      </c>
      <c r="F856" s="37" t="n">
        <f aca="false">1+IF($G$10=$E$10,$F$10,IF(T856&lt;($F$10-$E$10)/($G$10-$E$10),$E$10+SQRT(T856*($G$10-$E$10)*($F$10-$E$10)),$G$10-SQRT((1-T856)*($G$10-$E$10)*($G$10-$F$10))))</f>
        <v>1.20119784007543</v>
      </c>
      <c r="G856" s="38" t="n">
        <f aca="false">IF($G$11=$E$11,$F$11,IF(U856&lt;($F$11-$E$11)/($G$11-$E$11),$E$11+SQRT(U856*($G$11-$E$11)*($F$11-$E$11)),$G$11-SQRT((1-U856)*($G$11-$E$11)*($G$11-$F$11))))</f>
        <v>0.107653538344939</v>
      </c>
      <c r="H856" s="39" t="n">
        <f aca="false">(('Business Case'!B11*$C856*'Business Case'!B12*$B856)-'Business Case'!B11*$C856*'Business Case'!B13*$D856-'Business Case'!B14*$E856)-MAX(0,(('Business Case'!B11*$C856*'Business Case'!B12*$B856)-'Business Case'!B11*$C856*'Business Case'!B13*$D856-'Business Case'!B14*$E856))*'Business Case'!$B$7-'Business Case'!$B$8*('Business Case'!B11*$C856*'Business Case'!B12*$B856)-'Business Case'!B15*$F856</f>
        <v>-2402395680.15087</v>
      </c>
      <c r="I856" s="39" t="n">
        <f aca="false">(('Business Case'!C11*$C856*'Business Case'!C12*$B856)-'Business Case'!C11*$C856*'Business Case'!C13*$D856-'Business Case'!C14*$E856)-MAX(0,(('Business Case'!C11*$C856*'Business Case'!C12*$B856)-'Business Case'!C11*$C856*'Business Case'!C13*$D856-'Business Case'!C14*$E856))*'Business Case'!$B$7-'Business Case'!$B$8*(('Business Case'!C11*$C856*'Business Case'!C12*$B856)-('Business Case'!B11*$C856*'Business Case'!B12*$B856))-'Business Case'!C15*$F856</f>
        <v>-1685920.92312559</v>
      </c>
      <c r="J856" s="39" t="n">
        <f aca="false">(('Business Case'!D11*$C856*'Business Case'!D12*$B856)-'Business Case'!D11*$C856*'Business Case'!D13*$D856-'Business Case'!D14*$E856)-MAX(0,(('Business Case'!D11*$C856*'Business Case'!D12*$B856)-'Business Case'!D11*$C856*'Business Case'!D13*$D856-'Business Case'!D14*$E856))*'Business Case'!$B$7-'Business Case'!$B$8*(('Business Case'!D11*$C856*'Business Case'!D12*$B856)-('Business Case'!C11*$C856*'Business Case'!C12*$B856))-'Business Case'!D15*$F856</f>
        <v>313338823.566719</v>
      </c>
      <c r="K856" s="39" t="n">
        <f aca="false">(('Business Case'!E11*$C856*'Business Case'!E12*$B856)-'Business Case'!E11*$C856*'Business Case'!E13*$D856-'Business Case'!E14*$E856)-MAX(0,(('Business Case'!E11*$C856*'Business Case'!E12*$B856)-'Business Case'!E11*$C856*'Business Case'!E13*$D856-'Business Case'!E14*$E856))*'Business Case'!$B$7-'Business Case'!$B$8*(('Business Case'!E11*$C856*'Business Case'!E12*$B856)-('Business Case'!D11*$C856*'Business Case'!D12*$B856))-'Business Case'!E15*$F856</f>
        <v>688423460.060336</v>
      </c>
      <c r="L856" s="39" t="n">
        <f aca="false">(('Business Case'!F11*$C856*'Business Case'!F12*$B856)-'Business Case'!F11*$C856*'Business Case'!F13*$D856-'Business Case'!F14*$E856)-MAX(0,(('Business Case'!F11*$C856*'Business Case'!F12*$B856)-'Business Case'!F11*$C856*'Business Case'!F13*$D856-'Business Case'!F14*$E856))*'Business Case'!$B$7-'Business Case'!$B$8*(('Business Case'!F11*$C856*'Business Case'!F12*$B856)-('Business Case'!E11*$C856*'Business Case'!E12*$B856))-'Business Case'!F15*$F856</f>
        <v>828924015.625944</v>
      </c>
      <c r="M856" s="39" t="n">
        <f aca="false">(('Business Case'!G11*$C856*'Business Case'!G12*$B856)-'Business Case'!G11*$C856*'Business Case'!G13*$D856-'Business Case'!G14*$E856)-MAX(0,(('Business Case'!G11*$C856*'Business Case'!G12*$B856)-'Business Case'!G11*$C856*'Business Case'!G13*$D856-'Business Case'!G14*$E856))*'Business Case'!$B$7-'Business Case'!$B$8*(('Business Case'!G11*$C856*'Business Case'!G12*$B856)-('Business Case'!F11*$C856*'Business Case'!F12*$B856))-'Business Case'!G15*$F856+'Business Case'!$B$8*('Business Case'!G11*$C856*'Business Case'!G12*$B856)</f>
        <v>1024131706.33874</v>
      </c>
      <c r="N856" s="39" t="n">
        <f aca="false">IF(COUNT('Business Case'!B11:G11)=0,"",H856+NPV(G856,I856:M856))</f>
        <v>-477034430.540803</v>
      </c>
      <c r="P856" s="40" t="n">
        <f aca="true">RAND()</f>
        <v>0.743630084034619</v>
      </c>
      <c r="Q856" s="40" t="n">
        <f aca="true">RAND()</f>
        <v>0.75231342027316</v>
      </c>
      <c r="R856" s="40" t="n">
        <f aca="true">RAND()</f>
        <v>0.422670877865612</v>
      </c>
      <c r="S856" s="40" t="n">
        <f aca="true">RAND()</f>
        <v>0.463082348083551</v>
      </c>
      <c r="T856" s="40" t="n">
        <f aca="true">RAND()</f>
        <v>0.968244655822627</v>
      </c>
      <c r="U856" s="40" t="n">
        <f aca="true">RAND()</f>
        <v>0.667090434332586</v>
      </c>
    </row>
    <row r="857" customFormat="false" ht="15" hidden="false" customHeight="false" outlineLevel="0" collapsed="false">
      <c r="A857" s="36" t="n">
        <v>777</v>
      </c>
      <c r="B857" s="37" t="n">
        <f aca="false">1+IF($G$6=$E$6,$F$6,IF(P857&lt;($F$6-$E$6)/($G$6-$E$6),$E$6+SQRT(P857*($G$6-$E$6)*($F$6-$E$6)),$G$6-SQRT((1-P857)*($G$6-$E$6)*($G$6-$F$6))))</f>
        <v>0.954068126902491</v>
      </c>
      <c r="C857" s="37" t="n">
        <f aca="false">1+IF($G$7=$E$7,$F$7,IF(Q857&lt;($F$7-$E$7)/($G$7-$E$7),$E$7+SQRT(Q857*($G$7-$E$7)*($F$7-$E$7)),$G$7-SQRT((1-Q857)*($G$7-$E$7)*($G$7-$F$7))))</f>
        <v>1.01710847395094</v>
      </c>
      <c r="D857" s="37" t="n">
        <f aca="false">1+IF($G$8=$E$8,$F$8,IF(R857&lt;($F$8-$E$8)/($G$8-$E$8),$E$8+SQRT(R857*($G$8-$E$8)*($F$8-$E$8)),$G$8-SQRT((1-R857)*($G$8-$E$8)*($G$8-$F$8))))</f>
        <v>0.982814426372424</v>
      </c>
      <c r="E857" s="37" t="n">
        <f aca="false">1+IF($G$9=$E$9,$F$9,IF(S857&lt;($F$9-$E$9)/($G$9-$E$9),$E$9+SQRT(S857*($G$9-$E$9)*($F$9-$E$9)),$G$9-SQRT((1-S857)*($G$9-$E$9)*($G$9-$F$9))))</f>
        <v>0.952644883778732</v>
      </c>
      <c r="F857" s="37" t="n">
        <f aca="false">1+IF($G$10=$E$10,$F$10,IF(T857&lt;($F$10-$E$10)/($G$10-$E$10),$E$10+SQRT(T857*($G$10-$E$10)*($F$10-$E$10)),$G$10-SQRT((1-T857)*($G$10-$E$10)*($G$10-$F$10))))</f>
        <v>1.12308944187229</v>
      </c>
      <c r="G857" s="38" t="n">
        <f aca="false">IF($G$11=$E$11,$F$11,IF(U857&lt;($F$11-$E$11)/($G$11-$E$11),$E$11+SQRT(U857*($G$11-$E$11)*($F$11-$E$11)),$G$11-SQRT((1-U857)*($G$11-$E$11)*($G$11-$F$11))))</f>
        <v>0.0970260610433402</v>
      </c>
      <c r="H857" s="39" t="n">
        <f aca="false">(('Business Case'!B11*$C857*'Business Case'!B12*$B857)-'Business Case'!B11*$C857*'Business Case'!B13*$D857-'Business Case'!B14*$E857)-MAX(0,(('Business Case'!B11*$C857*'Business Case'!B12*$B857)-'Business Case'!B11*$C857*'Business Case'!B13*$D857-'Business Case'!B14*$E857))*'Business Case'!$B$7-'Business Case'!$B$8*('Business Case'!B11*$C857*'Business Case'!B12*$B857)-'Business Case'!B15*$F857</f>
        <v>-2246178883.74458</v>
      </c>
      <c r="I857" s="39" t="n">
        <f aca="false">(('Business Case'!C11*$C857*'Business Case'!C12*$B857)-'Business Case'!C11*$C857*'Business Case'!C13*$D857-'Business Case'!C14*$E857)-MAX(0,(('Business Case'!C11*$C857*'Business Case'!C12*$B857)-'Business Case'!C11*$C857*'Business Case'!C13*$D857-'Business Case'!C14*$E857))*'Business Case'!$B$7-'Business Case'!$B$8*(('Business Case'!C11*$C857*'Business Case'!C12*$B857)-('Business Case'!B11*$C857*'Business Case'!B12*$B857))-'Business Case'!C15*$F857</f>
        <v>-14990207.3073598</v>
      </c>
      <c r="J857" s="39" t="n">
        <f aca="false">(('Business Case'!D11*$C857*'Business Case'!D12*$B857)-'Business Case'!D11*$C857*'Business Case'!D13*$D857-'Business Case'!D14*$E857)-MAX(0,(('Business Case'!D11*$C857*'Business Case'!D12*$B857)-'Business Case'!D11*$C857*'Business Case'!D13*$D857-'Business Case'!D14*$E857))*'Business Case'!$B$7-'Business Case'!$B$8*(('Business Case'!D11*$C857*'Business Case'!D12*$B857)-('Business Case'!C11*$C857*'Business Case'!C12*$B857))-'Business Case'!D15*$F857</f>
        <v>268099689.904739</v>
      </c>
      <c r="K857" s="39" t="n">
        <f aca="false">(('Business Case'!E11*$C857*'Business Case'!E12*$B857)-'Business Case'!E11*$C857*'Business Case'!E13*$D857-'Business Case'!E14*$E857)-MAX(0,(('Business Case'!E11*$C857*'Business Case'!E12*$B857)-'Business Case'!E11*$C857*'Business Case'!E13*$D857-'Business Case'!E14*$E857))*'Business Case'!$B$7-'Business Case'!$B$8*(('Business Case'!E11*$C857*'Business Case'!E12*$B857)-('Business Case'!D11*$C857*'Business Case'!D12*$B857))-'Business Case'!E15*$F857</f>
        <v>607344059.210452</v>
      </c>
      <c r="L857" s="39" t="n">
        <f aca="false">(('Business Case'!F11*$C857*'Business Case'!F12*$B857)-'Business Case'!F11*$C857*'Business Case'!F13*$D857-'Business Case'!F14*$E857)-MAX(0,(('Business Case'!F11*$C857*'Business Case'!F12*$B857)-'Business Case'!F11*$C857*'Business Case'!F13*$D857-'Business Case'!F14*$E857))*'Business Case'!$B$7-'Business Case'!$B$8*(('Business Case'!F11*$C857*'Business Case'!F12*$B857)-('Business Case'!E11*$C857*'Business Case'!E12*$B857))-'Business Case'!F15*$F857</f>
        <v>735244063.520414</v>
      </c>
      <c r="M857" s="39" t="n">
        <f aca="false">(('Business Case'!G11*$C857*'Business Case'!G12*$B857)-'Business Case'!G11*$C857*'Business Case'!G13*$D857-'Business Case'!G14*$E857)-MAX(0,(('Business Case'!G11*$C857*'Business Case'!G12*$B857)-'Business Case'!G11*$C857*'Business Case'!G13*$D857-'Business Case'!G14*$E857))*'Business Case'!$B$7-'Business Case'!$B$8*(('Business Case'!G11*$C857*'Business Case'!G12*$B857)-('Business Case'!F11*$C857*'Business Case'!F12*$B857))-'Business Case'!G15*$F857+'Business Case'!$B$8*('Business Case'!G11*$C857*'Business Case'!G12*$B857)</f>
        <v>919695942.336356</v>
      </c>
      <c r="N857" s="39" t="n">
        <f aca="false">IF(COUNT('Business Case'!B11:G11)=0,"",H857+NPV(G857,I857:M857))</f>
        <v>-490552090.49779</v>
      </c>
      <c r="P857" s="40" t="n">
        <f aca="true">RAND()</f>
        <v>0.194890823116259</v>
      </c>
      <c r="Q857" s="40" t="n">
        <f aca="true">RAND()</f>
        <v>0.738368034138539</v>
      </c>
      <c r="R857" s="40" t="n">
        <f aca="true">RAND()</f>
        <v>0.143571543753498</v>
      </c>
      <c r="S857" s="40" t="n">
        <f aca="true">RAND()</f>
        <v>0.110859351523048</v>
      </c>
      <c r="T857" s="40" t="n">
        <f aca="true">RAND()</f>
        <v>0.785249469809516</v>
      </c>
      <c r="U857" s="40" t="n">
        <f aca="true">RAND()</f>
        <v>0.289886754651547</v>
      </c>
    </row>
    <row r="858" customFormat="false" ht="15" hidden="false" customHeight="false" outlineLevel="0" collapsed="false">
      <c r="A858" s="36" t="n">
        <v>778</v>
      </c>
      <c r="B858" s="37" t="n">
        <f aca="false">1+IF($G$6=$E$6,$F$6,IF(P858&lt;($F$6-$E$6)/($G$6-$E$6),$E$6+SQRT(P858*($G$6-$E$6)*($F$6-$E$6)),$G$6-SQRT((1-P858)*($G$6-$E$6)*($G$6-$F$6))))</f>
        <v>0.956109628507137</v>
      </c>
      <c r="C858" s="37" t="n">
        <f aca="false">1+IF($G$7=$E$7,$F$7,IF(Q858&lt;($F$7-$E$7)/($G$7-$E$7),$E$7+SQRT(Q858*($G$7-$E$7)*($F$7-$E$7)),$G$7-SQRT((1-Q858)*($G$7-$E$7)*($G$7-$F$7))))</f>
        <v>1.11268614124268</v>
      </c>
      <c r="D858" s="37" t="n">
        <f aca="false">1+IF($G$8=$E$8,$F$8,IF(R858&lt;($F$8-$E$8)/($G$8-$E$8),$E$8+SQRT(R858*($G$8-$E$8)*($F$8-$E$8)),$G$8-SQRT((1-R858)*($G$8-$E$8)*($G$8-$F$8))))</f>
        <v>0.992474224443145</v>
      </c>
      <c r="E858" s="37" t="n">
        <f aca="false">1+IF($G$9=$E$9,$F$9,IF(S858&lt;($F$9-$E$9)/($G$9-$E$9),$E$9+SQRT(S858*($G$9-$E$9)*($F$9-$E$9)),$G$9-SQRT((1-S858)*($G$9-$E$9)*($G$9-$F$9))))</f>
        <v>0.999764318256573</v>
      </c>
      <c r="F858" s="37" t="n">
        <f aca="false">1+IF($G$10=$E$10,$F$10,IF(T858&lt;($F$10-$E$10)/($G$10-$E$10),$E$10+SQRT(T858*($G$10-$E$10)*($F$10-$E$10)),$G$10-SQRT((1-T858)*($G$10-$E$10)*($G$10-$F$10))))</f>
        <v>1.16852787213437</v>
      </c>
      <c r="G858" s="38" t="n">
        <f aca="false">IF($G$11=$E$11,$F$11,IF(U858&lt;($F$11-$E$11)/($G$11-$E$11),$E$11+SQRT(U858*($G$11-$E$11)*($F$11-$E$11)),$G$11-SQRT((1-U858)*($G$11-$E$11)*($G$11-$F$11))))</f>
        <v>0.0985285129105263</v>
      </c>
      <c r="H858" s="39" t="n">
        <f aca="false">(('Business Case'!B11*$C858*'Business Case'!B12*$B858)-'Business Case'!B11*$C858*'Business Case'!B13*$D858-'Business Case'!B14*$E858)-MAX(0,(('Business Case'!B11*$C858*'Business Case'!B12*$B858)-'Business Case'!B11*$C858*'Business Case'!B13*$D858-'Business Case'!B14*$E858))*'Business Case'!$B$7-'Business Case'!$B$8*('Business Case'!B11*$C858*'Business Case'!B12*$B858)-'Business Case'!B15*$F858</f>
        <v>-2337055744.26875</v>
      </c>
      <c r="I858" s="39" t="n">
        <f aca="false">(('Business Case'!C11*$C858*'Business Case'!C12*$B858)-'Business Case'!C11*$C858*'Business Case'!C13*$D858-'Business Case'!C14*$E858)-MAX(0,(('Business Case'!C11*$C858*'Business Case'!C12*$B858)-'Business Case'!C11*$C858*'Business Case'!C13*$D858-'Business Case'!C14*$E858))*'Business Case'!$B$7-'Business Case'!$B$8*(('Business Case'!C11*$C858*'Business Case'!C12*$B858)-('Business Case'!B11*$C858*'Business Case'!B12*$B858))-'Business Case'!C15*$F858</f>
        <v>-8119121.6950399</v>
      </c>
      <c r="J858" s="39" t="n">
        <f aca="false">(('Business Case'!D11*$C858*'Business Case'!D12*$B858)-'Business Case'!D11*$C858*'Business Case'!D13*$D858-'Business Case'!D14*$E858)-MAX(0,(('Business Case'!D11*$C858*'Business Case'!D12*$B858)-'Business Case'!D11*$C858*'Business Case'!D13*$D858-'Business Case'!D14*$E858))*'Business Case'!$B$7-'Business Case'!$B$8*(('Business Case'!D11*$C858*'Business Case'!D12*$B858)-('Business Case'!C11*$C858*'Business Case'!C12*$B858))-'Business Case'!D15*$F858</f>
        <v>297931010.413864</v>
      </c>
      <c r="K858" s="39" t="n">
        <f aca="false">(('Business Case'!E11*$C858*'Business Case'!E12*$B858)-'Business Case'!E11*$C858*'Business Case'!E13*$D858-'Business Case'!E14*$E858)-MAX(0,(('Business Case'!E11*$C858*'Business Case'!E12*$B858)-'Business Case'!E11*$C858*'Business Case'!E13*$D858-'Business Case'!E14*$E858))*'Business Case'!$B$7-'Business Case'!$B$8*(('Business Case'!E11*$C858*'Business Case'!E12*$B858)-('Business Case'!D11*$C858*'Business Case'!D12*$B858))-'Business Case'!E15*$F858</f>
        <v>662407536.129487</v>
      </c>
      <c r="L858" s="39" t="n">
        <f aca="false">(('Business Case'!F11*$C858*'Business Case'!F12*$B858)-'Business Case'!F11*$C858*'Business Case'!F13*$D858-'Business Case'!F14*$E858)-MAX(0,(('Business Case'!F11*$C858*'Business Case'!F12*$B858)-'Business Case'!F11*$C858*'Business Case'!F13*$D858-'Business Case'!F14*$E858))*'Business Case'!$B$7-'Business Case'!$B$8*(('Business Case'!F11*$C858*'Business Case'!F12*$B858)-('Business Case'!E11*$C858*'Business Case'!E12*$B858))-'Business Case'!F15*$F858</f>
        <v>801190900.52207</v>
      </c>
      <c r="M858" s="39" t="n">
        <f aca="false">(('Business Case'!G11*$C858*'Business Case'!G12*$B858)-'Business Case'!G11*$C858*'Business Case'!G13*$D858-'Business Case'!G14*$E858)-MAX(0,(('Business Case'!G11*$C858*'Business Case'!G12*$B858)-'Business Case'!G11*$C858*'Business Case'!G13*$D858-'Business Case'!G14*$E858))*'Business Case'!$B$7-'Business Case'!$B$8*(('Business Case'!G11*$C858*'Business Case'!G12*$B858)-('Business Case'!F11*$C858*'Business Case'!F12*$B858))-'Business Case'!G15*$F858+'Business Case'!$B$8*('Business Case'!G11*$C858*'Business Case'!G12*$B858)</f>
        <v>1003407495.81495</v>
      </c>
      <c r="N858" s="39" t="n">
        <f aca="false">IF(COUNT('Business Case'!B11:G11)=0,"",H858+NPV(G858,I858:M858))</f>
        <v>-420500182.014999</v>
      </c>
      <c r="P858" s="40" t="n">
        <f aca="true">RAND()</f>
        <v>0.209886027413925</v>
      </c>
      <c r="Q858" s="40" t="n">
        <f aca="true">RAND()</f>
        <v>0.979372976957609</v>
      </c>
      <c r="R858" s="40" t="n">
        <f aca="true">RAND()</f>
        <v>0.240541298939549</v>
      </c>
      <c r="S858" s="40" t="n">
        <f aca="true">RAND()</f>
        <v>0.398116767887947</v>
      </c>
      <c r="T858" s="40" t="n">
        <f aca="true">RAND()</f>
        <v>0.911497231747293</v>
      </c>
      <c r="U858" s="40" t="n">
        <f aca="true">RAND()</f>
        <v>0.343305790675539</v>
      </c>
    </row>
    <row r="859" customFormat="false" ht="15" hidden="false" customHeight="false" outlineLevel="0" collapsed="false">
      <c r="A859" s="36" t="n">
        <v>779</v>
      </c>
      <c r="B859" s="37" t="n">
        <f aca="false">1+IF($G$6=$E$6,$F$6,IF(P859&lt;($F$6-$E$6)/($G$6-$E$6),$E$6+SQRT(P859*($G$6-$E$6)*($F$6-$E$6)),$G$6-SQRT((1-P859)*($G$6-$E$6)*($G$6-$F$6))))</f>
        <v>1.01116006517388</v>
      </c>
      <c r="C859" s="37" t="n">
        <f aca="false">1+IF($G$7=$E$7,$F$7,IF(Q859&lt;($F$7-$E$7)/($G$7-$E$7),$E$7+SQRT(Q859*($G$7-$E$7)*($F$7-$E$7)),$G$7-SQRT((1-Q859)*($G$7-$E$7)*($G$7-$F$7))))</f>
        <v>1.07649905619074</v>
      </c>
      <c r="D859" s="37" t="n">
        <f aca="false">1+IF($G$8=$E$8,$F$8,IF(R859&lt;($F$8-$E$8)/($G$8-$E$8),$E$8+SQRT(R859*($G$8-$E$8)*($F$8-$E$8)),$G$8-SQRT((1-R859)*($G$8-$E$8)*($G$8-$F$8))))</f>
        <v>1.03705444112433</v>
      </c>
      <c r="E859" s="37" t="n">
        <f aca="false">1+IF($G$9=$E$9,$F$9,IF(S859&lt;($F$9-$E$9)/($G$9-$E$9),$E$9+SQRT(S859*($G$9-$E$9)*($F$9-$E$9)),$G$9-SQRT((1-S859)*($G$9-$E$9)*($G$9-$F$9))))</f>
        <v>1.03604497700514</v>
      </c>
      <c r="F859" s="37" t="n">
        <f aca="false">1+IF($G$10=$E$10,$F$10,IF(T859&lt;($F$10-$E$10)/($G$10-$E$10),$E$10+SQRT(T859*($G$10-$E$10)*($F$10-$E$10)),$G$10-SQRT((1-T859)*($G$10-$E$10)*($G$10-$F$10))))</f>
        <v>1.10924203598618</v>
      </c>
      <c r="G859" s="38" t="n">
        <f aca="false">IF($G$11=$E$11,$F$11,IF(U859&lt;($F$11-$E$11)/($G$11-$E$11),$E$11+SQRT(U859*($G$11-$E$11)*($F$11-$E$11)),$G$11-SQRT((1-U859)*($G$11-$E$11)*($G$11-$F$11))))</f>
        <v>0.0935259497694651</v>
      </c>
      <c r="H859" s="39" t="n">
        <f aca="false">(('Business Case'!B11*$C859*'Business Case'!B12*$B859)-'Business Case'!B11*$C859*'Business Case'!B13*$D859-'Business Case'!B14*$E859)-MAX(0,(('Business Case'!B11*$C859*'Business Case'!B12*$B859)-'Business Case'!B11*$C859*'Business Case'!B13*$D859-'Business Case'!B14*$E859))*'Business Case'!$B$7-'Business Case'!$B$8*('Business Case'!B11*$C859*'Business Case'!B12*$B859)-'Business Case'!B15*$F859</f>
        <v>-2218484071.97237</v>
      </c>
      <c r="I859" s="39" t="n">
        <f aca="false">(('Business Case'!C11*$C859*'Business Case'!C12*$B859)-'Business Case'!C11*$C859*'Business Case'!C13*$D859-'Business Case'!C14*$E859)-MAX(0,(('Business Case'!C11*$C859*'Business Case'!C12*$B859)-'Business Case'!C11*$C859*'Business Case'!C13*$D859-'Business Case'!C14*$E859))*'Business Case'!$B$7-'Business Case'!$B$8*(('Business Case'!C11*$C859*'Business Case'!C12*$B859)-('Business Case'!B11*$C859*'Business Case'!B12*$B859))-'Business Case'!C15*$F859</f>
        <v>5390686.04651049</v>
      </c>
      <c r="J859" s="39" t="n">
        <f aca="false">(('Business Case'!D11*$C859*'Business Case'!D12*$B859)-'Business Case'!D11*$C859*'Business Case'!D13*$D859-'Business Case'!D14*$E859)-MAX(0,(('Business Case'!D11*$C859*'Business Case'!D12*$B859)-'Business Case'!D11*$C859*'Business Case'!D13*$D859-'Business Case'!D14*$E859))*'Business Case'!$B$7-'Business Case'!$B$8*(('Business Case'!D11*$C859*'Business Case'!D12*$B859)-('Business Case'!C11*$C859*'Business Case'!C12*$B859))-'Business Case'!D15*$F859</f>
        <v>325459677.867346</v>
      </c>
      <c r="K859" s="39" t="n">
        <f aca="false">(('Business Case'!E11*$C859*'Business Case'!E12*$B859)-'Business Case'!E11*$C859*'Business Case'!E13*$D859-'Business Case'!E14*$E859)-MAX(0,(('Business Case'!E11*$C859*'Business Case'!E12*$B859)-'Business Case'!E11*$C859*'Business Case'!E13*$D859-'Business Case'!E14*$E859))*'Business Case'!$B$7-'Business Case'!$B$8*(('Business Case'!E11*$C859*'Business Case'!E12*$B859)-('Business Case'!D11*$C859*'Business Case'!D12*$B859))-'Business Case'!E15*$F859</f>
        <v>700990771.487491</v>
      </c>
      <c r="L859" s="39" t="n">
        <f aca="false">(('Business Case'!F11*$C859*'Business Case'!F12*$B859)-'Business Case'!F11*$C859*'Business Case'!F13*$D859-'Business Case'!F14*$E859)-MAX(0,(('Business Case'!F11*$C859*'Business Case'!F12*$B859)-'Business Case'!F11*$C859*'Business Case'!F13*$D859-'Business Case'!F14*$E859))*'Business Case'!$B$7-'Business Case'!$B$8*(('Business Case'!F11*$C859*'Business Case'!F12*$B859)-('Business Case'!E11*$C859*'Business Case'!E12*$B859))-'Business Case'!F15*$F859</f>
        <v>845299439.724821</v>
      </c>
      <c r="M859" s="39" t="n">
        <f aca="false">(('Business Case'!G11*$C859*'Business Case'!G12*$B859)-'Business Case'!G11*$C859*'Business Case'!G13*$D859-'Business Case'!G14*$E859)-MAX(0,(('Business Case'!G11*$C859*'Business Case'!G12*$B859)-'Business Case'!G11*$C859*'Business Case'!G13*$D859-'Business Case'!G14*$E859))*'Business Case'!$B$7-'Business Case'!$B$8*(('Business Case'!G11*$C859*'Business Case'!G12*$B859)-('Business Case'!F11*$C859*'Business Case'!F12*$B859))-'Business Case'!G15*$F859+'Business Case'!$B$8*('Business Case'!G11*$C859*'Business Case'!G12*$B859)</f>
        <v>1052203963.3586</v>
      </c>
      <c r="N859" s="39" t="n">
        <f aca="false">IF(COUNT('Business Case'!B11:G11)=0,"",H859+NPV(G859,I859:M859))</f>
        <v>-141259522.30054</v>
      </c>
      <c r="P859" s="40" t="n">
        <f aca="true">RAND()</f>
        <v>0.798861261693716</v>
      </c>
      <c r="Q859" s="40" t="n">
        <f aca="true">RAND()</f>
        <v>0.919964611246642</v>
      </c>
      <c r="R859" s="40" t="n">
        <f aca="true">RAND()</f>
        <v>0.735857107855294</v>
      </c>
      <c r="S859" s="40" t="n">
        <f aca="true">RAND()</f>
        <v>0.653713406246399</v>
      </c>
      <c r="T859" s="40" t="n">
        <f aca="true">RAND()</f>
        <v>0.735829274222469</v>
      </c>
      <c r="U859" s="40" t="n">
        <f aca="true">RAND()</f>
        <v>0.182951317166093</v>
      </c>
    </row>
    <row r="860" customFormat="false" ht="15" hidden="false" customHeight="false" outlineLevel="0" collapsed="false">
      <c r="A860" s="36" t="n">
        <v>780</v>
      </c>
      <c r="B860" s="37" t="n">
        <f aca="false">1+IF($G$6=$E$6,$F$6,IF(P860&lt;($F$6-$E$6)/($G$6-$E$6),$E$6+SQRT(P860*($G$6-$E$6)*($F$6-$E$6)),$G$6-SQRT((1-P860)*($G$6-$E$6)*($G$6-$F$6))))</f>
        <v>1.0184858613834</v>
      </c>
      <c r="C860" s="37" t="n">
        <f aca="false">1+IF($G$7=$E$7,$F$7,IF(Q860&lt;($F$7-$E$7)/($G$7-$E$7),$E$7+SQRT(Q860*($G$7-$E$7)*($F$7-$E$7)),$G$7-SQRT((1-Q860)*($G$7-$E$7)*($G$7-$F$7))))</f>
        <v>0.994897197705574</v>
      </c>
      <c r="D860" s="37" t="n">
        <f aca="false">1+IF($G$8=$E$8,$F$8,IF(R860&lt;($F$8-$E$8)/($G$8-$E$8),$E$8+SQRT(R860*($G$8-$E$8)*($F$8-$E$8)),$G$8-SQRT((1-R860)*($G$8-$E$8)*($G$8-$F$8))))</f>
        <v>1.03018502880207</v>
      </c>
      <c r="E860" s="37" t="n">
        <f aca="false">1+IF($G$9=$E$9,$F$9,IF(S860&lt;($F$9-$E$9)/($G$9-$E$9),$E$9+SQRT(S860*($G$9-$E$9)*($F$9-$E$9)),$G$9-SQRT((1-S860)*($G$9-$E$9)*($G$9-$F$9))))</f>
        <v>1.08755806722565</v>
      </c>
      <c r="F860" s="37" t="n">
        <f aca="false">1+IF($G$10=$E$10,$F$10,IF(T860&lt;($F$10-$E$10)/($G$10-$E$10),$E$10+SQRT(T860*($G$10-$E$10)*($F$10-$E$10)),$G$10-SQRT((1-T860)*($G$10-$E$10)*($G$10-$F$10))))</f>
        <v>0.997054836975553</v>
      </c>
      <c r="G860" s="38" t="n">
        <f aca="false">IF($G$11=$E$11,$F$11,IF(U860&lt;($F$11-$E$11)/($G$11-$E$11),$E$11+SQRT(U860*($G$11-$E$11)*($F$11-$E$11)),$G$11-SQRT((1-U860)*($G$11-$E$11)*($G$11-$F$11))))</f>
        <v>0.081778975336609</v>
      </c>
      <c r="H860" s="39" t="n">
        <f aca="false">(('Business Case'!B11*$C860*'Business Case'!B12*$B860)-'Business Case'!B11*$C860*'Business Case'!B13*$D860-'Business Case'!B14*$E860)-MAX(0,(('Business Case'!B11*$C860*'Business Case'!B12*$B860)-'Business Case'!B11*$C860*'Business Case'!B13*$D860-'Business Case'!B14*$E860))*'Business Case'!$B$7-'Business Case'!$B$8*('Business Case'!B11*$C860*'Business Case'!B12*$B860)-'Business Case'!B15*$F860</f>
        <v>-1994109673.95111</v>
      </c>
      <c r="I860" s="39" t="n">
        <f aca="false">(('Business Case'!C11*$C860*'Business Case'!C12*$B860)-'Business Case'!C11*$C860*'Business Case'!C13*$D860-'Business Case'!C14*$E860)-MAX(0,(('Business Case'!C11*$C860*'Business Case'!C12*$B860)-'Business Case'!C11*$C860*'Business Case'!C13*$D860-'Business Case'!C14*$E860))*'Business Case'!$B$7-'Business Case'!$B$8*(('Business Case'!C11*$C860*'Business Case'!C12*$B860)-('Business Case'!B11*$C860*'Business Case'!B12*$B860))-'Business Case'!C15*$F860</f>
        <v>-1609945.68745396</v>
      </c>
      <c r="J860" s="39" t="n">
        <f aca="false">(('Business Case'!D11*$C860*'Business Case'!D12*$B860)-'Business Case'!D11*$C860*'Business Case'!D13*$D860-'Business Case'!D14*$E860)-MAX(0,(('Business Case'!D11*$C860*'Business Case'!D12*$B860)-'Business Case'!D11*$C860*'Business Case'!D13*$D860-'Business Case'!D14*$E860))*'Business Case'!$B$7-'Business Case'!$B$8*(('Business Case'!D11*$C860*'Business Case'!D12*$B860)-('Business Case'!C11*$C860*'Business Case'!C12*$B860))-'Business Case'!D15*$F860</f>
        <v>303665237.213872</v>
      </c>
      <c r="K860" s="39" t="n">
        <f aca="false">(('Business Case'!E11*$C860*'Business Case'!E12*$B860)-'Business Case'!E11*$C860*'Business Case'!E13*$D860-'Business Case'!E14*$E860)-MAX(0,(('Business Case'!E11*$C860*'Business Case'!E12*$B860)-'Business Case'!E11*$C860*'Business Case'!E13*$D860-'Business Case'!E14*$E860))*'Business Case'!$B$7-'Business Case'!$B$8*(('Business Case'!E11*$C860*'Business Case'!E12*$B860)-('Business Case'!D11*$C860*'Business Case'!D12*$B860))-'Business Case'!E15*$F860</f>
        <v>658793161.963975</v>
      </c>
      <c r="L860" s="39" t="n">
        <f aca="false">(('Business Case'!F11*$C860*'Business Case'!F12*$B860)-'Business Case'!F11*$C860*'Business Case'!F13*$D860-'Business Case'!F14*$E860)-MAX(0,(('Business Case'!F11*$C860*'Business Case'!F12*$B860)-'Business Case'!F11*$C860*'Business Case'!F13*$D860-'Business Case'!F14*$E860))*'Business Case'!$B$7-'Business Case'!$B$8*(('Business Case'!F11*$C860*'Business Case'!F12*$B860)-('Business Case'!E11*$C860*'Business Case'!E12*$B860))-'Business Case'!F15*$F860</f>
        <v>795570814.752242</v>
      </c>
      <c r="M860" s="39" t="n">
        <f aca="false">(('Business Case'!G11*$C860*'Business Case'!G12*$B860)-'Business Case'!G11*$C860*'Business Case'!G13*$D860-'Business Case'!G14*$E860)-MAX(0,(('Business Case'!G11*$C860*'Business Case'!G12*$B860)-'Business Case'!G11*$C860*'Business Case'!G13*$D860-'Business Case'!G14*$E860))*'Business Case'!$B$7-'Business Case'!$B$8*(('Business Case'!G11*$C860*'Business Case'!G12*$B860)-('Business Case'!F11*$C860*'Business Case'!F12*$B860))-'Business Case'!G15*$F860+'Business Case'!$B$8*('Business Case'!G11*$C860*'Business Case'!G12*$B860)</f>
        <v>988176736.43528</v>
      </c>
      <c r="N860" s="39" t="n">
        <f aca="false">IF(COUNT('Business Case'!B11:G11)=0,"",H860+NPV(G860,I860:M860))</f>
        <v>32241883.5594814</v>
      </c>
      <c r="P860" s="40" t="n">
        <f aca="true">RAND()</f>
        <v>0.867581208967122</v>
      </c>
      <c r="Q860" s="40" t="n">
        <f aca="true">RAND()</f>
        <v>0.644180423811856</v>
      </c>
      <c r="R860" s="40" t="n">
        <f aca="true">RAND()</f>
        <v>0.67505798644219</v>
      </c>
      <c r="S860" s="40" t="n">
        <f aca="true">RAND()</f>
        <v>0.896026800837413</v>
      </c>
      <c r="T860" s="40" t="n">
        <f aca="true">RAND()</f>
        <v>0.147610512186393</v>
      </c>
      <c r="U860" s="40" t="n">
        <f aca="true">RAND()</f>
        <v>0.00316475324826301</v>
      </c>
    </row>
    <row r="861" customFormat="false" ht="15" hidden="false" customHeight="false" outlineLevel="0" collapsed="false">
      <c r="A861" s="36" t="n">
        <v>781</v>
      </c>
      <c r="B861" s="37" t="n">
        <f aca="false">1+IF($G$6=$E$6,$F$6,IF(P861&lt;($F$6-$E$6)/($G$6-$E$6),$E$6+SQRT(P861*($G$6-$E$6)*($F$6-$E$6)),$G$6-SQRT((1-P861)*($G$6-$E$6)*($G$6-$F$6))))</f>
        <v>0.960388178271988</v>
      </c>
      <c r="C861" s="37" t="n">
        <f aca="false">1+IF($G$7=$E$7,$F$7,IF(Q861&lt;($F$7-$E$7)/($G$7-$E$7),$E$7+SQRT(Q861*($G$7-$E$7)*($F$7-$E$7)),$G$7-SQRT((1-Q861)*($G$7-$E$7)*($G$7-$F$7))))</f>
        <v>1.0156448094429</v>
      </c>
      <c r="D861" s="37" t="n">
        <f aca="false">1+IF($G$8=$E$8,$F$8,IF(R861&lt;($F$8-$E$8)/($G$8-$E$8),$E$8+SQRT(R861*($G$8-$E$8)*($F$8-$E$8)),$G$8-SQRT((1-R861)*($G$8-$E$8)*($G$8-$F$8))))</f>
        <v>0.974137928302519</v>
      </c>
      <c r="E861" s="37" t="n">
        <f aca="false">1+IF($G$9=$E$9,$F$9,IF(S861&lt;($F$9-$E$9)/($G$9-$E$9),$E$9+SQRT(S861*($G$9-$E$9)*($F$9-$E$9)),$G$9-SQRT((1-S861)*($G$9-$E$9)*($G$9-$F$9))))</f>
        <v>0.991834386598253</v>
      </c>
      <c r="F861" s="37" t="n">
        <f aca="false">1+IF($G$10=$E$10,$F$10,IF(T861&lt;($F$10-$E$10)/($G$10-$E$10),$E$10+SQRT(T861*($G$10-$E$10)*($F$10-$E$10)),$G$10-SQRT((1-T861)*($G$10-$E$10)*($G$10-$F$10))))</f>
        <v>0.973409731185165</v>
      </c>
      <c r="G861" s="38" t="n">
        <f aca="false">IF($G$11=$E$11,$F$11,IF(U861&lt;($F$11-$E$11)/($G$11-$E$11),$E$11+SQRT(U861*($G$11-$E$11)*($F$11-$E$11)),$G$11-SQRT((1-U861)*($G$11-$E$11)*($G$11-$F$11))))</f>
        <v>0.108766395058898</v>
      </c>
      <c r="H861" s="39" t="n">
        <f aca="false">(('Business Case'!B11*$C861*'Business Case'!B12*$B861)-'Business Case'!B11*$C861*'Business Case'!B13*$D861-'Business Case'!B14*$E861)-MAX(0,(('Business Case'!B11*$C861*'Business Case'!B12*$B861)-'Business Case'!B11*$C861*'Business Case'!B13*$D861-'Business Case'!B14*$E861))*'Business Case'!$B$7-'Business Case'!$B$8*('Business Case'!B11*$C861*'Business Case'!B12*$B861)-'Business Case'!B15*$F861</f>
        <v>-1946819462.37033</v>
      </c>
      <c r="I861" s="39" t="n">
        <f aca="false">(('Business Case'!C11*$C861*'Business Case'!C12*$B861)-'Business Case'!C11*$C861*'Business Case'!C13*$D861-'Business Case'!C14*$E861)-MAX(0,(('Business Case'!C11*$C861*'Business Case'!C12*$B861)-'Business Case'!C11*$C861*'Business Case'!C13*$D861-'Business Case'!C14*$E861))*'Business Case'!$B$7-'Business Case'!$B$8*(('Business Case'!C11*$C861*'Business Case'!C12*$B861)-('Business Case'!B11*$C861*'Business Case'!B12*$B861))-'Business Case'!C15*$F861</f>
        <v>3505997.18371488</v>
      </c>
      <c r="J861" s="39" t="n">
        <f aca="false">(('Business Case'!D11*$C861*'Business Case'!D12*$B861)-'Business Case'!D11*$C861*'Business Case'!D13*$D861-'Business Case'!D14*$E861)-MAX(0,(('Business Case'!D11*$C861*'Business Case'!D12*$B861)-'Business Case'!D11*$C861*'Business Case'!D13*$D861-'Business Case'!D14*$E861))*'Business Case'!$B$7-'Business Case'!$B$8*(('Business Case'!D11*$C861*'Business Case'!D12*$B861)-('Business Case'!C11*$C861*'Business Case'!C12*$B861))-'Business Case'!D15*$F861</f>
        <v>295957241.089526</v>
      </c>
      <c r="K861" s="39" t="n">
        <f aca="false">(('Business Case'!E11*$C861*'Business Case'!E12*$B861)-'Business Case'!E11*$C861*'Business Case'!E13*$D861-'Business Case'!E14*$E861)-MAX(0,(('Business Case'!E11*$C861*'Business Case'!E12*$B861)-'Business Case'!E11*$C861*'Business Case'!E13*$D861-'Business Case'!E14*$E861))*'Business Case'!$B$7-'Business Case'!$B$8*(('Business Case'!E11*$C861*'Business Case'!E12*$B861)-('Business Case'!D11*$C861*'Business Case'!D12*$B861))-'Business Case'!E15*$F861</f>
        <v>637078971.554595</v>
      </c>
      <c r="L861" s="39" t="n">
        <f aca="false">(('Business Case'!F11*$C861*'Business Case'!F12*$B861)-'Business Case'!F11*$C861*'Business Case'!F13*$D861-'Business Case'!F14*$E861)-MAX(0,(('Business Case'!F11*$C861*'Business Case'!F12*$B861)-'Business Case'!F11*$C861*'Business Case'!F13*$D861-'Business Case'!F14*$E861))*'Business Case'!$B$7-'Business Case'!$B$8*(('Business Case'!F11*$C861*'Business Case'!F12*$B861)-('Business Case'!E11*$C861*'Business Case'!E12*$B861))-'Business Case'!F15*$F861</f>
        <v>768273002.07607</v>
      </c>
      <c r="M861" s="39" t="n">
        <f aca="false">(('Business Case'!G11*$C861*'Business Case'!G12*$B861)-'Business Case'!G11*$C861*'Business Case'!G13*$D861-'Business Case'!G14*$E861)-MAX(0,(('Business Case'!G11*$C861*'Business Case'!G12*$B861)-'Business Case'!G11*$C861*'Business Case'!G13*$D861-'Business Case'!G14*$E861))*'Business Case'!$B$7-'Business Case'!$B$8*(('Business Case'!G11*$C861*'Business Case'!G12*$B861)-('Business Case'!F11*$C861*'Business Case'!F12*$B861))-'Business Case'!G15*$F861+'Business Case'!$B$8*('Business Case'!G11*$C861*'Business Case'!G12*$B861)</f>
        <v>953679556.116866</v>
      </c>
      <c r="N861" s="39" t="n">
        <f aca="false">IF(COUNT('Business Case'!B11:G11)=0,"",H861+NPV(G861,I861:M861))</f>
        <v>-158074757.397522</v>
      </c>
      <c r="P861" s="40" t="n">
        <f aca="true">RAND()</f>
        <v>0.243115471667296</v>
      </c>
      <c r="Q861" s="40" t="n">
        <f aca="true">RAND()</f>
        <v>0.732573078079488</v>
      </c>
      <c r="R861" s="40" t="n">
        <f aca="true">RAND()</f>
        <v>0.0776852776983408</v>
      </c>
      <c r="S861" s="40" t="n">
        <f aca="true">RAND()</f>
        <v>0.337342182475095</v>
      </c>
      <c r="T861" s="40" t="n">
        <f aca="true">RAND()</f>
        <v>0.0365343676107777</v>
      </c>
      <c r="U861" s="40" t="n">
        <f aca="true">RAND()</f>
        <v>0.699422680803461</v>
      </c>
    </row>
    <row r="862" customFormat="false" ht="15" hidden="false" customHeight="false" outlineLevel="0" collapsed="false">
      <c r="A862" s="36" t="n">
        <v>782</v>
      </c>
      <c r="B862" s="37" t="n">
        <f aca="false">1+IF($G$6=$E$6,$F$6,IF(P862&lt;($F$6-$E$6)/($G$6-$E$6),$E$6+SQRT(P862*($G$6-$E$6)*($F$6-$E$6)),$G$6-SQRT((1-P862)*($G$6-$E$6)*($G$6-$F$6))))</f>
        <v>1.02350214115499</v>
      </c>
      <c r="C862" s="37" t="n">
        <f aca="false">1+IF($G$7=$E$7,$F$7,IF(Q862&lt;($F$7-$E$7)/($G$7-$E$7),$E$7+SQRT(Q862*($G$7-$E$7)*($F$7-$E$7)),$G$7-SQRT((1-Q862)*($G$7-$E$7)*($G$7-$F$7))))</f>
        <v>0.95303101481215</v>
      </c>
      <c r="D862" s="37" t="n">
        <f aca="false">1+IF($G$8=$E$8,$F$8,IF(R862&lt;($F$8-$E$8)/($G$8-$E$8),$E$8+SQRT(R862*($G$8-$E$8)*($F$8-$E$8)),$G$8-SQRT((1-R862)*($G$8-$E$8)*($G$8-$F$8))))</f>
        <v>1.00486503080187</v>
      </c>
      <c r="E862" s="37" t="n">
        <f aca="false">1+IF($G$9=$E$9,$F$9,IF(S862&lt;($F$9-$E$9)/($G$9-$E$9),$E$9+SQRT(S862*($G$9-$E$9)*($F$9-$E$9)),$G$9-SQRT((1-S862)*($G$9-$E$9)*($G$9-$F$9))))</f>
        <v>0.996877924087729</v>
      </c>
      <c r="F862" s="37" t="n">
        <f aca="false">1+IF($G$10=$E$10,$F$10,IF(T862&lt;($F$10-$E$10)/($G$10-$E$10),$E$10+SQRT(T862*($G$10-$E$10)*($F$10-$E$10)),$G$10-SQRT((1-T862)*($G$10-$E$10)*($G$10-$F$10))))</f>
        <v>0.984383606051109</v>
      </c>
      <c r="G862" s="38" t="n">
        <f aca="false">IF($G$11=$E$11,$F$11,IF(U862&lt;($F$11-$E$11)/($G$11-$E$11),$E$11+SQRT(U862*($G$11-$E$11)*($F$11-$E$11)),$G$11-SQRT((1-U862)*($G$11-$E$11)*($G$11-$F$11))))</f>
        <v>0.0909882195362085</v>
      </c>
      <c r="H862" s="39" t="n">
        <f aca="false">(('Business Case'!B11*$C862*'Business Case'!B12*$B862)-'Business Case'!B11*$C862*'Business Case'!B13*$D862-'Business Case'!B14*$E862)-MAX(0,(('Business Case'!B11*$C862*'Business Case'!B12*$B862)-'Business Case'!B11*$C862*'Business Case'!B13*$D862-'Business Case'!B14*$E862))*'Business Case'!$B$7-'Business Case'!$B$8*('Business Case'!B11*$C862*'Business Case'!B12*$B862)-'Business Case'!B15*$F862</f>
        <v>-1968767212.10222</v>
      </c>
      <c r="I862" s="39" t="n">
        <f aca="false">(('Business Case'!C11*$C862*'Business Case'!C12*$B862)-'Business Case'!C11*$C862*'Business Case'!C13*$D862-'Business Case'!C14*$E862)-MAX(0,(('Business Case'!C11*$C862*'Business Case'!C12*$B862)-'Business Case'!C11*$C862*'Business Case'!C13*$D862-'Business Case'!C14*$E862))*'Business Case'!$B$7-'Business Case'!$B$8*(('Business Case'!C11*$C862*'Business Case'!C12*$B862)-('Business Case'!B11*$C862*'Business Case'!B12*$B862))-'Business Case'!C15*$F862</f>
        <v>17936992.0966488</v>
      </c>
      <c r="J862" s="39" t="n">
        <f aca="false">(('Business Case'!D11*$C862*'Business Case'!D12*$B862)-'Business Case'!D11*$C862*'Business Case'!D13*$D862-'Business Case'!D14*$E862)-MAX(0,(('Business Case'!D11*$C862*'Business Case'!D12*$B862)-'Business Case'!D11*$C862*'Business Case'!D13*$D862-'Business Case'!D14*$E862))*'Business Case'!$B$7-'Business Case'!$B$8*(('Business Case'!D11*$C862*'Business Case'!D12*$B862)-('Business Case'!C11*$C862*'Business Case'!C12*$B862))-'Business Case'!D15*$F862</f>
        <v>326634639.699066</v>
      </c>
      <c r="K862" s="39" t="n">
        <f aca="false">(('Business Case'!E11*$C862*'Business Case'!E12*$B862)-'Business Case'!E11*$C862*'Business Case'!E13*$D862-'Business Case'!E14*$E862)-MAX(0,(('Business Case'!E11*$C862*'Business Case'!E12*$B862)-'Business Case'!E11*$C862*'Business Case'!E13*$D862-'Business Case'!E14*$E862))*'Business Case'!$B$7-'Business Case'!$B$8*(('Business Case'!E11*$C862*'Business Case'!E12*$B862)-('Business Case'!D11*$C862*'Business Case'!D12*$B862))-'Business Case'!E15*$F862</f>
        <v>684551467.604039</v>
      </c>
      <c r="L862" s="39" t="n">
        <f aca="false">(('Business Case'!F11*$C862*'Business Case'!F12*$B862)-'Business Case'!F11*$C862*'Business Case'!F13*$D862-'Business Case'!F14*$E862)-MAX(0,(('Business Case'!F11*$C862*'Business Case'!F12*$B862)-'Business Case'!F11*$C862*'Business Case'!F13*$D862-'Business Case'!F14*$E862))*'Business Case'!$B$7-'Business Case'!$B$8*(('Business Case'!F11*$C862*'Business Case'!F12*$B862)-('Business Case'!E11*$C862*'Business Case'!E12*$B862))-'Business Case'!F15*$F862</f>
        <v>821161519.535099</v>
      </c>
      <c r="M862" s="39" t="n">
        <f aca="false">(('Business Case'!G11*$C862*'Business Case'!G12*$B862)-'Business Case'!G11*$C862*'Business Case'!G13*$D862-'Business Case'!G14*$E862)-MAX(0,(('Business Case'!G11*$C862*'Business Case'!G12*$B862)-'Business Case'!G11*$C862*'Business Case'!G13*$D862-'Business Case'!G14*$E862))*'Business Case'!$B$7-'Business Case'!$B$8*(('Business Case'!G11*$C862*'Business Case'!G12*$B862)-('Business Case'!F11*$C862*'Business Case'!F12*$B862))-'Business Case'!G15*$F862+'Business Case'!$B$8*('Business Case'!G11*$C862*'Business Case'!G12*$B862)</f>
        <v>1006571117.88483</v>
      </c>
      <c r="N862" s="39" t="n">
        <f aca="false">IF(COUNT('Business Case'!B11:G11)=0,"",H862+NPV(G862,I862:M862))</f>
        <v>80133357.3558333</v>
      </c>
      <c r="P862" s="40" t="n">
        <f aca="true">RAND()</f>
        <v>0.906381796883966</v>
      </c>
      <c r="Q862" s="40" t="n">
        <f aca="true">RAND()</f>
        <v>0.474256995976787</v>
      </c>
      <c r="R862" s="40" t="n">
        <f aca="true">RAND()</f>
        <v>0.396622509044782</v>
      </c>
      <c r="S862" s="40" t="n">
        <f aca="true">RAND()</f>
        <v>0.375413287021909</v>
      </c>
      <c r="T862" s="40" t="n">
        <f aca="true">RAND()</f>
        <v>0.0788154910051925</v>
      </c>
      <c r="U862" s="40" t="n">
        <f aca="true">RAND()</f>
        <v>0.120740968575915</v>
      </c>
    </row>
    <row r="863" customFormat="false" ht="15" hidden="false" customHeight="false" outlineLevel="0" collapsed="false">
      <c r="A863" s="36" t="n">
        <v>783</v>
      </c>
      <c r="B863" s="37" t="n">
        <f aca="false">1+IF($G$6=$E$6,$F$6,IF(P863&lt;($F$6-$E$6)/($G$6-$E$6),$E$6+SQRT(P863*($G$6-$E$6)*($F$6-$E$6)),$G$6-SQRT((1-P863)*($G$6-$E$6)*($G$6-$F$6))))</f>
        <v>0.998012820452367</v>
      </c>
      <c r="C863" s="37" t="n">
        <f aca="false">1+IF($G$7=$E$7,$F$7,IF(Q863&lt;($F$7-$E$7)/($G$7-$E$7),$E$7+SQRT(Q863*($G$7-$E$7)*($F$7-$E$7)),$G$7-SQRT((1-Q863)*($G$7-$E$7)*($G$7-$F$7))))</f>
        <v>1.00212475226378</v>
      </c>
      <c r="D863" s="37" t="n">
        <f aca="false">1+IF($G$8=$E$8,$F$8,IF(R863&lt;($F$8-$E$8)/($G$8-$E$8),$E$8+SQRT(R863*($G$8-$E$8)*($F$8-$E$8)),$G$8-SQRT((1-R863)*($G$8-$E$8)*($G$8-$F$8))))</f>
        <v>0.977612907046604</v>
      </c>
      <c r="E863" s="37" t="n">
        <f aca="false">1+IF($G$9=$E$9,$F$9,IF(S863&lt;($F$9-$E$9)/($G$9-$E$9),$E$9+SQRT(S863*($G$9-$E$9)*($F$9-$E$9)),$G$9-SQRT((1-S863)*($G$9-$E$9)*($G$9-$F$9))))</f>
        <v>1.04261531362459</v>
      </c>
      <c r="F863" s="37" t="n">
        <f aca="false">1+IF($G$10=$E$10,$F$10,IF(T863&lt;($F$10-$E$10)/($G$10-$E$10),$E$10+SQRT(T863*($G$10-$E$10)*($F$10-$E$10)),$G$10-SQRT((1-T863)*($G$10-$E$10)*($G$10-$F$10))))</f>
        <v>1.0171304266784</v>
      </c>
      <c r="G863" s="38" t="n">
        <f aca="false">IF($G$11=$E$11,$F$11,IF(U863&lt;($F$11-$E$11)/($G$11-$E$11),$E$11+SQRT(U863*($G$11-$E$11)*($F$11-$E$11)),$G$11-SQRT((1-U863)*($G$11-$E$11)*($G$11-$F$11))))</f>
        <v>0.118896958310302</v>
      </c>
      <c r="H863" s="39" t="n">
        <f aca="false">(('Business Case'!B11*$C863*'Business Case'!B12*$B863)-'Business Case'!B11*$C863*'Business Case'!B13*$D863-'Business Case'!B14*$E863)-MAX(0,(('Business Case'!B11*$C863*'Business Case'!B12*$B863)-'Business Case'!B11*$C863*'Business Case'!B13*$D863-'Business Case'!B14*$E863))*'Business Case'!$B$7-'Business Case'!$B$8*('Business Case'!B11*$C863*'Business Case'!B12*$B863)-'Business Case'!B15*$F863</f>
        <v>-2034260853.35679</v>
      </c>
      <c r="I863" s="39" t="n">
        <f aca="false">(('Business Case'!C11*$C863*'Business Case'!C12*$B863)-'Business Case'!C11*$C863*'Business Case'!C13*$D863-'Business Case'!C14*$E863)-MAX(0,(('Business Case'!C11*$C863*'Business Case'!C12*$B863)-'Business Case'!C11*$C863*'Business Case'!C13*$D863-'Business Case'!C14*$E863))*'Business Case'!$B$7-'Business Case'!$B$8*(('Business Case'!C11*$C863*'Business Case'!C12*$B863)-('Business Case'!B11*$C863*'Business Case'!B12*$B863))-'Business Case'!C15*$F863</f>
        <v>15838418.4266581</v>
      </c>
      <c r="J863" s="39" t="n">
        <f aca="false">(('Business Case'!D11*$C863*'Business Case'!D12*$B863)-'Business Case'!D11*$C863*'Business Case'!D13*$D863-'Business Case'!D14*$E863)-MAX(0,(('Business Case'!D11*$C863*'Business Case'!D12*$B863)-'Business Case'!D11*$C863*'Business Case'!D13*$D863-'Business Case'!D14*$E863))*'Business Case'!$B$7-'Business Case'!$B$8*(('Business Case'!D11*$C863*'Business Case'!D12*$B863)-('Business Case'!C11*$C863*'Business Case'!C12*$B863))-'Business Case'!D15*$F863</f>
        <v>333496690.005998</v>
      </c>
      <c r="K863" s="39" t="n">
        <f aca="false">(('Business Case'!E11*$C863*'Business Case'!E12*$B863)-'Business Case'!E11*$C863*'Business Case'!E13*$D863-'Business Case'!E14*$E863)-MAX(0,(('Business Case'!E11*$C863*'Business Case'!E12*$B863)-'Business Case'!E11*$C863*'Business Case'!E13*$D863-'Business Case'!E14*$E863))*'Business Case'!$B$7-'Business Case'!$B$8*(('Business Case'!E11*$C863*'Business Case'!E12*$B863)-('Business Case'!D11*$C863*'Business Case'!D12*$B863))-'Business Case'!E15*$F863</f>
        <v>702011482.919259</v>
      </c>
      <c r="L863" s="39" t="n">
        <f aca="false">(('Business Case'!F11*$C863*'Business Case'!F12*$B863)-'Business Case'!F11*$C863*'Business Case'!F13*$D863-'Business Case'!F14*$E863)-MAX(0,(('Business Case'!F11*$C863*'Business Case'!F12*$B863)-'Business Case'!F11*$C863*'Business Case'!F13*$D863-'Business Case'!F14*$E863))*'Business Case'!$B$7-'Business Case'!$B$8*(('Business Case'!F11*$C863*'Business Case'!F12*$B863)-('Business Case'!E11*$C863*'Business Case'!E12*$B863))-'Business Case'!F15*$F863</f>
        <v>842462182.037323</v>
      </c>
      <c r="M863" s="39" t="n">
        <f aca="false">(('Business Case'!G11*$C863*'Business Case'!G12*$B863)-'Business Case'!G11*$C863*'Business Case'!G13*$D863-'Business Case'!G14*$E863)-MAX(0,(('Business Case'!G11*$C863*'Business Case'!G12*$B863)-'Business Case'!G11*$C863*'Business Case'!G13*$D863-'Business Case'!G14*$E863))*'Business Case'!$B$7-'Business Case'!$B$8*(('Business Case'!G11*$C863*'Business Case'!G12*$B863)-('Business Case'!F11*$C863*'Business Case'!F12*$B863))-'Business Case'!G15*$F863+'Business Case'!$B$8*('Business Case'!G11*$C863*'Business Case'!G12*$B863)</f>
        <v>1032567529.29122</v>
      </c>
      <c r="N863" s="39" t="n">
        <f aca="false">IF(COUNT('Business Case'!B11:G11)=0,"",H863+NPV(G863,I863:M863))</f>
        <v>-126247755.10584</v>
      </c>
      <c r="P863" s="40" t="n">
        <f aca="true">RAND()</f>
        <v>0.640434198201855</v>
      </c>
      <c r="Q863" s="40" t="n">
        <f aca="true">RAND()</f>
        <v>0.676043127510378</v>
      </c>
      <c r="R863" s="40" t="n">
        <f aca="true">RAND()</f>
        <v>0.101663018075252</v>
      </c>
      <c r="S863" s="40" t="n">
        <f aca="true">RAND()</f>
        <v>0.692494110188107</v>
      </c>
      <c r="T863" s="40" t="n">
        <f aca="true">RAND()</f>
        <v>0.276956824280184</v>
      </c>
      <c r="U863" s="40" t="n">
        <f aca="true">RAND()</f>
        <v>0.91781497682455</v>
      </c>
    </row>
    <row r="864" customFormat="false" ht="15" hidden="false" customHeight="false" outlineLevel="0" collapsed="false">
      <c r="A864" s="36" t="n">
        <v>784</v>
      </c>
      <c r="B864" s="37" t="n">
        <f aca="false">1+IF($G$6=$E$6,$F$6,IF(P864&lt;($F$6-$E$6)/($G$6-$E$6),$E$6+SQRT(P864*($G$6-$E$6)*($F$6-$E$6)),$G$6-SQRT((1-P864)*($G$6-$E$6)*($G$6-$F$6))))</f>
        <v>0.936322662139495</v>
      </c>
      <c r="C864" s="37" t="n">
        <f aca="false">1+IF($G$7=$E$7,$F$7,IF(Q864&lt;($F$7-$E$7)/($G$7-$E$7),$E$7+SQRT(Q864*($G$7-$E$7)*($F$7-$E$7)),$G$7-SQRT((1-Q864)*($G$7-$E$7)*($G$7-$F$7))))</f>
        <v>0.887278867238793</v>
      </c>
      <c r="D864" s="37" t="n">
        <f aca="false">1+IF($G$8=$E$8,$F$8,IF(R864&lt;($F$8-$E$8)/($G$8-$E$8),$E$8+SQRT(R864*($G$8-$E$8)*($F$8-$E$8)),$G$8-SQRT((1-R864)*($G$8-$E$8)*($G$8-$F$8))))</f>
        <v>1.01506835513439</v>
      </c>
      <c r="E864" s="37" t="n">
        <f aca="false">1+IF($G$9=$E$9,$F$9,IF(S864&lt;($F$9-$E$9)/($G$9-$E$9),$E$9+SQRT(S864*($G$9-$E$9)*($F$9-$E$9)),$G$9-SQRT((1-S864)*($G$9-$E$9)*($G$9-$F$9))))</f>
        <v>1.05244747174452</v>
      </c>
      <c r="F864" s="37" t="n">
        <f aca="false">1+IF($G$10=$E$10,$F$10,IF(T864&lt;($F$10-$E$10)/($G$10-$E$10),$E$10+SQRT(T864*($G$10-$E$10)*($F$10-$E$10)),$G$10-SQRT((1-T864)*($G$10-$E$10)*($G$10-$F$10))))</f>
        <v>1.01831866431086</v>
      </c>
      <c r="G864" s="38" t="n">
        <f aca="false">IF($G$11=$E$11,$F$11,IF(U864&lt;($F$11-$E$11)/($G$11-$E$11),$E$11+SQRT(U864*($G$11-$E$11)*($F$11-$E$11)),$G$11-SQRT((1-U864)*($G$11-$E$11)*($G$11-$F$11))))</f>
        <v>0.0920237395725605</v>
      </c>
      <c r="H864" s="39" t="n">
        <f aca="false">(('Business Case'!B11*$C864*'Business Case'!B12*$B864)-'Business Case'!B11*$C864*'Business Case'!B13*$D864-'Business Case'!B14*$E864)-MAX(0,(('Business Case'!B11*$C864*'Business Case'!B12*$B864)-'Business Case'!B11*$C864*'Business Case'!B13*$D864-'Business Case'!B14*$E864))*'Business Case'!$B$7-'Business Case'!$B$8*('Business Case'!B11*$C864*'Business Case'!B12*$B864)-'Business Case'!B15*$F864</f>
        <v>-2036637328.62172</v>
      </c>
      <c r="I864" s="39" t="n">
        <f aca="false">(('Business Case'!C11*$C864*'Business Case'!C12*$B864)-'Business Case'!C11*$C864*'Business Case'!C13*$D864-'Business Case'!C14*$E864)-MAX(0,(('Business Case'!C11*$C864*'Business Case'!C12*$B864)-'Business Case'!C11*$C864*'Business Case'!C13*$D864-'Business Case'!C14*$E864))*'Business Case'!$B$7-'Business Case'!$B$8*(('Business Case'!C11*$C864*'Business Case'!C12*$B864)-('Business Case'!B11*$C864*'Business Case'!B12*$B864))-'Business Case'!C15*$F864</f>
        <v>-75149507.2151084</v>
      </c>
      <c r="J864" s="39" t="n">
        <f aca="false">(('Business Case'!D11*$C864*'Business Case'!D12*$B864)-'Business Case'!D11*$C864*'Business Case'!D13*$D864-'Business Case'!D14*$E864)-MAX(0,(('Business Case'!D11*$C864*'Business Case'!D12*$B864)-'Business Case'!D11*$C864*'Business Case'!D13*$D864-'Business Case'!D14*$E864))*'Business Case'!$B$7-'Business Case'!$B$8*(('Business Case'!D11*$C864*'Business Case'!D12*$B864)-('Business Case'!C11*$C864*'Business Case'!C12*$B864))-'Business Case'!D15*$F864</f>
        <v>144258481.966897</v>
      </c>
      <c r="K864" s="39" t="n">
        <f aca="false">(('Business Case'!E11*$C864*'Business Case'!E12*$B864)-'Business Case'!E11*$C864*'Business Case'!E13*$D864-'Business Case'!E14*$E864)-MAX(0,(('Business Case'!E11*$C864*'Business Case'!E12*$B864)-'Business Case'!E11*$C864*'Business Case'!E13*$D864-'Business Case'!E14*$E864))*'Business Case'!$B$7-'Business Case'!$B$8*(('Business Case'!E11*$C864*'Business Case'!E12*$B864)-('Business Case'!D11*$C864*'Business Case'!D12*$B864))-'Business Case'!E15*$F864</f>
        <v>414582404.364446</v>
      </c>
      <c r="L864" s="39" t="n">
        <f aca="false">(('Business Case'!F11*$C864*'Business Case'!F12*$B864)-'Business Case'!F11*$C864*'Business Case'!F13*$D864-'Business Case'!F14*$E864)-MAX(0,(('Business Case'!F11*$C864*'Business Case'!F12*$B864)-'Business Case'!F11*$C864*'Business Case'!F13*$D864-'Business Case'!F14*$E864))*'Business Case'!$B$7-'Business Case'!$B$8*(('Business Case'!F11*$C864*'Business Case'!F12*$B864)-('Business Case'!E11*$C864*'Business Case'!E12*$B864))-'Business Case'!F15*$F864</f>
        <v>516430133.747753</v>
      </c>
      <c r="M864" s="39" t="n">
        <f aca="false">(('Business Case'!G11*$C864*'Business Case'!G12*$B864)-'Business Case'!G11*$C864*'Business Case'!G13*$D864-'Business Case'!G14*$E864)-MAX(0,(('Business Case'!G11*$C864*'Business Case'!G12*$B864)-'Business Case'!G11*$C864*'Business Case'!G13*$D864-'Business Case'!G14*$E864))*'Business Case'!$B$7-'Business Case'!$B$8*(('Business Case'!G11*$C864*'Business Case'!G12*$B864)-('Business Case'!F11*$C864*'Business Case'!F12*$B864))-'Business Case'!G15*$F864+'Business Case'!$B$8*('Business Case'!G11*$C864*'Business Case'!G12*$B864)</f>
        <v>674344665.188933</v>
      </c>
      <c r="N864" s="39" t="n">
        <f aca="false">IF(COUNT('Business Case'!B11:G11)=0,"",H864+NPV(G864,I864:M864))</f>
        <v>-868747664.209194</v>
      </c>
      <c r="P864" s="40" t="n">
        <f aca="true">RAND()</f>
        <v>0.0879557189933291</v>
      </c>
      <c r="Q864" s="40" t="n">
        <f aca="true">RAND()</f>
        <v>0.259802771216634</v>
      </c>
      <c r="R864" s="40" t="n">
        <f aca="true">RAND()</f>
        <v>0.519107713361494</v>
      </c>
      <c r="S864" s="40" t="n">
        <f aca="true">RAND()</f>
        <v>0.746226779492352</v>
      </c>
      <c r="T864" s="40" t="n">
        <f aca="true">RAND()</f>
        <v>0.284316782577265</v>
      </c>
      <c r="U864" s="40" t="n">
        <f aca="true">RAND()</f>
        <v>0.144570313308757</v>
      </c>
    </row>
    <row r="865" customFormat="false" ht="15" hidden="false" customHeight="false" outlineLevel="0" collapsed="false">
      <c r="A865" s="36" t="n">
        <v>785</v>
      </c>
      <c r="B865" s="37" t="n">
        <f aca="false">1+IF($G$6=$E$6,$F$6,IF(P865&lt;($F$6-$E$6)/($G$6-$E$6),$E$6+SQRT(P865*($G$6-$E$6)*($F$6-$E$6)),$G$6-SQRT((1-P865)*($G$6-$E$6)*($G$6-$F$6))))</f>
        <v>0.970033933062566</v>
      </c>
      <c r="C865" s="37" t="n">
        <f aca="false">1+IF($G$7=$E$7,$F$7,IF(Q865&lt;($F$7-$E$7)/($G$7-$E$7),$E$7+SQRT(Q865*($G$7-$E$7)*($F$7-$E$7)),$G$7-SQRT((1-Q865)*($G$7-$E$7)*($G$7-$F$7))))</f>
        <v>0.810654654538414</v>
      </c>
      <c r="D865" s="37" t="n">
        <f aca="false">1+IF($G$8=$E$8,$F$8,IF(R865&lt;($F$8-$E$8)/($G$8-$E$8),$E$8+SQRT(R865*($G$8-$E$8)*($F$8-$E$8)),$G$8-SQRT((1-R865)*($G$8-$E$8)*($G$8-$F$8))))</f>
        <v>1.00719662217503</v>
      </c>
      <c r="E865" s="37" t="n">
        <f aca="false">1+IF($G$9=$E$9,$F$9,IF(S865&lt;($F$9-$E$9)/($G$9-$E$9),$E$9+SQRT(S865*($G$9-$E$9)*($F$9-$E$9)),$G$9-SQRT((1-S865)*($G$9-$E$9)*($G$9-$F$9))))</f>
        <v>0.979351536150284</v>
      </c>
      <c r="F865" s="37" t="n">
        <f aca="false">1+IF($G$10=$E$10,$F$10,IF(T865&lt;($F$10-$E$10)/($G$10-$E$10),$E$10+SQRT(T865*($G$10-$E$10)*($F$10-$E$10)),$G$10-SQRT((1-T865)*($G$10-$E$10)*($G$10-$F$10))))</f>
        <v>1.05119432821302</v>
      </c>
      <c r="G865" s="38" t="n">
        <f aca="false">IF($G$11=$E$11,$F$11,IF(U865&lt;($F$11-$E$11)/($G$11-$E$11),$E$11+SQRT(U865*($G$11-$E$11)*($F$11-$E$11)),$G$11-SQRT((1-U865)*($G$11-$E$11)*($G$11-$F$11))))</f>
        <v>0.099356477210927</v>
      </c>
      <c r="H865" s="39" t="n">
        <f aca="false">(('Business Case'!B11*$C865*'Business Case'!B12*$B865)-'Business Case'!B11*$C865*'Business Case'!B13*$D865-'Business Case'!B14*$E865)-MAX(0,(('Business Case'!B11*$C865*'Business Case'!B12*$B865)-'Business Case'!B11*$C865*'Business Case'!B13*$D865-'Business Case'!B14*$E865))*'Business Case'!$B$7-'Business Case'!$B$8*('Business Case'!B11*$C865*'Business Case'!B12*$B865)-'Business Case'!B15*$F865</f>
        <v>-2102388656.42604</v>
      </c>
      <c r="I865" s="39" t="n">
        <f aca="false">(('Business Case'!C11*$C865*'Business Case'!C12*$B865)-'Business Case'!C11*$C865*'Business Case'!C13*$D865-'Business Case'!C14*$E865)-MAX(0,(('Business Case'!C11*$C865*'Business Case'!C12*$B865)-'Business Case'!C11*$C865*'Business Case'!C13*$D865-'Business Case'!C14*$E865))*'Business Case'!$B$7-'Business Case'!$B$8*(('Business Case'!C11*$C865*'Business Case'!C12*$B865)-('Business Case'!B11*$C865*'Business Case'!B12*$B865))-'Business Case'!C15*$F865</f>
        <v>-59037589.4622873</v>
      </c>
      <c r="J865" s="39" t="n">
        <f aca="false">(('Business Case'!D11*$C865*'Business Case'!D12*$B865)-'Business Case'!D11*$C865*'Business Case'!D13*$D865-'Business Case'!D14*$E865)-MAX(0,(('Business Case'!D11*$C865*'Business Case'!D12*$B865)-'Business Case'!D11*$C865*'Business Case'!D13*$D865-'Business Case'!D14*$E865))*'Business Case'!$B$7-'Business Case'!$B$8*(('Business Case'!D11*$C865*'Business Case'!D12*$B865)-('Business Case'!C11*$C865*'Business Case'!C12*$B865))-'Business Case'!D15*$F865</f>
        <v>167073075.524298</v>
      </c>
      <c r="K865" s="39" t="n">
        <f aca="false">(('Business Case'!E11*$C865*'Business Case'!E12*$B865)-'Business Case'!E11*$C865*'Business Case'!E13*$D865-'Business Case'!E14*$E865)-MAX(0,(('Business Case'!E11*$C865*'Business Case'!E12*$B865)-'Business Case'!E11*$C865*'Business Case'!E13*$D865-'Business Case'!E14*$E865))*'Business Case'!$B$7-'Business Case'!$B$8*(('Business Case'!E11*$C865*'Business Case'!E12*$B865)-('Business Case'!D11*$C865*'Business Case'!D12*$B865))-'Business Case'!E15*$F865</f>
        <v>445743456.921534</v>
      </c>
      <c r="L865" s="39" t="n">
        <f aca="false">(('Business Case'!F11*$C865*'Business Case'!F12*$B865)-'Business Case'!F11*$C865*'Business Case'!F13*$D865-'Business Case'!F14*$E865)-MAX(0,(('Business Case'!F11*$C865*'Business Case'!F12*$B865)-'Business Case'!F11*$C865*'Business Case'!F13*$D865-'Business Case'!F14*$E865))*'Business Case'!$B$7-'Business Case'!$B$8*(('Business Case'!F11*$C865*'Business Case'!F12*$B865)-('Business Case'!E11*$C865*'Business Case'!E12*$B865))-'Business Case'!F15*$F865</f>
        <v>548290367.375062</v>
      </c>
      <c r="M865" s="39" t="n">
        <f aca="false">(('Business Case'!G11*$C865*'Business Case'!G12*$B865)-'Business Case'!G11*$C865*'Business Case'!G13*$D865-'Business Case'!G14*$E865)-MAX(0,(('Business Case'!G11*$C865*'Business Case'!G12*$B865)-'Business Case'!G11*$C865*'Business Case'!G13*$D865-'Business Case'!G14*$E865))*'Business Case'!$B$7-'Business Case'!$B$8*(('Business Case'!G11*$C865*'Business Case'!G12*$B865)-('Business Case'!F11*$C865*'Business Case'!F12*$B865))-'Business Case'!G15*$F865+'Business Case'!$B$8*('Business Case'!G11*$C865*'Business Case'!G12*$B865)</f>
        <v>697762155.727395</v>
      </c>
      <c r="N865" s="39" t="n">
        <f aca="false">IF(COUNT('Business Case'!B11:G11)=0,"",H865+NPV(G865,I865:M865))</f>
        <v>-872477621.805447</v>
      </c>
      <c r="P865" s="40" t="n">
        <f aca="true">RAND()</f>
        <v>0.326983452014132</v>
      </c>
      <c r="Q865" s="40" t="n">
        <f aca="true">RAND()</f>
        <v>0.0906996486741899</v>
      </c>
      <c r="R865" s="40" t="n">
        <f aca="true">RAND()</f>
        <v>0.425835537618379</v>
      </c>
      <c r="S865" s="40" t="n">
        <f aca="true">RAND()</f>
        <v>0.251866651576393</v>
      </c>
      <c r="T865" s="40" t="n">
        <f aca="true">RAND()</f>
        <v>0.473017398204369</v>
      </c>
      <c r="U865" s="40" t="n">
        <f aca="true">RAND()</f>
        <v>0.374673210017135</v>
      </c>
    </row>
    <row r="866" customFormat="false" ht="15" hidden="false" customHeight="false" outlineLevel="0" collapsed="false">
      <c r="A866" s="36" t="n">
        <v>786</v>
      </c>
      <c r="B866" s="37" t="n">
        <f aca="false">1+IF($G$6=$E$6,$F$6,IF(P866&lt;($F$6-$E$6)/($G$6-$E$6),$E$6+SQRT(P866*($G$6-$E$6)*($F$6-$E$6)),$G$6-SQRT((1-P866)*($G$6-$E$6)*($G$6-$F$6))))</f>
        <v>0.964828227585001</v>
      </c>
      <c r="C866" s="37" t="n">
        <f aca="false">1+IF($G$7=$E$7,$F$7,IF(Q866&lt;($F$7-$E$7)/($G$7-$E$7),$E$7+SQRT(Q866*($G$7-$E$7)*($F$7-$E$7)),$G$7-SQRT((1-Q866)*($G$7-$E$7)*($G$7-$F$7))))</f>
        <v>0.987529495431285</v>
      </c>
      <c r="D866" s="37" t="n">
        <f aca="false">1+IF($G$8=$E$8,$F$8,IF(R866&lt;($F$8-$E$8)/($G$8-$E$8),$E$8+SQRT(R866*($G$8-$E$8)*($F$8-$E$8)),$G$8-SQRT((1-R866)*($G$8-$E$8)*($G$8-$F$8))))</f>
        <v>1.09589269641944</v>
      </c>
      <c r="E866" s="37" t="n">
        <f aca="false">1+IF($G$9=$E$9,$F$9,IF(S866&lt;($F$9-$E$9)/($G$9-$E$9),$E$9+SQRT(S866*($G$9-$E$9)*($F$9-$E$9)),$G$9-SQRT((1-S866)*($G$9-$E$9)*($G$9-$F$9))))</f>
        <v>0.945978388421095</v>
      </c>
      <c r="F866" s="37" t="n">
        <f aca="false">1+IF($G$10=$E$10,$F$10,IF(T866&lt;($F$10-$E$10)/($G$10-$E$10),$E$10+SQRT(T866*($G$10-$E$10)*($F$10-$E$10)),$G$10-SQRT((1-T866)*($G$10-$E$10)*($G$10-$F$10))))</f>
        <v>1.00137795446797</v>
      </c>
      <c r="G866" s="38" t="n">
        <f aca="false">IF($G$11=$E$11,$F$11,IF(U866&lt;($F$11-$E$11)/($G$11-$E$11),$E$11+SQRT(U866*($G$11-$E$11)*($F$11-$E$11)),$G$11-SQRT((1-U866)*($G$11-$E$11)*($G$11-$F$11))))</f>
        <v>0.117791144600848</v>
      </c>
      <c r="H866" s="39" t="n">
        <f aca="false">(('Business Case'!B11*$C866*'Business Case'!B12*$B866)-'Business Case'!B11*$C866*'Business Case'!B13*$D866-'Business Case'!B14*$E866)-MAX(0,(('Business Case'!B11*$C866*'Business Case'!B12*$B866)-'Business Case'!B11*$C866*'Business Case'!B13*$D866-'Business Case'!B14*$E866))*'Business Case'!$B$7-'Business Case'!$B$8*('Business Case'!B11*$C866*'Business Case'!B12*$B866)-'Business Case'!B15*$F866</f>
        <v>-2002755908.93594</v>
      </c>
      <c r="I866" s="39" t="n">
        <f aca="false">(('Business Case'!C11*$C866*'Business Case'!C12*$B866)-'Business Case'!C11*$C866*'Business Case'!C13*$D866-'Business Case'!C14*$E866)-MAX(0,(('Business Case'!C11*$C866*'Business Case'!C12*$B866)-'Business Case'!C11*$C866*'Business Case'!C13*$D866-'Business Case'!C14*$E866))*'Business Case'!$B$7-'Business Case'!$B$8*(('Business Case'!C11*$C866*'Business Case'!C12*$B866)-('Business Case'!B11*$C866*'Business Case'!B12*$B866))-'Business Case'!C15*$F866</f>
        <v>-57653405.3009542</v>
      </c>
      <c r="J866" s="39" t="n">
        <f aca="false">(('Business Case'!D11*$C866*'Business Case'!D12*$B866)-'Business Case'!D11*$C866*'Business Case'!D13*$D866-'Business Case'!D14*$E866)-MAX(0,(('Business Case'!D11*$C866*'Business Case'!D12*$B866)-'Business Case'!D11*$C866*'Business Case'!D13*$D866-'Business Case'!D14*$E866))*'Business Case'!$B$7-'Business Case'!$B$8*(('Business Case'!D11*$C866*'Business Case'!D12*$B866)-('Business Case'!C11*$C866*'Business Case'!C12*$B866))-'Business Case'!D15*$F866</f>
        <v>168742073.5689</v>
      </c>
      <c r="K866" s="39" t="n">
        <f aca="false">(('Business Case'!E11*$C866*'Business Case'!E12*$B866)-'Business Case'!E11*$C866*'Business Case'!E13*$D866-'Business Case'!E14*$E866)-MAX(0,(('Business Case'!E11*$C866*'Business Case'!E12*$B866)-'Business Case'!E11*$C866*'Business Case'!E13*$D866-'Business Case'!E14*$E866))*'Business Case'!$B$7-'Business Case'!$B$8*(('Business Case'!E11*$C866*'Business Case'!E12*$B866)-('Business Case'!D11*$C866*'Business Case'!D12*$B866))-'Business Case'!E15*$F866</f>
        <v>445206450.162152</v>
      </c>
      <c r="L866" s="39" t="n">
        <f aca="false">(('Business Case'!F11*$C866*'Business Case'!F12*$B866)-'Business Case'!F11*$C866*'Business Case'!F13*$D866-'Business Case'!F14*$E866)-MAX(0,(('Business Case'!F11*$C866*'Business Case'!F12*$B866)-'Business Case'!F11*$C866*'Business Case'!F13*$D866-'Business Case'!F14*$E866))*'Business Case'!$B$7-'Business Case'!$B$8*(('Business Case'!F11*$C866*'Business Case'!F12*$B866)-('Business Case'!E11*$C866*'Business Case'!E12*$B866))-'Business Case'!F15*$F866</f>
        <v>553600251.045791</v>
      </c>
      <c r="M866" s="39" t="n">
        <f aca="false">(('Business Case'!G11*$C866*'Business Case'!G12*$B866)-'Business Case'!G11*$C866*'Business Case'!G13*$D866-'Business Case'!G14*$E866)-MAX(0,(('Business Case'!G11*$C866*'Business Case'!G12*$B866)-'Business Case'!G11*$C866*'Business Case'!G13*$D866-'Business Case'!G14*$E866))*'Business Case'!$B$7-'Business Case'!$B$8*(('Business Case'!G11*$C866*'Business Case'!G12*$B866)-('Business Case'!F11*$C866*'Business Case'!F12*$B866))-'Business Case'!G15*$F866+'Business Case'!$B$8*('Business Case'!G11*$C866*'Business Case'!G12*$B866)</f>
        <v>734707777.977739</v>
      </c>
      <c r="N866" s="39" t="n">
        <f aca="false">IF(COUNT('Business Case'!B11:G11)=0,"",H866+NPV(G866,I866:M866))</f>
        <v>-824869607.098844</v>
      </c>
      <c r="P866" s="40" t="n">
        <f aca="true">RAND()</f>
        <v>0.280179939454179</v>
      </c>
      <c r="Q866" s="40" t="n">
        <f aca="true">RAND()</f>
        <v>0.612394153651626</v>
      </c>
      <c r="R866" s="40" t="n">
        <f aca="true">RAND()</f>
        <v>0.998875337153141</v>
      </c>
      <c r="S866" s="40" t="n">
        <f aca="true">RAND()</f>
        <v>0.0845604880720437</v>
      </c>
      <c r="T866" s="40" t="n">
        <f aca="true">RAND()</f>
        <v>0.175827713006261</v>
      </c>
      <c r="U866" s="40" t="n">
        <f aca="true">RAND()</f>
        <v>0.900629233228405</v>
      </c>
    </row>
    <row r="867" customFormat="false" ht="15" hidden="false" customHeight="false" outlineLevel="0" collapsed="false">
      <c r="A867" s="36" t="n">
        <v>787</v>
      </c>
      <c r="B867" s="37" t="n">
        <f aca="false">1+IF($G$6=$E$6,$F$6,IF(P867&lt;($F$6-$E$6)/($G$6-$E$6),$E$6+SQRT(P867*($G$6-$E$6)*($F$6-$E$6)),$G$6-SQRT((1-P867)*($G$6-$E$6)*($G$6-$F$6))))</f>
        <v>0.940300401880229</v>
      </c>
      <c r="C867" s="37" t="n">
        <f aca="false">1+IF($G$7=$E$7,$F$7,IF(Q867&lt;($F$7-$E$7)/($G$7-$E$7),$E$7+SQRT(Q867*($G$7-$E$7)*($F$7-$E$7)),$G$7-SQRT((1-Q867)*($G$7-$E$7)*($G$7-$F$7))))</f>
        <v>1.0274739852322</v>
      </c>
      <c r="D867" s="37" t="n">
        <f aca="false">1+IF($G$8=$E$8,$F$8,IF(R867&lt;($F$8-$E$8)/($G$8-$E$8),$E$8+SQRT(R867*($G$8-$E$8)*($F$8-$E$8)),$G$8-SQRT((1-R867)*($G$8-$E$8)*($G$8-$F$8))))</f>
        <v>0.961713169965883</v>
      </c>
      <c r="E867" s="37" t="n">
        <f aca="false">1+IF($G$9=$E$9,$F$9,IF(S867&lt;($F$9-$E$9)/($G$9-$E$9),$E$9+SQRT(S867*($G$9-$E$9)*($F$9-$E$9)),$G$9-SQRT((1-S867)*($G$9-$E$9)*($G$9-$F$9))))</f>
        <v>1.04682755324437</v>
      </c>
      <c r="F867" s="37" t="n">
        <f aca="false">1+IF($G$10=$E$10,$F$10,IF(T867&lt;($F$10-$E$10)/($G$10-$E$10),$E$10+SQRT(T867*($G$10-$E$10)*($F$10-$E$10)),$G$10-SQRT((1-T867)*($G$10-$E$10)*($G$10-$F$10))))</f>
        <v>0.960526216084016</v>
      </c>
      <c r="G867" s="38" t="n">
        <f aca="false">IF($G$11=$E$11,$F$11,IF(U867&lt;($F$11-$E$11)/($G$11-$E$11),$E$11+SQRT(U867*($G$11-$E$11)*($F$11-$E$11)),$G$11-SQRT((1-U867)*($G$11-$E$11)*($G$11-$F$11))))</f>
        <v>0.115310234212668</v>
      </c>
      <c r="H867" s="39" t="n">
        <f aca="false">(('Business Case'!B11*$C867*'Business Case'!B12*$B867)-'Business Case'!B11*$C867*'Business Case'!B13*$D867-'Business Case'!B14*$E867)-MAX(0,(('Business Case'!B11*$C867*'Business Case'!B12*$B867)-'Business Case'!B11*$C867*'Business Case'!B13*$D867-'Business Case'!B14*$E867))*'Business Case'!$B$7-'Business Case'!$B$8*('Business Case'!B11*$C867*'Business Case'!B12*$B867)-'Business Case'!B15*$F867</f>
        <v>-1921052432.16803</v>
      </c>
      <c r="I867" s="39" t="n">
        <f aca="false">(('Business Case'!C11*$C867*'Business Case'!C12*$B867)-'Business Case'!C11*$C867*'Business Case'!C13*$D867-'Business Case'!C14*$E867)-MAX(0,(('Business Case'!C11*$C867*'Business Case'!C12*$B867)-'Business Case'!C11*$C867*'Business Case'!C13*$D867-'Business Case'!C14*$E867))*'Business Case'!$B$7-'Business Case'!$B$8*(('Business Case'!C11*$C867*'Business Case'!C12*$B867)-('Business Case'!B11*$C867*'Business Case'!B12*$B867))-'Business Case'!C15*$F867</f>
        <v>-9508628.23481461</v>
      </c>
      <c r="J867" s="39" t="n">
        <f aca="false">(('Business Case'!D11*$C867*'Business Case'!D12*$B867)-'Business Case'!D11*$C867*'Business Case'!D13*$D867-'Business Case'!D14*$E867)-MAX(0,(('Business Case'!D11*$C867*'Business Case'!D12*$B867)-'Business Case'!D11*$C867*'Business Case'!D13*$D867-'Business Case'!D14*$E867))*'Business Case'!$B$7-'Business Case'!$B$8*(('Business Case'!D11*$C867*'Business Case'!D12*$B867)-('Business Case'!C11*$C867*'Business Case'!C12*$B867))-'Business Case'!D15*$F867</f>
        <v>275978640.20216</v>
      </c>
      <c r="K867" s="39" t="n">
        <f aca="false">(('Business Case'!E11*$C867*'Business Case'!E12*$B867)-'Business Case'!E11*$C867*'Business Case'!E13*$D867-'Business Case'!E14*$E867)-MAX(0,(('Business Case'!E11*$C867*'Business Case'!E12*$B867)-'Business Case'!E11*$C867*'Business Case'!E13*$D867-'Business Case'!E14*$E867))*'Business Case'!$B$7-'Business Case'!$B$8*(('Business Case'!E11*$C867*'Business Case'!E12*$B867)-('Business Case'!D11*$C867*'Business Case'!D12*$B867))-'Business Case'!E15*$F867</f>
        <v>609492219.443336</v>
      </c>
      <c r="L867" s="39" t="n">
        <f aca="false">(('Business Case'!F11*$C867*'Business Case'!F12*$B867)-'Business Case'!F11*$C867*'Business Case'!F13*$D867-'Business Case'!F14*$E867)-MAX(0,(('Business Case'!F11*$C867*'Business Case'!F12*$B867)-'Business Case'!F11*$C867*'Business Case'!F13*$D867-'Business Case'!F14*$E867))*'Business Case'!$B$7-'Business Case'!$B$8*(('Business Case'!F11*$C867*'Business Case'!F12*$B867)-('Business Case'!E11*$C867*'Business Case'!E12*$B867))-'Business Case'!F15*$F867</f>
        <v>738044240.250353</v>
      </c>
      <c r="M867" s="39" t="n">
        <f aca="false">(('Business Case'!G11*$C867*'Business Case'!G12*$B867)-'Business Case'!G11*$C867*'Business Case'!G13*$D867-'Business Case'!G14*$E867)-MAX(0,(('Business Case'!G11*$C867*'Business Case'!G12*$B867)-'Business Case'!G11*$C867*'Business Case'!G13*$D867-'Business Case'!G14*$E867))*'Business Case'!$B$7-'Business Case'!$B$8*(('Business Case'!G11*$C867*'Business Case'!G12*$B867)-('Business Case'!F11*$C867*'Business Case'!F12*$B867))-'Business Case'!G15*$F867+'Business Case'!$B$8*('Business Case'!G11*$C867*'Business Case'!G12*$B867)</f>
        <v>921687029.221162</v>
      </c>
      <c r="N867" s="39" t="n">
        <f aca="false">IF(COUNT('Business Case'!B11:G11)=0,"",H867+NPV(G867,I867:M867))</f>
        <v>-257337392.491568</v>
      </c>
      <c r="P867" s="40" t="n">
        <f aca="true">RAND()</f>
        <v>0.108274826113861</v>
      </c>
      <c r="Q867" s="40" t="n">
        <f aca="true">RAND()</f>
        <v>0.777590751186969</v>
      </c>
      <c r="R867" s="40" t="n">
        <f aca="true">RAND()</f>
        <v>0.0182931134199537</v>
      </c>
      <c r="S867" s="40" t="n">
        <f aca="true">RAND()</f>
        <v>0.716145232812162</v>
      </c>
      <c r="T867" s="40" t="n">
        <f aca="true">RAND()</f>
        <v>0.00738674833649288</v>
      </c>
      <c r="U867" s="40" t="n">
        <f aca="true">RAND()</f>
        <v>0.856140520742218</v>
      </c>
    </row>
    <row r="868" customFormat="false" ht="15" hidden="false" customHeight="false" outlineLevel="0" collapsed="false">
      <c r="A868" s="36" t="n">
        <v>788</v>
      </c>
      <c r="B868" s="37" t="n">
        <f aca="false">1+IF($G$6=$E$6,$F$6,IF(P868&lt;($F$6-$E$6)/($G$6-$E$6),$E$6+SQRT(P868*($G$6-$E$6)*($F$6-$E$6)),$G$6-SQRT((1-P868)*($G$6-$E$6)*($G$6-$F$6))))</f>
        <v>0.996506935203843</v>
      </c>
      <c r="C868" s="37" t="n">
        <f aca="false">1+IF($G$7=$E$7,$F$7,IF(Q868&lt;($F$7-$E$7)/($G$7-$E$7),$E$7+SQRT(Q868*($G$7-$E$7)*($F$7-$E$7)),$G$7-SQRT((1-Q868)*($G$7-$E$7)*($G$7-$F$7))))</f>
        <v>0.913378737248498</v>
      </c>
      <c r="D868" s="37" t="n">
        <f aca="false">1+IF($G$8=$E$8,$F$8,IF(R868&lt;($F$8-$E$8)/($G$8-$E$8),$E$8+SQRT(R868*($G$8-$E$8)*($F$8-$E$8)),$G$8-SQRT((1-R868)*($G$8-$E$8)*($G$8-$F$8))))</f>
        <v>0.993447412682089</v>
      </c>
      <c r="E868" s="37" t="n">
        <f aca="false">1+IF($G$9=$E$9,$F$9,IF(S868&lt;($F$9-$E$9)/($G$9-$E$9),$E$9+SQRT(S868*($G$9-$E$9)*($F$9-$E$9)),$G$9-SQRT((1-S868)*($G$9-$E$9)*($G$9-$F$9))))</f>
        <v>1.03626646402819</v>
      </c>
      <c r="F868" s="37" t="n">
        <f aca="false">1+IF($G$10=$E$10,$F$10,IF(T868&lt;($F$10-$E$10)/($G$10-$E$10),$E$10+SQRT(T868*($G$10-$E$10)*($F$10-$E$10)),$G$10-SQRT((1-T868)*($G$10-$E$10)*($G$10-$F$10))))</f>
        <v>1.03201850759006</v>
      </c>
      <c r="G868" s="38" t="n">
        <f aca="false">IF($G$11=$E$11,$F$11,IF(U868&lt;($F$11-$E$11)/($G$11-$E$11),$E$11+SQRT(U868*($G$11-$E$11)*($F$11-$E$11)),$G$11-SQRT((1-U868)*($G$11-$E$11)*($G$11-$F$11))))</f>
        <v>0.0985201845830011</v>
      </c>
      <c r="H868" s="39" t="n">
        <f aca="false">(('Business Case'!B11*$C868*'Business Case'!B12*$B868)-'Business Case'!B11*$C868*'Business Case'!B13*$D868-'Business Case'!B14*$E868)-MAX(0,(('Business Case'!B11*$C868*'Business Case'!B12*$B868)-'Business Case'!B11*$C868*'Business Case'!B13*$D868-'Business Case'!B14*$E868))*'Business Case'!$B$7-'Business Case'!$B$8*('Business Case'!B11*$C868*'Business Case'!B12*$B868)-'Business Case'!B15*$F868</f>
        <v>-2064037015.18011</v>
      </c>
      <c r="I868" s="39" t="n">
        <f aca="false">(('Business Case'!C11*$C868*'Business Case'!C12*$B868)-'Business Case'!C11*$C868*'Business Case'!C13*$D868-'Business Case'!C14*$E868)-MAX(0,(('Business Case'!C11*$C868*'Business Case'!C12*$B868)-'Business Case'!C11*$C868*'Business Case'!C13*$D868-'Business Case'!C14*$E868))*'Business Case'!$B$7-'Business Case'!$B$8*(('Business Case'!C11*$C868*'Business Case'!C12*$B868)-('Business Case'!B11*$C868*'Business Case'!B12*$B868))-'Business Case'!C15*$F868</f>
        <v>-16746398.5640399</v>
      </c>
      <c r="J868" s="39" t="n">
        <f aca="false">(('Business Case'!D11*$C868*'Business Case'!D12*$B868)-'Business Case'!D11*$C868*'Business Case'!D13*$D868-'Business Case'!D14*$E868)-MAX(0,(('Business Case'!D11*$C868*'Business Case'!D12*$B868)-'Business Case'!D11*$C868*'Business Case'!D13*$D868-'Business Case'!D14*$E868))*'Business Case'!$B$7-'Business Case'!$B$8*(('Business Case'!D11*$C868*'Business Case'!D12*$B868)-('Business Case'!C11*$C868*'Business Case'!C12*$B868))-'Business Case'!D15*$F868</f>
        <v>264250303.495417</v>
      </c>
      <c r="K868" s="39" t="n">
        <f aca="false">(('Business Case'!E11*$C868*'Business Case'!E12*$B868)-'Business Case'!E11*$C868*'Business Case'!E13*$D868-'Business Case'!E14*$E868)-MAX(0,(('Business Case'!E11*$C868*'Business Case'!E12*$B868)-'Business Case'!E11*$C868*'Business Case'!E13*$D868-'Business Case'!E14*$E868))*'Business Case'!$B$7-'Business Case'!$B$8*(('Business Case'!E11*$C868*'Business Case'!E12*$B868)-('Business Case'!D11*$C868*'Business Case'!D12*$B868))-'Business Case'!E15*$F868</f>
        <v>596847930.934376</v>
      </c>
      <c r="L868" s="39" t="n">
        <f aca="false">(('Business Case'!F11*$C868*'Business Case'!F12*$B868)-'Business Case'!F11*$C868*'Business Case'!F13*$D868-'Business Case'!F14*$E868)-MAX(0,(('Business Case'!F11*$C868*'Business Case'!F12*$B868)-'Business Case'!F11*$C868*'Business Case'!F13*$D868-'Business Case'!F14*$E868))*'Business Case'!$B$7-'Business Case'!$B$8*(('Business Case'!F11*$C868*'Business Case'!F12*$B868)-('Business Case'!E11*$C868*'Business Case'!E12*$B868))-'Business Case'!F15*$F868</f>
        <v>721969604.073984</v>
      </c>
      <c r="M868" s="39" t="n">
        <f aca="false">(('Business Case'!G11*$C868*'Business Case'!G12*$B868)-'Business Case'!G11*$C868*'Business Case'!G13*$D868-'Business Case'!G14*$E868)-MAX(0,(('Business Case'!G11*$C868*'Business Case'!G12*$B868)-'Business Case'!G11*$C868*'Business Case'!G13*$D868-'Business Case'!G14*$E868))*'Business Case'!$B$7-'Business Case'!$B$8*(('Business Case'!G11*$C868*'Business Case'!G12*$B868)-('Business Case'!F11*$C868*'Business Case'!F12*$B868))-'Business Case'!G15*$F868+'Business Case'!$B$8*('Business Case'!G11*$C868*'Business Case'!G12*$B868)</f>
        <v>894978185.899487</v>
      </c>
      <c r="N868" s="39" t="n">
        <f aca="false">IF(COUNT('Business Case'!B11:G11)=0,"",H868+NPV(G868,I868:M868))</f>
        <v>-354827182.506641</v>
      </c>
      <c r="P868" s="40" t="n">
        <f aca="true">RAND()</f>
        <v>0.620905902829246</v>
      </c>
      <c r="Q868" s="40" t="n">
        <f aca="true">RAND()</f>
        <v>0.337262855627878</v>
      </c>
      <c r="R868" s="40" t="n">
        <f aca="true">RAND()</f>
        <v>0.2516903558357</v>
      </c>
      <c r="S868" s="40" t="n">
        <f aca="true">RAND()</f>
        <v>0.655058207875947</v>
      </c>
      <c r="T868" s="40" t="n">
        <f aca="true">RAND()</f>
        <v>0.366454252889782</v>
      </c>
      <c r="U868" s="40" t="n">
        <f aca="true">RAND()</f>
        <v>0.342997236988433</v>
      </c>
    </row>
    <row r="869" customFormat="false" ht="15" hidden="false" customHeight="false" outlineLevel="0" collapsed="false">
      <c r="A869" s="36" t="n">
        <v>789</v>
      </c>
      <c r="B869" s="37" t="n">
        <f aca="false">1+IF($G$6=$E$6,$F$6,IF(P869&lt;($F$6-$E$6)/($G$6-$E$6),$E$6+SQRT(P869*($G$6-$E$6)*($F$6-$E$6)),$G$6-SQRT((1-P869)*($G$6-$E$6)*($G$6-$F$6))))</f>
        <v>0.975828247832756</v>
      </c>
      <c r="C869" s="37" t="n">
        <f aca="false">1+IF($G$7=$E$7,$F$7,IF(Q869&lt;($F$7-$E$7)/($G$7-$E$7),$E$7+SQRT(Q869*($G$7-$E$7)*($F$7-$E$7)),$G$7-SQRT((1-Q869)*($G$7-$E$7)*($G$7-$F$7))))</f>
        <v>1.0159809770995</v>
      </c>
      <c r="D869" s="37" t="n">
        <f aca="false">1+IF($G$8=$E$8,$F$8,IF(R869&lt;($F$8-$E$8)/($G$8-$E$8),$E$8+SQRT(R869*($G$8-$E$8)*($F$8-$E$8)),$G$8-SQRT((1-R869)*($G$8-$E$8)*($G$8-$F$8))))</f>
        <v>0.973849009830923</v>
      </c>
      <c r="E869" s="37" t="n">
        <f aca="false">1+IF($G$9=$E$9,$F$9,IF(S869&lt;($F$9-$E$9)/($G$9-$E$9),$E$9+SQRT(S869*($G$9-$E$9)*($F$9-$E$9)),$G$9-SQRT((1-S869)*($G$9-$E$9)*($G$9-$F$9))))</f>
        <v>1.0382449656697</v>
      </c>
      <c r="F869" s="37" t="n">
        <f aca="false">1+IF($G$10=$E$10,$F$10,IF(T869&lt;($F$10-$E$10)/($G$10-$E$10),$E$10+SQRT(T869*($G$10-$E$10)*($F$10-$E$10)),$G$10-SQRT((1-T869)*($G$10-$E$10)*($G$10-$F$10))))</f>
        <v>1.07525644084848</v>
      </c>
      <c r="G869" s="38" t="n">
        <f aca="false">IF($G$11=$E$11,$F$11,IF(U869&lt;($F$11-$E$11)/($G$11-$E$11),$E$11+SQRT(U869*($G$11-$E$11)*($F$11-$E$11)),$G$11-SQRT((1-U869)*($G$11-$E$11)*($G$11-$F$11))))</f>
        <v>0.107154534499242</v>
      </c>
      <c r="H869" s="39" t="n">
        <f aca="false">(('Business Case'!B11*$C869*'Business Case'!B12*$B869)-'Business Case'!B11*$C869*'Business Case'!B13*$D869-'Business Case'!B14*$E869)-MAX(0,(('Business Case'!B11*$C869*'Business Case'!B12*$B869)-'Business Case'!B11*$C869*'Business Case'!B13*$D869-'Business Case'!B14*$E869))*'Business Case'!$B$7-'Business Case'!$B$8*('Business Case'!B11*$C869*'Business Case'!B12*$B869)-'Business Case'!B15*$F869</f>
        <v>-2150512881.69697</v>
      </c>
      <c r="I869" s="39" t="n">
        <f aca="false">(('Business Case'!C11*$C869*'Business Case'!C12*$B869)-'Business Case'!C11*$C869*'Business Case'!C13*$D869-'Business Case'!C14*$E869)-MAX(0,(('Business Case'!C11*$C869*'Business Case'!C12*$B869)-'Business Case'!C11*$C869*'Business Case'!C13*$D869-'Business Case'!C14*$E869))*'Business Case'!$B$7-'Business Case'!$B$8*(('Business Case'!C11*$C869*'Business Case'!C12*$B869)-('Business Case'!B11*$C869*'Business Case'!B12*$B869))-'Business Case'!C15*$F869</f>
        <v>-1012501.75668669</v>
      </c>
      <c r="J869" s="39" t="n">
        <f aca="false">(('Business Case'!D11*$C869*'Business Case'!D12*$B869)-'Business Case'!D11*$C869*'Business Case'!D13*$D869-'Business Case'!D14*$E869)-MAX(0,(('Business Case'!D11*$C869*'Business Case'!D12*$B869)-'Business Case'!D11*$C869*'Business Case'!D13*$D869-'Business Case'!D14*$E869))*'Business Case'!$B$7-'Business Case'!$B$8*(('Business Case'!D11*$C869*'Business Case'!D12*$B869)-('Business Case'!C11*$C869*'Business Case'!C12*$B869))-'Business Case'!D15*$F869</f>
        <v>304534439.728981</v>
      </c>
      <c r="K869" s="39" t="n">
        <f aca="false">(('Business Case'!E11*$C869*'Business Case'!E12*$B869)-'Business Case'!E11*$C869*'Business Case'!E13*$D869-'Business Case'!E14*$E869)-MAX(0,(('Business Case'!E11*$C869*'Business Case'!E12*$B869)-'Business Case'!E11*$C869*'Business Case'!E13*$D869-'Business Case'!E14*$E869))*'Business Case'!$B$7-'Business Case'!$B$8*(('Business Case'!E11*$C869*'Business Case'!E12*$B869)-('Business Case'!D11*$C869*'Business Case'!D12*$B869))-'Business Case'!E15*$F869</f>
        <v>663844203.257073</v>
      </c>
      <c r="L869" s="39" t="n">
        <f aca="false">(('Business Case'!F11*$C869*'Business Case'!F12*$B869)-'Business Case'!F11*$C869*'Business Case'!F13*$D869-'Business Case'!F14*$E869)-MAX(0,(('Business Case'!F11*$C869*'Business Case'!F12*$B869)-'Business Case'!F11*$C869*'Business Case'!F13*$D869-'Business Case'!F14*$E869))*'Business Case'!$B$7-'Business Case'!$B$8*(('Business Case'!F11*$C869*'Business Case'!F12*$B869)-('Business Case'!E11*$C869*'Business Case'!E12*$B869))-'Business Case'!F15*$F869</f>
        <v>799956760.445146</v>
      </c>
      <c r="M869" s="39" t="n">
        <f aca="false">(('Business Case'!G11*$C869*'Business Case'!G12*$B869)-'Business Case'!G11*$C869*'Business Case'!G13*$D869-'Business Case'!G14*$E869)-MAX(0,(('Business Case'!G11*$C869*'Business Case'!G12*$B869)-'Business Case'!G11*$C869*'Business Case'!G13*$D869-'Business Case'!G14*$E869))*'Business Case'!$B$7-'Business Case'!$B$8*(('Business Case'!G11*$C869*'Business Case'!G12*$B869)-('Business Case'!F11*$C869*'Business Case'!F12*$B869))-'Business Case'!G15*$F869+'Business Case'!$B$8*('Business Case'!G11*$C869*'Business Case'!G12*$B869)</f>
        <v>988406432.255822</v>
      </c>
      <c r="N869" s="39" t="n">
        <f aca="false">IF(COUNT('Business Case'!B11:G11)=0,"",H869+NPV(G869,I869:M869))</f>
        <v>-287296922.701602</v>
      </c>
      <c r="P869" s="40" t="n">
        <f aca="true">RAND()</f>
        <v>0.383328211292386</v>
      </c>
      <c r="Q869" s="40" t="n">
        <f aca="true">RAND()</f>
        <v>0.733909651863623</v>
      </c>
      <c r="R869" s="40" t="n">
        <f aca="true">RAND()</f>
        <v>0.0758367026553973</v>
      </c>
      <c r="S869" s="40" t="n">
        <f aca="true">RAND()</f>
        <v>0.666954994715546</v>
      </c>
      <c r="T869" s="40" t="n">
        <f aca="true">RAND()</f>
        <v>0.592862513800807</v>
      </c>
      <c r="U869" s="40" t="n">
        <f aca="true">RAND()</f>
        <v>0.652056470702442</v>
      </c>
    </row>
    <row r="870" customFormat="false" ht="15" hidden="false" customHeight="false" outlineLevel="0" collapsed="false">
      <c r="A870" s="36" t="n">
        <v>790</v>
      </c>
      <c r="B870" s="37" t="n">
        <f aca="false">1+IF($G$6=$E$6,$F$6,IF(P870&lt;($F$6-$E$6)/($G$6-$E$6),$E$6+SQRT(P870*($G$6-$E$6)*($F$6-$E$6)),$G$6-SQRT((1-P870)*($G$6-$E$6)*($G$6-$F$6))))</f>
        <v>0.953367845679198</v>
      </c>
      <c r="C870" s="37" t="n">
        <f aca="false">1+IF($G$7=$E$7,$F$7,IF(Q870&lt;($F$7-$E$7)/($G$7-$E$7),$E$7+SQRT(Q870*($G$7-$E$7)*($F$7-$E$7)),$G$7-SQRT((1-Q870)*($G$7-$E$7)*($G$7-$F$7))))</f>
        <v>0.999668435875092</v>
      </c>
      <c r="D870" s="37" t="n">
        <f aca="false">1+IF($G$8=$E$8,$F$8,IF(R870&lt;($F$8-$E$8)/($G$8-$E$8),$E$8+SQRT(R870*($G$8-$E$8)*($F$8-$E$8)),$G$8-SQRT((1-R870)*($G$8-$E$8)*($G$8-$F$8))))</f>
        <v>1.00717881927323</v>
      </c>
      <c r="E870" s="37" t="n">
        <f aca="false">1+IF($G$9=$E$9,$F$9,IF(S870&lt;($F$9-$E$9)/($G$9-$E$9),$E$9+SQRT(S870*($G$9-$E$9)*($F$9-$E$9)),$G$9-SQRT((1-S870)*($G$9-$E$9)*($G$9-$F$9))))</f>
        <v>1.03009641669139</v>
      </c>
      <c r="F870" s="37" t="n">
        <f aca="false">1+IF($G$10=$E$10,$F$10,IF(T870&lt;($F$10-$E$10)/($G$10-$E$10),$E$10+SQRT(T870*($G$10-$E$10)*($F$10-$E$10)),$G$10-SQRT((1-T870)*($G$10-$E$10)*($G$10-$F$10))))</f>
        <v>1.17434278778827</v>
      </c>
      <c r="G870" s="38" t="n">
        <f aca="false">IF($G$11=$E$11,$F$11,IF(U870&lt;($F$11-$E$11)/($G$11-$E$11),$E$11+SQRT(U870*($G$11-$E$11)*($F$11-$E$11)),$G$11-SQRT((1-U870)*($G$11-$E$11)*($G$11-$F$11))))</f>
        <v>0.108379401188729</v>
      </c>
      <c r="H870" s="39" t="n">
        <f aca="false">(('Business Case'!B11*$C870*'Business Case'!B12*$B870)-'Business Case'!B11*$C870*'Business Case'!B13*$D870-'Business Case'!B14*$E870)-MAX(0,(('Business Case'!B11*$C870*'Business Case'!B12*$B870)-'Business Case'!B11*$C870*'Business Case'!B13*$D870-'Business Case'!B14*$E870))*'Business Case'!$B$7-'Business Case'!$B$8*('Business Case'!B11*$C870*'Business Case'!B12*$B870)-'Business Case'!B15*$F870</f>
        <v>-2348685575.57653</v>
      </c>
      <c r="I870" s="39" t="n">
        <f aca="false">(('Business Case'!C11*$C870*'Business Case'!C12*$B870)-'Business Case'!C11*$C870*'Business Case'!C13*$D870-'Business Case'!C14*$E870)-MAX(0,(('Business Case'!C11*$C870*'Business Case'!C12*$B870)-'Business Case'!C11*$C870*'Business Case'!C13*$D870-'Business Case'!C14*$E870))*'Business Case'!$B$7-'Business Case'!$B$8*(('Business Case'!C11*$C870*'Business Case'!C12*$B870)-('Business Case'!B11*$C870*'Business Case'!B12*$B870))-'Business Case'!C15*$F870</f>
        <v>-48126222.6309979</v>
      </c>
      <c r="J870" s="39" t="n">
        <f aca="false">(('Business Case'!D11*$C870*'Business Case'!D12*$B870)-'Business Case'!D11*$C870*'Business Case'!D13*$D870-'Business Case'!D14*$E870)-MAX(0,(('Business Case'!D11*$C870*'Business Case'!D12*$B870)-'Business Case'!D11*$C870*'Business Case'!D13*$D870-'Business Case'!D14*$E870))*'Business Case'!$B$7-'Business Case'!$B$8*(('Business Case'!D11*$C870*'Business Case'!D12*$B870)-('Business Case'!C11*$C870*'Business Case'!C12*$B870))-'Business Case'!D15*$F870</f>
        <v>217067746.332844</v>
      </c>
      <c r="K870" s="39" t="n">
        <f aca="false">(('Business Case'!E11*$C870*'Business Case'!E12*$B870)-'Business Case'!E11*$C870*'Business Case'!E13*$D870-'Business Case'!E14*$E870)-MAX(0,(('Business Case'!E11*$C870*'Business Case'!E12*$B870)-'Business Case'!E11*$C870*'Business Case'!E13*$D870-'Business Case'!E14*$E870))*'Business Case'!$B$7-'Business Case'!$B$8*(('Business Case'!E11*$C870*'Business Case'!E12*$B870)-('Business Case'!D11*$C870*'Business Case'!D12*$B870))-'Business Case'!E15*$F870</f>
        <v>540978854.686099</v>
      </c>
      <c r="L870" s="39" t="n">
        <f aca="false">(('Business Case'!F11*$C870*'Business Case'!F12*$B870)-'Business Case'!F11*$C870*'Business Case'!F13*$D870-'Business Case'!F14*$E870)-MAX(0,(('Business Case'!F11*$C870*'Business Case'!F12*$B870)-'Business Case'!F11*$C870*'Business Case'!F13*$D870-'Business Case'!F14*$E870))*'Business Case'!$B$7-'Business Case'!$B$8*(('Business Case'!F11*$C870*'Business Case'!F12*$B870)-('Business Case'!E11*$C870*'Business Case'!E12*$B870))-'Business Case'!F15*$F870</f>
        <v>662314312.582378</v>
      </c>
      <c r="M870" s="39" t="n">
        <f aca="false">(('Business Case'!G11*$C870*'Business Case'!G12*$B870)-'Business Case'!G11*$C870*'Business Case'!G13*$D870-'Business Case'!G14*$E870)-MAX(0,(('Business Case'!G11*$C870*'Business Case'!G12*$B870)-'Business Case'!G11*$C870*'Business Case'!G13*$D870-'Business Case'!G14*$E870))*'Business Case'!$B$7-'Business Case'!$B$8*(('Business Case'!G11*$C870*'Business Case'!G12*$B870)-('Business Case'!F11*$C870*'Business Case'!F12*$B870))-'Business Case'!G15*$F870+'Business Case'!$B$8*('Business Case'!G11*$C870*'Business Case'!G12*$B870)</f>
        <v>843470387.911535</v>
      </c>
      <c r="N870" s="39" t="n">
        <f aca="false">IF(COUNT('Business Case'!B11:G11)=0,"",H870+NPV(G870,I870:M870))</f>
        <v>-875043663.796382</v>
      </c>
      <c r="P870" s="40" t="n">
        <f aca="true">RAND()</f>
        <v>0.189875130162582</v>
      </c>
      <c r="Q870" s="40" t="n">
        <f aca="true">RAND()</f>
        <v>0.665193862665362</v>
      </c>
      <c r="R870" s="40" t="n">
        <f aca="true">RAND()</f>
        <v>0.425615227232571</v>
      </c>
      <c r="S870" s="40" t="n">
        <f aca="true">RAND()</f>
        <v>0.616616818926811</v>
      </c>
      <c r="T870" s="40" t="n">
        <f aca="true">RAND()</f>
        <v>0.923679816537983</v>
      </c>
      <c r="U870" s="40" t="n">
        <f aca="true">RAND()</f>
        <v>0.688366471361378</v>
      </c>
    </row>
    <row r="871" customFormat="false" ht="15" hidden="false" customHeight="false" outlineLevel="0" collapsed="false">
      <c r="A871" s="36" t="n">
        <v>791</v>
      </c>
      <c r="B871" s="37" t="n">
        <f aca="false">1+IF($G$6=$E$6,$F$6,IF(P871&lt;($F$6-$E$6)/($G$6-$E$6),$E$6+SQRT(P871*($G$6-$E$6)*($F$6-$E$6)),$G$6-SQRT((1-P871)*($G$6-$E$6)*($G$6-$F$6))))</f>
        <v>1.01175595561688</v>
      </c>
      <c r="C871" s="37" t="n">
        <f aca="false">1+IF($G$7=$E$7,$F$7,IF(Q871&lt;($F$7-$E$7)/($G$7-$E$7),$E$7+SQRT(Q871*($G$7-$E$7)*($F$7-$E$7)),$G$7-SQRT((1-Q871)*($G$7-$E$7)*($G$7-$F$7))))</f>
        <v>1.09554754308783</v>
      </c>
      <c r="D871" s="37" t="n">
        <f aca="false">1+IF($G$8=$E$8,$F$8,IF(R871&lt;($F$8-$E$8)/($G$8-$E$8),$E$8+SQRT(R871*($G$8-$E$8)*($F$8-$E$8)),$G$8-SQRT((1-R871)*($G$8-$E$8)*($G$8-$F$8))))</f>
        <v>0.995180114919534</v>
      </c>
      <c r="E871" s="37" t="n">
        <f aca="false">1+IF($G$9=$E$9,$F$9,IF(S871&lt;($F$9-$E$9)/($G$9-$E$9),$E$9+SQRT(S871*($G$9-$E$9)*($F$9-$E$9)),$G$9-SQRT((1-S871)*($G$9-$E$9)*($G$9-$F$9))))</f>
        <v>1.10728079208354</v>
      </c>
      <c r="F871" s="37" t="n">
        <f aca="false">1+IF($G$10=$E$10,$F$10,IF(T871&lt;($F$10-$E$10)/($G$10-$E$10),$E$10+SQRT(T871*($G$10-$E$10)*($F$10-$E$10)),$G$10-SQRT((1-T871)*($G$10-$E$10)*($G$10-$F$10))))</f>
        <v>1.20026738612149</v>
      </c>
      <c r="G871" s="38" t="n">
        <f aca="false">IF($G$11=$E$11,$F$11,IF(U871&lt;($F$11-$E$11)/($G$11-$E$11),$E$11+SQRT(U871*($G$11-$E$11)*($F$11-$E$11)),$G$11-SQRT((1-U871)*($G$11-$E$11)*($G$11-$F$11))))</f>
        <v>0.101974857871926</v>
      </c>
      <c r="H871" s="39" t="n">
        <f aca="false">(('Business Case'!B11*$C871*'Business Case'!B12*$B871)-'Business Case'!B11*$C871*'Business Case'!B13*$D871-'Business Case'!B14*$E871)-MAX(0,(('Business Case'!B11*$C871*'Business Case'!B12*$B871)-'Business Case'!B11*$C871*'Business Case'!B13*$D871-'Business Case'!B14*$E871))*'Business Case'!$B$7-'Business Case'!$B$8*('Business Case'!B11*$C871*'Business Case'!B12*$B871)-'Business Case'!B15*$F871</f>
        <v>-2400534772.24298</v>
      </c>
      <c r="I871" s="39" t="n">
        <f aca="false">(('Business Case'!C11*$C871*'Business Case'!C12*$B871)-'Business Case'!C11*$C871*'Business Case'!C13*$D871-'Business Case'!C14*$E871)-MAX(0,(('Business Case'!C11*$C871*'Business Case'!C12*$B871)-'Business Case'!C11*$C871*'Business Case'!C13*$D871-'Business Case'!C14*$E871))*'Business Case'!$B$7-'Business Case'!$B$8*(('Business Case'!C11*$C871*'Business Case'!C12*$B871)-('Business Case'!B11*$C871*'Business Case'!B12*$B871))-'Business Case'!C15*$F871</f>
        <v>14808856.9662189</v>
      </c>
      <c r="J871" s="39" t="n">
        <f aca="false">(('Business Case'!D11*$C871*'Business Case'!D12*$B871)-'Business Case'!D11*$C871*'Business Case'!D13*$D871-'Business Case'!D14*$E871)-MAX(0,(('Business Case'!D11*$C871*'Business Case'!D12*$B871)-'Business Case'!D11*$C871*'Business Case'!D13*$D871-'Business Case'!D14*$E871))*'Business Case'!$B$7-'Business Case'!$B$8*(('Business Case'!D11*$C871*'Business Case'!D12*$B871)-('Business Case'!C11*$C871*'Business Case'!C12*$B871))-'Business Case'!D15*$F871</f>
        <v>364560623.970434</v>
      </c>
      <c r="K871" s="39" t="n">
        <f aca="false">(('Business Case'!E11*$C871*'Business Case'!E12*$B871)-'Business Case'!E11*$C871*'Business Case'!E13*$D871-'Business Case'!E14*$E871)-MAX(0,(('Business Case'!E11*$C871*'Business Case'!E12*$B871)-'Business Case'!E11*$C871*'Business Case'!E13*$D871-'Business Case'!E14*$E871))*'Business Case'!$B$7-'Business Case'!$B$8*(('Business Case'!E11*$C871*'Business Case'!E12*$B871)-('Business Case'!D11*$C871*'Business Case'!D12*$B871))-'Business Case'!E15*$F871</f>
        <v>774325760.280725</v>
      </c>
      <c r="L871" s="39" t="n">
        <f aca="false">(('Business Case'!F11*$C871*'Business Case'!F12*$B871)-'Business Case'!F11*$C871*'Business Case'!F13*$D871-'Business Case'!F14*$E871)-MAX(0,(('Business Case'!F11*$C871*'Business Case'!F12*$B871)-'Business Case'!F11*$C871*'Business Case'!F13*$D871-'Business Case'!F14*$E871))*'Business Case'!$B$7-'Business Case'!$B$8*(('Business Case'!F11*$C871*'Business Case'!F12*$B871)-('Business Case'!E11*$C871*'Business Case'!E12*$B871))-'Business Case'!F15*$F871</f>
        <v>929216911.143175</v>
      </c>
      <c r="M871" s="39" t="n">
        <f aca="false">(('Business Case'!G11*$C871*'Business Case'!G12*$B871)-'Business Case'!G11*$C871*'Business Case'!G13*$D871-'Business Case'!G14*$E871)-MAX(0,(('Business Case'!G11*$C871*'Business Case'!G12*$B871)-'Business Case'!G11*$C871*'Business Case'!G13*$D871-'Business Case'!G14*$E871))*'Business Case'!$B$7-'Business Case'!$B$8*(('Business Case'!G11*$C871*'Business Case'!G12*$B871)-('Business Case'!F11*$C871*'Business Case'!F12*$B871))-'Business Case'!G15*$F871+'Business Case'!$B$8*('Business Case'!G11*$C871*'Business Case'!G12*$B871)</f>
        <v>1139906668.04559</v>
      </c>
      <c r="N871" s="39" t="n">
        <f aca="false">IF(COUNT('Business Case'!B11:G11)=0,"",H871+NPV(G871,I871:M871))</f>
        <v>-176642043.115739</v>
      </c>
      <c r="P871" s="40" t="n">
        <f aca="true">RAND()</f>
        <v>0.804985742562878</v>
      </c>
      <c r="Q871" s="40" t="n">
        <f aca="true">RAND()</f>
        <v>0.956073036092276</v>
      </c>
      <c r="R871" s="40" t="n">
        <f aca="true">RAND()</f>
        <v>0.272165704552307</v>
      </c>
      <c r="S871" s="40" t="n">
        <f aca="true">RAND()</f>
        <v>0.951335180666413</v>
      </c>
      <c r="T871" s="40" t="n">
        <f aca="true">RAND()</f>
        <v>0.967022228224148</v>
      </c>
      <c r="U871" s="40" t="n">
        <f aca="true">RAND()</f>
        <v>0.476394272467505</v>
      </c>
    </row>
    <row r="872" customFormat="false" ht="15" hidden="false" customHeight="false" outlineLevel="0" collapsed="false">
      <c r="A872" s="36" t="n">
        <v>792</v>
      </c>
      <c r="B872" s="37" t="n">
        <f aca="false">1+IF($G$6=$E$6,$F$6,IF(P872&lt;($F$6-$E$6)/($G$6-$E$6),$E$6+SQRT(P872*($G$6-$E$6)*($F$6-$E$6)),$G$6-SQRT((1-P872)*($G$6-$E$6)*($G$6-$F$6))))</f>
        <v>0.990993063214644</v>
      </c>
      <c r="C872" s="37" t="n">
        <f aca="false">1+IF($G$7=$E$7,$F$7,IF(Q872&lt;($F$7-$E$7)/($G$7-$E$7),$E$7+SQRT(Q872*($G$7-$E$7)*($F$7-$E$7)),$G$7-SQRT((1-Q872)*($G$7-$E$7)*($G$7-$F$7))))</f>
        <v>0.937347833892875</v>
      </c>
      <c r="D872" s="37" t="n">
        <f aca="false">1+IF($G$8=$E$8,$F$8,IF(R872&lt;($F$8-$E$8)/($G$8-$E$8),$E$8+SQRT(R872*($G$8-$E$8)*($F$8-$E$8)),$G$8-SQRT((1-R872)*($G$8-$E$8)*($G$8-$F$8))))</f>
        <v>1.02016319305382</v>
      </c>
      <c r="E872" s="37" t="n">
        <f aca="false">1+IF($G$9=$E$9,$F$9,IF(S872&lt;($F$9-$E$9)/($G$9-$E$9),$E$9+SQRT(S872*($G$9-$E$9)*($F$9-$E$9)),$G$9-SQRT((1-S872)*($G$9-$E$9)*($G$9-$F$9))))</f>
        <v>1.06735699575365</v>
      </c>
      <c r="F872" s="37" t="n">
        <f aca="false">1+IF($G$10=$E$10,$F$10,IF(T872&lt;($F$10-$E$10)/($G$10-$E$10),$E$10+SQRT(T872*($G$10-$E$10)*($F$10-$E$10)),$G$10-SQRT((1-T872)*($G$10-$E$10)*($G$10-$F$10))))</f>
        <v>1.17675301423105</v>
      </c>
      <c r="G872" s="38" t="n">
        <f aca="false">IF($G$11=$E$11,$F$11,IF(U872&lt;($F$11-$E$11)/($G$11-$E$11),$E$11+SQRT(U872*($G$11-$E$11)*($F$11-$E$11)),$G$11-SQRT((1-U872)*($G$11-$E$11)*($G$11-$F$11))))</f>
        <v>0.10165179553685</v>
      </c>
      <c r="H872" s="39" t="n">
        <f aca="false">(('Business Case'!B11*$C872*'Business Case'!B12*$B872)-'Business Case'!B11*$C872*'Business Case'!B13*$D872-'Business Case'!B14*$E872)-MAX(0,(('Business Case'!B11*$C872*'Business Case'!B12*$B872)-'Business Case'!B11*$C872*'Business Case'!B13*$D872-'Business Case'!B14*$E872))*'Business Case'!$B$7-'Business Case'!$B$8*('Business Case'!B11*$C872*'Business Case'!B12*$B872)-'Business Case'!B15*$F872</f>
        <v>-2353506028.4621</v>
      </c>
      <c r="I872" s="39" t="n">
        <f aca="false">(('Business Case'!C11*$C872*'Business Case'!C12*$B872)-'Business Case'!C11*$C872*'Business Case'!C13*$D872-'Business Case'!C14*$E872)-MAX(0,(('Business Case'!C11*$C872*'Business Case'!C12*$B872)-'Business Case'!C11*$C872*'Business Case'!C13*$D872-'Business Case'!C14*$E872))*'Business Case'!$B$7-'Business Case'!$B$8*(('Business Case'!C11*$C872*'Business Case'!C12*$B872)-('Business Case'!B11*$C872*'Business Case'!B12*$B872))-'Business Case'!C15*$F872</f>
        <v>-46290023.7898322</v>
      </c>
      <c r="J872" s="39" t="n">
        <f aca="false">(('Business Case'!D11*$C872*'Business Case'!D12*$B872)-'Business Case'!D11*$C872*'Business Case'!D13*$D872-'Business Case'!D14*$E872)-MAX(0,(('Business Case'!D11*$C872*'Business Case'!D12*$B872)-'Business Case'!D11*$C872*'Business Case'!D13*$D872-'Business Case'!D14*$E872))*'Business Case'!$B$7-'Business Case'!$B$8*(('Business Case'!D11*$C872*'Business Case'!D12*$B872)-('Business Case'!C11*$C872*'Business Case'!C12*$B872))-'Business Case'!D15*$F872</f>
        <v>225027864.270186</v>
      </c>
      <c r="K872" s="39" t="n">
        <f aca="false">(('Business Case'!E11*$C872*'Business Case'!E12*$B872)-'Business Case'!E11*$C872*'Business Case'!E13*$D872-'Business Case'!E14*$E872)-MAX(0,(('Business Case'!E11*$C872*'Business Case'!E12*$B872)-'Business Case'!E11*$C872*'Business Case'!E13*$D872-'Business Case'!E14*$E872))*'Business Case'!$B$7-'Business Case'!$B$8*(('Business Case'!E11*$C872*'Business Case'!E12*$B872)-('Business Case'!D11*$C872*'Business Case'!D12*$B872))-'Business Case'!E15*$F872</f>
        <v>555183403.041756</v>
      </c>
      <c r="L872" s="39" t="n">
        <f aca="false">(('Business Case'!F11*$C872*'Business Case'!F12*$B872)-'Business Case'!F11*$C872*'Business Case'!F13*$D872-'Business Case'!F14*$E872)-MAX(0,(('Business Case'!F11*$C872*'Business Case'!F12*$B872)-'Business Case'!F11*$C872*'Business Case'!F13*$D872-'Business Case'!F14*$E872))*'Business Case'!$B$7-'Business Case'!$B$8*(('Business Case'!F11*$C872*'Business Case'!F12*$B872)-('Business Case'!E11*$C872*'Business Case'!E12*$B872))-'Business Case'!F15*$F872</f>
        <v>677725662.815479</v>
      </c>
      <c r="M872" s="39" t="n">
        <f aca="false">(('Business Case'!G11*$C872*'Business Case'!G12*$B872)-'Business Case'!G11*$C872*'Business Case'!G13*$D872-'Business Case'!G14*$E872)-MAX(0,(('Business Case'!G11*$C872*'Business Case'!G12*$B872)-'Business Case'!G11*$C872*'Business Case'!G13*$D872-'Business Case'!G14*$E872))*'Business Case'!$B$7-'Business Case'!$B$8*(('Business Case'!G11*$C872*'Business Case'!G12*$B872)-('Business Case'!F11*$C872*'Business Case'!F12*$B872))-'Business Case'!G15*$F872+'Business Case'!$B$8*('Business Case'!G11*$C872*'Business Case'!G12*$B872)</f>
        <v>854291963.460927</v>
      </c>
      <c r="N872" s="39" t="n">
        <f aca="false">IF(COUNT('Business Case'!B11:G11)=0,"",H872+NPV(G872,I872:M872))</f>
        <v>-808255494.47849</v>
      </c>
      <c r="P872" s="40" t="n">
        <f aca="true">RAND()</f>
        <v>0.55198250354561</v>
      </c>
      <c r="Q872" s="40" t="n">
        <f aca="true">RAND()</f>
        <v>0.417288846323257</v>
      </c>
      <c r="R872" s="40" t="n">
        <f aca="true">RAND()</f>
        <v>0.575072283775848</v>
      </c>
      <c r="S872" s="40" t="n">
        <f aca="true">RAND()</f>
        <v>0.817870235976987</v>
      </c>
      <c r="T872" s="40" t="n">
        <f aca="true">RAND()</f>
        <v>0.928465054343509</v>
      </c>
      <c r="U872" s="40" t="n">
        <f aca="true">RAND()</f>
        <v>0.464252869143616</v>
      </c>
    </row>
    <row r="873" customFormat="false" ht="15" hidden="false" customHeight="false" outlineLevel="0" collapsed="false">
      <c r="A873" s="36" t="n">
        <v>793</v>
      </c>
      <c r="B873" s="37" t="n">
        <f aca="false">1+IF($G$6=$E$6,$F$6,IF(P873&lt;($F$6-$E$6)/($G$6-$E$6),$E$6+SQRT(P873*($G$6-$E$6)*($F$6-$E$6)),$G$6-SQRT((1-P873)*($G$6-$E$6)*($G$6-$F$6))))</f>
        <v>0.988201438169342</v>
      </c>
      <c r="C873" s="37" t="n">
        <f aca="false">1+IF($G$7=$E$7,$F$7,IF(Q873&lt;($F$7-$E$7)/($G$7-$E$7),$E$7+SQRT(Q873*($G$7-$E$7)*($F$7-$E$7)),$G$7-SQRT((1-Q873)*($G$7-$E$7)*($G$7-$F$7))))</f>
        <v>0.991729304379929</v>
      </c>
      <c r="D873" s="37" t="n">
        <f aca="false">1+IF($G$8=$E$8,$F$8,IF(R873&lt;($F$8-$E$8)/($G$8-$E$8),$E$8+SQRT(R873*($G$8-$E$8)*($F$8-$E$8)),$G$8-SQRT((1-R873)*($G$8-$E$8)*($G$8-$F$8))))</f>
        <v>0.995194017872191</v>
      </c>
      <c r="E873" s="37" t="n">
        <f aca="false">1+IF($G$9=$E$9,$F$9,IF(S873&lt;($F$9-$E$9)/($G$9-$E$9),$E$9+SQRT(S873*($G$9-$E$9)*($F$9-$E$9)),$G$9-SQRT((1-S873)*($G$9-$E$9)*($G$9-$F$9))))</f>
        <v>1.10216363050407</v>
      </c>
      <c r="F873" s="37" t="n">
        <f aca="false">1+IF($G$10=$E$10,$F$10,IF(T873&lt;($F$10-$E$10)/($G$10-$E$10),$E$10+SQRT(T873*($G$10-$E$10)*($F$10-$E$10)),$G$10-SQRT((1-T873)*($G$10-$E$10)*($G$10-$F$10))))</f>
        <v>1.0852289255047</v>
      </c>
      <c r="G873" s="38" t="n">
        <f aca="false">IF($G$11=$E$11,$F$11,IF(U873&lt;($F$11-$E$11)/($G$11-$E$11),$E$11+SQRT(U873*($G$11-$E$11)*($F$11-$E$11)),$G$11-SQRT((1-U873)*($G$11-$E$11)*($G$11-$F$11))))</f>
        <v>0.112454618831487</v>
      </c>
      <c r="H873" s="39" t="n">
        <f aca="false">(('Business Case'!B11*$C873*'Business Case'!B12*$B873)-'Business Case'!B11*$C873*'Business Case'!B13*$D873-'Business Case'!B14*$E873)-MAX(0,(('Business Case'!B11*$C873*'Business Case'!B12*$B873)-'Business Case'!B11*$C873*'Business Case'!B13*$D873-'Business Case'!B14*$E873))*'Business Case'!$B$7-'Business Case'!$B$8*('Business Case'!B11*$C873*'Business Case'!B12*$B873)-'Business Case'!B15*$F873</f>
        <v>-2170457851.0094</v>
      </c>
      <c r="I873" s="39" t="n">
        <f aca="false">(('Business Case'!C11*$C873*'Business Case'!C12*$B873)-'Business Case'!C11*$C873*'Business Case'!C13*$D873-'Business Case'!C14*$E873)-MAX(0,(('Business Case'!C11*$C873*'Business Case'!C12*$B873)-'Business Case'!C11*$C873*'Business Case'!C13*$D873-'Business Case'!C14*$E873))*'Business Case'!$B$7-'Business Case'!$B$8*(('Business Case'!C11*$C873*'Business Case'!C12*$B873)-('Business Case'!B11*$C873*'Business Case'!B12*$B873))-'Business Case'!C15*$F873</f>
        <v>-18587604.4077673</v>
      </c>
      <c r="J873" s="39" t="n">
        <f aca="false">(('Business Case'!D11*$C873*'Business Case'!D12*$B873)-'Business Case'!D11*$C873*'Business Case'!D13*$D873-'Business Case'!D14*$E873)-MAX(0,(('Business Case'!D11*$C873*'Business Case'!D12*$B873)-'Business Case'!D11*$C873*'Business Case'!D13*$D873-'Business Case'!D14*$E873))*'Business Case'!$B$7-'Business Case'!$B$8*(('Business Case'!D11*$C873*'Business Case'!D12*$B873)-('Business Case'!C11*$C873*'Business Case'!C12*$B873))-'Business Case'!D15*$F873</f>
        <v>278880020.353509</v>
      </c>
      <c r="K873" s="39" t="n">
        <f aca="false">(('Business Case'!E11*$C873*'Business Case'!E12*$B873)-'Business Case'!E11*$C873*'Business Case'!E13*$D873-'Business Case'!E14*$E873)-MAX(0,(('Business Case'!E11*$C873*'Business Case'!E12*$B873)-'Business Case'!E11*$C873*'Business Case'!E13*$D873-'Business Case'!E14*$E873))*'Business Case'!$B$7-'Business Case'!$B$8*(('Business Case'!E11*$C873*'Business Case'!E12*$B873)-('Business Case'!D11*$C873*'Business Case'!D12*$B873))-'Business Case'!E15*$F873</f>
        <v>630609091.39002</v>
      </c>
      <c r="L873" s="39" t="n">
        <f aca="false">(('Business Case'!F11*$C873*'Business Case'!F12*$B873)-'Business Case'!F11*$C873*'Business Case'!F13*$D873-'Business Case'!F14*$E873)-MAX(0,(('Business Case'!F11*$C873*'Business Case'!F12*$B873)-'Business Case'!F11*$C873*'Business Case'!F13*$D873-'Business Case'!F14*$E873))*'Business Case'!$B$7-'Business Case'!$B$8*(('Business Case'!F11*$C873*'Business Case'!F12*$B873)-('Business Case'!E11*$C873*'Business Case'!E12*$B873))-'Business Case'!F15*$F873</f>
        <v>763634745.217708</v>
      </c>
      <c r="M873" s="39" t="n">
        <f aca="false">(('Business Case'!G11*$C873*'Business Case'!G12*$B873)-'Business Case'!G11*$C873*'Business Case'!G13*$D873-'Business Case'!G14*$E873)-MAX(0,(('Business Case'!G11*$C873*'Business Case'!G12*$B873)-'Business Case'!G11*$C873*'Business Case'!G13*$D873-'Business Case'!G14*$E873))*'Business Case'!$B$7-'Business Case'!$B$8*(('Business Case'!G11*$C873*'Business Case'!G12*$B873)-('Business Case'!F11*$C873*'Business Case'!F12*$B873))-'Business Case'!G15*$F873+'Business Case'!$B$8*('Business Case'!G11*$C873*'Business Case'!G12*$B873)</f>
        <v>949918529.207653</v>
      </c>
      <c r="N873" s="39" t="n">
        <f aca="false">IF(COUNT('Business Case'!B11:G11)=0,"",H873+NPV(G873,I873:M873))</f>
        <v>-447625226.313192</v>
      </c>
      <c r="P873" s="40" t="n">
        <f aca="true">RAND()</f>
        <v>0.518632913009351</v>
      </c>
      <c r="Q873" s="40" t="n">
        <f aca="true">RAND()</f>
        <v>0.630414718770351</v>
      </c>
      <c r="R873" s="40" t="n">
        <f aca="true">RAND()</f>
        <v>0.272333233524257</v>
      </c>
      <c r="S873" s="40" t="n">
        <f aca="true">RAND()</f>
        <v>0.938978180091979</v>
      </c>
      <c r="T873" s="40" t="n">
        <f aca="true">RAND()</f>
        <v>0.63800657346219</v>
      </c>
      <c r="U873" s="40" t="n">
        <f aca="true">RAND()</f>
        <v>0.794773066434388</v>
      </c>
    </row>
    <row r="874" customFormat="false" ht="15" hidden="false" customHeight="false" outlineLevel="0" collapsed="false">
      <c r="A874" s="36" t="n">
        <v>794</v>
      </c>
      <c r="B874" s="37" t="n">
        <f aca="false">1+IF($G$6=$E$6,$F$6,IF(P874&lt;($F$6-$E$6)/($G$6-$E$6),$E$6+SQRT(P874*($G$6-$E$6)*($F$6-$E$6)),$G$6-SQRT((1-P874)*($G$6-$E$6)*($G$6-$F$6))))</f>
        <v>1.00216342780193</v>
      </c>
      <c r="C874" s="37" t="n">
        <f aca="false">1+IF($G$7=$E$7,$F$7,IF(Q874&lt;($F$7-$E$7)/($G$7-$E$7),$E$7+SQRT(Q874*($G$7-$E$7)*($F$7-$E$7)),$G$7-SQRT((1-Q874)*($G$7-$E$7)*($G$7-$F$7))))</f>
        <v>1.02231187046445</v>
      </c>
      <c r="D874" s="37" t="n">
        <f aca="false">1+IF($G$8=$E$8,$F$8,IF(R874&lt;($F$8-$E$8)/($G$8-$E$8),$E$8+SQRT(R874*($G$8-$E$8)*($F$8-$E$8)),$G$8-SQRT((1-R874)*($G$8-$E$8)*($G$8-$F$8))))</f>
        <v>1.00727370736042</v>
      </c>
      <c r="E874" s="37" t="n">
        <f aca="false">1+IF($G$9=$E$9,$F$9,IF(S874&lt;($F$9-$E$9)/($G$9-$E$9),$E$9+SQRT(S874*($G$9-$E$9)*($F$9-$E$9)),$G$9-SQRT((1-S874)*($G$9-$E$9)*($G$9-$F$9))))</f>
        <v>1.05808352651689</v>
      </c>
      <c r="F874" s="37" t="n">
        <f aca="false">1+IF($G$10=$E$10,$F$10,IF(T874&lt;($F$10-$E$10)/($G$10-$E$10),$E$10+SQRT(T874*($G$10-$E$10)*($F$10-$E$10)),$G$10-SQRT((1-T874)*($G$10-$E$10)*($G$10-$F$10))))</f>
        <v>0.995014302892462</v>
      </c>
      <c r="G874" s="38" t="n">
        <f aca="false">IF($G$11=$E$11,$F$11,IF(U874&lt;($F$11-$E$11)/($G$11-$E$11),$E$11+SQRT(U874*($G$11-$E$11)*($F$11-$E$11)),$G$11-SQRT((1-U874)*($G$11-$E$11)*($G$11-$F$11))))</f>
        <v>0.097356319191591</v>
      </c>
      <c r="H874" s="39" t="n">
        <f aca="false">(('Business Case'!B11*$C874*'Business Case'!B12*$B874)-'Business Case'!B11*$C874*'Business Case'!B13*$D874-'Business Case'!B14*$E874)-MAX(0,(('Business Case'!B11*$C874*'Business Case'!B12*$B874)-'Business Case'!B11*$C874*'Business Case'!B13*$D874-'Business Case'!B14*$E874))*'Business Case'!$B$7-'Business Case'!$B$8*('Business Case'!B11*$C874*'Business Case'!B12*$B874)-'Business Case'!B15*$F874</f>
        <v>-1990028605.78492</v>
      </c>
      <c r="I874" s="39" t="n">
        <f aca="false">(('Business Case'!C11*$C874*'Business Case'!C12*$B874)-'Business Case'!C11*$C874*'Business Case'!C13*$D874-'Business Case'!C14*$E874)-MAX(0,(('Business Case'!C11*$C874*'Business Case'!C12*$B874)-'Business Case'!C11*$C874*'Business Case'!C13*$D874-'Business Case'!C14*$E874))*'Business Case'!$B$7-'Business Case'!$B$8*(('Business Case'!C11*$C874*'Business Case'!C12*$B874)-('Business Case'!B11*$C874*'Business Case'!B12*$B874))-'Business Case'!C15*$F874</f>
        <v>8937830.15563063</v>
      </c>
      <c r="J874" s="39" t="n">
        <f aca="false">(('Business Case'!D11*$C874*'Business Case'!D12*$B874)-'Business Case'!D11*$C874*'Business Case'!D13*$D874-'Business Case'!D14*$E874)-MAX(0,(('Business Case'!D11*$C874*'Business Case'!D12*$B874)-'Business Case'!D11*$C874*'Business Case'!D13*$D874-'Business Case'!D14*$E874))*'Business Case'!$B$7-'Business Case'!$B$8*(('Business Case'!D11*$C874*'Business Case'!D12*$B874)-('Business Case'!C11*$C874*'Business Case'!C12*$B874))-'Business Case'!D15*$F874</f>
        <v>320947869.856405</v>
      </c>
      <c r="K874" s="39" t="n">
        <f aca="false">(('Business Case'!E11*$C874*'Business Case'!E12*$B874)-'Business Case'!E11*$C874*'Business Case'!E13*$D874-'Business Case'!E14*$E874)-MAX(0,(('Business Case'!E11*$C874*'Business Case'!E12*$B874)-'Business Case'!E11*$C874*'Business Case'!E13*$D874-'Business Case'!E14*$E874))*'Business Case'!$B$7-'Business Case'!$B$8*(('Business Case'!E11*$C874*'Business Case'!E12*$B874)-('Business Case'!D11*$C874*'Business Case'!D12*$B874))-'Business Case'!E15*$F874</f>
        <v>682708624.701802</v>
      </c>
      <c r="L874" s="39" t="n">
        <f aca="false">(('Business Case'!F11*$C874*'Business Case'!F12*$B874)-'Business Case'!F11*$C874*'Business Case'!F13*$D874-'Business Case'!F14*$E874)-MAX(0,(('Business Case'!F11*$C874*'Business Case'!F12*$B874)-'Business Case'!F11*$C874*'Business Case'!F13*$D874-'Business Case'!F14*$E874))*'Business Case'!$B$7-'Business Case'!$B$8*(('Business Case'!F11*$C874*'Business Case'!F12*$B874)-('Business Case'!E11*$C874*'Business Case'!E12*$B874))-'Business Case'!F15*$F874</f>
        <v>822119505.79219</v>
      </c>
      <c r="M874" s="39" t="n">
        <f aca="false">(('Business Case'!G11*$C874*'Business Case'!G12*$B874)-'Business Case'!G11*$C874*'Business Case'!G13*$D874-'Business Case'!G14*$E874)-MAX(0,(('Business Case'!G11*$C874*'Business Case'!G12*$B874)-'Business Case'!G11*$C874*'Business Case'!G13*$D874-'Business Case'!G14*$E874))*'Business Case'!$B$7-'Business Case'!$B$8*(('Business Case'!G11*$C874*'Business Case'!G12*$B874)-('Business Case'!F11*$C874*'Business Case'!F12*$B874))-'Business Case'!G15*$F874+'Business Case'!$B$8*('Business Case'!G11*$C874*'Business Case'!G12*$B874)</f>
        <v>1016860945.67124</v>
      </c>
      <c r="N874" s="39" t="n">
        <f aca="false">IF(COUNT('Business Case'!B11:G11)=0,"",H874+NPV(G874,I874:M874))</f>
        <v>7269468.96741486</v>
      </c>
      <c r="P874" s="40" t="n">
        <f aca="true">RAND()</f>
        <v>0.694888314711862</v>
      </c>
      <c r="Q874" s="40" t="n">
        <f aca="true">RAND()</f>
        <v>0.758455430751297</v>
      </c>
      <c r="R874" s="40" t="n">
        <f aca="true">RAND()</f>
        <v>0.426788976887914</v>
      </c>
      <c r="S874" s="40" t="n">
        <f aca="true">RAND()</f>
        <v>0.77470298406477</v>
      </c>
      <c r="T874" s="40" t="n">
        <f aca="true">RAND()</f>
        <v>0.135085830992951</v>
      </c>
      <c r="U874" s="40" t="n">
        <f aca="true">RAND()</f>
        <v>0.301241815880388</v>
      </c>
    </row>
    <row r="875" customFormat="false" ht="15" hidden="false" customHeight="false" outlineLevel="0" collapsed="false">
      <c r="A875" s="36" t="n">
        <v>795</v>
      </c>
      <c r="B875" s="37" t="n">
        <f aca="false">1+IF($G$6=$E$6,$F$6,IF(P875&lt;($F$6-$E$6)/($G$6-$E$6),$E$6+SQRT(P875*($G$6-$E$6)*($F$6-$E$6)),$G$6-SQRT((1-P875)*($G$6-$E$6)*($G$6-$F$6))))</f>
        <v>1.01296845532393</v>
      </c>
      <c r="C875" s="37" t="n">
        <f aca="false">1+IF($G$7=$E$7,$F$7,IF(Q875&lt;($F$7-$E$7)/($G$7-$E$7),$E$7+SQRT(Q875*($G$7-$E$7)*($F$7-$E$7)),$G$7-SQRT((1-Q875)*($G$7-$E$7)*($G$7-$F$7))))</f>
        <v>0.820576753355079</v>
      </c>
      <c r="D875" s="37" t="n">
        <f aca="false">1+IF($G$8=$E$8,$F$8,IF(R875&lt;($F$8-$E$8)/($G$8-$E$8),$E$8+SQRT(R875*($G$8-$E$8)*($F$8-$E$8)),$G$8-SQRT((1-R875)*($G$8-$E$8)*($G$8-$F$8))))</f>
        <v>1.04115034798253</v>
      </c>
      <c r="E875" s="37" t="n">
        <f aca="false">1+IF($G$9=$E$9,$F$9,IF(S875&lt;($F$9-$E$9)/($G$9-$E$9),$E$9+SQRT(S875*($G$9-$E$9)*($F$9-$E$9)),$G$9-SQRT((1-S875)*($G$9-$E$9)*($G$9-$F$9))))</f>
        <v>1.02599851529212</v>
      </c>
      <c r="F875" s="37" t="n">
        <f aca="false">1+IF($G$10=$E$10,$F$10,IF(T875&lt;($F$10-$E$10)/($G$10-$E$10),$E$10+SQRT(T875*($G$10-$E$10)*($F$10-$E$10)),$G$10-SQRT((1-T875)*($G$10-$E$10)*($G$10-$F$10))))</f>
        <v>1.03361738063338</v>
      </c>
      <c r="G875" s="38" t="n">
        <f aca="false">IF($G$11=$E$11,$F$11,IF(U875&lt;($F$11-$E$11)/($G$11-$E$11),$E$11+SQRT(U875*($G$11-$E$11)*($F$11-$E$11)),$G$11-SQRT((1-U875)*($G$11-$E$11)*($G$11-$F$11))))</f>
        <v>0.103236828089708</v>
      </c>
      <c r="H875" s="39" t="n">
        <f aca="false">(('Business Case'!B11*$C875*'Business Case'!B12*$B875)-'Business Case'!B11*$C875*'Business Case'!B13*$D875-'Business Case'!B14*$E875)-MAX(0,(('Business Case'!B11*$C875*'Business Case'!B12*$B875)-'Business Case'!B11*$C875*'Business Case'!B13*$D875-'Business Case'!B14*$E875))*'Business Case'!$B$7-'Business Case'!$B$8*('Business Case'!B11*$C875*'Business Case'!B12*$B875)-'Business Case'!B15*$F875</f>
        <v>-2067234761.26676</v>
      </c>
      <c r="I875" s="39" t="n">
        <f aca="false">(('Business Case'!C11*$C875*'Business Case'!C12*$B875)-'Business Case'!C11*$C875*'Business Case'!C13*$D875-'Business Case'!C14*$E875)-MAX(0,(('Business Case'!C11*$C875*'Business Case'!C12*$B875)-'Business Case'!C11*$C875*'Business Case'!C13*$D875-'Business Case'!C14*$E875))*'Business Case'!$B$7-'Business Case'!$B$8*(('Business Case'!C11*$C875*'Business Case'!C12*$B875)-('Business Case'!B11*$C875*'Business Case'!B12*$B875))-'Business Case'!C15*$F875</f>
        <v>-48877061.2256744</v>
      </c>
      <c r="J875" s="39" t="n">
        <f aca="false">(('Business Case'!D11*$C875*'Business Case'!D12*$B875)-'Business Case'!D11*$C875*'Business Case'!D13*$D875-'Business Case'!D14*$E875)-MAX(0,(('Business Case'!D11*$C875*'Business Case'!D12*$B875)-'Business Case'!D11*$C875*'Business Case'!D13*$D875-'Business Case'!D14*$E875))*'Business Case'!$B$7-'Business Case'!$B$8*(('Business Case'!D11*$C875*'Business Case'!D12*$B875)-('Business Case'!C11*$C875*'Business Case'!C12*$B875))-'Business Case'!D15*$F875</f>
        <v>194594964.5966</v>
      </c>
      <c r="K875" s="39" t="n">
        <f aca="false">(('Business Case'!E11*$C875*'Business Case'!E12*$B875)-'Business Case'!E11*$C875*'Business Case'!E13*$D875-'Business Case'!E14*$E875)-MAX(0,(('Business Case'!E11*$C875*'Business Case'!E12*$B875)-'Business Case'!E11*$C875*'Business Case'!E13*$D875-'Business Case'!E14*$E875))*'Business Case'!$B$7-'Business Case'!$B$8*(('Business Case'!E11*$C875*'Business Case'!E12*$B875)-('Business Case'!D11*$C875*'Business Case'!D12*$B875))-'Business Case'!E15*$F875</f>
        <v>489747859.450543</v>
      </c>
      <c r="L875" s="39" t="n">
        <f aca="false">(('Business Case'!F11*$C875*'Business Case'!F12*$B875)-'Business Case'!F11*$C875*'Business Case'!F13*$D875-'Business Case'!F14*$E875)-MAX(0,(('Business Case'!F11*$C875*'Business Case'!F12*$B875)-'Business Case'!F11*$C875*'Business Case'!F13*$D875-'Business Case'!F14*$E875))*'Business Case'!$B$7-'Business Case'!$B$8*(('Business Case'!F11*$C875*'Business Case'!F12*$B875)-('Business Case'!E11*$C875*'Business Case'!E12*$B875))-'Business Case'!F15*$F875</f>
        <v>599632108.131349</v>
      </c>
      <c r="M875" s="39" t="n">
        <f aca="false">(('Business Case'!G11*$C875*'Business Case'!G12*$B875)-'Business Case'!G11*$C875*'Business Case'!G13*$D875-'Business Case'!G14*$E875)-MAX(0,(('Business Case'!G11*$C875*'Business Case'!G12*$B875)-'Business Case'!G11*$C875*'Business Case'!G13*$D875-'Business Case'!G14*$E875))*'Business Case'!$B$7-'Business Case'!$B$8*(('Business Case'!G11*$C875*'Business Case'!G12*$B875)-('Business Case'!F11*$C875*'Business Case'!F12*$B875))-'Business Case'!G15*$F875+'Business Case'!$B$8*('Business Case'!G11*$C875*'Business Case'!G12*$B875)</f>
        <v>757630095.201609</v>
      </c>
      <c r="N875" s="39" t="n">
        <f aca="false">IF(COUNT('Business Case'!B11:G11)=0,"",H875+NPV(G875,I875:M875))</f>
        <v>-718592996.935912</v>
      </c>
      <c r="P875" s="40" t="n">
        <f aca="true">RAND()</f>
        <v>0.817155293187188</v>
      </c>
      <c r="Q875" s="40" t="n">
        <f aca="true">RAND()</f>
        <v>0.107694469997418</v>
      </c>
      <c r="R875" s="40" t="n">
        <f aca="true">RAND()</f>
        <v>0.769114563828213</v>
      </c>
      <c r="S875" s="40" t="n">
        <f aca="true">RAND()</f>
        <v>0.589963514406446</v>
      </c>
      <c r="T875" s="40" t="n">
        <f aca="true">RAND()</f>
        <v>0.375714160480542</v>
      </c>
      <c r="U875" s="40" t="n">
        <f aca="true">RAND()</f>
        <v>0.52248841953343</v>
      </c>
    </row>
    <row r="876" customFormat="false" ht="15" hidden="false" customHeight="false" outlineLevel="0" collapsed="false">
      <c r="A876" s="36" t="n">
        <v>796</v>
      </c>
      <c r="B876" s="37" t="n">
        <f aca="false">1+IF($G$6=$E$6,$F$6,IF(P876&lt;($F$6-$E$6)/($G$6-$E$6),$E$6+SQRT(P876*($G$6-$E$6)*($F$6-$E$6)),$G$6-SQRT((1-P876)*($G$6-$E$6)*($G$6-$F$6))))</f>
        <v>0.966955812437931</v>
      </c>
      <c r="C876" s="37" t="n">
        <f aca="false">1+IF($G$7=$E$7,$F$7,IF(Q876&lt;($F$7-$E$7)/($G$7-$E$7),$E$7+SQRT(Q876*($G$7-$E$7)*($F$7-$E$7)),$G$7-SQRT((1-Q876)*($G$7-$E$7)*($G$7-$F$7))))</f>
        <v>0.969211584681819</v>
      </c>
      <c r="D876" s="37" t="n">
        <f aca="false">1+IF($G$8=$E$8,$F$8,IF(R876&lt;($F$8-$E$8)/($G$8-$E$8),$E$8+SQRT(R876*($G$8-$E$8)*($F$8-$E$8)),$G$8-SQRT((1-R876)*($G$8-$E$8)*($G$8-$F$8))))</f>
        <v>1.07486638132223</v>
      </c>
      <c r="E876" s="37" t="n">
        <f aca="false">1+IF($G$9=$E$9,$F$9,IF(S876&lt;($F$9-$E$9)/($G$9-$E$9),$E$9+SQRT(S876*($G$9-$E$9)*($F$9-$E$9)),$G$9-SQRT((1-S876)*($G$9-$E$9)*($G$9-$F$9))))</f>
        <v>1.03742569187595</v>
      </c>
      <c r="F876" s="37" t="n">
        <f aca="false">1+IF($G$10=$E$10,$F$10,IF(T876&lt;($F$10-$E$10)/($G$10-$E$10),$E$10+SQRT(T876*($G$10-$E$10)*($F$10-$E$10)),$G$10-SQRT((1-T876)*($G$10-$E$10)*($G$10-$F$10))))</f>
        <v>1.02814456723548</v>
      </c>
      <c r="G876" s="38" t="n">
        <f aca="false">IF($G$11=$E$11,$F$11,IF(U876&lt;($F$11-$E$11)/($G$11-$E$11),$E$11+SQRT(U876*($G$11-$E$11)*($F$11-$E$11)),$G$11-SQRT((1-U876)*($G$11-$E$11)*($G$11-$F$11))))</f>
        <v>0.100971542628685</v>
      </c>
      <c r="H876" s="39" t="n">
        <f aca="false">(('Business Case'!B11*$C876*'Business Case'!B12*$B876)-'Business Case'!B11*$C876*'Business Case'!B13*$D876-'Business Case'!B14*$E876)-MAX(0,(('Business Case'!B11*$C876*'Business Case'!B12*$B876)-'Business Case'!B11*$C876*'Business Case'!B13*$D876-'Business Case'!B14*$E876))*'Business Case'!$B$7-'Business Case'!$B$8*('Business Case'!B11*$C876*'Business Case'!B12*$B876)-'Business Case'!B15*$F876</f>
        <v>-2056289134.47096</v>
      </c>
      <c r="I876" s="39" t="n">
        <f aca="false">(('Business Case'!C11*$C876*'Business Case'!C12*$B876)-'Business Case'!C11*$C876*'Business Case'!C13*$D876-'Business Case'!C14*$E876)-MAX(0,(('Business Case'!C11*$C876*'Business Case'!C12*$B876)-'Business Case'!C11*$C876*'Business Case'!C13*$D876-'Business Case'!C14*$E876))*'Business Case'!$B$7-'Business Case'!$B$8*(('Business Case'!C11*$C876*'Business Case'!C12*$B876)-('Business Case'!B11*$C876*'Business Case'!B12*$B876))-'Business Case'!C15*$F876</f>
        <v>-64602648.5233263</v>
      </c>
      <c r="J876" s="39" t="n">
        <f aca="false">(('Business Case'!D11*$C876*'Business Case'!D12*$B876)-'Business Case'!D11*$C876*'Business Case'!D13*$D876-'Business Case'!D14*$E876)-MAX(0,(('Business Case'!D11*$C876*'Business Case'!D12*$B876)-'Business Case'!D11*$C876*'Business Case'!D13*$D876-'Business Case'!D14*$E876))*'Business Case'!$B$7-'Business Case'!$B$8*(('Business Case'!D11*$C876*'Business Case'!D12*$B876)-('Business Case'!C11*$C876*'Business Case'!C12*$B876))-'Business Case'!D15*$F876</f>
        <v>169714751.812703</v>
      </c>
      <c r="K876" s="39" t="n">
        <f aca="false">(('Business Case'!E11*$C876*'Business Case'!E12*$B876)-'Business Case'!E11*$C876*'Business Case'!E13*$D876-'Business Case'!E14*$E876)-MAX(0,(('Business Case'!E11*$C876*'Business Case'!E12*$B876)-'Business Case'!E11*$C876*'Business Case'!E13*$D876-'Business Case'!E14*$E876))*'Business Case'!$B$7-'Business Case'!$B$8*(('Business Case'!E11*$C876*'Business Case'!E12*$B876)-('Business Case'!D11*$C876*'Business Case'!D12*$B876))-'Business Case'!E15*$F876</f>
        <v>455439380.510506</v>
      </c>
      <c r="L876" s="39" t="n">
        <f aca="false">(('Business Case'!F11*$C876*'Business Case'!F12*$B876)-'Business Case'!F11*$C876*'Business Case'!F13*$D876-'Business Case'!F14*$E876)-MAX(0,(('Business Case'!F11*$C876*'Business Case'!F12*$B876)-'Business Case'!F11*$C876*'Business Case'!F13*$D876-'Business Case'!F14*$E876))*'Business Case'!$B$7-'Business Case'!$B$8*(('Business Case'!F11*$C876*'Business Case'!F12*$B876)-('Business Case'!E11*$C876*'Business Case'!E12*$B876))-'Business Case'!F15*$F876</f>
        <v>565934286.456547</v>
      </c>
      <c r="M876" s="39" t="n">
        <f aca="false">(('Business Case'!G11*$C876*'Business Case'!G12*$B876)-'Business Case'!G11*$C876*'Business Case'!G13*$D876-'Business Case'!G14*$E876)-MAX(0,(('Business Case'!G11*$C876*'Business Case'!G12*$B876)-'Business Case'!G11*$C876*'Business Case'!G13*$D876-'Business Case'!G14*$E876))*'Business Case'!$B$7-'Business Case'!$B$8*(('Business Case'!G11*$C876*'Business Case'!G12*$B876)-('Business Case'!F11*$C876*'Business Case'!F12*$B876))-'Business Case'!G15*$F876+'Business Case'!$B$8*('Business Case'!G11*$C876*'Business Case'!G12*$B876)</f>
        <v>744074368.543721</v>
      </c>
      <c r="N876" s="39" t="n">
        <f aca="false">IF(COUNT('Business Case'!B11:G11)=0,"",H876+NPV(G876,I876:M876))</f>
        <v>-788526122.569166</v>
      </c>
      <c r="P876" s="40" t="n">
        <f aca="true">RAND()</f>
        <v>0.298872054614892</v>
      </c>
      <c r="Q876" s="40" t="n">
        <f aca="true">RAND()</f>
        <v>0.536850943162192</v>
      </c>
      <c r="R876" s="40" t="n">
        <f aca="true">RAND()</f>
        <v>0.957886747477377</v>
      </c>
      <c r="S876" s="40" t="n">
        <f aca="true">RAND()</f>
        <v>0.662054004010441</v>
      </c>
      <c r="T876" s="40" t="n">
        <f aca="true">RAND()</f>
        <v>0.34373555937158</v>
      </c>
      <c r="U876" s="40" t="n">
        <f aca="true">RAND()</f>
        <v>0.438232441761147</v>
      </c>
    </row>
    <row r="877" customFormat="false" ht="15" hidden="false" customHeight="false" outlineLevel="0" collapsed="false">
      <c r="A877" s="36" t="n">
        <v>797</v>
      </c>
      <c r="B877" s="37" t="n">
        <f aca="false">1+IF($G$6=$E$6,$F$6,IF(P877&lt;($F$6-$E$6)/($G$6-$E$6),$E$6+SQRT(P877*($G$6-$E$6)*($F$6-$E$6)),$G$6-SQRT((1-P877)*($G$6-$E$6)*($G$6-$F$6))))</f>
        <v>0.922273411276057</v>
      </c>
      <c r="C877" s="37" t="n">
        <f aca="false">1+IF($G$7=$E$7,$F$7,IF(Q877&lt;($F$7-$E$7)/($G$7-$E$7),$E$7+SQRT(Q877*($G$7-$E$7)*($F$7-$E$7)),$G$7-SQRT((1-Q877)*($G$7-$E$7)*($G$7-$F$7))))</f>
        <v>1.01916951291765</v>
      </c>
      <c r="D877" s="37" t="n">
        <f aca="false">1+IF($G$8=$E$8,$F$8,IF(R877&lt;($F$8-$E$8)/($G$8-$E$8),$E$8+SQRT(R877*($G$8-$E$8)*($F$8-$E$8)),$G$8-SQRT((1-R877)*($G$8-$E$8)*($G$8-$F$8))))</f>
        <v>1.03349116726164</v>
      </c>
      <c r="E877" s="37" t="n">
        <f aca="false">1+IF($G$9=$E$9,$F$9,IF(S877&lt;($F$9-$E$9)/($G$9-$E$9),$E$9+SQRT(S877*($G$9-$E$9)*($F$9-$E$9)),$G$9-SQRT((1-S877)*($G$9-$E$9)*($G$9-$F$9))))</f>
        <v>1.10226890430893</v>
      </c>
      <c r="F877" s="37" t="n">
        <f aca="false">1+IF($G$10=$E$10,$F$10,IF(T877&lt;($F$10-$E$10)/($G$10-$E$10),$E$10+SQRT(T877*($G$10-$E$10)*($F$10-$E$10)),$G$10-SQRT((1-T877)*($G$10-$E$10)*($G$10-$F$10))))</f>
        <v>1.17913319155049</v>
      </c>
      <c r="G877" s="38" t="n">
        <f aca="false">IF($G$11=$E$11,$F$11,IF(U877&lt;($F$11-$E$11)/($G$11-$E$11),$E$11+SQRT(U877*($G$11-$E$11)*($F$11-$E$11)),$G$11-SQRT((1-U877)*($G$11-$E$11)*($G$11-$F$11))))</f>
        <v>0.107344102450339</v>
      </c>
      <c r="H877" s="39" t="n">
        <f aca="false">(('Business Case'!B11*$C877*'Business Case'!B12*$B877)-'Business Case'!B11*$C877*'Business Case'!B13*$D877-'Business Case'!B14*$E877)-MAX(0,(('Business Case'!B11*$C877*'Business Case'!B12*$B877)-'Business Case'!B11*$C877*'Business Case'!B13*$D877-'Business Case'!B14*$E877))*'Business Case'!$B$7-'Business Case'!$B$8*('Business Case'!B11*$C877*'Business Case'!B12*$B877)-'Business Case'!B15*$F877</f>
        <v>-2358266383.10098</v>
      </c>
      <c r="I877" s="39" t="n">
        <f aca="false">(('Business Case'!C11*$C877*'Business Case'!C12*$B877)-'Business Case'!C11*$C877*'Business Case'!C13*$D877-'Business Case'!C14*$E877)-MAX(0,(('Business Case'!C11*$C877*'Business Case'!C12*$B877)-'Business Case'!C11*$C877*'Business Case'!C13*$D877-'Business Case'!C14*$E877))*'Business Case'!$B$7-'Business Case'!$B$8*(('Business Case'!C11*$C877*'Business Case'!C12*$B877)-('Business Case'!B11*$C877*'Business Case'!B12*$B877))-'Business Case'!C15*$F877</f>
        <v>-92700693.5484035</v>
      </c>
      <c r="J877" s="39" t="n">
        <f aca="false">(('Business Case'!D11*$C877*'Business Case'!D12*$B877)-'Business Case'!D11*$C877*'Business Case'!D13*$D877-'Business Case'!D14*$E877)-MAX(0,(('Business Case'!D11*$C877*'Business Case'!D12*$B877)-'Business Case'!D11*$C877*'Business Case'!D13*$D877-'Business Case'!D14*$E877))*'Business Case'!$B$7-'Business Case'!$B$8*(('Business Case'!D11*$C877*'Business Case'!D12*$B877)-('Business Case'!C11*$C877*'Business Case'!C12*$B877))-'Business Case'!D15*$F877</f>
        <v>137981730.834086</v>
      </c>
      <c r="K877" s="39" t="n">
        <f aca="false">(('Business Case'!E11*$C877*'Business Case'!E12*$B877)-'Business Case'!E11*$C877*'Business Case'!E13*$D877-'Business Case'!E14*$E877)-MAX(0,(('Business Case'!E11*$C877*'Business Case'!E12*$B877)-'Business Case'!E11*$C877*'Business Case'!E13*$D877-'Business Case'!E14*$E877))*'Business Case'!$B$7-'Business Case'!$B$8*(('Business Case'!E11*$C877*'Business Case'!E12*$B877)-('Business Case'!D11*$C877*'Business Case'!D12*$B877))-'Business Case'!E15*$F877</f>
        <v>427620814.794101</v>
      </c>
      <c r="L877" s="39" t="n">
        <f aca="false">(('Business Case'!F11*$C877*'Business Case'!F12*$B877)-'Business Case'!F11*$C877*'Business Case'!F13*$D877-'Business Case'!F14*$E877)-MAX(0,(('Business Case'!F11*$C877*'Business Case'!F12*$B877)-'Business Case'!F11*$C877*'Business Case'!F13*$D877-'Business Case'!F14*$E877))*'Business Case'!$B$7-'Business Case'!$B$8*(('Business Case'!F11*$C877*'Business Case'!F12*$B877)-('Business Case'!E11*$C877*'Business Case'!E12*$B877))-'Business Case'!F15*$F877</f>
        <v>536999729.977008</v>
      </c>
      <c r="M877" s="39" t="n">
        <f aca="false">(('Business Case'!G11*$C877*'Business Case'!G12*$B877)-'Business Case'!G11*$C877*'Business Case'!G13*$D877-'Business Case'!G14*$E877)-MAX(0,(('Business Case'!G11*$C877*'Business Case'!G12*$B877)-'Business Case'!G11*$C877*'Business Case'!G13*$D877-'Business Case'!G14*$E877))*'Business Case'!$B$7-'Business Case'!$B$8*(('Business Case'!G11*$C877*'Business Case'!G12*$B877)-('Business Case'!F11*$C877*'Business Case'!F12*$B877))-'Business Case'!G15*$F877+'Business Case'!$B$8*('Business Case'!G11*$C877*'Business Case'!G12*$B877)</f>
        <v>715665985.448427</v>
      </c>
      <c r="N877" s="39" t="n">
        <f aca="false">IF(COUNT('Business Case'!B11:G11)=0,"",H877+NPV(G877,I877:M877))</f>
        <v>-1227551156.61149</v>
      </c>
      <c r="P877" s="40" t="n">
        <f aca="true">RAND()</f>
        <v>0.0330736566581602</v>
      </c>
      <c r="Q877" s="40" t="n">
        <f aca="true">RAND()</f>
        <v>0.746420498515466</v>
      </c>
      <c r="R877" s="40" t="n">
        <f aca="true">RAND()</f>
        <v>0.705105011185414</v>
      </c>
      <c r="S877" s="40" t="n">
        <f aca="true">RAND()</f>
        <v>0.939246466776799</v>
      </c>
      <c r="T877" s="40" t="n">
        <f aca="true">RAND()</f>
        <v>0.933038606135742</v>
      </c>
      <c r="U877" s="40" t="n">
        <f aca="true">RAND()</f>
        <v>0.657806870812843</v>
      </c>
    </row>
    <row r="878" customFormat="false" ht="15" hidden="false" customHeight="false" outlineLevel="0" collapsed="false">
      <c r="A878" s="36" t="n">
        <v>798</v>
      </c>
      <c r="B878" s="37" t="n">
        <f aca="false">1+IF($G$6=$E$6,$F$6,IF(P878&lt;($F$6-$E$6)/($G$6-$E$6),$E$6+SQRT(P878*($G$6-$E$6)*($F$6-$E$6)),$G$6-SQRT((1-P878)*($G$6-$E$6)*($G$6-$F$6))))</f>
        <v>0.943115187685007</v>
      </c>
      <c r="C878" s="37" t="n">
        <f aca="false">1+IF($G$7=$E$7,$F$7,IF(Q878&lt;($F$7-$E$7)/($G$7-$E$7),$E$7+SQRT(Q878*($G$7-$E$7)*($F$7-$E$7)),$G$7-SQRT((1-Q878)*($G$7-$E$7)*($G$7-$F$7))))</f>
        <v>0.935131010696865</v>
      </c>
      <c r="D878" s="37" t="n">
        <f aca="false">1+IF($G$8=$E$8,$F$8,IF(R878&lt;($F$8-$E$8)/($G$8-$E$8),$E$8+SQRT(R878*($G$8-$E$8)*($F$8-$E$8)),$G$8-SQRT((1-R878)*($G$8-$E$8)*($G$8-$F$8))))</f>
        <v>1.02125633280288</v>
      </c>
      <c r="E878" s="37" t="n">
        <f aca="false">1+IF($G$9=$E$9,$F$9,IF(S878&lt;($F$9-$E$9)/($G$9-$E$9),$E$9+SQRT(S878*($G$9-$E$9)*($F$9-$E$9)),$G$9-SQRT((1-S878)*($G$9-$E$9)*($G$9-$F$9))))</f>
        <v>0.963972929796512</v>
      </c>
      <c r="F878" s="37" t="n">
        <f aca="false">1+IF($G$10=$E$10,$F$10,IF(T878&lt;($F$10-$E$10)/($G$10-$E$10),$E$10+SQRT(T878*($G$10-$E$10)*($F$10-$E$10)),$G$10-SQRT((1-T878)*($G$10-$E$10)*($G$10-$F$10))))</f>
        <v>1.03124329636187</v>
      </c>
      <c r="G878" s="38" t="n">
        <f aca="false">IF($G$11=$E$11,$F$11,IF(U878&lt;($F$11-$E$11)/($G$11-$E$11),$E$11+SQRT(U878*($G$11-$E$11)*($F$11-$E$11)),$G$11-SQRT((1-U878)*($G$11-$E$11)*($G$11-$F$11))))</f>
        <v>0.114400048314326</v>
      </c>
      <c r="H878" s="39" t="n">
        <f aca="false">(('Business Case'!B11*$C878*'Business Case'!B12*$B878)-'Business Case'!B11*$C878*'Business Case'!B13*$D878-'Business Case'!B14*$E878)-MAX(0,(('Business Case'!B11*$C878*'Business Case'!B12*$B878)-'Business Case'!B11*$C878*'Business Case'!B13*$D878-'Business Case'!B14*$E878))*'Business Case'!$B$7-'Business Case'!$B$8*('Business Case'!B11*$C878*'Business Case'!B12*$B878)-'Business Case'!B15*$F878</f>
        <v>-2062486592.72374</v>
      </c>
      <c r="I878" s="39" t="n">
        <f aca="false">(('Business Case'!C11*$C878*'Business Case'!C12*$B878)-'Business Case'!C11*$C878*'Business Case'!C13*$D878-'Business Case'!C14*$E878)-MAX(0,(('Business Case'!C11*$C878*'Business Case'!C12*$B878)-'Business Case'!C11*$C878*'Business Case'!C13*$D878-'Business Case'!C14*$E878))*'Business Case'!$B$7-'Business Case'!$B$8*(('Business Case'!C11*$C878*'Business Case'!C12*$B878)-('Business Case'!B11*$C878*'Business Case'!B12*$B878))-'Business Case'!C15*$F878</f>
        <v>-52439494.9064045</v>
      </c>
      <c r="J878" s="39" t="n">
        <f aca="false">(('Business Case'!D11*$C878*'Business Case'!D12*$B878)-'Business Case'!D11*$C878*'Business Case'!D13*$D878-'Business Case'!D14*$E878)-MAX(0,(('Business Case'!D11*$C878*'Business Case'!D12*$B878)-'Business Case'!D11*$C878*'Business Case'!D13*$D878-'Business Case'!D14*$E878))*'Business Case'!$B$7-'Business Case'!$B$8*(('Business Case'!D11*$C878*'Business Case'!D12*$B878)-('Business Case'!C11*$C878*'Business Case'!C12*$B878))-'Business Case'!D15*$F878</f>
        <v>181041866.089555</v>
      </c>
      <c r="K878" s="39" t="n">
        <f aca="false">(('Business Case'!E11*$C878*'Business Case'!E12*$B878)-'Business Case'!E11*$C878*'Business Case'!E13*$D878-'Business Case'!E14*$E878)-MAX(0,(('Business Case'!E11*$C878*'Business Case'!E12*$B878)-'Business Case'!E11*$C878*'Business Case'!E13*$D878-'Business Case'!E14*$E878))*'Business Case'!$B$7-'Business Case'!$B$8*(('Business Case'!E11*$C878*'Business Case'!E12*$B878)-('Business Case'!D11*$C878*'Business Case'!D12*$B878))-'Business Case'!E15*$F878</f>
        <v>466085391.903608</v>
      </c>
      <c r="L878" s="39" t="n">
        <f aca="false">(('Business Case'!F11*$C878*'Business Case'!F12*$B878)-'Business Case'!F11*$C878*'Business Case'!F13*$D878-'Business Case'!F14*$E878)-MAX(0,(('Business Case'!F11*$C878*'Business Case'!F12*$B878)-'Business Case'!F11*$C878*'Business Case'!F13*$D878-'Business Case'!F14*$E878))*'Business Case'!$B$7-'Business Case'!$B$8*(('Business Case'!F11*$C878*'Business Case'!F12*$B878)-('Business Case'!E11*$C878*'Business Case'!E12*$B878))-'Business Case'!F15*$F878</f>
        <v>574392229.335003</v>
      </c>
      <c r="M878" s="39" t="n">
        <f aca="false">(('Business Case'!G11*$C878*'Business Case'!G12*$B878)-'Business Case'!G11*$C878*'Business Case'!G13*$D878-'Business Case'!G14*$E878)-MAX(0,(('Business Case'!G11*$C878*'Business Case'!G12*$B878)-'Business Case'!G11*$C878*'Business Case'!G13*$D878-'Business Case'!G14*$E878))*'Business Case'!$B$7-'Business Case'!$B$8*(('Business Case'!G11*$C878*'Business Case'!G12*$B878)-('Business Case'!F11*$C878*'Business Case'!F12*$B878))-'Business Case'!G15*$F878+'Business Case'!$B$8*('Business Case'!G11*$C878*'Business Case'!G12*$B878)</f>
        <v>742030673.38175</v>
      </c>
      <c r="N878" s="39" t="n">
        <f aca="false">IF(COUNT('Business Case'!B11:G11)=0,"",H878+NPV(G878,I878:M878))</f>
        <v>-822822986.080468</v>
      </c>
      <c r="P878" s="40" t="n">
        <f aca="true">RAND()</f>
        <v>0.123927960607556</v>
      </c>
      <c r="Q878" s="40" t="n">
        <f aca="true">RAND()</f>
        <v>0.409530312528365</v>
      </c>
      <c r="R878" s="40" t="n">
        <f aca="true">RAND()</f>
        <v>0.586628991756587</v>
      </c>
      <c r="S878" s="40" t="n">
        <f aca="true">RAND()</f>
        <v>0.163701429869978</v>
      </c>
      <c r="T878" s="40" t="n">
        <f aca="true">RAND()</f>
        <v>0.361940061511723</v>
      </c>
      <c r="U878" s="40" t="n">
        <f aca="true">RAND()</f>
        <v>0.837761004936431</v>
      </c>
    </row>
    <row r="879" customFormat="false" ht="15" hidden="false" customHeight="false" outlineLevel="0" collapsed="false">
      <c r="A879" s="36" t="n">
        <v>799</v>
      </c>
      <c r="B879" s="37" t="n">
        <f aca="false">1+IF($G$6=$E$6,$F$6,IF(P879&lt;($F$6-$E$6)/($G$6-$E$6),$E$6+SQRT(P879*($G$6-$E$6)*($F$6-$E$6)),$G$6-SQRT((1-P879)*($G$6-$E$6)*($G$6-$F$6))))</f>
        <v>0.969532271570315</v>
      </c>
      <c r="C879" s="37" t="n">
        <f aca="false">1+IF($G$7=$E$7,$F$7,IF(Q879&lt;($F$7-$E$7)/($G$7-$E$7),$E$7+SQRT(Q879*($G$7-$E$7)*($F$7-$E$7)),$G$7-SQRT((1-Q879)*($G$7-$E$7)*($G$7-$F$7))))</f>
        <v>0.94415978953556</v>
      </c>
      <c r="D879" s="37" t="n">
        <f aca="false">1+IF($G$8=$E$8,$F$8,IF(R879&lt;($F$8-$E$8)/($G$8-$E$8),$E$8+SQRT(R879*($G$8-$E$8)*($F$8-$E$8)),$G$8-SQRT((1-R879)*($G$8-$E$8)*($G$8-$F$8))))</f>
        <v>1.01103073831821</v>
      </c>
      <c r="E879" s="37" t="n">
        <f aca="false">1+IF($G$9=$E$9,$F$9,IF(S879&lt;($F$9-$E$9)/($G$9-$E$9),$E$9+SQRT(S879*($G$9-$E$9)*($F$9-$E$9)),$G$9-SQRT((1-S879)*($G$9-$E$9)*($G$9-$F$9))))</f>
        <v>1.0920516910028</v>
      </c>
      <c r="F879" s="37" t="n">
        <f aca="false">1+IF($G$10=$E$10,$F$10,IF(T879&lt;($F$10-$E$10)/($G$10-$E$10),$E$10+SQRT(T879*($G$10-$E$10)*($F$10-$E$10)),$G$10-SQRT((1-T879)*($G$10-$E$10)*($G$10-$F$10))))</f>
        <v>1.05849604344416</v>
      </c>
      <c r="G879" s="38" t="n">
        <f aca="false">IF($G$11=$E$11,$F$11,IF(U879&lt;($F$11-$E$11)/($G$11-$E$11),$E$11+SQRT(U879*($G$11-$E$11)*($F$11-$E$11)),$G$11-SQRT((1-U879)*($G$11-$E$11)*($G$11-$F$11))))</f>
        <v>0.0971204770429445</v>
      </c>
      <c r="H879" s="39" t="n">
        <f aca="false">(('Business Case'!B11*$C879*'Business Case'!B12*$B879)-'Business Case'!B11*$C879*'Business Case'!B13*$D879-'Business Case'!B14*$E879)-MAX(0,(('Business Case'!B11*$C879*'Business Case'!B12*$B879)-'Business Case'!B11*$C879*'Business Case'!B13*$D879-'Business Case'!B14*$E879))*'Business Case'!$B$7-'Business Case'!$B$8*('Business Case'!B11*$C879*'Business Case'!B12*$B879)-'Business Case'!B15*$F879</f>
        <v>-2116992086.88833</v>
      </c>
      <c r="I879" s="39" t="n">
        <f aca="false">(('Business Case'!C11*$C879*'Business Case'!C12*$B879)-'Business Case'!C11*$C879*'Business Case'!C13*$D879-'Business Case'!C14*$E879)-MAX(0,(('Business Case'!C11*$C879*'Business Case'!C12*$B879)-'Business Case'!C11*$C879*'Business Case'!C13*$D879-'Business Case'!C14*$E879))*'Business Case'!$B$7-'Business Case'!$B$8*(('Business Case'!C11*$C879*'Business Case'!C12*$B879)-('Business Case'!B11*$C879*'Business Case'!B12*$B879))-'Business Case'!C15*$F879</f>
        <v>-47486070.2971891</v>
      </c>
      <c r="J879" s="39" t="n">
        <f aca="false">(('Business Case'!D11*$C879*'Business Case'!D12*$B879)-'Business Case'!D11*$C879*'Business Case'!D13*$D879-'Business Case'!D14*$E879)-MAX(0,(('Business Case'!D11*$C879*'Business Case'!D12*$B879)-'Business Case'!D11*$C879*'Business Case'!D13*$D879-'Business Case'!D14*$E879))*'Business Case'!$B$7-'Business Case'!$B$8*(('Business Case'!D11*$C879*'Business Case'!D12*$B879)-('Business Case'!C11*$C879*'Business Case'!C12*$B879))-'Business Case'!D15*$F879</f>
        <v>213621207.313597</v>
      </c>
      <c r="K879" s="39" t="n">
        <f aca="false">(('Business Case'!E11*$C879*'Business Case'!E12*$B879)-'Business Case'!E11*$C879*'Business Case'!E13*$D879-'Business Case'!E14*$E879)-MAX(0,(('Business Case'!E11*$C879*'Business Case'!E12*$B879)-'Business Case'!E11*$C879*'Business Case'!E13*$D879-'Business Case'!E14*$E879))*'Business Case'!$B$7-'Business Case'!$B$8*(('Business Case'!E11*$C879*'Business Case'!E12*$B879)-('Business Case'!D11*$C879*'Business Case'!D12*$B879))-'Business Case'!E15*$F879</f>
        <v>527653287.096591</v>
      </c>
      <c r="L879" s="39" t="n">
        <f aca="false">(('Business Case'!F11*$C879*'Business Case'!F12*$B879)-'Business Case'!F11*$C879*'Business Case'!F13*$D879-'Business Case'!F14*$E879)-MAX(0,(('Business Case'!F11*$C879*'Business Case'!F12*$B879)-'Business Case'!F11*$C879*'Business Case'!F13*$D879-'Business Case'!F14*$E879))*'Business Case'!$B$7-'Business Case'!$B$8*(('Business Case'!F11*$C879*'Business Case'!F12*$B879)-('Business Case'!E11*$C879*'Business Case'!E12*$B879))-'Business Case'!F15*$F879</f>
        <v>646325041.702159</v>
      </c>
      <c r="M879" s="39" t="n">
        <f aca="false">(('Business Case'!G11*$C879*'Business Case'!G12*$B879)-'Business Case'!G11*$C879*'Business Case'!G13*$D879-'Business Case'!G14*$E879)-MAX(0,(('Business Case'!G11*$C879*'Business Case'!G12*$B879)-'Business Case'!G11*$C879*'Business Case'!G13*$D879-'Business Case'!G14*$E879))*'Business Case'!$B$7-'Business Case'!$B$8*(('Business Case'!G11*$C879*'Business Case'!G12*$B879)-('Business Case'!F11*$C879*'Business Case'!F12*$B879))-'Business Case'!G15*$F879+'Business Case'!$B$8*('Business Case'!G11*$C879*'Business Case'!G12*$B879)</f>
        <v>820323016.413012</v>
      </c>
      <c r="N879" s="39" t="n">
        <f aca="false">IF(COUNT('Business Case'!B11:G11)=0,"",H879+NPV(G879,I879:M879))</f>
        <v>-621059679.608773</v>
      </c>
      <c r="P879" s="40" t="n">
        <f aca="true">RAND()</f>
        <v>0.322315785981871</v>
      </c>
      <c r="Q879" s="40" t="n">
        <f aca="true">RAND()</f>
        <v>0.44158520611888</v>
      </c>
      <c r="R879" s="40" t="n">
        <f aca="true">RAND()</f>
        <v>0.472298031719866</v>
      </c>
      <c r="S879" s="40" t="n">
        <f aca="true">RAND()</f>
        <v>0.91045315958308</v>
      </c>
      <c r="T879" s="40" t="n">
        <f aca="true">RAND()</f>
        <v>0.511016461646138</v>
      </c>
      <c r="U879" s="40" t="n">
        <f aca="true">RAND()</f>
        <v>0.293110734177988</v>
      </c>
    </row>
    <row r="880" customFormat="false" ht="15" hidden="false" customHeight="false" outlineLevel="0" collapsed="false">
      <c r="A880" s="36" t="n">
        <v>800</v>
      </c>
      <c r="B880" s="37" t="n">
        <f aca="false">1+IF($G$6=$E$6,$F$6,IF(P880&lt;($F$6-$E$6)/($G$6-$E$6),$E$6+SQRT(P880*($G$6-$E$6)*($F$6-$E$6)),$G$6-SQRT((1-P880)*($G$6-$E$6)*($G$6-$F$6))))</f>
        <v>0.9804822391628</v>
      </c>
      <c r="C880" s="37" t="n">
        <f aca="false">1+IF($G$7=$E$7,$F$7,IF(Q880&lt;($F$7-$E$7)/($G$7-$E$7),$E$7+SQRT(Q880*($G$7-$E$7)*($F$7-$E$7)),$G$7-SQRT((1-Q880)*($G$7-$E$7)*($G$7-$F$7))))</f>
        <v>1.05888105354114</v>
      </c>
      <c r="D880" s="37" t="n">
        <f aca="false">1+IF($G$8=$E$8,$F$8,IF(R880&lt;($F$8-$E$8)/($G$8-$E$8),$E$8+SQRT(R880*($G$8-$E$8)*($F$8-$E$8)),$G$8-SQRT((1-R880)*($G$8-$E$8)*($G$8-$F$8))))</f>
        <v>1.01991808439861</v>
      </c>
      <c r="E880" s="37" t="n">
        <f aca="false">1+IF($G$9=$E$9,$F$9,IF(S880&lt;($F$9-$E$9)/($G$9-$E$9),$E$9+SQRT(S880*($G$9-$E$9)*($F$9-$E$9)),$G$9-SQRT((1-S880)*($G$9-$E$9)*($G$9-$F$9))))</f>
        <v>0.970283969192078</v>
      </c>
      <c r="F880" s="37" t="n">
        <f aca="false">1+IF($G$10=$E$10,$F$10,IF(T880&lt;($F$10-$E$10)/($G$10-$E$10),$E$10+SQRT(T880*($G$10-$E$10)*($F$10-$E$10)),$G$10-SQRT((1-T880)*($G$10-$E$10)*($G$10-$F$10))))</f>
        <v>1.08153361214235</v>
      </c>
      <c r="G880" s="38" t="n">
        <f aca="false">IF($G$11=$E$11,$F$11,IF(U880&lt;($F$11-$E$11)/($G$11-$E$11),$E$11+SQRT(U880*($G$11-$E$11)*($F$11-$E$11)),$G$11-SQRT((1-U880)*($G$11-$E$11)*($G$11-$F$11))))</f>
        <v>0.113431125149119</v>
      </c>
      <c r="H880" s="39" t="n">
        <f aca="false">(('Business Case'!B11*$C880*'Business Case'!B12*$B880)-'Business Case'!B11*$C880*'Business Case'!B13*$D880-'Business Case'!B14*$E880)-MAX(0,(('Business Case'!B11*$C880*'Business Case'!B12*$B880)-'Business Case'!B11*$C880*'Business Case'!B13*$D880-'Business Case'!B14*$E880))*'Business Case'!$B$7-'Business Case'!$B$8*('Business Case'!B11*$C880*'Business Case'!B12*$B880)-'Business Case'!B15*$F880</f>
        <v>-2163067224.28469</v>
      </c>
      <c r="I880" s="39" t="n">
        <f aca="false">(('Business Case'!C11*$C880*'Business Case'!C12*$B880)-'Business Case'!C11*$C880*'Business Case'!C13*$D880-'Business Case'!C14*$E880)-MAX(0,(('Business Case'!C11*$C880*'Business Case'!C12*$B880)-'Business Case'!C11*$C880*'Business Case'!C13*$D880-'Business Case'!C14*$E880))*'Business Case'!$B$7-'Business Case'!$B$8*(('Business Case'!C11*$C880*'Business Case'!C12*$B880)-('Business Case'!B11*$C880*'Business Case'!B12*$B880))-'Business Case'!C15*$F880</f>
        <v>-2435920.39490049</v>
      </c>
      <c r="J880" s="39" t="n">
        <f aca="false">(('Business Case'!D11*$C880*'Business Case'!D12*$B880)-'Business Case'!D11*$C880*'Business Case'!D13*$D880-'Business Case'!D14*$E880)-MAX(0,(('Business Case'!D11*$C880*'Business Case'!D12*$B880)-'Business Case'!D11*$C880*'Business Case'!D13*$D880-'Business Case'!D14*$E880))*'Business Case'!$B$7-'Business Case'!$B$8*(('Business Case'!D11*$C880*'Business Case'!D12*$B880)-('Business Case'!C11*$C880*'Business Case'!C12*$B880))-'Business Case'!D15*$F880</f>
        <v>295076918.044846</v>
      </c>
      <c r="K880" s="39" t="n">
        <f aca="false">(('Business Case'!E11*$C880*'Business Case'!E12*$B880)-'Business Case'!E11*$C880*'Business Case'!E13*$D880-'Business Case'!E14*$E880)-MAX(0,(('Business Case'!E11*$C880*'Business Case'!E12*$B880)-'Business Case'!E11*$C880*'Business Case'!E13*$D880-'Business Case'!E14*$E880))*'Business Case'!$B$7-'Business Case'!$B$8*(('Business Case'!E11*$C880*'Business Case'!E12*$B880)-('Business Case'!D11*$C880*'Business Case'!D12*$B880))-'Business Case'!E15*$F880</f>
        <v>646666437.09171</v>
      </c>
      <c r="L880" s="39" t="n">
        <f aca="false">(('Business Case'!F11*$C880*'Business Case'!F12*$B880)-'Business Case'!F11*$C880*'Business Case'!F13*$D880-'Business Case'!F14*$E880)-MAX(0,(('Business Case'!F11*$C880*'Business Case'!F12*$B880)-'Business Case'!F11*$C880*'Business Case'!F13*$D880-'Business Case'!F14*$E880))*'Business Case'!$B$7-'Business Case'!$B$8*(('Business Case'!F11*$C880*'Business Case'!F12*$B880)-('Business Case'!E11*$C880*'Business Case'!E12*$B880))-'Business Case'!F15*$F880</f>
        <v>781718061.372492</v>
      </c>
      <c r="M880" s="39" t="n">
        <f aca="false">(('Business Case'!G11*$C880*'Business Case'!G12*$B880)-'Business Case'!G11*$C880*'Business Case'!G13*$D880-'Business Case'!G14*$E880)-MAX(0,(('Business Case'!G11*$C880*'Business Case'!G12*$B880)-'Business Case'!G11*$C880*'Business Case'!G13*$D880-'Business Case'!G14*$E880))*'Business Case'!$B$7-'Business Case'!$B$8*(('Business Case'!G11*$C880*'Business Case'!G12*$B880)-('Business Case'!F11*$C880*'Business Case'!F12*$B880))-'Business Case'!G15*$F880+'Business Case'!$B$8*('Business Case'!G11*$C880*'Business Case'!G12*$B880)</f>
        <v>979061791.110588</v>
      </c>
      <c r="N880" s="39" t="n">
        <f aca="false">IF(COUNT('Business Case'!B11:G11)=0,"",H880+NPV(G880,I880:M880))</f>
        <v>-378006563.214939</v>
      </c>
      <c r="P880" s="40" t="n">
        <f aca="true">RAND()</f>
        <v>0.431826054710538</v>
      </c>
      <c r="Q880" s="40" t="n">
        <f aca="true">RAND()</f>
        <v>0.876997594018184</v>
      </c>
      <c r="R880" s="40" t="n">
        <f aca="true">RAND()</f>
        <v>0.572459119574135</v>
      </c>
      <c r="S880" s="40" t="n">
        <f aca="true">RAND()</f>
        <v>0.197593453015717</v>
      </c>
      <c r="T880" s="40" t="n">
        <f aca="true">RAND()</f>
        <v>0.621587682162593</v>
      </c>
      <c r="U880" s="40" t="n">
        <f aca="true">RAND()</f>
        <v>0.816981590783906</v>
      </c>
    </row>
    <row r="881" customFormat="false" ht="15" hidden="false" customHeight="false" outlineLevel="0" collapsed="false">
      <c r="A881" s="36" t="n">
        <v>801</v>
      </c>
      <c r="B881" s="37" t="n">
        <f aca="false">1+IF($G$6=$E$6,$F$6,IF(P881&lt;($F$6-$E$6)/($G$6-$E$6),$E$6+SQRT(P881*($G$6-$E$6)*($F$6-$E$6)),$G$6-SQRT((1-P881)*($G$6-$E$6)*($G$6-$F$6))))</f>
        <v>0.996633837811633</v>
      </c>
      <c r="C881" s="37" t="n">
        <f aca="false">1+IF($G$7=$E$7,$F$7,IF(Q881&lt;($F$7-$E$7)/($G$7-$E$7),$E$7+SQRT(Q881*($G$7-$E$7)*($F$7-$E$7)),$G$7-SQRT((1-Q881)*($G$7-$E$7)*($G$7-$F$7))))</f>
        <v>1.03297293173983</v>
      </c>
      <c r="D881" s="37" t="n">
        <f aca="false">1+IF($G$8=$E$8,$F$8,IF(R881&lt;($F$8-$E$8)/($G$8-$E$8),$E$8+SQRT(R881*($G$8-$E$8)*($F$8-$E$8)),$G$8-SQRT((1-R881)*($G$8-$E$8)*($G$8-$F$8))))</f>
        <v>1.03627524055332</v>
      </c>
      <c r="E881" s="37" t="n">
        <f aca="false">1+IF($G$9=$E$9,$F$9,IF(S881&lt;($F$9-$E$9)/($G$9-$E$9),$E$9+SQRT(S881*($G$9-$E$9)*($F$9-$E$9)),$G$9-SQRT((1-S881)*($G$9-$E$9)*($G$9-$F$9))))</f>
        <v>0.945057010280751</v>
      </c>
      <c r="F881" s="37" t="n">
        <f aca="false">1+IF($G$10=$E$10,$F$10,IF(T881&lt;($F$10-$E$10)/($G$10-$E$10),$E$10+SQRT(T881*($G$10-$E$10)*($F$10-$E$10)),$G$10-SQRT((1-T881)*($G$10-$E$10)*($G$10-$F$10))))</f>
        <v>1.01896391001173</v>
      </c>
      <c r="G881" s="38" t="n">
        <f aca="false">IF($G$11=$E$11,$F$11,IF(U881&lt;($F$11-$E$11)/($G$11-$E$11),$E$11+SQRT(U881*($G$11-$E$11)*($F$11-$E$11)),$G$11-SQRT((1-U881)*($G$11-$E$11)*($G$11-$F$11))))</f>
        <v>0.0927089711607955</v>
      </c>
      <c r="H881" s="39" t="n">
        <f aca="false">(('Business Case'!B11*$C881*'Business Case'!B12*$B881)-'Business Case'!B11*$C881*'Business Case'!B13*$D881-'Business Case'!B14*$E881)-MAX(0,(('Business Case'!B11*$C881*'Business Case'!B12*$B881)-'Business Case'!B11*$C881*'Business Case'!B13*$D881-'Business Case'!B14*$E881))*'Business Case'!$B$7-'Business Case'!$B$8*('Business Case'!B11*$C881*'Business Case'!B12*$B881)-'Business Case'!B15*$F881</f>
        <v>-2037927820.02346</v>
      </c>
      <c r="I881" s="39" t="n">
        <f aca="false">(('Business Case'!C11*$C881*'Business Case'!C12*$B881)-'Business Case'!C11*$C881*'Business Case'!C13*$D881-'Business Case'!C14*$E881)-MAX(0,(('Business Case'!C11*$C881*'Business Case'!C12*$B881)-'Business Case'!C11*$C881*'Business Case'!C13*$D881-'Business Case'!C14*$E881))*'Business Case'!$B$7-'Business Case'!$B$8*(('Business Case'!C11*$C881*'Business Case'!C12*$B881)-('Business Case'!B11*$C881*'Business Case'!B12*$B881))-'Business Case'!C15*$F881</f>
        <v>5596773.95825544</v>
      </c>
      <c r="J881" s="39" t="n">
        <f aca="false">(('Business Case'!D11*$C881*'Business Case'!D12*$B881)-'Business Case'!D11*$C881*'Business Case'!D13*$D881-'Business Case'!D14*$E881)-MAX(0,(('Business Case'!D11*$C881*'Business Case'!D12*$B881)-'Business Case'!D11*$C881*'Business Case'!D13*$D881-'Business Case'!D14*$E881))*'Business Case'!$B$7-'Business Case'!$B$8*(('Business Case'!D11*$C881*'Business Case'!D12*$B881)-('Business Case'!C11*$C881*'Business Case'!C12*$B881))-'Business Case'!D15*$F881</f>
        <v>300846106.875637</v>
      </c>
      <c r="K881" s="39" t="n">
        <f aca="false">(('Business Case'!E11*$C881*'Business Case'!E12*$B881)-'Business Case'!E11*$C881*'Business Case'!E13*$D881-'Business Case'!E14*$E881)-MAX(0,(('Business Case'!E11*$C881*'Business Case'!E12*$B881)-'Business Case'!E11*$C881*'Business Case'!E13*$D881-'Business Case'!E14*$E881))*'Business Case'!$B$7-'Business Case'!$B$8*(('Business Case'!E11*$C881*'Business Case'!E12*$B881)-('Business Case'!D11*$C881*'Business Case'!D12*$B881))-'Business Case'!E15*$F881</f>
        <v>647043635.293606</v>
      </c>
      <c r="L881" s="39" t="n">
        <f aca="false">(('Business Case'!F11*$C881*'Business Case'!F12*$B881)-'Business Case'!F11*$C881*'Business Case'!F13*$D881-'Business Case'!F14*$E881)-MAX(0,(('Business Case'!F11*$C881*'Business Case'!F12*$B881)-'Business Case'!F11*$C881*'Business Case'!F13*$D881-'Business Case'!F14*$E881))*'Business Case'!$B$7-'Business Case'!$B$8*(('Business Case'!F11*$C881*'Business Case'!F12*$B881)-('Business Case'!E11*$C881*'Business Case'!E12*$B881))-'Business Case'!F15*$F881</f>
        <v>781039453.66342</v>
      </c>
      <c r="M881" s="39" t="n">
        <f aca="false">(('Business Case'!G11*$C881*'Business Case'!G12*$B881)-'Business Case'!G11*$C881*'Business Case'!G13*$D881-'Business Case'!G14*$E881)-MAX(0,(('Business Case'!G11*$C881*'Business Case'!G12*$B881)-'Business Case'!G11*$C881*'Business Case'!G13*$D881-'Business Case'!G14*$E881))*'Business Case'!$B$7-'Business Case'!$B$8*(('Business Case'!G11*$C881*'Business Case'!G12*$B881)-('Business Case'!F11*$C881*'Business Case'!F12*$B881))-'Business Case'!G15*$F881+'Business Case'!$B$8*('Business Case'!G11*$C881*'Business Case'!G12*$B881)</f>
        <v>976726011.015532</v>
      </c>
      <c r="N881" s="39" t="n">
        <f aca="false">IF(COUNT('Business Case'!B11:G11)=0,"",H881+NPV(G881,I881:M881))</f>
        <v>-110097594.306394</v>
      </c>
      <c r="P881" s="40" t="n">
        <f aca="true">RAND()</f>
        <v>0.622539907347003</v>
      </c>
      <c r="Q881" s="40" t="n">
        <f aca="true">RAND()</f>
        <v>0.797106152510074</v>
      </c>
      <c r="R881" s="40" t="n">
        <f aca="true">RAND()</f>
        <v>0.729277002230844</v>
      </c>
      <c r="S881" s="40" t="n">
        <f aca="true">RAND()</f>
        <v>0.0812053670175872</v>
      </c>
      <c r="T881" s="40" t="n">
        <f aca="true">RAND()</f>
        <v>0.288297668305767</v>
      </c>
      <c r="U881" s="40" t="n">
        <f aca="true">RAND()</f>
        <v>0.161517947965931</v>
      </c>
    </row>
    <row r="882" customFormat="false" ht="15" hidden="false" customHeight="false" outlineLevel="0" collapsed="false">
      <c r="A882" s="36" t="n">
        <v>802</v>
      </c>
      <c r="B882" s="37" t="n">
        <f aca="false">1+IF($G$6=$E$6,$F$6,IF(P882&lt;($F$6-$E$6)/($G$6-$E$6),$E$6+SQRT(P882*($G$6-$E$6)*($F$6-$E$6)),$G$6-SQRT((1-P882)*($G$6-$E$6)*($G$6-$F$6))))</f>
        <v>0.969046628811384</v>
      </c>
      <c r="C882" s="37" t="n">
        <f aca="false">1+IF($G$7=$E$7,$F$7,IF(Q882&lt;($F$7-$E$7)/($G$7-$E$7),$E$7+SQRT(Q882*($G$7-$E$7)*($F$7-$E$7)),$G$7-SQRT((1-Q882)*($G$7-$E$7)*($G$7-$F$7))))</f>
        <v>1.03562314474119</v>
      </c>
      <c r="D882" s="37" t="n">
        <f aca="false">1+IF($G$8=$E$8,$F$8,IF(R882&lt;($F$8-$E$8)/($G$8-$E$8),$E$8+SQRT(R882*($G$8-$E$8)*($F$8-$E$8)),$G$8-SQRT((1-R882)*($G$8-$E$8)*($G$8-$F$8))))</f>
        <v>0.958466554781905</v>
      </c>
      <c r="E882" s="37" t="n">
        <f aca="false">1+IF($G$9=$E$9,$F$9,IF(S882&lt;($F$9-$E$9)/($G$9-$E$9),$E$9+SQRT(S882*($G$9-$E$9)*($F$9-$E$9)),$G$9-SQRT((1-S882)*($G$9-$E$9)*($G$9-$F$9))))</f>
        <v>1.10749042058077</v>
      </c>
      <c r="F882" s="37" t="n">
        <f aca="false">1+IF($G$10=$E$10,$F$10,IF(T882&lt;($F$10-$E$10)/($G$10-$E$10),$E$10+SQRT(T882*($G$10-$E$10)*($F$10-$E$10)),$G$10-SQRT((1-T882)*($G$10-$E$10)*($G$10-$F$10))))</f>
        <v>1.03748777988356</v>
      </c>
      <c r="G882" s="38" t="n">
        <f aca="false">IF($G$11=$E$11,$F$11,IF(U882&lt;($F$11-$E$11)/($G$11-$E$11),$E$11+SQRT(U882*($G$11-$E$11)*($F$11-$E$11)),$G$11-SQRT((1-U882)*($G$11-$E$11)*($G$11-$F$11))))</f>
        <v>0.10251590340434</v>
      </c>
      <c r="H882" s="39" t="n">
        <f aca="false">(('Business Case'!B11*$C882*'Business Case'!B12*$B882)-'Business Case'!B11*$C882*'Business Case'!B13*$D882-'Business Case'!B14*$E882)-MAX(0,(('Business Case'!B11*$C882*'Business Case'!B12*$B882)-'Business Case'!B11*$C882*'Business Case'!B13*$D882-'Business Case'!B14*$E882))*'Business Case'!$B$7-'Business Case'!$B$8*('Business Case'!B11*$C882*'Business Case'!B12*$B882)-'Business Case'!B15*$F882</f>
        <v>-2074975559.76711</v>
      </c>
      <c r="I882" s="39" t="n">
        <f aca="false">(('Business Case'!C11*$C882*'Business Case'!C12*$B882)-'Business Case'!C11*$C882*'Business Case'!C13*$D882-'Business Case'!C14*$E882)-MAX(0,(('Business Case'!C11*$C882*'Business Case'!C12*$B882)-'Business Case'!C11*$C882*'Business Case'!C13*$D882-'Business Case'!C14*$E882))*'Business Case'!$B$7-'Business Case'!$B$8*(('Business Case'!C11*$C882*'Business Case'!C12*$B882)-('Business Case'!B11*$C882*'Business Case'!B12*$B882))-'Business Case'!C15*$F882</f>
        <v>597903.859773099</v>
      </c>
      <c r="J882" s="39" t="n">
        <f aca="false">(('Business Case'!D11*$C882*'Business Case'!D12*$B882)-'Business Case'!D11*$C882*'Business Case'!D13*$D882-'Business Case'!D14*$E882)-MAX(0,(('Business Case'!D11*$C882*'Business Case'!D12*$B882)-'Business Case'!D11*$C882*'Business Case'!D13*$D882-'Business Case'!D14*$E882))*'Business Case'!$B$7-'Business Case'!$B$8*(('Business Case'!D11*$C882*'Business Case'!D12*$B882)-('Business Case'!C11*$C882*'Business Case'!C12*$B882))-'Business Case'!D15*$F882</f>
        <v>314454642.866533</v>
      </c>
      <c r="K882" s="39" t="n">
        <f aca="false">(('Business Case'!E11*$C882*'Business Case'!E12*$B882)-'Business Case'!E11*$C882*'Business Case'!E13*$D882-'Business Case'!E14*$E882)-MAX(0,(('Business Case'!E11*$C882*'Business Case'!E12*$B882)-'Business Case'!E11*$C882*'Business Case'!E13*$D882-'Business Case'!E14*$E882))*'Business Case'!$B$7-'Business Case'!$B$8*(('Business Case'!E11*$C882*'Business Case'!E12*$B882)-('Business Case'!D11*$C882*'Business Case'!D12*$B882))-'Business Case'!E15*$F882</f>
        <v>680185770.867471</v>
      </c>
      <c r="L882" s="39" t="n">
        <f aca="false">(('Business Case'!F11*$C882*'Business Case'!F12*$B882)-'Business Case'!F11*$C882*'Business Case'!F13*$D882-'Business Case'!F14*$E882)-MAX(0,(('Business Case'!F11*$C882*'Business Case'!F12*$B882)-'Business Case'!F11*$C882*'Business Case'!F13*$D882-'Business Case'!F14*$E882))*'Business Case'!$B$7-'Business Case'!$B$8*(('Business Case'!F11*$C882*'Business Case'!F12*$B882)-('Business Case'!E11*$C882*'Business Case'!E12*$B882))-'Business Case'!F15*$F882</f>
        <v>819487963.437753</v>
      </c>
      <c r="M882" s="39" t="n">
        <f aca="false">(('Business Case'!G11*$C882*'Business Case'!G12*$B882)-'Business Case'!G11*$C882*'Business Case'!G13*$D882-'Business Case'!G14*$E882)-MAX(0,(('Business Case'!G11*$C882*'Business Case'!G12*$B882)-'Business Case'!G11*$C882*'Business Case'!G13*$D882-'Business Case'!G14*$E882))*'Business Case'!$B$7-'Business Case'!$B$8*(('Business Case'!G11*$C882*'Business Case'!G12*$B882)-('Business Case'!F11*$C882*'Business Case'!F12*$B882))-'Business Case'!G15*$F882+'Business Case'!$B$8*('Business Case'!G11*$C882*'Business Case'!G12*$B882)</f>
        <v>1010246001.06192</v>
      </c>
      <c r="N882" s="39" t="n">
        <f aca="false">IF(COUNT('Business Case'!B11:G11)=0,"",H882+NPV(G882,I882:M882))</f>
        <v>-133406583.382063</v>
      </c>
      <c r="P882" s="40" t="n">
        <f aca="true">RAND()</f>
        <v>0.31782913001447</v>
      </c>
      <c r="Q882" s="40" t="n">
        <f aca="true">RAND()</f>
        <v>0.806191629349698</v>
      </c>
      <c r="R882" s="40" t="n">
        <f aca="true">RAND()</f>
        <v>0.00955767331666619</v>
      </c>
      <c r="S882" s="40" t="n">
        <f aca="true">RAND()</f>
        <v>0.951811617536014</v>
      </c>
      <c r="T882" s="40" t="n">
        <f aca="true">RAND()</f>
        <v>0.397847417349072</v>
      </c>
      <c r="U882" s="40" t="n">
        <f aca="true">RAND()</f>
        <v>0.496416289546964</v>
      </c>
    </row>
    <row r="883" customFormat="false" ht="15" hidden="false" customHeight="false" outlineLevel="0" collapsed="false">
      <c r="A883" s="36" t="n">
        <v>803</v>
      </c>
      <c r="B883" s="37" t="n">
        <f aca="false">1+IF($G$6=$E$6,$F$6,IF(P883&lt;($F$6-$E$6)/($G$6-$E$6),$E$6+SQRT(P883*($G$6-$E$6)*($F$6-$E$6)),$G$6-SQRT((1-P883)*($G$6-$E$6)*($G$6-$F$6))))</f>
        <v>0.98587137645669</v>
      </c>
      <c r="C883" s="37" t="n">
        <f aca="false">1+IF($G$7=$E$7,$F$7,IF(Q883&lt;($F$7-$E$7)/($G$7-$E$7),$E$7+SQRT(Q883*($G$7-$E$7)*($F$7-$E$7)),$G$7-SQRT((1-Q883)*($G$7-$E$7)*($G$7-$F$7))))</f>
        <v>0.979516925011887</v>
      </c>
      <c r="D883" s="37" t="n">
        <f aca="false">1+IF($G$8=$E$8,$F$8,IF(R883&lt;($F$8-$E$8)/($G$8-$E$8),$E$8+SQRT(R883*($G$8-$E$8)*($F$8-$E$8)),$G$8-SQRT((1-R883)*($G$8-$E$8)*($G$8-$F$8))))</f>
        <v>1.02772524480345</v>
      </c>
      <c r="E883" s="37" t="n">
        <f aca="false">1+IF($G$9=$E$9,$F$9,IF(S883&lt;($F$9-$E$9)/($G$9-$E$9),$E$9+SQRT(S883*($G$9-$E$9)*($F$9-$E$9)),$G$9-SQRT((1-S883)*($G$9-$E$9)*($G$9-$F$9))))</f>
        <v>0.987177919824253</v>
      </c>
      <c r="F883" s="37" t="n">
        <f aca="false">1+IF($G$10=$E$10,$F$10,IF(T883&lt;($F$10-$E$10)/($G$10-$E$10),$E$10+SQRT(T883*($G$10-$E$10)*($F$10-$E$10)),$G$10-SQRT((1-T883)*($G$10-$E$10)*($G$10-$F$10))))</f>
        <v>0.992716691469475</v>
      </c>
      <c r="G883" s="38" t="n">
        <f aca="false">IF($G$11=$E$11,$F$11,IF(U883&lt;($F$11-$E$11)/($G$11-$E$11),$E$11+SQRT(U883*($G$11-$E$11)*($F$11-$E$11)),$G$11-SQRT((1-U883)*($G$11-$E$11)*($G$11-$F$11))))</f>
        <v>0.113240783043246</v>
      </c>
      <c r="H883" s="39" t="n">
        <f aca="false">(('Business Case'!B11*$C883*'Business Case'!B12*$B883)-'Business Case'!B11*$C883*'Business Case'!B13*$D883-'Business Case'!B14*$E883)-MAX(0,(('Business Case'!B11*$C883*'Business Case'!B12*$B883)-'Business Case'!B11*$C883*'Business Case'!B13*$D883-'Business Case'!B14*$E883))*'Business Case'!$B$7-'Business Case'!$B$8*('Business Case'!B11*$C883*'Business Case'!B12*$B883)-'Business Case'!B15*$F883</f>
        <v>-1985433382.93895</v>
      </c>
      <c r="I883" s="39" t="n">
        <f aca="false">(('Business Case'!C11*$C883*'Business Case'!C12*$B883)-'Business Case'!C11*$C883*'Business Case'!C13*$D883-'Business Case'!C14*$E883)-MAX(0,(('Business Case'!C11*$C883*'Business Case'!C12*$B883)-'Business Case'!C11*$C883*'Business Case'!C13*$D883-'Business Case'!C14*$E883))*'Business Case'!$B$7-'Business Case'!$B$8*(('Business Case'!C11*$C883*'Business Case'!C12*$B883)-('Business Case'!B11*$C883*'Business Case'!B12*$B883))-'Business Case'!C15*$F883</f>
        <v>-14086229.9819012</v>
      </c>
      <c r="J883" s="39" t="n">
        <f aca="false">(('Business Case'!D11*$C883*'Business Case'!D12*$B883)-'Business Case'!D11*$C883*'Business Case'!D13*$D883-'Business Case'!D14*$E883)-MAX(0,(('Business Case'!D11*$C883*'Business Case'!D12*$B883)-'Business Case'!D11*$C883*'Business Case'!D13*$D883-'Business Case'!D14*$E883))*'Business Case'!$B$7-'Business Case'!$B$8*(('Business Case'!D11*$C883*'Business Case'!D12*$B883)-('Business Case'!C11*$C883*'Business Case'!C12*$B883))-'Business Case'!D15*$F883</f>
        <v>261536641.304747</v>
      </c>
      <c r="K883" s="39" t="n">
        <f aca="false">(('Business Case'!E11*$C883*'Business Case'!E12*$B883)-'Business Case'!E11*$C883*'Business Case'!E13*$D883-'Business Case'!E14*$E883)-MAX(0,(('Business Case'!E11*$C883*'Business Case'!E12*$B883)-'Business Case'!E11*$C883*'Business Case'!E13*$D883-'Business Case'!E14*$E883))*'Business Case'!$B$7-'Business Case'!$B$8*(('Business Case'!E11*$C883*'Business Case'!E12*$B883)-('Business Case'!D11*$C883*'Business Case'!D12*$B883))-'Business Case'!E15*$F883</f>
        <v>586795347.164869</v>
      </c>
      <c r="L883" s="39" t="n">
        <f aca="false">(('Business Case'!F11*$C883*'Business Case'!F12*$B883)-'Business Case'!F11*$C883*'Business Case'!F13*$D883-'Business Case'!F14*$E883)-MAX(0,(('Business Case'!F11*$C883*'Business Case'!F12*$B883)-'Business Case'!F11*$C883*'Business Case'!F13*$D883-'Business Case'!F14*$E883))*'Business Case'!$B$7-'Business Case'!$B$8*(('Business Case'!F11*$C883*'Business Case'!F12*$B883)-('Business Case'!E11*$C883*'Business Case'!E12*$B883))-'Business Case'!F15*$F883</f>
        <v>712043458.87548</v>
      </c>
      <c r="M883" s="39" t="n">
        <f aca="false">(('Business Case'!G11*$C883*'Business Case'!G12*$B883)-'Business Case'!G11*$C883*'Business Case'!G13*$D883-'Business Case'!G14*$E883)-MAX(0,(('Business Case'!G11*$C883*'Business Case'!G12*$B883)-'Business Case'!G11*$C883*'Business Case'!G13*$D883-'Business Case'!G14*$E883))*'Business Case'!$B$7-'Business Case'!$B$8*(('Business Case'!G11*$C883*'Business Case'!G12*$B883)-('Business Case'!F11*$C883*'Business Case'!F12*$B883))-'Business Case'!G15*$F883+'Business Case'!$B$8*('Business Case'!G11*$C883*'Business Case'!G12*$B883)</f>
        <v>895599475.924988</v>
      </c>
      <c r="N883" s="39" t="n">
        <f aca="false">IF(COUNT('Business Case'!B11:G11)=0,"",H883+NPV(G883,I883:M883))</f>
        <v>-374317895.334965</v>
      </c>
      <c r="P883" s="40" t="n">
        <f aca="true">RAND()</f>
        <v>0.49159288630444</v>
      </c>
      <c r="Q883" s="40" t="n">
        <f aca="true">RAND()</f>
        <v>0.578738602726672</v>
      </c>
      <c r="R883" s="40" t="n">
        <f aca="true">RAND()</f>
        <v>0.651757317418575</v>
      </c>
      <c r="S883" s="40" t="n">
        <f aca="true">RAND()</f>
        <v>0.303999588195358</v>
      </c>
      <c r="T883" s="40" t="n">
        <f aca="true">RAND()</f>
        <v>0.12164771533989</v>
      </c>
      <c r="U883" s="40" t="n">
        <f aca="true">RAND()</f>
        <v>0.812752431330972</v>
      </c>
    </row>
    <row r="884" customFormat="false" ht="15" hidden="false" customHeight="false" outlineLevel="0" collapsed="false">
      <c r="A884" s="36" t="n">
        <v>804</v>
      </c>
      <c r="B884" s="37" t="n">
        <f aca="false">1+IF($G$6=$E$6,$F$6,IF(P884&lt;($F$6-$E$6)/($G$6-$E$6),$E$6+SQRT(P884*($G$6-$E$6)*($F$6-$E$6)),$G$6-SQRT((1-P884)*($G$6-$E$6)*($G$6-$F$6))))</f>
        <v>1.02633943653833</v>
      </c>
      <c r="C884" s="37" t="n">
        <f aca="false">1+IF($G$7=$E$7,$F$7,IF(Q884&lt;($F$7-$E$7)/($G$7-$E$7),$E$7+SQRT(Q884*($G$7-$E$7)*($F$7-$E$7)),$G$7-SQRT((1-Q884)*($G$7-$E$7)*($G$7-$F$7))))</f>
        <v>0.968003693667619</v>
      </c>
      <c r="D884" s="37" t="n">
        <f aca="false">1+IF($G$8=$E$8,$F$8,IF(R884&lt;($F$8-$E$8)/($G$8-$E$8),$E$8+SQRT(R884*($G$8-$E$8)*($F$8-$E$8)),$G$8-SQRT((1-R884)*($G$8-$E$8)*($G$8-$F$8))))</f>
        <v>1.02536291108873</v>
      </c>
      <c r="E884" s="37" t="n">
        <f aca="false">1+IF($G$9=$E$9,$F$9,IF(S884&lt;($F$9-$E$9)/($G$9-$E$9),$E$9+SQRT(S884*($G$9-$E$9)*($F$9-$E$9)),$G$9-SQRT((1-S884)*($G$9-$E$9)*($G$9-$F$9))))</f>
        <v>1.03499618510846</v>
      </c>
      <c r="F884" s="37" t="n">
        <f aca="false">1+IF($G$10=$E$10,$F$10,IF(T884&lt;($F$10-$E$10)/($G$10-$E$10),$E$10+SQRT(T884*($G$10-$E$10)*($F$10-$E$10)),$G$10-SQRT((1-T884)*($G$10-$E$10)*($G$10-$F$10))))</f>
        <v>0.987819906800561</v>
      </c>
      <c r="G884" s="38" t="n">
        <f aca="false">IF($G$11=$E$11,$F$11,IF(U884&lt;($F$11-$E$11)/($G$11-$E$11),$E$11+SQRT(U884*($G$11-$E$11)*($F$11-$E$11)),$G$11-SQRT((1-U884)*($G$11-$E$11)*($G$11-$F$11))))</f>
        <v>0.0996118984440889</v>
      </c>
      <c r="H884" s="39" t="n">
        <f aca="false">(('Business Case'!B11*$C884*'Business Case'!B12*$B884)-'Business Case'!B11*$C884*'Business Case'!B13*$D884-'Business Case'!B14*$E884)-MAX(0,(('Business Case'!B11*$C884*'Business Case'!B12*$B884)-'Business Case'!B11*$C884*'Business Case'!B13*$D884-'Business Case'!B14*$E884))*'Business Case'!$B$7-'Business Case'!$B$8*('Business Case'!B11*$C884*'Business Case'!B12*$B884)-'Business Case'!B15*$F884</f>
        <v>-1975639813.60112</v>
      </c>
      <c r="I884" s="39" t="n">
        <f aca="false">(('Business Case'!C11*$C884*'Business Case'!C12*$B884)-'Business Case'!C11*$C884*'Business Case'!C13*$D884-'Business Case'!C14*$E884)-MAX(0,(('Business Case'!C11*$C884*'Business Case'!C12*$B884)-'Business Case'!C11*$C884*'Business Case'!C13*$D884-'Business Case'!C14*$E884))*'Business Case'!$B$7-'Business Case'!$B$8*(('Business Case'!C11*$C884*'Business Case'!C12*$B884)-('Business Case'!B11*$C884*'Business Case'!B12*$B884))-'Business Case'!C15*$F884</f>
        <v>8178024.98223062</v>
      </c>
      <c r="J884" s="39" t="n">
        <f aca="false">(('Business Case'!D11*$C884*'Business Case'!D12*$B884)-'Business Case'!D11*$C884*'Business Case'!D13*$D884-'Business Case'!D14*$E884)-MAX(0,(('Business Case'!D11*$C884*'Business Case'!D12*$B884)-'Business Case'!D11*$C884*'Business Case'!D13*$D884-'Business Case'!D14*$E884))*'Business Case'!$B$7-'Business Case'!$B$8*(('Business Case'!D11*$C884*'Business Case'!D12*$B884)-('Business Case'!C11*$C884*'Business Case'!C12*$B884))-'Business Case'!D15*$F884</f>
        <v>313817557.1158</v>
      </c>
      <c r="K884" s="39" t="n">
        <f aca="false">(('Business Case'!E11*$C884*'Business Case'!E12*$B884)-'Business Case'!E11*$C884*'Business Case'!E13*$D884-'Business Case'!E14*$E884)-MAX(0,(('Business Case'!E11*$C884*'Business Case'!E12*$B884)-'Business Case'!E11*$C884*'Business Case'!E13*$D884-'Business Case'!E14*$E884))*'Business Case'!$B$7-'Business Case'!$B$8*(('Business Case'!E11*$C884*'Business Case'!E12*$B884)-('Business Case'!D11*$C884*'Business Case'!D12*$B884))-'Business Case'!E15*$F884</f>
        <v>668848084.589397</v>
      </c>
      <c r="L884" s="39" t="n">
        <f aca="false">(('Business Case'!F11*$C884*'Business Case'!F12*$B884)-'Business Case'!F11*$C884*'Business Case'!F13*$D884-'Business Case'!F14*$E884)-MAX(0,(('Business Case'!F11*$C884*'Business Case'!F12*$B884)-'Business Case'!F11*$C884*'Business Case'!F13*$D884-'Business Case'!F14*$E884))*'Business Case'!$B$7-'Business Case'!$B$8*(('Business Case'!F11*$C884*'Business Case'!F12*$B884)-('Business Case'!E11*$C884*'Business Case'!E12*$B884))-'Business Case'!F15*$F884</f>
        <v>805063301.266493</v>
      </c>
      <c r="M884" s="39" t="n">
        <f aca="false">(('Business Case'!G11*$C884*'Business Case'!G12*$B884)-'Business Case'!G11*$C884*'Business Case'!G13*$D884-'Business Case'!G14*$E884)-MAX(0,(('Business Case'!G11*$C884*'Business Case'!G12*$B884)-'Business Case'!G11*$C884*'Business Case'!G13*$D884-'Business Case'!G14*$E884))*'Business Case'!$B$7-'Business Case'!$B$8*(('Business Case'!G11*$C884*'Business Case'!G12*$B884)-('Business Case'!F11*$C884*'Business Case'!F12*$B884))-'Business Case'!G15*$F884+'Business Case'!$B$8*('Business Case'!G11*$C884*'Business Case'!G12*$B884)</f>
        <v>993907850.745646</v>
      </c>
      <c r="N884" s="39" t="n">
        <f aca="false">IF(COUNT('Business Case'!B11:G11)=0,"",H884+NPV(G884,I884:M884))</f>
        <v>-36744234.3341734</v>
      </c>
      <c r="P884" s="40" t="n">
        <f aca="true">RAND()</f>
        <v>0.925357031556828</v>
      </c>
      <c r="Q884" s="40" t="n">
        <f aca="true">RAND()</f>
        <v>0.532044294959162</v>
      </c>
      <c r="R884" s="40" t="n">
        <f aca="true">RAND()</f>
        <v>0.628620330590032</v>
      </c>
      <c r="S884" s="40" t="n">
        <f aca="true">RAND()</f>
        <v>0.647309934943783</v>
      </c>
      <c r="T884" s="40" t="n">
        <f aca="true">RAND()</f>
        <v>0.0953563566935421</v>
      </c>
      <c r="U884" s="40" t="n">
        <f aca="true">RAND()</f>
        <v>0.384626560581258</v>
      </c>
    </row>
    <row r="885" customFormat="false" ht="15" hidden="false" customHeight="false" outlineLevel="0" collapsed="false">
      <c r="A885" s="36" t="n">
        <v>805</v>
      </c>
      <c r="B885" s="37" t="n">
        <f aca="false">1+IF($G$6=$E$6,$F$6,IF(P885&lt;($F$6-$E$6)/($G$6-$E$6),$E$6+SQRT(P885*($G$6-$E$6)*($F$6-$E$6)),$G$6-SQRT((1-P885)*($G$6-$E$6)*($G$6-$F$6))))</f>
        <v>1.00768794456738</v>
      </c>
      <c r="C885" s="37" t="n">
        <f aca="false">1+IF($G$7=$E$7,$F$7,IF(Q885&lt;($F$7-$E$7)/($G$7-$E$7),$E$7+SQRT(Q885*($G$7-$E$7)*($F$7-$E$7)),$G$7-SQRT((1-Q885)*($G$7-$E$7)*($G$7-$F$7))))</f>
        <v>1.05503897971522</v>
      </c>
      <c r="D885" s="37" t="n">
        <f aca="false">1+IF($G$8=$E$8,$F$8,IF(R885&lt;($F$8-$E$8)/($G$8-$E$8),$E$8+SQRT(R885*($G$8-$E$8)*($F$8-$E$8)),$G$8-SQRT((1-R885)*($G$8-$E$8)*($G$8-$F$8))))</f>
        <v>1.01453679874494</v>
      </c>
      <c r="E885" s="37" t="n">
        <f aca="false">1+IF($G$9=$E$9,$F$9,IF(S885&lt;($F$9-$E$9)/($G$9-$E$9),$E$9+SQRT(S885*($G$9-$E$9)*($F$9-$E$9)),$G$9-SQRT((1-S885)*($G$9-$E$9)*($G$9-$F$9))))</f>
        <v>1.02466548389222</v>
      </c>
      <c r="F885" s="37" t="n">
        <f aca="false">1+IF($G$10=$E$10,$F$10,IF(T885&lt;($F$10-$E$10)/($G$10-$E$10),$E$10+SQRT(T885*($G$10-$E$10)*($F$10-$E$10)),$G$10-SQRT((1-T885)*($G$10-$E$10)*($G$10-$F$10))))</f>
        <v>1.23003533850128</v>
      </c>
      <c r="G885" s="38" t="n">
        <f aca="false">IF($G$11=$E$11,$F$11,IF(U885&lt;($F$11-$E$11)/($G$11-$E$11),$E$11+SQRT(U885*($G$11-$E$11)*($F$11-$E$11)),$G$11-SQRT((1-U885)*($G$11-$E$11)*($G$11-$F$11))))</f>
        <v>0.124838201680711</v>
      </c>
      <c r="H885" s="39" t="n">
        <f aca="false">(('Business Case'!B11*$C885*'Business Case'!B12*$B885)-'Business Case'!B11*$C885*'Business Case'!B13*$D885-'Business Case'!B14*$E885)-MAX(0,(('Business Case'!B11*$C885*'Business Case'!B12*$B885)-'Business Case'!B11*$C885*'Business Case'!B13*$D885-'Business Case'!B14*$E885))*'Business Case'!$B$7-'Business Case'!$B$8*('Business Case'!B11*$C885*'Business Case'!B12*$B885)-'Business Case'!B15*$F885</f>
        <v>-2460070677.00255</v>
      </c>
      <c r="I885" s="39" t="n">
        <f aca="false">(('Business Case'!C11*$C885*'Business Case'!C12*$B885)-'Business Case'!C11*$C885*'Business Case'!C13*$D885-'Business Case'!C14*$E885)-MAX(0,(('Business Case'!C11*$C885*'Business Case'!C12*$B885)-'Business Case'!C11*$C885*'Business Case'!C13*$D885-'Business Case'!C14*$E885))*'Business Case'!$B$7-'Business Case'!$B$8*(('Business Case'!C11*$C885*'Business Case'!C12*$B885)-('Business Case'!B11*$C885*'Business Case'!B12*$B885))-'Business Case'!C15*$F885</f>
        <v>-975033.003826633</v>
      </c>
      <c r="J885" s="39" t="n">
        <f aca="false">(('Business Case'!D11*$C885*'Business Case'!D12*$B885)-'Business Case'!D11*$C885*'Business Case'!D13*$D885-'Business Case'!D14*$E885)-MAX(0,(('Business Case'!D11*$C885*'Business Case'!D12*$B885)-'Business Case'!D11*$C885*'Business Case'!D13*$D885-'Business Case'!D14*$E885))*'Business Case'!$B$7-'Business Case'!$B$8*(('Business Case'!D11*$C885*'Business Case'!D12*$B885)-('Business Case'!C11*$C885*'Business Case'!C12*$B885))-'Business Case'!D15*$F885</f>
        <v>321874598.809403</v>
      </c>
      <c r="K885" s="39" t="n">
        <f aca="false">(('Business Case'!E11*$C885*'Business Case'!E12*$B885)-'Business Case'!E11*$C885*'Business Case'!E13*$D885-'Business Case'!E14*$E885)-MAX(0,(('Business Case'!E11*$C885*'Business Case'!E12*$B885)-'Business Case'!E11*$C885*'Business Case'!E13*$D885-'Business Case'!E14*$E885))*'Business Case'!$B$7-'Business Case'!$B$8*(('Business Case'!E11*$C885*'Business Case'!E12*$B885)-('Business Case'!D11*$C885*'Business Case'!D12*$B885))-'Business Case'!E15*$F885</f>
        <v>706225997.547697</v>
      </c>
      <c r="L885" s="39" t="n">
        <f aca="false">(('Business Case'!F11*$C885*'Business Case'!F12*$B885)-'Business Case'!F11*$C885*'Business Case'!F13*$D885-'Business Case'!F14*$E885)-MAX(0,(('Business Case'!F11*$C885*'Business Case'!F12*$B885)-'Business Case'!F11*$C885*'Business Case'!F13*$D885-'Business Case'!F14*$E885))*'Business Case'!$B$7-'Business Case'!$B$8*(('Business Case'!F11*$C885*'Business Case'!F12*$B885)-('Business Case'!E11*$C885*'Business Case'!E12*$B885))-'Business Case'!F15*$F885</f>
        <v>850585007.59041</v>
      </c>
      <c r="M885" s="39" t="n">
        <f aca="false">(('Business Case'!G11*$C885*'Business Case'!G12*$B885)-'Business Case'!G11*$C885*'Business Case'!G13*$D885-'Business Case'!G14*$E885)-MAX(0,(('Business Case'!G11*$C885*'Business Case'!G12*$B885)-'Business Case'!G11*$C885*'Business Case'!G13*$D885-'Business Case'!G14*$E885))*'Business Case'!$B$7-'Business Case'!$B$8*(('Business Case'!G11*$C885*'Business Case'!G12*$B885)-('Business Case'!F11*$C885*'Business Case'!F12*$B885))-'Business Case'!G15*$F885+'Business Case'!$B$8*('Business Case'!G11*$C885*'Business Case'!G12*$B885)</f>
        <v>1052668571.16775</v>
      </c>
      <c r="N885" s="39" t="n">
        <f aca="false">IF(COUNT('Business Case'!B11:G11)=0,"",H885+NPV(G885,I885:M885))</f>
        <v>-594426348.962084</v>
      </c>
      <c r="P885" s="40" t="n">
        <f aca="true">RAND()</f>
        <v>0.761291995342247</v>
      </c>
      <c r="Q885" s="40" t="n">
        <f aca="true">RAND()</f>
        <v>0.866405994466279</v>
      </c>
      <c r="R885" s="40" t="n">
        <f aca="true">RAND()</f>
        <v>0.513069415415822</v>
      </c>
      <c r="S885" s="40" t="n">
        <f aca="true">RAND()</f>
        <v>0.581100241920756</v>
      </c>
      <c r="T885" s="40" t="n">
        <f aca="true">RAND()</f>
        <v>0.994685497216552</v>
      </c>
      <c r="U885" s="40" t="n">
        <f aca="true">RAND()</f>
        <v>0.982237225407324</v>
      </c>
    </row>
    <row r="886" customFormat="false" ht="15" hidden="false" customHeight="false" outlineLevel="0" collapsed="false">
      <c r="A886" s="36" t="n">
        <v>806</v>
      </c>
      <c r="B886" s="37" t="n">
        <f aca="false">1+IF($G$6=$E$6,$F$6,IF(P886&lt;($F$6-$E$6)/($G$6-$E$6),$E$6+SQRT(P886*($G$6-$E$6)*($F$6-$E$6)),$G$6-SQRT((1-P886)*($G$6-$E$6)*($G$6-$F$6))))</f>
        <v>0.954706875514202</v>
      </c>
      <c r="C886" s="37" t="n">
        <f aca="false">1+IF($G$7=$E$7,$F$7,IF(Q886&lt;($F$7-$E$7)/($G$7-$E$7),$E$7+SQRT(Q886*($G$7-$E$7)*($F$7-$E$7)),$G$7-SQRT((1-Q886)*($G$7-$E$7)*($G$7-$F$7))))</f>
        <v>0.923554080007973</v>
      </c>
      <c r="D886" s="37" t="n">
        <f aca="false">1+IF($G$8=$E$8,$F$8,IF(R886&lt;($F$8-$E$8)/($G$8-$E$8),$E$8+SQRT(R886*($G$8-$E$8)*($F$8-$E$8)),$G$8-SQRT((1-R886)*($G$8-$E$8)*($G$8-$F$8))))</f>
        <v>1.03356947583991</v>
      </c>
      <c r="E886" s="37" t="n">
        <f aca="false">1+IF($G$9=$E$9,$F$9,IF(S886&lt;($F$9-$E$9)/($G$9-$E$9),$E$9+SQRT(S886*($G$9-$E$9)*($F$9-$E$9)),$G$9-SQRT((1-S886)*($G$9-$E$9)*($G$9-$F$9))))</f>
        <v>1.01153908489463</v>
      </c>
      <c r="F886" s="37" t="n">
        <f aca="false">1+IF($G$10=$E$10,$F$10,IF(T886&lt;($F$10-$E$10)/($G$10-$E$10),$E$10+SQRT(T886*($G$10-$E$10)*($F$10-$E$10)),$G$10-SQRT((1-T886)*($G$10-$E$10)*($G$10-$F$10))))</f>
        <v>1.00109237977931</v>
      </c>
      <c r="G886" s="38" t="n">
        <f aca="false">IF($G$11=$E$11,$F$11,IF(U886&lt;($F$11-$E$11)/($G$11-$E$11),$E$11+SQRT(U886*($G$11-$E$11)*($F$11-$E$11)),$G$11-SQRT((1-U886)*($G$11-$E$11)*($G$11-$F$11))))</f>
        <v>0.0944230320842001</v>
      </c>
      <c r="H886" s="39" t="n">
        <f aca="false">(('Business Case'!B11*$C886*'Business Case'!B12*$B886)-'Business Case'!B11*$C886*'Business Case'!B13*$D886-'Business Case'!B14*$E886)-MAX(0,(('Business Case'!B11*$C886*'Business Case'!B12*$B886)-'Business Case'!B11*$C886*'Business Case'!B13*$D886-'Business Case'!B14*$E886))*'Business Case'!$B$7-'Business Case'!$B$8*('Business Case'!B11*$C886*'Business Case'!B12*$B886)-'Business Case'!B15*$F886</f>
        <v>-2002184759.55862</v>
      </c>
      <c r="I886" s="39" t="n">
        <f aca="false">(('Business Case'!C11*$C886*'Business Case'!C12*$B886)-'Business Case'!C11*$C886*'Business Case'!C13*$D886-'Business Case'!C14*$E886)-MAX(0,(('Business Case'!C11*$C886*'Business Case'!C12*$B886)-'Business Case'!C11*$C886*'Business Case'!C13*$D886-'Business Case'!C14*$E886))*'Business Case'!$B$7-'Business Case'!$B$8*(('Business Case'!C11*$C886*'Business Case'!C12*$B886)-('Business Case'!B11*$C886*'Business Case'!B12*$B886))-'Business Case'!C15*$F886</f>
        <v>-56120641.4169022</v>
      </c>
      <c r="J886" s="39" t="n">
        <f aca="false">(('Business Case'!D11*$C886*'Business Case'!D12*$B886)-'Business Case'!D11*$C886*'Business Case'!D13*$D886-'Business Case'!D14*$E886)-MAX(0,(('Business Case'!D11*$C886*'Business Case'!D12*$B886)-'Business Case'!D11*$C886*'Business Case'!D13*$D886-'Business Case'!D14*$E886))*'Business Case'!$B$7-'Business Case'!$B$8*(('Business Case'!D11*$C886*'Business Case'!D12*$B886)-('Business Case'!C11*$C886*'Business Case'!C12*$B886))-'Business Case'!D15*$F886</f>
        <v>177417355.632154</v>
      </c>
      <c r="K886" s="39" t="n">
        <f aca="false">(('Business Case'!E11*$C886*'Business Case'!E12*$B886)-'Business Case'!E11*$C886*'Business Case'!E13*$D886-'Business Case'!E14*$E886)-MAX(0,(('Business Case'!E11*$C886*'Business Case'!E12*$B886)-'Business Case'!E11*$C886*'Business Case'!E13*$D886-'Business Case'!E14*$E886))*'Business Case'!$B$7-'Business Case'!$B$8*(('Business Case'!E11*$C886*'Business Case'!E12*$B886)-('Business Case'!D11*$C886*'Business Case'!D12*$B886))-'Business Case'!E15*$F886</f>
        <v>461009971.670174</v>
      </c>
      <c r="L886" s="39" t="n">
        <f aca="false">(('Business Case'!F11*$C886*'Business Case'!F12*$B886)-'Business Case'!F11*$C886*'Business Case'!F13*$D886-'Business Case'!F14*$E886)-MAX(0,(('Business Case'!F11*$C886*'Business Case'!F12*$B886)-'Business Case'!F11*$C886*'Business Case'!F13*$D886-'Business Case'!F14*$E886))*'Business Case'!$B$7-'Business Case'!$B$8*(('Business Case'!F11*$C886*'Business Case'!F12*$B886)-('Business Case'!E11*$C886*'Business Case'!E12*$B886))-'Business Case'!F15*$F886</f>
        <v>569328332.430534</v>
      </c>
      <c r="M886" s="39" t="n">
        <f aca="false">(('Business Case'!G11*$C886*'Business Case'!G12*$B886)-'Business Case'!G11*$C886*'Business Case'!G13*$D886-'Business Case'!G14*$E886)-MAX(0,(('Business Case'!G11*$C886*'Business Case'!G12*$B886)-'Business Case'!G11*$C886*'Business Case'!G13*$D886-'Business Case'!G14*$E886))*'Business Case'!$B$7-'Business Case'!$B$8*(('Business Case'!G11*$C886*'Business Case'!G12*$B886)-('Business Case'!F11*$C886*'Business Case'!F12*$B886))-'Business Case'!G15*$F886+'Business Case'!$B$8*('Business Case'!G11*$C886*'Business Case'!G12*$B886)</f>
        <v>736926322.022574</v>
      </c>
      <c r="N886" s="39" t="n">
        <f aca="false">IF(COUNT('Business Case'!B11:G11)=0,"",H886+NPV(G886,I886:M886))</f>
        <v>-687456662.244586</v>
      </c>
      <c r="P886" s="40" t="n">
        <f aca="true">RAND()</f>
        <v>0.199522815235091</v>
      </c>
      <c r="Q886" s="40" t="n">
        <f aca="true">RAND()</f>
        <v>0.370195753246009</v>
      </c>
      <c r="R886" s="40" t="n">
        <f aca="true">RAND()</f>
        <v>0.705799030654376</v>
      </c>
      <c r="S886" s="40" t="n">
        <f aca="true">RAND()</f>
        <v>0.488761999684867</v>
      </c>
      <c r="T886" s="40" t="n">
        <f aca="true">RAND()</f>
        <v>0.173933287947631</v>
      </c>
      <c r="U886" s="40" t="n">
        <f aca="true">RAND()</f>
        <v>0.208023854501866</v>
      </c>
    </row>
    <row r="887" customFormat="false" ht="15" hidden="false" customHeight="false" outlineLevel="0" collapsed="false">
      <c r="A887" s="36" t="n">
        <v>807</v>
      </c>
      <c r="B887" s="37" t="n">
        <f aca="false">1+IF($G$6=$E$6,$F$6,IF(P887&lt;($F$6-$E$6)/($G$6-$E$6),$E$6+SQRT(P887*($G$6-$E$6)*($F$6-$E$6)),$G$6-SQRT((1-P887)*($G$6-$E$6)*($G$6-$F$6))))</f>
        <v>0.936046266978838</v>
      </c>
      <c r="C887" s="37" t="n">
        <f aca="false">1+IF($G$7=$E$7,$F$7,IF(Q887&lt;($F$7-$E$7)/($G$7-$E$7),$E$7+SQRT(Q887*($G$7-$E$7)*($F$7-$E$7)),$G$7-SQRT((1-Q887)*($G$7-$E$7)*($G$7-$F$7))))</f>
        <v>0.943988889922641</v>
      </c>
      <c r="D887" s="37" t="n">
        <f aca="false">1+IF($G$8=$E$8,$F$8,IF(R887&lt;($F$8-$E$8)/($G$8-$E$8),$E$8+SQRT(R887*($G$8-$E$8)*($F$8-$E$8)),$G$8-SQRT((1-R887)*($G$8-$E$8)*($G$8-$F$8))))</f>
        <v>0.96595569484454</v>
      </c>
      <c r="E887" s="37" t="n">
        <f aca="false">1+IF($G$9=$E$9,$F$9,IF(S887&lt;($F$9-$E$9)/($G$9-$E$9),$E$9+SQRT(S887*($G$9-$E$9)*($F$9-$E$9)),$G$9-SQRT((1-S887)*($G$9-$E$9)*($G$9-$F$9))))</f>
        <v>1.02487223121754</v>
      </c>
      <c r="F887" s="37" t="n">
        <f aca="false">1+IF($G$10=$E$10,$F$10,IF(T887&lt;($F$10-$E$10)/($G$10-$E$10),$E$10+SQRT(T887*($G$10-$E$10)*($F$10-$E$10)),$G$10-SQRT((1-T887)*($G$10-$E$10)*($G$10-$F$10))))</f>
        <v>0.969872648391639</v>
      </c>
      <c r="G887" s="38" t="n">
        <f aca="false">IF($G$11=$E$11,$F$11,IF(U887&lt;($F$11-$E$11)/($G$11-$E$11),$E$11+SQRT(U887*($G$11-$E$11)*($F$11-$E$11)),$G$11-SQRT((1-U887)*($G$11-$E$11)*($G$11-$F$11))))</f>
        <v>0.104462825829024</v>
      </c>
      <c r="H887" s="39" t="n">
        <f aca="false">(('Business Case'!B11*$C887*'Business Case'!B12*$B887)-'Business Case'!B11*$C887*'Business Case'!B13*$D887-'Business Case'!B14*$E887)-MAX(0,(('Business Case'!B11*$C887*'Business Case'!B12*$B887)-'Business Case'!B11*$C887*'Business Case'!B13*$D887-'Business Case'!B14*$E887))*'Business Case'!$B$7-'Business Case'!$B$8*('Business Case'!B11*$C887*'Business Case'!B12*$B887)-'Business Case'!B15*$F887</f>
        <v>-1939745296.78328</v>
      </c>
      <c r="I887" s="39" t="n">
        <f aca="false">(('Business Case'!C11*$C887*'Business Case'!C12*$B887)-'Business Case'!C11*$C887*'Business Case'!C13*$D887-'Business Case'!C14*$E887)-MAX(0,(('Business Case'!C11*$C887*'Business Case'!C12*$B887)-'Business Case'!C11*$C887*'Business Case'!C13*$D887-'Business Case'!C14*$E887))*'Business Case'!$B$7-'Business Case'!$B$8*(('Business Case'!C11*$C887*'Business Case'!C12*$B887)-('Business Case'!B11*$C887*'Business Case'!B12*$B887))-'Business Case'!C15*$F887</f>
        <v>-31579637.1077158</v>
      </c>
      <c r="J887" s="39" t="n">
        <f aca="false">(('Business Case'!D11*$C887*'Business Case'!D12*$B887)-'Business Case'!D11*$C887*'Business Case'!D13*$D887-'Business Case'!D14*$E887)-MAX(0,(('Business Case'!D11*$C887*'Business Case'!D12*$B887)-'Business Case'!D11*$C887*'Business Case'!D13*$D887-'Business Case'!D14*$E887))*'Business Case'!$B$7-'Business Case'!$B$8*(('Business Case'!D11*$C887*'Business Case'!D12*$B887)-('Business Case'!C11*$C887*'Business Case'!C12*$B887))-'Business Case'!D15*$F887</f>
        <v>225371541.515672</v>
      </c>
      <c r="K887" s="39" t="n">
        <f aca="false">(('Business Case'!E11*$C887*'Business Case'!E12*$B887)-'Business Case'!E11*$C887*'Business Case'!E13*$D887-'Business Case'!E14*$E887)-MAX(0,(('Business Case'!E11*$C887*'Business Case'!E12*$B887)-'Business Case'!E11*$C887*'Business Case'!E13*$D887-'Business Case'!E14*$E887))*'Business Case'!$B$7-'Business Case'!$B$8*(('Business Case'!E11*$C887*'Business Case'!E12*$B887)-('Business Case'!D11*$C887*'Business Case'!D12*$B887))-'Business Case'!E15*$F887</f>
        <v>530816352.558641</v>
      </c>
      <c r="L887" s="39" t="n">
        <f aca="false">(('Business Case'!F11*$C887*'Business Case'!F12*$B887)-'Business Case'!F11*$C887*'Business Case'!F13*$D887-'Business Case'!F14*$E887)-MAX(0,(('Business Case'!F11*$C887*'Business Case'!F12*$B887)-'Business Case'!F11*$C887*'Business Case'!F13*$D887-'Business Case'!F14*$E887))*'Business Case'!$B$7-'Business Case'!$B$8*(('Business Case'!F11*$C887*'Business Case'!F12*$B887)-('Business Case'!E11*$C887*'Business Case'!E12*$B887))-'Business Case'!F15*$F887</f>
        <v>647004558.508308</v>
      </c>
      <c r="M887" s="39" t="n">
        <f aca="false">(('Business Case'!G11*$C887*'Business Case'!G12*$B887)-'Business Case'!G11*$C887*'Business Case'!G13*$D887-'Business Case'!G14*$E887)-MAX(0,(('Business Case'!G11*$C887*'Business Case'!G12*$B887)-'Business Case'!G11*$C887*'Business Case'!G13*$D887-'Business Case'!G14*$E887))*'Business Case'!$B$7-'Business Case'!$B$8*(('Business Case'!G11*$C887*'Business Case'!G12*$B887)-('Business Case'!F11*$C887*'Business Case'!F12*$B887))-'Business Case'!G15*$F887+'Business Case'!$B$8*('Business Case'!G11*$C887*'Business Case'!G12*$B887)</f>
        <v>814962530.421927</v>
      </c>
      <c r="N887" s="39" t="n">
        <f aca="false">IF(COUNT('Business Case'!B11:G11)=0,"",H887+NPV(G887,I887:M887))</f>
        <v>-458887791.570297</v>
      </c>
      <c r="P887" s="40" t="n">
        <f aca="true">RAND()</f>
        <v>0.0866222242073094</v>
      </c>
      <c r="Q887" s="40" t="n">
        <f aca="true">RAND()</f>
        <v>0.4409672474495</v>
      </c>
      <c r="R887" s="40" t="n">
        <f aca="true">RAND()</f>
        <v>0.0339445597296099</v>
      </c>
      <c r="S887" s="40" t="n">
        <f aca="true">RAND()</f>
        <v>0.58248110612063</v>
      </c>
      <c r="T887" s="40" t="n">
        <f aca="true">RAND()</f>
        <v>0.0263281436065132</v>
      </c>
      <c r="U887" s="40" t="n">
        <f aca="true">RAND()</f>
        <v>0.565235156907483</v>
      </c>
    </row>
    <row r="888" customFormat="false" ht="15" hidden="false" customHeight="false" outlineLevel="0" collapsed="false">
      <c r="A888" s="36" t="n">
        <v>808</v>
      </c>
      <c r="B888" s="37" t="n">
        <f aca="false">1+IF($G$6=$E$6,$F$6,IF(P888&lt;($F$6-$E$6)/($G$6-$E$6),$E$6+SQRT(P888*($G$6-$E$6)*($F$6-$E$6)),$G$6-SQRT((1-P888)*($G$6-$E$6)*($G$6-$F$6))))</f>
        <v>0.995657344613201</v>
      </c>
      <c r="C888" s="37" t="n">
        <f aca="false">1+IF($G$7=$E$7,$F$7,IF(Q888&lt;($F$7-$E$7)/($G$7-$E$7),$E$7+SQRT(Q888*($G$7-$E$7)*($F$7-$E$7)),$G$7-SQRT((1-Q888)*($G$7-$E$7)*($G$7-$F$7))))</f>
        <v>1.10550187659869</v>
      </c>
      <c r="D888" s="37" t="n">
        <f aca="false">1+IF($G$8=$E$8,$F$8,IF(R888&lt;($F$8-$E$8)/($G$8-$E$8),$E$8+SQRT(R888*($G$8-$E$8)*($F$8-$E$8)),$G$8-SQRT((1-R888)*($G$8-$E$8)*($G$8-$F$8))))</f>
        <v>1.01508810196611</v>
      </c>
      <c r="E888" s="37" t="n">
        <f aca="false">1+IF($G$9=$E$9,$F$9,IF(S888&lt;($F$9-$E$9)/($G$9-$E$9),$E$9+SQRT(S888*($G$9-$E$9)*($F$9-$E$9)),$G$9-SQRT((1-S888)*($G$9-$E$9)*($G$9-$F$9))))</f>
        <v>1.00777599362558</v>
      </c>
      <c r="F888" s="37" t="n">
        <f aca="false">1+IF($G$10=$E$10,$F$10,IF(T888&lt;($F$10-$E$10)/($G$10-$E$10),$E$10+SQRT(T888*($G$10-$E$10)*($F$10-$E$10)),$G$10-SQRT((1-T888)*($G$10-$E$10)*($G$10-$F$10))))</f>
        <v>1.08458155384455</v>
      </c>
      <c r="G888" s="38" t="n">
        <f aca="false">IF($G$11=$E$11,$F$11,IF(U888&lt;($F$11-$E$11)/($G$11-$E$11),$E$11+SQRT(U888*($G$11-$E$11)*($F$11-$E$11)),$G$11-SQRT((1-U888)*($G$11-$E$11)*($G$11-$F$11))))</f>
        <v>0.112072845851756</v>
      </c>
      <c r="H888" s="39" t="n">
        <f aca="false">(('Business Case'!B11*$C888*'Business Case'!B12*$B888)-'Business Case'!B11*$C888*'Business Case'!B13*$D888-'Business Case'!B14*$E888)-MAX(0,(('Business Case'!B11*$C888*'Business Case'!B12*$B888)-'Business Case'!B11*$C888*'Business Case'!B13*$D888-'Business Case'!B14*$E888))*'Business Case'!$B$7-'Business Case'!$B$8*('Business Case'!B11*$C888*'Business Case'!B12*$B888)-'Business Case'!B15*$F888</f>
        <v>-2169163107.6891</v>
      </c>
      <c r="I888" s="39" t="n">
        <f aca="false">(('Business Case'!C11*$C888*'Business Case'!C12*$B888)-'Business Case'!C11*$C888*'Business Case'!C13*$D888-'Business Case'!C14*$E888)-MAX(0,(('Business Case'!C11*$C888*'Business Case'!C12*$B888)-'Business Case'!C11*$C888*'Business Case'!C13*$D888-'Business Case'!C14*$E888))*'Business Case'!$B$7-'Business Case'!$B$8*(('Business Case'!C11*$C888*'Business Case'!C12*$B888)-('Business Case'!B11*$C888*'Business Case'!B12*$B888))-'Business Case'!C15*$F888</f>
        <v>18261868.3338029</v>
      </c>
      <c r="J888" s="39" t="n">
        <f aca="false">(('Business Case'!D11*$C888*'Business Case'!D12*$B888)-'Business Case'!D11*$C888*'Business Case'!D13*$D888-'Business Case'!D14*$E888)-MAX(0,(('Business Case'!D11*$C888*'Business Case'!D12*$B888)-'Business Case'!D11*$C888*'Business Case'!D13*$D888-'Business Case'!D14*$E888))*'Business Case'!$B$7-'Business Case'!$B$8*(('Business Case'!D11*$C888*'Business Case'!D12*$B888)-('Business Case'!C11*$C888*'Business Case'!C12*$B888))-'Business Case'!D15*$F888</f>
        <v>345347981.447348</v>
      </c>
      <c r="K888" s="39" t="n">
        <f aca="false">(('Business Case'!E11*$C888*'Business Case'!E12*$B888)-'Business Case'!E11*$C888*'Business Case'!E13*$D888-'Business Case'!E14*$E888)-MAX(0,(('Business Case'!E11*$C888*'Business Case'!E12*$B888)-'Business Case'!E11*$C888*'Business Case'!E13*$D888-'Business Case'!E14*$E888))*'Business Case'!$B$7-'Business Case'!$B$8*(('Business Case'!E11*$C888*'Business Case'!E12*$B888)-('Business Case'!D11*$C888*'Business Case'!D12*$B888))-'Business Case'!E15*$F888</f>
        <v>726663172.253121</v>
      </c>
      <c r="L888" s="39" t="n">
        <f aca="false">(('Business Case'!F11*$C888*'Business Case'!F12*$B888)-'Business Case'!F11*$C888*'Business Case'!F13*$D888-'Business Case'!F14*$E888)-MAX(0,(('Business Case'!F11*$C888*'Business Case'!F12*$B888)-'Business Case'!F11*$C888*'Business Case'!F13*$D888-'Business Case'!F14*$E888))*'Business Case'!$B$7-'Business Case'!$B$8*(('Business Case'!F11*$C888*'Business Case'!F12*$B888)-('Business Case'!E11*$C888*'Business Case'!E12*$B888))-'Business Case'!F15*$F888</f>
        <v>873732105.358788</v>
      </c>
      <c r="M888" s="39" t="n">
        <f aca="false">(('Business Case'!G11*$C888*'Business Case'!G12*$B888)-'Business Case'!G11*$C888*'Business Case'!G13*$D888-'Business Case'!G14*$E888)-MAX(0,(('Business Case'!G11*$C888*'Business Case'!G12*$B888)-'Business Case'!G11*$C888*'Business Case'!G13*$D888-'Business Case'!G14*$E888))*'Business Case'!$B$7-'Business Case'!$B$8*(('Business Case'!G11*$C888*'Business Case'!G12*$B888)-('Business Case'!F11*$C888*'Business Case'!F12*$B888))-'Business Case'!G15*$F888+'Business Case'!$B$8*('Business Case'!G11*$C888*'Business Case'!G12*$B888)</f>
        <v>1082953363.39846</v>
      </c>
      <c r="N888" s="39" t="n">
        <f aca="false">IF(COUNT('Business Case'!B11:G11)=0,"",H888+NPV(G888,I888:M888))</f>
        <v>-137141169.615208</v>
      </c>
      <c r="P888" s="40" t="n">
        <f aca="true">RAND()</f>
        <v>0.610021838563248</v>
      </c>
      <c r="Q888" s="40" t="n">
        <f aca="true">RAND()</f>
        <v>0.970665437240913</v>
      </c>
      <c r="R888" s="40" t="n">
        <f aca="true">RAND()</f>
        <v>0.519331304818873</v>
      </c>
      <c r="S888" s="40" t="n">
        <f aca="true">RAND()</f>
        <v>0.460595520288258</v>
      </c>
      <c r="T888" s="40" t="n">
        <f aca="true">RAND()</f>
        <v>0.635156502286888</v>
      </c>
      <c r="U888" s="40" t="n">
        <f aca="true">RAND()</f>
        <v>0.78574476276341</v>
      </c>
    </row>
    <row r="889" customFormat="false" ht="15" hidden="false" customHeight="false" outlineLevel="0" collapsed="false">
      <c r="A889" s="36" t="n">
        <v>809</v>
      </c>
      <c r="B889" s="37" t="n">
        <f aca="false">1+IF($G$6=$E$6,$F$6,IF(P889&lt;($F$6-$E$6)/($G$6-$E$6),$E$6+SQRT(P889*($G$6-$E$6)*($F$6-$E$6)),$G$6-SQRT((1-P889)*($G$6-$E$6)*($G$6-$F$6))))</f>
        <v>1.01476400424518</v>
      </c>
      <c r="C889" s="37" t="n">
        <f aca="false">1+IF($G$7=$E$7,$F$7,IF(Q889&lt;($F$7-$E$7)/($G$7-$E$7),$E$7+SQRT(Q889*($G$7-$E$7)*($F$7-$E$7)),$G$7-SQRT((1-Q889)*($G$7-$E$7)*($G$7-$F$7))))</f>
        <v>1.02407981079882</v>
      </c>
      <c r="D889" s="37" t="n">
        <f aca="false">1+IF($G$8=$E$8,$F$8,IF(R889&lt;($F$8-$E$8)/($G$8-$E$8),$E$8+SQRT(R889*($G$8-$E$8)*($F$8-$E$8)),$G$8-SQRT((1-R889)*($G$8-$E$8)*($G$8-$F$8))))</f>
        <v>0.974904104739944</v>
      </c>
      <c r="E889" s="37" t="n">
        <f aca="false">1+IF($G$9=$E$9,$F$9,IF(S889&lt;($F$9-$E$9)/($G$9-$E$9),$E$9+SQRT(S889*($G$9-$E$9)*($F$9-$E$9)),$G$9-SQRT((1-S889)*($G$9-$E$9)*($G$9-$F$9))))</f>
        <v>0.964112063729185</v>
      </c>
      <c r="F889" s="37" t="n">
        <f aca="false">1+IF($G$10=$E$10,$F$10,IF(T889&lt;($F$10-$E$10)/($G$10-$E$10),$E$10+SQRT(T889*($G$10-$E$10)*($F$10-$E$10)),$G$10-SQRT((1-T889)*($G$10-$E$10)*($G$10-$F$10))))</f>
        <v>1.09145622968931</v>
      </c>
      <c r="G889" s="38" t="n">
        <f aca="false">IF($G$11=$E$11,$F$11,IF(U889&lt;($F$11-$E$11)/($G$11-$E$11),$E$11+SQRT(U889*($G$11-$E$11)*($F$11-$E$11)),$G$11-SQRT((1-U889)*($G$11-$E$11)*($G$11-$F$11))))</f>
        <v>0.104469051860118</v>
      </c>
      <c r="H889" s="39" t="n">
        <f aca="false">(('Business Case'!B11*$C889*'Business Case'!B12*$B889)-'Business Case'!B11*$C889*'Business Case'!B13*$D889-'Business Case'!B14*$E889)-MAX(0,(('Business Case'!B11*$C889*'Business Case'!B12*$B889)-'Business Case'!B11*$C889*'Business Case'!B13*$D889-'Business Case'!B14*$E889))*'Business Case'!$B$7-'Business Case'!$B$8*('Business Case'!B11*$C889*'Business Case'!B12*$B889)-'Business Case'!B15*$F889</f>
        <v>-2182912459.37862</v>
      </c>
      <c r="I889" s="39" t="n">
        <f aca="false">(('Business Case'!C11*$C889*'Business Case'!C12*$B889)-'Business Case'!C11*$C889*'Business Case'!C13*$D889-'Business Case'!C14*$E889)-MAX(0,(('Business Case'!C11*$C889*'Business Case'!C12*$B889)-'Business Case'!C11*$C889*'Business Case'!C13*$D889-'Business Case'!C14*$E889))*'Business Case'!$B$7-'Business Case'!$B$8*(('Business Case'!C11*$C889*'Business Case'!C12*$B889)-('Business Case'!B11*$C889*'Business Case'!B12*$B889))-'Business Case'!C15*$F889</f>
        <v>39974130.9897017</v>
      </c>
      <c r="J889" s="39" t="n">
        <f aca="false">(('Business Case'!D11*$C889*'Business Case'!D12*$B889)-'Business Case'!D11*$C889*'Business Case'!D13*$D889-'Business Case'!D14*$E889)-MAX(0,(('Business Case'!D11*$C889*'Business Case'!D12*$B889)-'Business Case'!D11*$C889*'Business Case'!D13*$D889-'Business Case'!D14*$E889))*'Business Case'!$B$7-'Business Case'!$B$8*(('Business Case'!D11*$C889*'Business Case'!D12*$B889)-('Business Case'!C11*$C889*'Business Case'!C12*$B889))-'Business Case'!D15*$F889</f>
        <v>380062713.650498</v>
      </c>
      <c r="K889" s="39" t="n">
        <f aca="false">(('Business Case'!E11*$C889*'Business Case'!E12*$B889)-'Business Case'!E11*$C889*'Business Case'!E13*$D889-'Business Case'!E14*$E889)-MAX(0,(('Business Case'!E11*$C889*'Business Case'!E12*$B889)-'Business Case'!E11*$C889*'Business Case'!E13*$D889-'Business Case'!E14*$E889))*'Business Case'!$B$7-'Business Case'!$B$8*(('Business Case'!E11*$C889*'Business Case'!E12*$B889)-('Business Case'!D11*$C889*'Business Case'!D12*$B889))-'Business Case'!E15*$F889</f>
        <v>774724107.795759</v>
      </c>
      <c r="L889" s="39" t="n">
        <f aca="false">(('Business Case'!F11*$C889*'Business Case'!F12*$B889)-'Business Case'!F11*$C889*'Business Case'!F13*$D889-'Business Case'!F14*$E889)-MAX(0,(('Business Case'!F11*$C889*'Business Case'!F12*$B889)-'Business Case'!F11*$C889*'Business Case'!F13*$D889-'Business Case'!F14*$E889))*'Business Case'!$B$7-'Business Case'!$B$8*(('Business Case'!F11*$C889*'Business Case'!F12*$B889)-('Business Case'!E11*$C889*'Business Case'!E12*$B889))-'Business Case'!F15*$F889</f>
        <v>924001697.509273</v>
      </c>
      <c r="M889" s="39" t="n">
        <f aca="false">(('Business Case'!G11*$C889*'Business Case'!G12*$B889)-'Business Case'!G11*$C889*'Business Case'!G13*$D889-'Business Case'!G14*$E889)-MAX(0,(('Business Case'!G11*$C889*'Business Case'!G12*$B889)-'Business Case'!G11*$C889*'Business Case'!G13*$D889-'Business Case'!G14*$E889))*'Business Case'!$B$7-'Business Case'!$B$8*(('Business Case'!G11*$C889*'Business Case'!G12*$B889)-('Business Case'!F11*$C889*'Business Case'!F12*$B889))-'Business Case'!G15*$F889+'Business Case'!$B$8*('Business Case'!G11*$C889*'Business Case'!G12*$B889)</f>
        <v>1121532706.05547</v>
      </c>
      <c r="N889" s="39" t="n">
        <f aca="false">IF(COUNT('Business Case'!B11:G11)=0,"",H889+NPV(G889,I889:M889))</f>
        <v>43230732.4191146</v>
      </c>
      <c r="P889" s="40" t="n">
        <f aca="true">RAND()</f>
        <v>0.834456613755504</v>
      </c>
      <c r="Q889" s="40" t="n">
        <f aca="true">RAND()</f>
        <v>0.765097865948732</v>
      </c>
      <c r="R889" s="40" t="n">
        <f aca="true">RAND()</f>
        <v>0.0826952577197472</v>
      </c>
      <c r="S889" s="40" t="n">
        <f aca="true">RAND()</f>
        <v>0.164414268624603</v>
      </c>
      <c r="T889" s="40" t="n">
        <f aca="true">RAND()</f>
        <v>0.664851638608957</v>
      </c>
      <c r="U889" s="40" t="n">
        <f aca="true">RAND()</f>
        <v>0.565447124719108</v>
      </c>
    </row>
    <row r="890" customFormat="false" ht="15" hidden="false" customHeight="false" outlineLevel="0" collapsed="false">
      <c r="A890" s="36" t="n">
        <v>810</v>
      </c>
      <c r="B890" s="37" t="n">
        <f aca="false">1+IF($G$6=$E$6,$F$6,IF(P890&lt;($F$6-$E$6)/($G$6-$E$6),$E$6+SQRT(P890*($G$6-$E$6)*($F$6-$E$6)),$G$6-SQRT((1-P890)*($G$6-$E$6)*($G$6-$F$6))))</f>
        <v>0.978688057945146</v>
      </c>
      <c r="C890" s="37" t="n">
        <f aca="false">1+IF($G$7=$E$7,$F$7,IF(Q890&lt;($F$7-$E$7)/($G$7-$E$7),$E$7+SQRT(Q890*($G$7-$E$7)*($F$7-$E$7)),$G$7-SQRT((1-Q890)*($G$7-$E$7)*($G$7-$F$7))))</f>
        <v>0.981430384815182</v>
      </c>
      <c r="D890" s="37" t="n">
        <f aca="false">1+IF($G$8=$E$8,$F$8,IF(R890&lt;($F$8-$E$8)/($G$8-$E$8),$E$8+SQRT(R890*($G$8-$E$8)*($F$8-$E$8)),$G$8-SQRT((1-R890)*($G$8-$E$8)*($G$8-$F$8))))</f>
        <v>1.01402184751813</v>
      </c>
      <c r="E890" s="37" t="n">
        <f aca="false">1+IF($G$9=$E$9,$F$9,IF(S890&lt;($F$9-$E$9)/($G$9-$E$9),$E$9+SQRT(S890*($G$9-$E$9)*($F$9-$E$9)),$G$9-SQRT((1-S890)*($G$9-$E$9)*($G$9-$F$9))))</f>
        <v>1.03496672289391</v>
      </c>
      <c r="F890" s="37" t="n">
        <f aca="false">1+IF($G$10=$E$10,$F$10,IF(T890&lt;($F$10-$E$10)/($G$10-$E$10),$E$10+SQRT(T890*($G$10-$E$10)*($F$10-$E$10)),$G$10-SQRT((1-T890)*($G$10-$E$10)*($G$10-$F$10))))</f>
        <v>1.20175555323967</v>
      </c>
      <c r="G890" s="38" t="n">
        <f aca="false">IF($G$11=$E$11,$F$11,IF(U890&lt;($F$11-$E$11)/($G$11-$E$11),$E$11+SQRT(U890*($G$11-$E$11)*($F$11-$E$11)),$G$11-SQRT((1-U890)*($G$11-$E$11)*($G$11-$F$11))))</f>
        <v>0.104851818118612</v>
      </c>
      <c r="H890" s="39" t="n">
        <f aca="false">(('Business Case'!B11*$C890*'Business Case'!B12*$B890)-'Business Case'!B11*$C890*'Business Case'!B13*$D890-'Business Case'!B14*$E890)-MAX(0,(('Business Case'!B11*$C890*'Business Case'!B12*$B890)-'Business Case'!B11*$C890*'Business Case'!B13*$D890-'Business Case'!B14*$E890))*'Business Case'!$B$7-'Business Case'!$B$8*('Business Case'!B11*$C890*'Business Case'!B12*$B890)-'Business Case'!B15*$F890</f>
        <v>-2403511106.47934</v>
      </c>
      <c r="I890" s="39" t="n">
        <f aca="false">(('Business Case'!C11*$C890*'Business Case'!C12*$B890)-'Business Case'!C11*$C890*'Business Case'!C13*$D890-'Business Case'!C14*$E890)-MAX(0,(('Business Case'!C11*$C890*'Business Case'!C12*$B890)-'Business Case'!C11*$C890*'Business Case'!C13*$D890-'Business Case'!C14*$E890))*'Business Case'!$B$7-'Business Case'!$B$8*(('Business Case'!C11*$C890*'Business Case'!C12*$B890)-('Business Case'!B11*$C890*'Business Case'!B12*$B890))-'Business Case'!C15*$F890</f>
        <v>-39869207.5653103</v>
      </c>
      <c r="J890" s="39" t="n">
        <f aca="false">(('Business Case'!D11*$C890*'Business Case'!D12*$B890)-'Business Case'!D11*$C890*'Business Case'!D13*$D890-'Business Case'!D14*$E890)-MAX(0,(('Business Case'!D11*$C890*'Business Case'!D12*$B890)-'Business Case'!D11*$C890*'Business Case'!D13*$D890-'Business Case'!D14*$E890))*'Business Case'!$B$7-'Business Case'!$B$8*(('Business Case'!D11*$C890*'Business Case'!D12*$B890)-('Business Case'!C11*$C890*'Business Case'!C12*$B890))-'Business Case'!D15*$F890</f>
        <v>237402464.178091</v>
      </c>
      <c r="K890" s="39" t="n">
        <f aca="false">(('Business Case'!E11*$C890*'Business Case'!E12*$B890)-'Business Case'!E11*$C890*'Business Case'!E13*$D890-'Business Case'!E14*$E890)-MAX(0,(('Business Case'!E11*$C890*'Business Case'!E12*$B890)-'Business Case'!E11*$C890*'Business Case'!E13*$D890-'Business Case'!E14*$E890))*'Business Case'!$B$7-'Business Case'!$B$8*(('Business Case'!E11*$C890*'Business Case'!E12*$B890)-('Business Case'!D11*$C890*'Business Case'!D12*$B890))-'Business Case'!E15*$F890</f>
        <v>574761913.583475</v>
      </c>
      <c r="L890" s="39" t="n">
        <f aca="false">(('Business Case'!F11*$C890*'Business Case'!F12*$B890)-'Business Case'!F11*$C890*'Business Case'!F13*$D890-'Business Case'!F14*$E890)-MAX(0,(('Business Case'!F11*$C890*'Business Case'!F12*$B890)-'Business Case'!F11*$C890*'Business Case'!F13*$D890-'Business Case'!F14*$E890))*'Business Case'!$B$7-'Business Case'!$B$8*(('Business Case'!F11*$C890*'Business Case'!F12*$B890)-('Business Case'!E11*$C890*'Business Case'!E12*$B890))-'Business Case'!F15*$F890</f>
        <v>700381174.824096</v>
      </c>
      <c r="M890" s="39" t="n">
        <f aca="false">(('Business Case'!G11*$C890*'Business Case'!G12*$B890)-'Business Case'!G11*$C890*'Business Case'!G13*$D890-'Business Case'!G14*$E890)-MAX(0,(('Business Case'!G11*$C890*'Business Case'!G12*$B890)-'Business Case'!G11*$C890*'Business Case'!G13*$D890-'Business Case'!G14*$E890))*'Business Case'!$B$7-'Business Case'!$B$8*(('Business Case'!G11*$C890*'Business Case'!G12*$B890)-('Business Case'!F11*$C890*'Business Case'!F12*$B890))-'Business Case'!G15*$F890+'Business Case'!$B$8*('Business Case'!G11*$C890*'Business Case'!G12*$B890)</f>
        <v>882955713.451276</v>
      </c>
      <c r="N890" s="39" t="n">
        <f aca="false">IF(COUNT('Business Case'!B11:G11)=0,"",H890+NPV(G890,I890:M890))</f>
        <v>-812616879.567785</v>
      </c>
      <c r="P890" s="40" t="n">
        <f aca="true">RAND()</f>
        <v>0.412787364211914</v>
      </c>
      <c r="Q890" s="40" t="n">
        <f aca="true">RAND()</f>
        <v>0.586689344423861</v>
      </c>
      <c r="R890" s="40" t="n">
        <f aca="true">RAND()</f>
        <v>0.507183819720311</v>
      </c>
      <c r="S890" s="40" t="n">
        <f aca="true">RAND()</f>
        <v>0.647129204219534</v>
      </c>
      <c r="T890" s="40" t="n">
        <f aca="true">RAND()</f>
        <v>0.968966311423861</v>
      </c>
      <c r="U890" s="40" t="n">
        <f aca="true">RAND()</f>
        <v>0.578379298707083</v>
      </c>
    </row>
    <row r="891" customFormat="false" ht="15" hidden="false" customHeight="false" outlineLevel="0" collapsed="false">
      <c r="A891" s="36" t="n">
        <v>811</v>
      </c>
      <c r="B891" s="37" t="n">
        <f aca="false">1+IF($G$6=$E$6,$F$6,IF(P891&lt;($F$6-$E$6)/($G$6-$E$6),$E$6+SQRT(P891*($G$6-$E$6)*($F$6-$E$6)),$G$6-SQRT((1-P891)*($G$6-$E$6)*($G$6-$F$6))))</f>
        <v>0.915047056687432</v>
      </c>
      <c r="C891" s="37" t="n">
        <f aca="false">1+IF($G$7=$E$7,$F$7,IF(Q891&lt;($F$7-$E$7)/($G$7-$E$7),$E$7+SQRT(Q891*($G$7-$E$7)*($F$7-$E$7)),$G$7-SQRT((1-Q891)*($G$7-$E$7)*($G$7-$F$7))))</f>
        <v>1.02662466510834</v>
      </c>
      <c r="D891" s="37" t="n">
        <f aca="false">1+IF($G$8=$E$8,$F$8,IF(R891&lt;($F$8-$E$8)/($G$8-$E$8),$E$8+SQRT(R891*($G$8-$E$8)*($F$8-$E$8)),$G$8-SQRT((1-R891)*($G$8-$E$8)*($G$8-$F$8))))</f>
        <v>1.01875508993261</v>
      </c>
      <c r="E891" s="37" t="n">
        <f aca="false">1+IF($G$9=$E$9,$F$9,IF(S891&lt;($F$9-$E$9)/($G$9-$E$9),$E$9+SQRT(S891*($G$9-$E$9)*($F$9-$E$9)),$G$9-SQRT((1-S891)*($G$9-$E$9)*($G$9-$F$9))))</f>
        <v>1.07221988385935</v>
      </c>
      <c r="F891" s="37" t="n">
        <f aca="false">1+IF($G$10=$E$10,$F$10,IF(T891&lt;($F$10-$E$10)/($G$10-$E$10),$E$10+SQRT(T891*($G$10-$E$10)*($F$10-$E$10)),$G$10-SQRT((1-T891)*($G$10-$E$10)*($G$10-$F$10))))</f>
        <v>1.11085885280773</v>
      </c>
      <c r="G891" s="38" t="n">
        <f aca="false">IF($G$11=$E$11,$F$11,IF(U891&lt;($F$11-$E$11)/($G$11-$E$11),$E$11+SQRT(U891*($G$11-$E$11)*($F$11-$E$11)),$G$11-SQRT((1-U891)*($G$11-$E$11)*($G$11-$F$11))))</f>
        <v>0.103020073259409</v>
      </c>
      <c r="H891" s="39" t="n">
        <f aca="false">(('Business Case'!B11*$C891*'Business Case'!B12*$B891)-'Business Case'!B11*$C891*'Business Case'!B13*$D891-'Business Case'!B14*$E891)-MAX(0,(('Business Case'!B11*$C891*'Business Case'!B12*$B891)-'Business Case'!B11*$C891*'Business Case'!B13*$D891-'Business Case'!B14*$E891))*'Business Case'!$B$7-'Business Case'!$B$8*('Business Case'!B11*$C891*'Business Case'!B12*$B891)-'Business Case'!B15*$F891</f>
        <v>-2221717705.61546</v>
      </c>
      <c r="I891" s="39" t="n">
        <f aca="false">(('Business Case'!C11*$C891*'Business Case'!C12*$B891)-'Business Case'!C11*$C891*'Business Case'!C13*$D891-'Business Case'!C14*$E891)-MAX(0,(('Business Case'!C11*$C891*'Business Case'!C12*$B891)-'Business Case'!C11*$C891*'Business Case'!C13*$D891-'Business Case'!C14*$E891))*'Business Case'!$B$7-'Business Case'!$B$8*(('Business Case'!C11*$C891*'Business Case'!C12*$B891)-('Business Case'!B11*$C891*'Business Case'!B12*$B891))-'Business Case'!C15*$F891</f>
        <v>-78216663.5709058</v>
      </c>
      <c r="J891" s="39" t="n">
        <f aca="false">(('Business Case'!D11*$C891*'Business Case'!D12*$B891)-'Business Case'!D11*$C891*'Business Case'!D13*$D891-'Business Case'!D14*$E891)-MAX(0,(('Business Case'!D11*$C891*'Business Case'!D12*$B891)-'Business Case'!D11*$C891*'Business Case'!D13*$D891-'Business Case'!D14*$E891))*'Business Case'!$B$7-'Business Case'!$B$8*(('Business Case'!D11*$C891*'Business Case'!D12*$B891)-('Business Case'!C11*$C891*'Business Case'!C12*$B891))-'Business Case'!D15*$F891</f>
        <v>155821233.706026</v>
      </c>
      <c r="K891" s="39" t="n">
        <f aca="false">(('Business Case'!E11*$C891*'Business Case'!E12*$B891)-'Business Case'!E11*$C891*'Business Case'!E13*$D891-'Business Case'!E14*$E891)-MAX(0,(('Business Case'!E11*$C891*'Business Case'!E12*$B891)-'Business Case'!E11*$C891*'Business Case'!E13*$D891-'Business Case'!E14*$E891))*'Business Case'!$B$7-'Business Case'!$B$8*(('Business Case'!E11*$C891*'Business Case'!E12*$B891)-('Business Case'!D11*$C891*'Business Case'!D12*$B891))-'Business Case'!E15*$F891</f>
        <v>445402073.623345</v>
      </c>
      <c r="L891" s="39" t="n">
        <f aca="false">(('Business Case'!F11*$C891*'Business Case'!F12*$B891)-'Business Case'!F11*$C891*'Business Case'!F13*$D891-'Business Case'!F14*$E891)-MAX(0,(('Business Case'!F11*$C891*'Business Case'!F12*$B891)-'Business Case'!F11*$C891*'Business Case'!F13*$D891-'Business Case'!F14*$E891))*'Business Case'!$B$7-'Business Case'!$B$8*(('Business Case'!F11*$C891*'Business Case'!F12*$B891)-('Business Case'!E11*$C891*'Business Case'!E12*$B891))-'Business Case'!F15*$F891</f>
        <v>555880711.437165</v>
      </c>
      <c r="M891" s="39" t="n">
        <f aca="false">(('Business Case'!G11*$C891*'Business Case'!G12*$B891)-'Business Case'!G11*$C891*'Business Case'!G13*$D891-'Business Case'!G14*$E891)-MAX(0,(('Business Case'!G11*$C891*'Business Case'!G12*$B891)-'Business Case'!G11*$C891*'Business Case'!G13*$D891-'Business Case'!G14*$E891))*'Business Case'!$B$7-'Business Case'!$B$8*(('Business Case'!G11*$C891*'Business Case'!G12*$B891)-('Business Case'!F11*$C891*'Business Case'!F12*$B891))-'Business Case'!G15*$F891+'Business Case'!$B$8*('Business Case'!G11*$C891*'Business Case'!G12*$B891)</f>
        <v>734443741.072135</v>
      </c>
      <c r="N891" s="39" t="n">
        <f aca="false">IF(COUNT('Business Case'!B11:G11)=0,"",H891+NPV(G891,I891:M891))</f>
        <v>-1007303797.53966</v>
      </c>
      <c r="P891" s="40" t="n">
        <f aca="true">RAND()</f>
        <v>0.0150942609969851</v>
      </c>
      <c r="Q891" s="40" t="n">
        <f aca="true">RAND()</f>
        <v>0.774496692449941</v>
      </c>
      <c r="R891" s="40" t="n">
        <f aca="true">RAND()</f>
        <v>0.559950972542745</v>
      </c>
      <c r="S891" s="40" t="n">
        <f aca="true">RAND()</f>
        <v>0.8386734275506</v>
      </c>
      <c r="T891" s="40" t="n">
        <f aca="true">RAND()</f>
        <v>0.74186321544025</v>
      </c>
      <c r="U891" s="40" t="n">
        <f aca="true">RAND()</f>
        <v>0.514722368714905</v>
      </c>
    </row>
    <row r="892" customFormat="false" ht="15" hidden="false" customHeight="false" outlineLevel="0" collapsed="false">
      <c r="A892" s="36" t="n">
        <v>812</v>
      </c>
      <c r="B892" s="37" t="n">
        <f aca="false">1+IF($G$6=$E$6,$F$6,IF(P892&lt;($F$6-$E$6)/($G$6-$E$6),$E$6+SQRT(P892*($G$6-$E$6)*($F$6-$E$6)),$G$6-SQRT((1-P892)*($G$6-$E$6)*($G$6-$F$6))))</f>
        <v>0.964371279995205</v>
      </c>
      <c r="C892" s="37" t="n">
        <f aca="false">1+IF($G$7=$E$7,$F$7,IF(Q892&lt;($F$7-$E$7)/($G$7-$E$7),$E$7+SQRT(Q892*($G$7-$E$7)*($F$7-$E$7)),$G$7-SQRT((1-Q892)*($G$7-$E$7)*($G$7-$F$7))))</f>
        <v>1.04950034480562</v>
      </c>
      <c r="D892" s="37" t="n">
        <f aca="false">1+IF($G$8=$E$8,$F$8,IF(R892&lt;($F$8-$E$8)/($G$8-$E$8),$E$8+SQRT(R892*($G$8-$E$8)*($F$8-$E$8)),$G$8-SQRT((1-R892)*($G$8-$E$8)*($G$8-$F$8))))</f>
        <v>0.970236992459898</v>
      </c>
      <c r="E892" s="37" t="n">
        <f aca="false">1+IF($G$9=$E$9,$F$9,IF(S892&lt;($F$9-$E$9)/($G$9-$E$9),$E$9+SQRT(S892*($G$9-$E$9)*($F$9-$E$9)),$G$9-SQRT((1-S892)*($G$9-$E$9)*($G$9-$F$9))))</f>
        <v>0.998661987341328</v>
      </c>
      <c r="F892" s="37" t="n">
        <f aca="false">1+IF($G$10=$E$10,$F$10,IF(T892&lt;($F$10-$E$10)/($G$10-$E$10),$E$10+SQRT(T892*($G$10-$E$10)*($F$10-$E$10)),$G$10-SQRT((1-T892)*($G$10-$E$10)*($G$10-$F$10))))</f>
        <v>0.998391871931297</v>
      </c>
      <c r="G892" s="38" t="n">
        <f aca="false">IF($G$11=$E$11,$F$11,IF(U892&lt;($F$11-$E$11)/($G$11-$E$11),$E$11+SQRT(U892*($G$11-$E$11)*($F$11-$E$11)),$G$11-SQRT((1-U892)*($G$11-$E$11)*($G$11-$F$11))))</f>
        <v>0.107462346598412</v>
      </c>
      <c r="H892" s="39" t="n">
        <f aca="false">(('Business Case'!B11*$C892*'Business Case'!B12*$B892)-'Business Case'!B11*$C892*'Business Case'!B13*$D892-'Business Case'!B14*$E892)-MAX(0,(('Business Case'!B11*$C892*'Business Case'!B12*$B892)-'Business Case'!B11*$C892*'Business Case'!B13*$D892-'Business Case'!B14*$E892))*'Business Case'!$B$7-'Business Case'!$B$8*('Business Case'!B11*$C892*'Business Case'!B12*$B892)-'Business Case'!B15*$F892</f>
        <v>-1996783743.86259</v>
      </c>
      <c r="I892" s="39" t="n">
        <f aca="false">(('Business Case'!C11*$C892*'Business Case'!C12*$B892)-'Business Case'!C11*$C892*'Business Case'!C13*$D892-'Business Case'!C14*$E892)-MAX(0,(('Business Case'!C11*$C892*'Business Case'!C12*$B892)-'Business Case'!C11*$C892*'Business Case'!C13*$D892-'Business Case'!C14*$E892))*'Business Case'!$B$7-'Business Case'!$B$8*(('Business Case'!C11*$C892*'Business Case'!C12*$B892)-('Business Case'!B11*$C892*'Business Case'!B12*$B892))-'Business Case'!C15*$F892</f>
        <v>13402979.6245828</v>
      </c>
      <c r="J892" s="39" t="n">
        <f aca="false">(('Business Case'!D11*$C892*'Business Case'!D12*$B892)-'Business Case'!D11*$C892*'Business Case'!D13*$D892-'Business Case'!D14*$E892)-MAX(0,(('Business Case'!D11*$C892*'Business Case'!D12*$B892)-'Business Case'!D11*$C892*'Business Case'!D13*$D892-'Business Case'!D14*$E892))*'Business Case'!$B$7-'Business Case'!$B$8*(('Business Case'!D11*$C892*'Business Case'!D12*$B892)-('Business Case'!C11*$C892*'Business Case'!C12*$B892))-'Business Case'!D15*$F892</f>
        <v>321122559.289224</v>
      </c>
      <c r="K892" s="39" t="n">
        <f aca="false">(('Business Case'!E11*$C892*'Business Case'!E12*$B892)-'Business Case'!E11*$C892*'Business Case'!E13*$D892-'Business Case'!E14*$E892)-MAX(0,(('Business Case'!E11*$C892*'Business Case'!E12*$B892)-'Business Case'!E11*$C892*'Business Case'!E13*$D892-'Business Case'!E14*$E892))*'Business Case'!$B$7-'Business Case'!$B$8*(('Business Case'!E11*$C892*'Business Case'!E12*$B892)-('Business Case'!D11*$C892*'Business Case'!D12*$B892))-'Business Case'!E15*$F892</f>
        <v>678761732.550429</v>
      </c>
      <c r="L892" s="39" t="n">
        <f aca="false">(('Business Case'!F11*$C892*'Business Case'!F12*$B892)-'Business Case'!F11*$C892*'Business Case'!F13*$D892-'Business Case'!F14*$E892)-MAX(0,(('Business Case'!F11*$C892*'Business Case'!F12*$B892)-'Business Case'!F11*$C892*'Business Case'!F13*$D892-'Business Case'!F14*$E892))*'Business Case'!$B$7-'Business Case'!$B$8*(('Business Case'!F11*$C892*'Business Case'!F12*$B892)-('Business Case'!E11*$C892*'Business Case'!E12*$B892))-'Business Case'!F15*$F892</f>
        <v>816313377.936637</v>
      </c>
      <c r="M892" s="39" t="n">
        <f aca="false">(('Business Case'!G11*$C892*'Business Case'!G12*$B892)-'Business Case'!G11*$C892*'Business Case'!G13*$D892-'Business Case'!G14*$E892)-MAX(0,(('Business Case'!G11*$C892*'Business Case'!G12*$B892)-'Business Case'!G11*$C892*'Business Case'!G13*$D892-'Business Case'!G14*$E892))*'Business Case'!$B$7-'Business Case'!$B$8*(('Business Case'!G11*$C892*'Business Case'!G12*$B892)-('Business Case'!F11*$C892*'Business Case'!F12*$B892))-'Business Case'!G15*$F892+'Business Case'!$B$8*('Business Case'!G11*$C892*'Business Case'!G12*$B892)</f>
        <v>1008694864.84227</v>
      </c>
      <c r="N892" s="39" t="n">
        <f aca="false">IF(COUNT('Business Case'!B11:G11)=0,"",H892+NPV(G892,I892:M892))</f>
        <v>-74953320.5511253</v>
      </c>
      <c r="P892" s="40" t="n">
        <f aca="true">RAND()</f>
        <v>0.276244112548074</v>
      </c>
      <c r="Q892" s="40" t="n">
        <f aca="true">RAND()</f>
        <v>0.850367693419421</v>
      </c>
      <c r="R892" s="40" t="n">
        <f aca="true">RAND()</f>
        <v>0.0546047818429314</v>
      </c>
      <c r="S892" s="40" t="n">
        <f aca="true">RAND()</f>
        <v>0.389367509845618</v>
      </c>
      <c r="T892" s="40" t="n">
        <f aca="true">RAND()</f>
        <v>0.156118217934335</v>
      </c>
      <c r="U892" s="40" t="n">
        <f aca="true">RAND()</f>
        <v>0.6613694527666</v>
      </c>
    </row>
    <row r="893" customFormat="false" ht="15" hidden="false" customHeight="false" outlineLevel="0" collapsed="false">
      <c r="A893" s="36" t="n">
        <v>813</v>
      </c>
      <c r="B893" s="37" t="n">
        <f aca="false">1+IF($G$6=$E$6,$F$6,IF(P893&lt;($F$6-$E$6)/($G$6-$E$6),$E$6+SQRT(P893*($G$6-$E$6)*($F$6-$E$6)),$G$6-SQRT((1-P893)*($G$6-$E$6)*($G$6-$F$6))))</f>
        <v>0.973791537041957</v>
      </c>
      <c r="C893" s="37" t="n">
        <f aca="false">1+IF($G$7=$E$7,$F$7,IF(Q893&lt;($F$7-$E$7)/($G$7-$E$7),$E$7+SQRT(Q893*($G$7-$E$7)*($F$7-$E$7)),$G$7-SQRT((1-Q893)*($G$7-$E$7)*($G$7-$F$7))))</f>
        <v>0.990240318252181</v>
      </c>
      <c r="D893" s="37" t="n">
        <f aca="false">1+IF($G$8=$E$8,$F$8,IF(R893&lt;($F$8-$E$8)/($G$8-$E$8),$E$8+SQRT(R893*($G$8-$E$8)*($F$8-$E$8)),$G$8-SQRT((1-R893)*($G$8-$E$8)*($G$8-$F$8))))</f>
        <v>1.01077788581863</v>
      </c>
      <c r="E893" s="37" t="n">
        <f aca="false">1+IF($G$9=$E$9,$F$9,IF(S893&lt;($F$9-$E$9)/($G$9-$E$9),$E$9+SQRT(S893*($G$9-$E$9)*($F$9-$E$9)),$G$9-SQRT((1-S893)*($G$9-$E$9)*($G$9-$F$9))))</f>
        <v>0.961720064607756</v>
      </c>
      <c r="F893" s="37" t="n">
        <f aca="false">1+IF($G$10=$E$10,$F$10,IF(T893&lt;($F$10-$E$10)/($G$10-$E$10),$E$10+SQRT(T893*($G$10-$E$10)*($F$10-$E$10)),$G$10-SQRT((1-T893)*($G$10-$E$10)*($G$10-$F$10))))</f>
        <v>1.01468724618382</v>
      </c>
      <c r="G893" s="38" t="n">
        <f aca="false">IF($G$11=$E$11,$F$11,IF(U893&lt;($F$11-$E$11)/($G$11-$E$11),$E$11+SQRT(U893*($G$11-$E$11)*($F$11-$E$11)),$G$11-SQRT((1-U893)*($G$11-$E$11)*($G$11-$F$11))))</f>
        <v>0.109354587223624</v>
      </c>
      <c r="H893" s="39" t="n">
        <f aca="false">(('Business Case'!B11*$C893*'Business Case'!B12*$B893)-'Business Case'!B11*$C893*'Business Case'!B13*$D893-'Business Case'!B14*$E893)-MAX(0,(('Business Case'!B11*$C893*'Business Case'!B12*$B893)-'Business Case'!B11*$C893*'Business Case'!B13*$D893-'Business Case'!B14*$E893))*'Business Case'!$B$7-'Business Case'!$B$8*('Business Case'!B11*$C893*'Business Case'!B12*$B893)-'Business Case'!B15*$F893</f>
        <v>-2029374492.36765</v>
      </c>
      <c r="I893" s="39" t="n">
        <f aca="false">(('Business Case'!C11*$C893*'Business Case'!C12*$B893)-'Business Case'!C11*$C893*'Business Case'!C13*$D893-'Business Case'!C14*$E893)-MAX(0,(('Business Case'!C11*$C893*'Business Case'!C12*$B893)-'Business Case'!C11*$C893*'Business Case'!C13*$D893-'Business Case'!C14*$E893))*'Business Case'!$B$7-'Business Case'!$B$8*(('Business Case'!C11*$C893*'Business Case'!C12*$B893)-('Business Case'!B11*$C893*'Business Case'!B12*$B893))-'Business Case'!C15*$F893</f>
        <v>-10780372.8130569</v>
      </c>
      <c r="J893" s="39" t="n">
        <f aca="false">(('Business Case'!D11*$C893*'Business Case'!D12*$B893)-'Business Case'!D11*$C893*'Business Case'!D13*$D893-'Business Case'!D14*$E893)-MAX(0,(('Business Case'!D11*$C893*'Business Case'!D12*$B893)-'Business Case'!D11*$C893*'Business Case'!D13*$D893-'Business Case'!D14*$E893))*'Business Case'!$B$7-'Business Case'!$B$8*(('Business Case'!D11*$C893*'Business Case'!D12*$B893)-('Business Case'!C11*$C893*'Business Case'!C12*$B893))-'Business Case'!D15*$F893</f>
        <v>266653243.517532</v>
      </c>
      <c r="K893" s="39" t="n">
        <f aca="false">(('Business Case'!E11*$C893*'Business Case'!E12*$B893)-'Business Case'!E11*$C893*'Business Case'!E13*$D893-'Business Case'!E14*$E893)-MAX(0,(('Business Case'!E11*$C893*'Business Case'!E12*$B893)-'Business Case'!E11*$C893*'Business Case'!E13*$D893-'Business Case'!E14*$E893))*'Business Case'!$B$7-'Business Case'!$B$8*(('Business Case'!E11*$C893*'Business Case'!E12*$B893)-('Business Case'!D11*$C893*'Business Case'!D12*$B893))-'Business Case'!E15*$F893</f>
        <v>594821222.157312</v>
      </c>
      <c r="L893" s="39" t="n">
        <f aca="false">(('Business Case'!F11*$C893*'Business Case'!F12*$B893)-'Business Case'!F11*$C893*'Business Case'!F13*$D893-'Business Case'!F14*$E893)-MAX(0,(('Business Case'!F11*$C893*'Business Case'!F12*$B893)-'Business Case'!F11*$C893*'Business Case'!F13*$D893-'Business Case'!F14*$E893))*'Business Case'!$B$7-'Business Case'!$B$8*(('Business Case'!F11*$C893*'Business Case'!F12*$B893)-('Business Case'!E11*$C893*'Business Case'!E12*$B893))-'Business Case'!F15*$F893</f>
        <v>720624875.159535</v>
      </c>
      <c r="M893" s="39" t="n">
        <f aca="false">(('Business Case'!G11*$C893*'Business Case'!G12*$B893)-'Business Case'!G11*$C893*'Business Case'!G13*$D893-'Business Case'!G14*$E893)-MAX(0,(('Business Case'!G11*$C893*'Business Case'!G12*$B893)-'Business Case'!G11*$C893*'Business Case'!G13*$D893-'Business Case'!G14*$E893))*'Business Case'!$B$7-'Business Case'!$B$8*(('Business Case'!G11*$C893*'Business Case'!G12*$B893)-('Business Case'!F11*$C893*'Business Case'!F12*$B893))-'Business Case'!G15*$F893+'Business Case'!$B$8*('Business Case'!G11*$C893*'Business Case'!G12*$B893)</f>
        <v>903916670.065684</v>
      </c>
      <c r="N893" s="39" t="n">
        <f aca="false">IF(COUNT('Business Case'!B11:G11)=0,"",H893+NPV(G893,I893:M893))</f>
        <v>-372934424.387869</v>
      </c>
      <c r="P893" s="40" t="n">
        <f aca="true">RAND()</f>
        <v>0.36301272926763</v>
      </c>
      <c r="Q893" s="40" t="n">
        <f aca="true">RAND()</f>
        <v>0.62399586917872</v>
      </c>
      <c r="R893" s="40" t="n">
        <f aca="true">RAND()</f>
        <v>0.469294289400464</v>
      </c>
      <c r="S893" s="40" t="n">
        <f aca="true">RAND()</f>
        <v>0.152374655007423</v>
      </c>
      <c r="T893" s="40" t="n">
        <f aca="true">RAND()</f>
        <v>0.26170543855263</v>
      </c>
      <c r="U893" s="40" t="n">
        <f aca="true">RAND()</f>
        <v>0.715844620862035</v>
      </c>
    </row>
    <row r="894" customFormat="false" ht="15" hidden="false" customHeight="false" outlineLevel="0" collapsed="false">
      <c r="A894" s="36" t="n">
        <v>814</v>
      </c>
      <c r="B894" s="37" t="n">
        <f aca="false">1+IF($G$6=$E$6,$F$6,IF(P894&lt;($F$6-$E$6)/($G$6-$E$6),$E$6+SQRT(P894*($G$6-$E$6)*($F$6-$E$6)),$G$6-SQRT((1-P894)*($G$6-$E$6)*($G$6-$F$6))))</f>
        <v>0.984788461899084</v>
      </c>
      <c r="C894" s="37" t="n">
        <f aca="false">1+IF($G$7=$E$7,$F$7,IF(Q894&lt;($F$7-$E$7)/($G$7-$E$7),$E$7+SQRT(Q894*($G$7-$E$7)*($F$7-$E$7)),$G$7-SQRT((1-Q894)*($G$7-$E$7)*($G$7-$F$7))))</f>
        <v>0.821599131095618</v>
      </c>
      <c r="D894" s="37" t="n">
        <f aca="false">1+IF($G$8=$E$8,$F$8,IF(R894&lt;($F$8-$E$8)/($G$8-$E$8),$E$8+SQRT(R894*($G$8-$E$8)*($F$8-$E$8)),$G$8-SQRT((1-R894)*($G$8-$E$8)*($G$8-$F$8))))</f>
        <v>0.999817941572331</v>
      </c>
      <c r="E894" s="37" t="n">
        <f aca="false">1+IF($G$9=$E$9,$F$9,IF(S894&lt;($F$9-$E$9)/($G$9-$E$9),$E$9+SQRT(S894*($G$9-$E$9)*($F$9-$E$9)),$G$9-SQRT((1-S894)*($G$9-$E$9)*($G$9-$F$9))))</f>
        <v>0.986166982280962</v>
      </c>
      <c r="F894" s="37" t="n">
        <f aca="false">1+IF($G$10=$E$10,$F$10,IF(T894&lt;($F$10-$E$10)/($G$10-$E$10),$E$10+SQRT(T894*($G$10-$E$10)*($F$10-$E$10)),$G$10-SQRT((1-T894)*($G$10-$E$10)*($G$10-$F$10))))</f>
        <v>1.0921966551825</v>
      </c>
      <c r="G894" s="38" t="n">
        <f aca="false">IF($G$11=$E$11,$F$11,IF(U894&lt;($F$11-$E$11)/($G$11-$E$11),$E$11+SQRT(U894*($G$11-$E$11)*($F$11-$E$11)),$G$11-SQRT((1-U894)*($G$11-$E$11)*($G$11-$F$11))))</f>
        <v>0.0887466466844481</v>
      </c>
      <c r="H894" s="39" t="n">
        <f aca="false">(('Business Case'!B11*$C894*'Business Case'!B12*$B894)-'Business Case'!B11*$C894*'Business Case'!B13*$D894-'Business Case'!B14*$E894)-MAX(0,(('Business Case'!B11*$C894*'Business Case'!B12*$B894)-'Business Case'!B11*$C894*'Business Case'!B13*$D894-'Business Case'!B14*$E894))*'Business Case'!$B$7-'Business Case'!$B$8*('Business Case'!B11*$C894*'Business Case'!B12*$B894)-'Business Case'!B15*$F894</f>
        <v>-2184393310.365</v>
      </c>
      <c r="I894" s="39" t="n">
        <f aca="false">(('Business Case'!C11*$C894*'Business Case'!C12*$B894)-'Business Case'!C11*$C894*'Business Case'!C13*$D894-'Business Case'!C14*$E894)-MAX(0,(('Business Case'!C11*$C894*'Business Case'!C12*$B894)-'Business Case'!C11*$C894*'Business Case'!C13*$D894-'Business Case'!C14*$E894))*'Business Case'!$B$7-'Business Case'!$B$8*(('Business Case'!C11*$C894*'Business Case'!C12*$B894)-('Business Case'!B11*$C894*'Business Case'!B12*$B894))-'Business Case'!C15*$F894</f>
        <v>-49200622.2565874</v>
      </c>
      <c r="J894" s="39" t="n">
        <f aca="false">(('Business Case'!D11*$C894*'Business Case'!D12*$B894)-'Business Case'!D11*$C894*'Business Case'!D13*$D894-'Business Case'!D14*$E894)-MAX(0,(('Business Case'!D11*$C894*'Business Case'!D12*$B894)-'Business Case'!D11*$C894*'Business Case'!D13*$D894-'Business Case'!D14*$E894))*'Business Case'!$B$7-'Business Case'!$B$8*(('Business Case'!D11*$C894*'Business Case'!D12*$B894)-('Business Case'!C11*$C894*'Business Case'!C12*$B894))-'Business Case'!D15*$F894</f>
        <v>192995179.589973</v>
      </c>
      <c r="K894" s="39" t="n">
        <f aca="false">(('Business Case'!E11*$C894*'Business Case'!E12*$B894)-'Business Case'!E11*$C894*'Business Case'!E13*$D894-'Business Case'!E14*$E894)-MAX(0,(('Business Case'!E11*$C894*'Business Case'!E12*$B894)-'Business Case'!E11*$C894*'Business Case'!E13*$D894-'Business Case'!E14*$E894))*'Business Case'!$B$7-'Business Case'!$B$8*(('Business Case'!E11*$C894*'Business Case'!E12*$B894)-('Business Case'!D11*$C894*'Business Case'!D12*$B894))-'Business Case'!E15*$F894</f>
        <v>489800814.195658</v>
      </c>
      <c r="L894" s="39" t="n">
        <f aca="false">(('Business Case'!F11*$C894*'Business Case'!F12*$B894)-'Business Case'!F11*$C894*'Business Case'!F13*$D894-'Business Case'!F14*$E894)-MAX(0,(('Business Case'!F11*$C894*'Business Case'!F12*$B894)-'Business Case'!F11*$C894*'Business Case'!F13*$D894-'Business Case'!F14*$E894))*'Business Case'!$B$7-'Business Case'!$B$8*(('Business Case'!F11*$C894*'Business Case'!F12*$B894)-('Business Case'!E11*$C894*'Business Case'!E12*$B894))-'Business Case'!F15*$F894</f>
        <v>598495290.614208</v>
      </c>
      <c r="M894" s="39" t="n">
        <f aca="false">(('Business Case'!G11*$C894*'Business Case'!G12*$B894)-'Business Case'!G11*$C894*'Business Case'!G13*$D894-'Business Case'!G14*$E894)-MAX(0,(('Business Case'!G11*$C894*'Business Case'!G12*$B894)-'Business Case'!G11*$C894*'Business Case'!G13*$D894-'Business Case'!G14*$E894))*'Business Case'!$B$7-'Business Case'!$B$8*(('Business Case'!G11*$C894*'Business Case'!G12*$B894)-('Business Case'!F11*$C894*'Business Case'!F12*$B894))-'Business Case'!G15*$F894+'Business Case'!$B$8*('Business Case'!G11*$C894*'Business Case'!G12*$B894)</f>
        <v>752289274.197539</v>
      </c>
      <c r="N894" s="39" t="n">
        <f aca="false">IF(COUNT('Business Case'!B11:G11)=0,"",H894+NPV(G894,I894:M894))</f>
        <v>-769543184.104176</v>
      </c>
      <c r="P894" s="40" t="n">
        <f aca="true">RAND()</f>
        <v>0.479272218080831</v>
      </c>
      <c r="Q894" s="40" t="n">
        <f aca="true">RAND()</f>
        <v>0.109528508764513</v>
      </c>
      <c r="R894" s="40" t="n">
        <f aca="true">RAND()</f>
        <v>0.330910307000561</v>
      </c>
      <c r="S894" s="40" t="n">
        <f aca="true">RAND()</f>
        <v>0.296989953416303</v>
      </c>
      <c r="T894" s="40" t="n">
        <f aca="true">RAND()</f>
        <v>0.667974724858786</v>
      </c>
      <c r="U894" s="40" t="n">
        <f aca="true">RAND()</f>
        <v>0.0765038282225669</v>
      </c>
    </row>
    <row r="895" customFormat="false" ht="15" hidden="false" customHeight="false" outlineLevel="0" collapsed="false">
      <c r="A895" s="36" t="n">
        <v>815</v>
      </c>
      <c r="B895" s="37" t="n">
        <f aca="false">1+IF($G$6=$E$6,$F$6,IF(P895&lt;($F$6-$E$6)/($G$6-$E$6),$E$6+SQRT(P895*($G$6-$E$6)*($F$6-$E$6)),$G$6-SQRT((1-P895)*($G$6-$E$6)*($G$6-$F$6))))</f>
        <v>0.977088000025514</v>
      </c>
      <c r="C895" s="37" t="n">
        <f aca="false">1+IF($G$7=$E$7,$F$7,IF(Q895&lt;($F$7-$E$7)/($G$7-$E$7),$E$7+SQRT(Q895*($G$7-$E$7)*($F$7-$E$7)),$G$7-SQRT((1-Q895)*($G$7-$E$7)*($G$7-$F$7))))</f>
        <v>0.907800882520398</v>
      </c>
      <c r="D895" s="37" t="n">
        <f aca="false">1+IF($G$8=$E$8,$F$8,IF(R895&lt;($F$8-$E$8)/($G$8-$E$8),$E$8+SQRT(R895*($G$8-$E$8)*($F$8-$E$8)),$G$8-SQRT((1-R895)*($G$8-$E$8)*($G$8-$F$8))))</f>
        <v>1.03886892013849</v>
      </c>
      <c r="E895" s="37" t="n">
        <f aca="false">1+IF($G$9=$E$9,$F$9,IF(S895&lt;($F$9-$E$9)/($G$9-$E$9),$E$9+SQRT(S895*($G$9-$E$9)*($F$9-$E$9)),$G$9-SQRT((1-S895)*($G$9-$E$9)*($G$9-$F$9))))</f>
        <v>1.05721310459706</v>
      </c>
      <c r="F895" s="37" t="n">
        <f aca="false">1+IF($G$10=$E$10,$F$10,IF(T895&lt;($F$10-$E$10)/($G$10-$E$10),$E$10+SQRT(T895*($G$10-$E$10)*($F$10-$E$10)),$G$10-SQRT((1-T895)*($G$10-$E$10)*($G$10-$F$10))))</f>
        <v>0.979755309074766</v>
      </c>
      <c r="G895" s="38" t="n">
        <f aca="false">IF($G$11=$E$11,$F$11,IF(U895&lt;($F$11-$E$11)/($G$11-$E$11),$E$11+SQRT(U895*($G$11-$E$11)*($F$11-$E$11)),$G$11-SQRT((1-U895)*($G$11-$E$11)*($G$11-$F$11))))</f>
        <v>0.107054745395423</v>
      </c>
      <c r="H895" s="39" t="n">
        <f aca="false">(('Business Case'!B11*$C895*'Business Case'!B12*$B895)-'Business Case'!B11*$C895*'Business Case'!B13*$D895-'Business Case'!B14*$E895)-MAX(0,(('Business Case'!B11*$C895*'Business Case'!B12*$B895)-'Business Case'!B11*$C895*'Business Case'!B13*$D895-'Business Case'!B14*$E895))*'Business Case'!$B$7-'Business Case'!$B$8*('Business Case'!B11*$C895*'Business Case'!B12*$B895)-'Business Case'!B15*$F895</f>
        <v>-1959510618.14953</v>
      </c>
      <c r="I895" s="39" t="n">
        <f aca="false">(('Business Case'!C11*$C895*'Business Case'!C12*$B895)-'Business Case'!C11*$C895*'Business Case'!C13*$D895-'Business Case'!C14*$E895)-MAX(0,(('Business Case'!C11*$C895*'Business Case'!C12*$B895)-'Business Case'!C11*$C895*'Business Case'!C13*$D895-'Business Case'!C14*$E895))*'Business Case'!$B$7-'Business Case'!$B$8*(('Business Case'!C11*$C895*'Business Case'!C12*$B895)-('Business Case'!B11*$C895*'Business Case'!B12*$B895))-'Business Case'!C15*$F895</f>
        <v>-50560063.4404018</v>
      </c>
      <c r="J895" s="39" t="n">
        <f aca="false">(('Business Case'!D11*$C895*'Business Case'!D12*$B895)-'Business Case'!D11*$C895*'Business Case'!D13*$D895-'Business Case'!D14*$E895)-MAX(0,(('Business Case'!D11*$C895*'Business Case'!D12*$B895)-'Business Case'!D11*$C895*'Business Case'!D13*$D895-'Business Case'!D14*$E895))*'Business Case'!$B$7-'Business Case'!$B$8*(('Business Case'!D11*$C895*'Business Case'!D12*$B895)-('Business Case'!C11*$C895*'Business Case'!C12*$B895))-'Business Case'!D15*$F895</f>
        <v>193173257.418189</v>
      </c>
      <c r="K895" s="39" t="n">
        <f aca="false">(('Business Case'!E11*$C895*'Business Case'!E12*$B895)-'Business Case'!E11*$C895*'Business Case'!E13*$D895-'Business Case'!E14*$E895)-MAX(0,(('Business Case'!E11*$C895*'Business Case'!E12*$B895)-'Business Case'!E11*$C895*'Business Case'!E13*$D895-'Business Case'!E14*$E895))*'Business Case'!$B$7-'Business Case'!$B$8*(('Business Case'!E11*$C895*'Business Case'!E12*$B895)-('Business Case'!D11*$C895*'Business Case'!D12*$B895))-'Business Case'!E15*$F895</f>
        <v>485894343.730518</v>
      </c>
      <c r="L895" s="39" t="n">
        <f aca="false">(('Business Case'!F11*$C895*'Business Case'!F12*$B895)-'Business Case'!F11*$C895*'Business Case'!F13*$D895-'Business Case'!F14*$E895)-MAX(0,(('Business Case'!F11*$C895*'Business Case'!F12*$B895)-'Business Case'!F11*$C895*'Business Case'!F13*$D895-'Business Case'!F14*$E895))*'Business Case'!$B$7-'Business Case'!$B$8*(('Business Case'!F11*$C895*'Business Case'!F12*$B895)-('Business Case'!E11*$C895*'Business Case'!E12*$B895))-'Business Case'!F15*$F895</f>
        <v>597793550.628591</v>
      </c>
      <c r="M895" s="39" t="n">
        <f aca="false">(('Business Case'!G11*$C895*'Business Case'!G12*$B895)-'Business Case'!G11*$C895*'Business Case'!G13*$D895-'Business Case'!G14*$E895)-MAX(0,(('Business Case'!G11*$C895*'Business Case'!G12*$B895)-'Business Case'!G11*$C895*'Business Case'!G13*$D895-'Business Case'!G14*$E895))*'Business Case'!$B$7-'Business Case'!$B$8*(('Business Case'!G11*$C895*'Business Case'!G12*$B895)-('Business Case'!F11*$C895*'Business Case'!F12*$B895))-'Business Case'!G15*$F895+'Business Case'!$B$8*('Business Case'!G11*$C895*'Business Case'!G12*$B895)</f>
        <v>766394766.993906</v>
      </c>
      <c r="N895" s="39" t="n">
        <f aca="false">IF(COUNT('Business Case'!B11:G11)=0,"",H895+NPV(G895,I895:M895))</f>
        <v>-630544589.843779</v>
      </c>
      <c r="P895" s="40" t="n">
        <f aca="true">RAND()</f>
        <v>0.396170649862239</v>
      </c>
      <c r="Q895" s="40" t="n">
        <f aca="true">RAND()</f>
        <v>0.319860790935232</v>
      </c>
      <c r="R895" s="40" t="n">
        <f aca="true">RAND()</f>
        <v>0.75086607166436</v>
      </c>
      <c r="S895" s="40" t="n">
        <f aca="true">RAND()</f>
        <v>0.770415787772924</v>
      </c>
      <c r="T895" s="40" t="n">
        <f aca="true">RAND()</f>
        <v>0.0590252278756566</v>
      </c>
      <c r="U895" s="40" t="n">
        <f aca="true">RAND()</f>
        <v>0.649010194087416</v>
      </c>
    </row>
    <row r="896" customFormat="false" ht="15" hidden="false" customHeight="false" outlineLevel="0" collapsed="false">
      <c r="A896" s="36" t="n">
        <v>816</v>
      </c>
      <c r="B896" s="37" t="n">
        <f aca="false">1+IF($G$6=$E$6,$F$6,IF(P896&lt;($F$6-$E$6)/($G$6-$E$6),$E$6+SQRT(P896*($G$6-$E$6)*($F$6-$E$6)),$G$6-SQRT((1-P896)*($G$6-$E$6)*($G$6-$F$6))))</f>
        <v>0.938794220210531</v>
      </c>
      <c r="C896" s="37" t="n">
        <f aca="false">1+IF($G$7=$E$7,$F$7,IF(Q896&lt;($F$7-$E$7)/($G$7-$E$7),$E$7+SQRT(Q896*($G$7-$E$7)*($F$7-$E$7)),$G$7-SQRT((1-Q896)*($G$7-$E$7)*($G$7-$F$7))))</f>
        <v>0.957814389610973</v>
      </c>
      <c r="D896" s="37" t="n">
        <f aca="false">1+IF($G$8=$E$8,$F$8,IF(R896&lt;($F$8-$E$8)/($G$8-$E$8),$E$8+SQRT(R896*($G$8-$E$8)*($F$8-$E$8)),$G$8-SQRT((1-R896)*($G$8-$E$8)*($G$8-$F$8))))</f>
        <v>1.0151995508392</v>
      </c>
      <c r="E896" s="37" t="n">
        <f aca="false">1+IF($G$9=$E$9,$F$9,IF(S896&lt;($F$9-$E$9)/($G$9-$E$9),$E$9+SQRT(S896*($G$9-$E$9)*($F$9-$E$9)),$G$9-SQRT((1-S896)*($G$9-$E$9)*($G$9-$F$9))))</f>
        <v>1.01874273489661</v>
      </c>
      <c r="F896" s="37" t="n">
        <f aca="false">1+IF($G$10=$E$10,$F$10,IF(T896&lt;($F$10-$E$10)/($G$10-$E$10),$E$10+SQRT(T896*($G$10-$E$10)*($F$10-$E$10)),$G$10-SQRT((1-T896)*($G$10-$E$10)*($G$10-$F$10))))</f>
        <v>1.08344357796543</v>
      </c>
      <c r="G896" s="38" t="n">
        <f aca="false">IF($G$11=$E$11,$F$11,IF(U896&lt;($F$11-$E$11)/($G$11-$E$11),$E$11+SQRT(U896*($G$11-$E$11)*($F$11-$E$11)),$G$11-SQRT((1-U896)*($G$11-$E$11)*($G$11-$F$11))))</f>
        <v>0.101337559898811</v>
      </c>
      <c r="H896" s="39" t="n">
        <f aca="false">(('Business Case'!B11*$C896*'Business Case'!B12*$B896)-'Business Case'!B11*$C896*'Business Case'!B13*$D896-'Business Case'!B14*$E896)-MAX(0,(('Business Case'!B11*$C896*'Business Case'!B12*$B896)-'Business Case'!B11*$C896*'Business Case'!B13*$D896-'Business Case'!B14*$E896))*'Business Case'!$B$7-'Business Case'!$B$8*('Business Case'!B11*$C896*'Business Case'!B12*$B896)-'Business Case'!B15*$F896</f>
        <v>-2166887155.93086</v>
      </c>
      <c r="I896" s="39" t="n">
        <f aca="false">(('Business Case'!C11*$C896*'Business Case'!C12*$B896)-'Business Case'!C11*$C896*'Business Case'!C13*$D896-'Business Case'!C14*$E896)-MAX(0,(('Business Case'!C11*$C896*'Business Case'!C12*$B896)-'Business Case'!C11*$C896*'Business Case'!C13*$D896-'Business Case'!C14*$E896))*'Business Case'!$B$7-'Business Case'!$B$8*(('Business Case'!C11*$C896*'Business Case'!C12*$B896)-('Business Case'!B11*$C896*'Business Case'!B12*$B896))-'Business Case'!C15*$F896</f>
        <v>-61098814.4032463</v>
      </c>
      <c r="J896" s="39" t="n">
        <f aca="false">(('Business Case'!D11*$C896*'Business Case'!D12*$B896)-'Business Case'!D11*$C896*'Business Case'!D13*$D896-'Business Case'!D14*$E896)-MAX(0,(('Business Case'!D11*$C896*'Business Case'!D12*$B896)-'Business Case'!D11*$C896*'Business Case'!D13*$D896-'Business Case'!D14*$E896))*'Business Case'!$B$7-'Business Case'!$B$8*(('Business Case'!D11*$C896*'Business Case'!D12*$B896)-('Business Case'!C11*$C896*'Business Case'!C12*$B896))-'Business Case'!D15*$F896</f>
        <v>177625987.270333</v>
      </c>
      <c r="K896" s="39" t="n">
        <f aca="false">(('Business Case'!E11*$C896*'Business Case'!E12*$B896)-'Business Case'!E11*$C896*'Business Case'!E13*$D896-'Business Case'!E14*$E896)-MAX(0,(('Business Case'!E11*$C896*'Business Case'!E12*$B896)-'Business Case'!E11*$C896*'Business Case'!E13*$D896-'Business Case'!E14*$E896))*'Business Case'!$B$7-'Business Case'!$B$8*(('Business Case'!E11*$C896*'Business Case'!E12*$B896)-('Business Case'!D11*$C896*'Business Case'!D12*$B896))-'Business Case'!E15*$F896</f>
        <v>470522967.842183</v>
      </c>
      <c r="L896" s="39" t="n">
        <f aca="false">(('Business Case'!F11*$C896*'Business Case'!F12*$B896)-'Business Case'!F11*$C896*'Business Case'!F13*$D896-'Business Case'!F14*$E896)-MAX(0,(('Business Case'!F11*$C896*'Business Case'!F12*$B896)-'Business Case'!F11*$C896*'Business Case'!F13*$D896-'Business Case'!F14*$E896))*'Business Case'!$B$7-'Business Case'!$B$8*(('Business Case'!F11*$C896*'Business Case'!F12*$B896)-('Business Case'!E11*$C896*'Business Case'!E12*$B896))-'Business Case'!F15*$F896</f>
        <v>581173929.3187</v>
      </c>
      <c r="M896" s="39" t="n">
        <f aca="false">(('Business Case'!G11*$C896*'Business Case'!G12*$B896)-'Business Case'!G11*$C896*'Business Case'!G13*$D896-'Business Case'!G14*$E896)-MAX(0,(('Business Case'!G11*$C896*'Business Case'!G12*$B896)-'Business Case'!G11*$C896*'Business Case'!G13*$D896-'Business Case'!G14*$E896))*'Business Case'!$B$7-'Business Case'!$B$8*(('Business Case'!G11*$C896*'Business Case'!G12*$B896)-('Business Case'!F11*$C896*'Business Case'!F12*$B896))-'Business Case'!G15*$F896+'Business Case'!$B$8*('Business Case'!G11*$C896*'Business Case'!G12*$B896)</f>
        <v>752092081.037979</v>
      </c>
      <c r="N896" s="39" t="n">
        <f aca="false">IF(COUNT('Business Case'!B11:G11)=0,"",H896+NPV(G896,I896:M896))</f>
        <v>-864511772.978823</v>
      </c>
      <c r="P896" s="40" t="n">
        <f aca="true">RAND()</f>
        <v>0.100332768116211</v>
      </c>
      <c r="Q896" s="40" t="n">
        <f aca="true">RAND()</f>
        <v>0.492357477707248</v>
      </c>
      <c r="R896" s="40" t="n">
        <f aca="true">RAND()</f>
        <v>0.520592254808482</v>
      </c>
      <c r="S896" s="40" t="n">
        <f aca="true">RAND()</f>
        <v>0.540574142868723</v>
      </c>
      <c r="T896" s="40" t="n">
        <f aca="true">RAND()</f>
        <v>0.630119443720556</v>
      </c>
      <c r="U896" s="40" t="n">
        <f aca="true">RAND()</f>
        <v>0.452309684963819</v>
      </c>
    </row>
    <row r="897" customFormat="false" ht="15" hidden="false" customHeight="false" outlineLevel="0" collapsed="false">
      <c r="A897" s="36" t="n">
        <v>817</v>
      </c>
      <c r="B897" s="37" t="n">
        <f aca="false">1+IF($G$6=$E$6,$F$6,IF(P897&lt;($F$6-$E$6)/($G$6-$E$6),$E$6+SQRT(P897*($G$6-$E$6)*($F$6-$E$6)),$G$6-SQRT((1-P897)*($G$6-$E$6)*($G$6-$F$6))))</f>
        <v>0.964207854850354</v>
      </c>
      <c r="C897" s="37" t="n">
        <f aca="false">1+IF($G$7=$E$7,$F$7,IF(Q897&lt;($F$7-$E$7)/($G$7-$E$7),$E$7+SQRT(Q897*($G$7-$E$7)*($F$7-$E$7)),$G$7-SQRT((1-Q897)*($G$7-$E$7)*($G$7-$F$7))))</f>
        <v>0.952697569399504</v>
      </c>
      <c r="D897" s="37" t="n">
        <f aca="false">1+IF($G$8=$E$8,$F$8,IF(R897&lt;($F$8-$E$8)/($G$8-$E$8),$E$8+SQRT(R897*($G$8-$E$8)*($F$8-$E$8)),$G$8-SQRT((1-R897)*($G$8-$E$8)*($G$8-$F$8))))</f>
        <v>0.961371035770251</v>
      </c>
      <c r="E897" s="37" t="n">
        <f aca="false">1+IF($G$9=$E$9,$F$9,IF(S897&lt;($F$9-$E$9)/($G$9-$E$9),$E$9+SQRT(S897*($G$9-$E$9)*($F$9-$E$9)),$G$9-SQRT((1-S897)*($G$9-$E$9)*($G$9-$F$9))))</f>
        <v>1.025835018277</v>
      </c>
      <c r="F897" s="37" t="n">
        <f aca="false">1+IF($G$10=$E$10,$F$10,IF(T897&lt;($F$10-$E$10)/($G$10-$E$10),$E$10+SQRT(T897*($G$10-$E$10)*($F$10-$E$10)),$G$10-SQRT((1-T897)*($G$10-$E$10)*($G$10-$F$10))))</f>
        <v>0.999337141794413</v>
      </c>
      <c r="G897" s="38" t="n">
        <f aca="false">IF($G$11=$E$11,$F$11,IF(U897&lt;($F$11-$E$11)/($G$11-$E$11),$E$11+SQRT(U897*($G$11-$E$11)*($F$11-$E$11)),$G$11-SQRT((1-U897)*($G$11-$E$11)*($G$11-$F$11))))</f>
        <v>0.0921477304592011</v>
      </c>
      <c r="H897" s="39" t="n">
        <f aca="false">(('Business Case'!B11*$C897*'Business Case'!B12*$B897)-'Business Case'!B11*$C897*'Business Case'!B13*$D897-'Business Case'!B14*$E897)-MAX(0,(('Business Case'!B11*$C897*'Business Case'!B12*$B897)-'Business Case'!B11*$C897*'Business Case'!B13*$D897-'Business Case'!B14*$E897))*'Business Case'!$B$7-'Business Case'!$B$8*('Business Case'!B11*$C897*'Business Case'!B12*$B897)-'Business Case'!B15*$F897</f>
        <v>-1998674283.58883</v>
      </c>
      <c r="I897" s="39" t="n">
        <f aca="false">(('Business Case'!C11*$C897*'Business Case'!C12*$B897)-'Business Case'!C11*$C897*'Business Case'!C13*$D897-'Business Case'!C14*$E897)-MAX(0,(('Business Case'!C11*$C897*'Business Case'!C12*$B897)-'Business Case'!C11*$C897*'Business Case'!C13*$D897-'Business Case'!C14*$E897))*'Business Case'!$B$7-'Business Case'!$B$8*(('Business Case'!C11*$C897*'Business Case'!C12*$B897)-('Business Case'!B11*$C897*'Business Case'!B12*$B897))-'Business Case'!C15*$F897</f>
        <v>-9894708.0477632</v>
      </c>
      <c r="J897" s="39" t="n">
        <f aca="false">(('Business Case'!D11*$C897*'Business Case'!D12*$B897)-'Business Case'!D11*$C897*'Business Case'!D13*$D897-'Business Case'!D14*$E897)-MAX(0,(('Business Case'!D11*$C897*'Business Case'!D12*$B897)-'Business Case'!D11*$C897*'Business Case'!D13*$D897-'Business Case'!D14*$E897))*'Business Case'!$B$7-'Business Case'!$B$8*(('Business Case'!D11*$C897*'Business Case'!D12*$B897)-('Business Case'!C11*$C897*'Business Case'!C12*$B897))-'Business Case'!D15*$F897</f>
        <v>273638182.871167</v>
      </c>
      <c r="K897" s="39" t="n">
        <f aca="false">(('Business Case'!E11*$C897*'Business Case'!E12*$B897)-'Business Case'!E11*$C897*'Business Case'!E13*$D897-'Business Case'!E14*$E897)-MAX(0,(('Business Case'!E11*$C897*'Business Case'!E12*$B897)-'Business Case'!E11*$C897*'Business Case'!E13*$D897-'Business Case'!E14*$E897))*'Business Case'!$B$7-'Business Case'!$B$8*(('Business Case'!E11*$C897*'Business Case'!E12*$B897)-('Business Case'!D11*$C897*'Business Case'!D12*$B897))-'Business Case'!E15*$F897</f>
        <v>607137930.879817</v>
      </c>
      <c r="L897" s="39" t="n">
        <f aca="false">(('Business Case'!F11*$C897*'Business Case'!F12*$B897)-'Business Case'!F11*$C897*'Business Case'!F13*$D897-'Business Case'!F14*$E897)-MAX(0,(('Business Case'!F11*$C897*'Business Case'!F12*$B897)-'Business Case'!F11*$C897*'Business Case'!F13*$D897-'Business Case'!F14*$E897))*'Business Case'!$B$7-'Business Case'!$B$8*(('Business Case'!F11*$C897*'Business Case'!F12*$B897)-('Business Case'!E11*$C897*'Business Case'!E12*$B897))-'Business Case'!F15*$F897</f>
        <v>733395657.978302</v>
      </c>
      <c r="M897" s="39" t="n">
        <f aca="false">(('Business Case'!G11*$C897*'Business Case'!G12*$B897)-'Business Case'!G11*$C897*'Business Case'!G13*$D897-'Business Case'!G14*$E897)-MAX(0,(('Business Case'!G11*$C897*'Business Case'!G12*$B897)-'Business Case'!G11*$C897*'Business Case'!G13*$D897-'Business Case'!G14*$E897))*'Business Case'!$B$7-'Business Case'!$B$8*(('Business Case'!G11*$C897*'Business Case'!G12*$B897)-('Business Case'!F11*$C897*'Business Case'!F12*$B897))-'Business Case'!G15*$F897+'Business Case'!$B$8*('Business Case'!G11*$C897*'Business Case'!G12*$B897)</f>
        <v>908002857.001929</v>
      </c>
      <c r="N897" s="39" t="n">
        <f aca="false">IF(COUNT('Business Case'!B11:G11)=0,"",H897+NPV(G897,I897:M897))</f>
        <v>-212420969.111122</v>
      </c>
      <c r="P897" s="40" t="n">
        <f aca="true">RAND()</f>
        <v>0.274843241632276</v>
      </c>
      <c r="Q897" s="40" t="n">
        <f aca="true">RAND()</f>
        <v>0.473007863558647</v>
      </c>
      <c r="R897" s="40" t="n">
        <f aca="true">RAND()</f>
        <v>0.0172400605984436</v>
      </c>
      <c r="S897" s="40" t="n">
        <f aca="true">RAND()</f>
        <v>0.588881528366084</v>
      </c>
      <c r="T897" s="40" t="n">
        <f aca="true">RAND()</f>
        <v>0.162276904029464</v>
      </c>
      <c r="U897" s="40" t="n">
        <f aca="true">RAND()</f>
        <v>0.147567355309403</v>
      </c>
    </row>
    <row r="898" customFormat="false" ht="15" hidden="false" customHeight="false" outlineLevel="0" collapsed="false">
      <c r="A898" s="36" t="n">
        <v>818</v>
      </c>
      <c r="B898" s="37" t="n">
        <f aca="false">1+IF($G$6=$E$6,$F$6,IF(P898&lt;($F$6-$E$6)/($G$6-$E$6),$E$6+SQRT(P898*($G$6-$E$6)*($F$6-$E$6)),$G$6-SQRT((1-P898)*($G$6-$E$6)*($G$6-$F$6))))</f>
        <v>0.980584504542112</v>
      </c>
      <c r="C898" s="37" t="n">
        <f aca="false">1+IF($G$7=$E$7,$F$7,IF(Q898&lt;($F$7-$E$7)/($G$7-$E$7),$E$7+SQRT(Q898*($G$7-$E$7)*($F$7-$E$7)),$G$7-SQRT((1-Q898)*($G$7-$E$7)*($G$7-$F$7))))</f>
        <v>0.938993945528715</v>
      </c>
      <c r="D898" s="37" t="n">
        <f aca="false">1+IF($G$8=$E$8,$F$8,IF(R898&lt;($F$8-$E$8)/($G$8-$E$8),$E$8+SQRT(R898*($G$8-$E$8)*($F$8-$E$8)),$G$8-SQRT((1-R898)*($G$8-$E$8)*($G$8-$F$8))))</f>
        <v>1.03930262542832</v>
      </c>
      <c r="E898" s="37" t="n">
        <f aca="false">1+IF($G$9=$E$9,$F$9,IF(S898&lt;($F$9-$E$9)/($G$9-$E$9),$E$9+SQRT(S898*($G$9-$E$9)*($F$9-$E$9)),$G$9-SQRT((1-S898)*($G$9-$E$9)*($G$9-$F$9))))</f>
        <v>1.07102887820443</v>
      </c>
      <c r="F898" s="37" t="n">
        <f aca="false">1+IF($G$10=$E$10,$F$10,IF(T898&lt;($F$10-$E$10)/($G$10-$E$10),$E$10+SQRT(T898*($G$10-$E$10)*($F$10-$E$10)),$G$10-SQRT((1-T898)*($G$10-$E$10)*($G$10-$F$10))))</f>
        <v>1.02550552210613</v>
      </c>
      <c r="G898" s="38" t="n">
        <f aca="false">IF($G$11=$E$11,$F$11,IF(U898&lt;($F$11-$E$11)/($G$11-$E$11),$E$11+SQRT(U898*($G$11-$E$11)*($F$11-$E$11)),$G$11-SQRT((1-U898)*($G$11-$E$11)*($G$11-$F$11))))</f>
        <v>0.100878568766666</v>
      </c>
      <c r="H898" s="39" t="n">
        <f aca="false">(('Business Case'!B11*$C898*'Business Case'!B12*$B898)-'Business Case'!B11*$C898*'Business Case'!B13*$D898-'Business Case'!B14*$E898)-MAX(0,(('Business Case'!B11*$C898*'Business Case'!B12*$B898)-'Business Case'!B11*$C898*'Business Case'!B13*$D898-'Business Case'!B14*$E898))*'Business Case'!$B$7-'Business Case'!$B$8*('Business Case'!B11*$C898*'Business Case'!B12*$B898)-'Business Case'!B15*$F898</f>
        <v>-2051011044.21226</v>
      </c>
      <c r="I898" s="39" t="n">
        <f aca="false">(('Business Case'!C11*$C898*'Business Case'!C12*$B898)-'Business Case'!C11*$C898*'Business Case'!C13*$D898-'Business Case'!C14*$E898)-MAX(0,(('Business Case'!C11*$C898*'Business Case'!C12*$B898)-'Business Case'!C11*$C898*'Business Case'!C13*$D898-'Business Case'!C14*$E898))*'Business Case'!$B$7-'Business Case'!$B$8*(('Business Case'!C11*$C898*'Business Case'!C12*$B898)-('Business Case'!B11*$C898*'Business Case'!B12*$B898))-'Business Case'!C15*$F898</f>
        <v>-47994238.5329189</v>
      </c>
      <c r="J898" s="39" t="n">
        <f aca="false">(('Business Case'!D11*$C898*'Business Case'!D12*$B898)-'Business Case'!D11*$C898*'Business Case'!D13*$D898-'Business Case'!D14*$E898)-MAX(0,(('Business Case'!D11*$C898*'Business Case'!D12*$B898)-'Business Case'!D11*$C898*'Business Case'!D13*$D898-'Business Case'!D14*$E898))*'Business Case'!$B$7-'Business Case'!$B$8*(('Business Case'!D11*$C898*'Business Case'!D12*$B898)-('Business Case'!C11*$C898*'Business Case'!C12*$B898))-'Business Case'!D15*$F898</f>
        <v>206594731.027295</v>
      </c>
      <c r="K898" s="39" t="n">
        <f aca="false">(('Business Case'!E11*$C898*'Business Case'!E12*$B898)-'Business Case'!E11*$C898*'Business Case'!E13*$D898-'Business Case'!E14*$E898)-MAX(0,(('Business Case'!E11*$C898*'Business Case'!E12*$B898)-'Business Case'!E11*$C898*'Business Case'!E13*$D898-'Business Case'!E14*$E898))*'Business Case'!$B$7-'Business Case'!$B$8*(('Business Case'!E11*$C898*'Business Case'!E12*$B898)-('Business Case'!D11*$C898*'Business Case'!D12*$B898))-'Business Case'!E15*$F898</f>
        <v>512458976.692816</v>
      </c>
      <c r="L898" s="39" t="n">
        <f aca="false">(('Business Case'!F11*$C898*'Business Case'!F12*$B898)-'Business Case'!F11*$C898*'Business Case'!F13*$D898-'Business Case'!F14*$E898)-MAX(0,(('Business Case'!F11*$C898*'Business Case'!F12*$B898)-'Business Case'!F11*$C898*'Business Case'!F13*$D898-'Business Case'!F14*$E898))*'Business Case'!$B$7-'Business Case'!$B$8*(('Business Case'!F11*$C898*'Business Case'!F12*$B898)-('Business Case'!E11*$C898*'Business Case'!E12*$B898))-'Business Case'!F15*$F898</f>
        <v>629143532.81412</v>
      </c>
      <c r="M898" s="39" t="n">
        <f aca="false">(('Business Case'!G11*$C898*'Business Case'!G12*$B898)-'Business Case'!G11*$C898*'Business Case'!G13*$D898-'Business Case'!G14*$E898)-MAX(0,(('Business Case'!G11*$C898*'Business Case'!G12*$B898)-'Business Case'!G11*$C898*'Business Case'!G13*$D898-'Business Case'!G14*$E898))*'Business Case'!$B$7-'Business Case'!$B$8*(('Business Case'!G11*$C898*'Business Case'!G12*$B898)-('Business Case'!F11*$C898*'Business Case'!F12*$B898))-'Business Case'!G15*$F898+'Business Case'!$B$8*('Business Case'!G11*$C898*'Business Case'!G12*$B898)</f>
        <v>804162147.287568</v>
      </c>
      <c r="N898" s="39" t="n">
        <f aca="false">IF(COUNT('Business Case'!B11:G11)=0,"",H898+NPV(G898,I898:M898))</f>
        <v>-614367825.203108</v>
      </c>
      <c r="P898" s="40" t="n">
        <f aca="true">RAND()</f>
        <v>0.432924158153181</v>
      </c>
      <c r="Q898" s="40" t="n">
        <f aca="true">RAND()</f>
        <v>0.423097081476905</v>
      </c>
      <c r="R898" s="40" t="n">
        <f aca="true">RAND()</f>
        <v>0.754388581340322</v>
      </c>
      <c r="S898" s="40" t="n">
        <f aca="true">RAND()</f>
        <v>0.833694984595985</v>
      </c>
      <c r="T898" s="40" t="n">
        <f aca="true">RAND()</f>
        <v>0.328029725268794</v>
      </c>
      <c r="U898" s="40" t="n">
        <f aca="true">RAND()</f>
        <v>0.434628161948126</v>
      </c>
    </row>
    <row r="899" customFormat="false" ht="15" hidden="false" customHeight="false" outlineLevel="0" collapsed="false">
      <c r="A899" s="36" t="n">
        <v>819</v>
      </c>
      <c r="B899" s="37" t="n">
        <f aca="false">1+IF($G$6=$E$6,$F$6,IF(P899&lt;($F$6-$E$6)/($G$6-$E$6),$E$6+SQRT(P899*($G$6-$E$6)*($F$6-$E$6)),$G$6-SQRT((1-P899)*($G$6-$E$6)*($G$6-$F$6))))</f>
        <v>0.975437332852938</v>
      </c>
      <c r="C899" s="37" t="n">
        <f aca="false">1+IF($G$7=$E$7,$F$7,IF(Q899&lt;($F$7-$E$7)/($G$7-$E$7),$E$7+SQRT(Q899*($G$7-$E$7)*($F$7-$E$7)),$G$7-SQRT((1-Q899)*($G$7-$E$7)*($G$7-$F$7))))</f>
        <v>1.05702733666855</v>
      </c>
      <c r="D899" s="37" t="n">
        <f aca="false">1+IF($G$8=$E$8,$F$8,IF(R899&lt;($F$8-$E$8)/($G$8-$E$8),$E$8+SQRT(R899*($G$8-$E$8)*($F$8-$E$8)),$G$8-SQRT((1-R899)*($G$8-$E$8)*($G$8-$F$8))))</f>
        <v>1.0443191375824</v>
      </c>
      <c r="E899" s="37" t="n">
        <f aca="false">1+IF($G$9=$E$9,$F$9,IF(S899&lt;($F$9-$E$9)/($G$9-$E$9),$E$9+SQRT(S899*($G$9-$E$9)*($F$9-$E$9)),$G$9-SQRT((1-S899)*($G$9-$E$9)*($G$9-$F$9))))</f>
        <v>1.09301287085114</v>
      </c>
      <c r="F899" s="37" t="n">
        <f aca="false">1+IF($G$10=$E$10,$F$10,IF(T899&lt;($F$10-$E$10)/($G$10-$E$10),$E$10+SQRT(T899*($G$10-$E$10)*($F$10-$E$10)),$G$10-SQRT((1-T899)*($G$10-$E$10)*($G$10-$F$10))))</f>
        <v>1.07770386414363</v>
      </c>
      <c r="G899" s="38" t="n">
        <f aca="false">IF($G$11=$E$11,$F$11,IF(U899&lt;($F$11-$E$11)/($G$11-$E$11),$E$11+SQRT(U899*($G$11-$E$11)*($F$11-$E$11)),$G$11-SQRT((1-U899)*($G$11-$E$11)*($G$11-$F$11))))</f>
        <v>0.107935388592423</v>
      </c>
      <c r="H899" s="39" t="n">
        <f aca="false">(('Business Case'!B11*$C899*'Business Case'!B12*$B899)-'Business Case'!B11*$C899*'Business Case'!B13*$D899-'Business Case'!B14*$E899)-MAX(0,(('Business Case'!B11*$C899*'Business Case'!B12*$B899)-'Business Case'!B11*$C899*'Business Case'!B13*$D899-'Business Case'!B14*$E899))*'Business Case'!$B$7-'Business Case'!$B$8*('Business Case'!B11*$C899*'Business Case'!B12*$B899)-'Business Case'!B15*$F899</f>
        <v>-2155407728.28727</v>
      </c>
      <c r="I899" s="39" t="n">
        <f aca="false">(('Business Case'!C11*$C899*'Business Case'!C12*$B899)-'Business Case'!C11*$C899*'Business Case'!C13*$D899-'Business Case'!C14*$E899)-MAX(0,(('Business Case'!C11*$C899*'Business Case'!C12*$B899)-'Business Case'!C11*$C899*'Business Case'!C13*$D899-'Business Case'!C14*$E899))*'Business Case'!$B$7-'Business Case'!$B$8*(('Business Case'!C11*$C899*'Business Case'!C12*$B899)-('Business Case'!B11*$C899*'Business Case'!B12*$B899))-'Business Case'!C15*$F899</f>
        <v>-37226693.4763384</v>
      </c>
      <c r="J899" s="39" t="n">
        <f aca="false">(('Business Case'!D11*$C899*'Business Case'!D12*$B899)-'Business Case'!D11*$C899*'Business Case'!D13*$D899-'Business Case'!D14*$E899)-MAX(0,(('Business Case'!D11*$C899*'Business Case'!D12*$B899)-'Business Case'!D11*$C899*'Business Case'!D13*$D899-'Business Case'!D14*$E899))*'Business Case'!$B$7-'Business Case'!$B$8*(('Business Case'!D11*$C899*'Business Case'!D12*$B899)-('Business Case'!C11*$C899*'Business Case'!C12*$B899))-'Business Case'!D15*$F899</f>
        <v>242193783.622248</v>
      </c>
      <c r="K899" s="39" t="n">
        <f aca="false">(('Business Case'!E11*$C899*'Business Case'!E12*$B899)-'Business Case'!E11*$C899*'Business Case'!E13*$D899-'Business Case'!E14*$E899)-MAX(0,(('Business Case'!E11*$C899*'Business Case'!E12*$B899)-'Business Case'!E11*$C899*'Business Case'!E13*$D899-'Business Case'!E14*$E899))*'Business Case'!$B$7-'Business Case'!$B$8*(('Business Case'!E11*$C899*'Business Case'!E12*$B899)-('Business Case'!D11*$C899*'Business Case'!D12*$B899))-'Business Case'!E15*$F899</f>
        <v>575499453.928016</v>
      </c>
      <c r="L899" s="39" t="n">
        <f aca="false">(('Business Case'!F11*$C899*'Business Case'!F12*$B899)-'Business Case'!F11*$C899*'Business Case'!F13*$D899-'Business Case'!F14*$E899)-MAX(0,(('Business Case'!F11*$C899*'Business Case'!F12*$B899)-'Business Case'!F11*$C899*'Business Case'!F13*$D899-'Business Case'!F14*$E899))*'Business Case'!$B$7-'Business Case'!$B$8*(('Business Case'!F11*$C899*'Business Case'!F12*$B899)-('Business Case'!E11*$C899*'Business Case'!E12*$B899))-'Business Case'!F15*$F899</f>
        <v>704273182.244566</v>
      </c>
      <c r="M899" s="39" t="n">
        <f aca="false">(('Business Case'!G11*$C899*'Business Case'!G12*$B899)-'Business Case'!G11*$C899*'Business Case'!G13*$D899-'Business Case'!G14*$E899)-MAX(0,(('Business Case'!G11*$C899*'Business Case'!G12*$B899)-'Business Case'!G11*$C899*'Business Case'!G13*$D899-'Business Case'!G14*$E899))*'Business Case'!$B$7-'Business Case'!$B$8*(('Business Case'!G11*$C899*'Business Case'!G12*$B899)-('Business Case'!F11*$C899*'Business Case'!F12*$B899))-'Business Case'!G15*$F899+'Business Case'!$B$8*('Business Case'!G11*$C899*'Business Case'!G12*$B899)</f>
        <v>900257813.304844</v>
      </c>
      <c r="N899" s="39" t="n">
        <f aca="false">IF(COUNT('Business Case'!B11:G11)=0,"",H899+NPV(G899,I899:M899))</f>
        <v>-561897527.116787</v>
      </c>
      <c r="P899" s="40" t="n">
        <f aca="true">RAND()</f>
        <v>0.37938607919766</v>
      </c>
      <c r="Q899" s="40" t="n">
        <f aca="true">RAND()</f>
        <v>0.871941983304532</v>
      </c>
      <c r="R899" s="40" t="n">
        <f aca="true">RAND()</f>
        <v>0.793309437362138</v>
      </c>
      <c r="S899" s="40" t="n">
        <f aca="true">RAND()</f>
        <v>0.913399122969883</v>
      </c>
      <c r="T899" s="40" t="n">
        <f aca="true">RAND()</f>
        <v>0.604187220919522</v>
      </c>
      <c r="U899" s="40" t="n">
        <f aca="true">RAND()</f>
        <v>0.675435282288412</v>
      </c>
    </row>
    <row r="900" customFormat="false" ht="15" hidden="false" customHeight="false" outlineLevel="0" collapsed="false">
      <c r="A900" s="36" t="n">
        <v>820</v>
      </c>
      <c r="B900" s="37" t="n">
        <f aca="false">1+IF($G$6=$E$6,$F$6,IF(P900&lt;($F$6-$E$6)/($G$6-$E$6),$E$6+SQRT(P900*($G$6-$E$6)*($F$6-$E$6)),$G$6-SQRT((1-P900)*($G$6-$E$6)*($G$6-$F$6))))</f>
        <v>1.01977105739348</v>
      </c>
      <c r="C900" s="37" t="n">
        <f aca="false">1+IF($G$7=$E$7,$F$7,IF(Q900&lt;($F$7-$E$7)/($G$7-$E$7),$E$7+SQRT(Q900*($G$7-$E$7)*($F$7-$E$7)),$G$7-SQRT((1-Q900)*($G$7-$E$7)*($G$7-$F$7))))</f>
        <v>0.977553924691882</v>
      </c>
      <c r="D900" s="37" t="n">
        <f aca="false">1+IF($G$8=$E$8,$F$8,IF(R900&lt;($F$8-$E$8)/($G$8-$E$8),$E$8+SQRT(R900*($G$8-$E$8)*($F$8-$E$8)),$G$8-SQRT((1-R900)*($G$8-$E$8)*($G$8-$F$8))))</f>
        <v>1.0080543167228</v>
      </c>
      <c r="E900" s="37" t="n">
        <f aca="false">1+IF($G$9=$E$9,$F$9,IF(S900&lt;($F$9-$E$9)/($G$9-$E$9),$E$9+SQRT(S900*($G$9-$E$9)*($F$9-$E$9)),$G$9-SQRT((1-S900)*($G$9-$E$9)*($G$9-$F$9))))</f>
        <v>0.991148980565846</v>
      </c>
      <c r="F900" s="37" t="n">
        <f aca="false">1+IF($G$10=$E$10,$F$10,IF(T900&lt;($F$10-$E$10)/($G$10-$E$10),$E$10+SQRT(T900*($G$10-$E$10)*($F$10-$E$10)),$G$10-SQRT((1-T900)*($G$10-$E$10)*($G$10-$F$10))))</f>
        <v>1.01462387213414</v>
      </c>
      <c r="G900" s="38" t="n">
        <f aca="false">IF($G$11=$E$11,$F$11,IF(U900&lt;($F$11-$E$11)/($G$11-$E$11),$E$11+SQRT(U900*($G$11-$E$11)*($F$11-$E$11)),$G$11-SQRT((1-U900)*($G$11-$E$11)*($G$11-$F$11))))</f>
        <v>0.101684689984686</v>
      </c>
      <c r="H900" s="39" t="n">
        <f aca="false">(('Business Case'!B11*$C900*'Business Case'!B12*$B900)-'Business Case'!B11*$C900*'Business Case'!B13*$D900-'Business Case'!B14*$E900)-MAX(0,(('Business Case'!B11*$C900*'Business Case'!B12*$B900)-'Business Case'!B11*$C900*'Business Case'!B13*$D900-'Business Case'!B14*$E900))*'Business Case'!$B$7-'Business Case'!$B$8*('Business Case'!B11*$C900*'Business Case'!B12*$B900)-'Business Case'!B15*$F900</f>
        <v>-2029247744.26829</v>
      </c>
      <c r="I900" s="39" t="n">
        <f aca="false">(('Business Case'!C11*$C900*'Business Case'!C12*$B900)-'Business Case'!C11*$C900*'Business Case'!C13*$D900-'Business Case'!C14*$E900)-MAX(0,(('Business Case'!C11*$C900*'Business Case'!C12*$B900)-'Business Case'!C11*$C900*'Business Case'!C13*$D900-'Business Case'!C14*$E900))*'Business Case'!$B$7-'Business Case'!$B$8*(('Business Case'!C11*$C900*'Business Case'!C12*$B900)-('Business Case'!B11*$C900*'Business Case'!B12*$B900))-'Business Case'!C15*$F900</f>
        <v>17975362.1059812</v>
      </c>
      <c r="J900" s="39" t="n">
        <f aca="false">(('Business Case'!D11*$C900*'Business Case'!D12*$B900)-'Business Case'!D11*$C900*'Business Case'!D13*$D900-'Business Case'!D14*$E900)-MAX(0,(('Business Case'!D11*$C900*'Business Case'!D12*$B900)-'Business Case'!D11*$C900*'Business Case'!D13*$D900-'Business Case'!D14*$E900))*'Business Case'!$B$7-'Business Case'!$B$8*(('Business Case'!D11*$C900*'Business Case'!D12*$B900)-('Business Case'!C11*$C900*'Business Case'!C12*$B900))-'Business Case'!D15*$F900</f>
        <v>330032817.840923</v>
      </c>
      <c r="K900" s="39" t="n">
        <f aca="false">(('Business Case'!E11*$C900*'Business Case'!E12*$B900)-'Business Case'!E11*$C900*'Business Case'!E13*$D900-'Business Case'!E14*$E900)-MAX(0,(('Business Case'!E11*$C900*'Business Case'!E12*$B900)-'Business Case'!E11*$C900*'Business Case'!E13*$D900-'Business Case'!E14*$E900))*'Business Case'!$B$7-'Business Case'!$B$8*(('Business Case'!E11*$C900*'Business Case'!E12*$B900)-('Business Case'!D11*$C900*'Business Case'!D12*$B900))-'Business Case'!E15*$F900</f>
        <v>692821467.182572</v>
      </c>
      <c r="L900" s="39" t="n">
        <f aca="false">(('Business Case'!F11*$C900*'Business Case'!F12*$B900)-'Business Case'!F11*$C900*'Business Case'!F13*$D900-'Business Case'!F14*$E900)-MAX(0,(('Business Case'!F11*$C900*'Business Case'!F12*$B900)-'Business Case'!F11*$C900*'Business Case'!F13*$D900-'Business Case'!F14*$E900))*'Business Case'!$B$7-'Business Case'!$B$8*(('Business Case'!F11*$C900*'Business Case'!F12*$B900)-('Business Case'!E11*$C900*'Business Case'!E12*$B900))-'Business Case'!F15*$F900</f>
        <v>831292833.346941</v>
      </c>
      <c r="M900" s="39" t="n">
        <f aca="false">(('Business Case'!G11*$C900*'Business Case'!G12*$B900)-'Business Case'!G11*$C900*'Business Case'!G13*$D900-'Business Case'!G14*$E900)-MAX(0,(('Business Case'!G11*$C900*'Business Case'!G12*$B900)-'Business Case'!G11*$C900*'Business Case'!G13*$D900-'Business Case'!G14*$E900))*'Business Case'!$B$7-'Business Case'!$B$8*(('Business Case'!G11*$C900*'Business Case'!G12*$B900)-('Business Case'!F11*$C900*'Business Case'!F12*$B900))-'Business Case'!G15*$F900+'Business Case'!$B$8*('Business Case'!G11*$C900*'Business Case'!G12*$B900)</f>
        <v>1020780011.73691</v>
      </c>
      <c r="N900" s="39" t="n">
        <f aca="false">IF(COUNT('Business Case'!B11:G11)=0,"",H900+NPV(G900,I900:M900))</f>
        <v>-29556126.8523879</v>
      </c>
      <c r="P900" s="40" t="n">
        <f aca="true">RAND()</f>
        <v>0.87816147051892</v>
      </c>
      <c r="Q900" s="40" t="n">
        <f aca="true">RAND()</f>
        <v>0.57063837860642</v>
      </c>
      <c r="R900" s="40" t="n">
        <f aca="true">RAND()</f>
        <v>0.436399421779197</v>
      </c>
      <c r="S900" s="40" t="n">
        <f aca="true">RAND()</f>
        <v>0.332325466327719</v>
      </c>
      <c r="T900" s="40" t="n">
        <f aca="true">RAND()</f>
        <v>0.261307712411675</v>
      </c>
      <c r="U900" s="40" t="n">
        <f aca="true">RAND()</f>
        <v>0.465495479157772</v>
      </c>
    </row>
    <row r="901" customFormat="false" ht="15" hidden="false" customHeight="false" outlineLevel="0" collapsed="false">
      <c r="A901" s="36" t="n">
        <v>821</v>
      </c>
      <c r="B901" s="37" t="n">
        <f aca="false">1+IF($G$6=$E$6,$F$6,IF(P901&lt;($F$6-$E$6)/($G$6-$E$6),$E$6+SQRT(P901*($G$6-$E$6)*($F$6-$E$6)),$G$6-SQRT((1-P901)*($G$6-$E$6)*($G$6-$F$6))))</f>
        <v>0.986519533091013</v>
      </c>
      <c r="C901" s="37" t="n">
        <f aca="false">1+IF($G$7=$E$7,$F$7,IF(Q901&lt;($F$7-$E$7)/($G$7-$E$7),$E$7+SQRT(Q901*($G$7-$E$7)*($F$7-$E$7)),$G$7-SQRT((1-Q901)*($G$7-$E$7)*($G$7-$F$7))))</f>
        <v>0.990351259038699</v>
      </c>
      <c r="D901" s="37" t="n">
        <f aca="false">1+IF($G$8=$E$8,$F$8,IF(R901&lt;($F$8-$E$8)/($G$8-$E$8),$E$8+SQRT(R901*($G$8-$E$8)*($F$8-$E$8)),$G$8-SQRT((1-R901)*($G$8-$E$8)*($G$8-$F$8))))</f>
        <v>0.979547461624152</v>
      </c>
      <c r="E901" s="37" t="n">
        <f aca="false">1+IF($G$9=$E$9,$F$9,IF(S901&lt;($F$9-$E$9)/($G$9-$E$9),$E$9+SQRT(S901*($G$9-$E$9)*($F$9-$E$9)),$G$9-SQRT((1-S901)*($G$9-$E$9)*($G$9-$F$9))))</f>
        <v>0.948002299591323</v>
      </c>
      <c r="F901" s="37" t="n">
        <f aca="false">1+IF($G$10=$E$10,$F$10,IF(T901&lt;($F$10-$E$10)/($G$10-$E$10),$E$10+SQRT(T901*($G$10-$E$10)*($F$10-$E$10)),$G$10-SQRT((1-T901)*($G$10-$E$10)*($G$10-$F$10))))</f>
        <v>1.01053861553572</v>
      </c>
      <c r="G901" s="38" t="n">
        <f aca="false">IF($G$11=$E$11,$F$11,IF(U901&lt;($F$11-$E$11)/($G$11-$E$11),$E$11+SQRT(U901*($G$11-$E$11)*($F$11-$E$11)),$G$11-SQRT((1-U901)*($G$11-$E$11)*($G$11-$F$11))))</f>
        <v>0.0960417131221857</v>
      </c>
      <c r="H901" s="39" t="n">
        <f aca="false">(('Business Case'!B11*$C901*'Business Case'!B12*$B901)-'Business Case'!B11*$C901*'Business Case'!B13*$D901-'Business Case'!B14*$E901)-MAX(0,(('Business Case'!B11*$C901*'Business Case'!B12*$B901)-'Business Case'!B11*$C901*'Business Case'!B13*$D901-'Business Case'!B14*$E901))*'Business Case'!$B$7-'Business Case'!$B$8*('Business Case'!B11*$C901*'Business Case'!B12*$B901)-'Business Case'!B15*$F901</f>
        <v>-2021077231.07144</v>
      </c>
      <c r="I901" s="39" t="n">
        <f aca="false">(('Business Case'!C11*$C901*'Business Case'!C12*$B901)-'Business Case'!C11*$C901*'Business Case'!C13*$D901-'Business Case'!C14*$E901)-MAX(0,(('Business Case'!C11*$C901*'Business Case'!C12*$B901)-'Business Case'!C11*$C901*'Business Case'!C13*$D901-'Business Case'!C14*$E901))*'Business Case'!$B$7-'Business Case'!$B$8*(('Business Case'!C11*$C901*'Business Case'!C12*$B901)-('Business Case'!B11*$C901*'Business Case'!B12*$B901))-'Business Case'!C15*$F901</f>
        <v>17114960.5281741</v>
      </c>
      <c r="J901" s="39" t="n">
        <f aca="false">(('Business Case'!D11*$C901*'Business Case'!D12*$B901)-'Business Case'!D11*$C901*'Business Case'!D13*$D901-'Business Case'!D14*$E901)-MAX(0,(('Business Case'!D11*$C901*'Business Case'!D12*$B901)-'Business Case'!D11*$C901*'Business Case'!D13*$D901-'Business Case'!D14*$E901))*'Business Case'!$B$7-'Business Case'!$B$8*(('Business Case'!D11*$C901*'Business Case'!D12*$B901)-('Business Case'!C11*$C901*'Business Case'!C12*$B901))-'Business Case'!D15*$F901</f>
        <v>320737434.280414</v>
      </c>
      <c r="K901" s="39" t="n">
        <f aca="false">(('Business Case'!E11*$C901*'Business Case'!E12*$B901)-'Business Case'!E11*$C901*'Business Case'!E13*$D901-'Business Case'!E14*$E901)-MAX(0,(('Business Case'!E11*$C901*'Business Case'!E12*$B901)-'Business Case'!E11*$C901*'Business Case'!E13*$D901-'Business Case'!E14*$E901))*'Business Case'!$B$7-'Business Case'!$B$8*(('Business Case'!E11*$C901*'Business Case'!E12*$B901)-('Business Case'!D11*$C901*'Business Case'!D12*$B901))-'Business Case'!E15*$F901</f>
        <v>674886838.80944</v>
      </c>
      <c r="L901" s="39" t="n">
        <f aca="false">(('Business Case'!F11*$C901*'Business Case'!F12*$B901)-'Business Case'!F11*$C901*'Business Case'!F13*$D901-'Business Case'!F14*$E901)-MAX(0,(('Business Case'!F11*$C901*'Business Case'!F12*$B901)-'Business Case'!F11*$C901*'Business Case'!F13*$D901-'Business Case'!F14*$E901))*'Business Case'!$B$7-'Business Case'!$B$8*(('Business Case'!F11*$C901*'Business Case'!F12*$B901)-('Business Case'!E11*$C901*'Business Case'!E12*$B901))-'Business Case'!F15*$F901</f>
        <v>809859479.839259</v>
      </c>
      <c r="M901" s="39" t="n">
        <f aca="false">(('Business Case'!G11*$C901*'Business Case'!G12*$B901)-'Business Case'!G11*$C901*'Business Case'!G13*$D901-'Business Case'!G14*$E901)-MAX(0,(('Business Case'!G11*$C901*'Business Case'!G12*$B901)-'Business Case'!G11*$C901*'Business Case'!G13*$D901-'Business Case'!G14*$E901))*'Business Case'!$B$7-'Business Case'!$B$8*(('Business Case'!G11*$C901*'Business Case'!G12*$B901)-('Business Case'!F11*$C901*'Business Case'!F12*$B901))-'Business Case'!G15*$F901+'Business Case'!$B$8*('Business Case'!G11*$C901*'Business Case'!G12*$B901)</f>
        <v>995567803.624153</v>
      </c>
      <c r="N901" s="39" t="n">
        <f aca="false">IF(COUNT('Business Case'!B11:G11)=0,"",H901+NPV(G901,I901:M901))</f>
        <v>-35314282.1402607</v>
      </c>
      <c r="P901" s="40" t="n">
        <f aca="true">RAND()</f>
        <v>0.499041973752462</v>
      </c>
      <c r="Q901" s="40" t="n">
        <f aca="true">RAND()</f>
        <v>0.624472989817465</v>
      </c>
      <c r="R901" s="40" t="n">
        <f aca="true">RAND()</f>
        <v>0.116406998457433</v>
      </c>
      <c r="S901" s="40" t="n">
        <f aca="true">RAND()</f>
        <v>0.0921688306422063</v>
      </c>
      <c r="T901" s="40" t="n">
        <f aca="true">RAND()</f>
        <v>0.235443271339347</v>
      </c>
      <c r="U901" s="40" t="n">
        <f aca="true">RAND()</f>
        <v>0.257336559894506</v>
      </c>
    </row>
    <row r="902" customFormat="false" ht="15" hidden="false" customHeight="false" outlineLevel="0" collapsed="false">
      <c r="A902" s="36" t="n">
        <v>822</v>
      </c>
      <c r="B902" s="37" t="n">
        <f aca="false">1+IF($G$6=$E$6,$F$6,IF(P902&lt;($F$6-$E$6)/($G$6-$E$6),$E$6+SQRT(P902*($G$6-$E$6)*($F$6-$E$6)),$G$6-SQRT((1-P902)*($G$6-$E$6)*($G$6-$F$6))))</f>
        <v>0.987526165686925</v>
      </c>
      <c r="C902" s="37" t="n">
        <f aca="false">1+IF($G$7=$E$7,$F$7,IF(Q902&lt;($F$7-$E$7)/($G$7-$E$7),$E$7+SQRT(Q902*($G$7-$E$7)*($F$7-$E$7)),$G$7-SQRT((1-Q902)*($G$7-$E$7)*($G$7-$F$7))))</f>
        <v>1.05532071384894</v>
      </c>
      <c r="D902" s="37" t="n">
        <f aca="false">1+IF($G$8=$E$8,$F$8,IF(R902&lt;($F$8-$E$8)/($G$8-$E$8),$E$8+SQRT(R902*($G$8-$E$8)*($F$8-$E$8)),$G$8-SQRT((1-R902)*($G$8-$E$8)*($G$8-$F$8))))</f>
        <v>0.998819256958107</v>
      </c>
      <c r="E902" s="37" t="n">
        <f aca="false">1+IF($G$9=$E$9,$F$9,IF(S902&lt;($F$9-$E$9)/($G$9-$E$9),$E$9+SQRT(S902*($G$9-$E$9)*($F$9-$E$9)),$G$9-SQRT((1-S902)*($G$9-$E$9)*($G$9-$F$9))))</f>
        <v>1.03268178967861</v>
      </c>
      <c r="F902" s="37" t="n">
        <f aca="false">1+IF($G$10=$E$10,$F$10,IF(T902&lt;($F$10-$E$10)/($G$10-$E$10),$E$10+SQRT(T902*($G$10-$E$10)*($F$10-$E$10)),$G$10-SQRT((1-T902)*($G$10-$E$10)*($G$10-$F$10))))</f>
        <v>0.974901471850884</v>
      </c>
      <c r="G902" s="38" t="n">
        <f aca="false">IF($G$11=$E$11,$F$11,IF(U902&lt;($F$11-$E$11)/($G$11-$E$11),$E$11+SQRT(U902*($G$11-$E$11)*($F$11-$E$11)),$G$11-SQRT((1-U902)*($G$11-$E$11)*($G$11-$F$11))))</f>
        <v>0.108508013592645</v>
      </c>
      <c r="H902" s="39" t="n">
        <f aca="false">(('Business Case'!B11*$C902*'Business Case'!B12*$B902)-'Business Case'!B11*$C902*'Business Case'!B13*$D902-'Business Case'!B14*$E902)-MAX(0,(('Business Case'!B11*$C902*'Business Case'!B12*$B902)-'Business Case'!B11*$C902*'Business Case'!B13*$D902-'Business Case'!B14*$E902))*'Business Case'!$B$7-'Business Case'!$B$8*('Business Case'!B11*$C902*'Business Case'!B12*$B902)-'Business Case'!B15*$F902</f>
        <v>-1949802943.70177</v>
      </c>
      <c r="I902" s="39" t="n">
        <f aca="false">(('Business Case'!C11*$C902*'Business Case'!C12*$B902)-'Business Case'!C11*$C902*'Business Case'!C13*$D902-'Business Case'!C14*$E902)-MAX(0,(('Business Case'!C11*$C902*'Business Case'!C12*$B902)-'Business Case'!C11*$C902*'Business Case'!C13*$D902-'Business Case'!C14*$E902))*'Business Case'!$B$7-'Business Case'!$B$8*(('Business Case'!C11*$C902*'Business Case'!C12*$B902)-('Business Case'!B11*$C902*'Business Case'!B12*$B902))-'Business Case'!C15*$F902</f>
        <v>15636666.7277766</v>
      </c>
      <c r="J902" s="39" t="n">
        <f aca="false">(('Business Case'!D11*$C902*'Business Case'!D12*$B902)-'Business Case'!D11*$C902*'Business Case'!D13*$D902-'Business Case'!D14*$E902)-MAX(0,(('Business Case'!D11*$C902*'Business Case'!D12*$B902)-'Business Case'!D11*$C902*'Business Case'!D13*$D902-'Business Case'!D14*$E902))*'Business Case'!$B$7-'Business Case'!$B$8*(('Business Case'!D11*$C902*'Business Case'!D12*$B902)-('Business Case'!C11*$C902*'Business Case'!C12*$B902))-'Business Case'!D15*$F902</f>
        <v>329636240.584138</v>
      </c>
      <c r="K902" s="39" t="n">
        <f aca="false">(('Business Case'!E11*$C902*'Business Case'!E12*$B902)-'Business Case'!E11*$C902*'Business Case'!E13*$D902-'Business Case'!E14*$E902)-MAX(0,(('Business Case'!E11*$C902*'Business Case'!E12*$B902)-'Business Case'!E11*$C902*'Business Case'!E13*$D902-'Business Case'!E14*$E902))*'Business Case'!$B$7-'Business Case'!$B$8*(('Business Case'!E11*$C902*'Business Case'!E12*$B902)-('Business Case'!D11*$C902*'Business Case'!D12*$B902))-'Business Case'!E15*$F902</f>
        <v>692380888.033044</v>
      </c>
      <c r="L902" s="39" t="n">
        <f aca="false">(('Business Case'!F11*$C902*'Business Case'!F12*$B902)-'Business Case'!F11*$C902*'Business Case'!F13*$D902-'Business Case'!F14*$E902)-MAX(0,(('Business Case'!F11*$C902*'Business Case'!F12*$B902)-'Business Case'!F11*$C902*'Business Case'!F13*$D902-'Business Case'!F14*$E902))*'Business Case'!$B$7-'Business Case'!$B$8*(('Business Case'!F11*$C902*'Business Case'!F12*$B902)-('Business Case'!E11*$C902*'Business Case'!E12*$B902))-'Business Case'!F15*$F902</f>
        <v>833064352.285963</v>
      </c>
      <c r="M902" s="39" t="n">
        <f aca="false">(('Business Case'!G11*$C902*'Business Case'!G12*$B902)-'Business Case'!G11*$C902*'Business Case'!G13*$D902-'Business Case'!G14*$E902)-MAX(0,(('Business Case'!G11*$C902*'Business Case'!G12*$B902)-'Business Case'!G11*$C902*'Business Case'!G13*$D902-'Business Case'!G14*$E902))*'Business Case'!$B$7-'Business Case'!$B$8*(('Business Case'!G11*$C902*'Business Case'!G12*$B902)-('Business Case'!F11*$C902*'Business Case'!F12*$B902))-'Business Case'!G15*$F902+'Business Case'!$B$8*('Business Case'!G11*$C902*'Business Case'!G12*$B902)</f>
        <v>1031157520.27369</v>
      </c>
      <c r="N902" s="39" t="n">
        <f aca="false">IF(COUNT('Business Case'!B11:G11)=0,"",H902+NPV(G902,I902:M902))</f>
        <v>8670606.96922135</v>
      </c>
      <c r="P902" s="40" t="n">
        <f aca="true">RAND()</f>
        <v>0.510721978657007</v>
      </c>
      <c r="Q902" s="40" t="n">
        <f aca="true">RAND()</f>
        <v>0.867197522576682</v>
      </c>
      <c r="R902" s="40" t="n">
        <f aca="true">RAND()</f>
        <v>0.317775979992227</v>
      </c>
      <c r="S902" s="40" t="n">
        <f aca="true">RAND()</f>
        <v>0.632971667386317</v>
      </c>
      <c r="T902" s="40" t="n">
        <f aca="true">RAND()</f>
        <v>0.0413388866893578</v>
      </c>
      <c r="U902" s="40" t="n">
        <f aca="true">RAND()</f>
        <v>0.692063013510707</v>
      </c>
    </row>
    <row r="903" customFormat="false" ht="15" hidden="false" customHeight="false" outlineLevel="0" collapsed="false">
      <c r="A903" s="36" t="n">
        <v>823</v>
      </c>
      <c r="B903" s="37" t="n">
        <f aca="false">1+IF($G$6=$E$6,$F$6,IF(P903&lt;($F$6-$E$6)/($G$6-$E$6),$E$6+SQRT(P903*($G$6-$E$6)*($F$6-$E$6)),$G$6-SQRT((1-P903)*($G$6-$E$6)*($G$6-$F$6))))</f>
        <v>1.00410246378422</v>
      </c>
      <c r="C903" s="37" t="n">
        <f aca="false">1+IF($G$7=$E$7,$F$7,IF(Q903&lt;($F$7-$E$7)/($G$7-$E$7),$E$7+SQRT(Q903*($G$7-$E$7)*($F$7-$E$7)),$G$7-SQRT((1-Q903)*($G$7-$E$7)*($G$7-$F$7))))</f>
        <v>1.02603256310861</v>
      </c>
      <c r="D903" s="37" t="n">
        <f aca="false">1+IF($G$8=$E$8,$F$8,IF(R903&lt;($F$8-$E$8)/($G$8-$E$8),$E$8+SQRT(R903*($G$8-$E$8)*($F$8-$E$8)),$G$8-SQRT((1-R903)*($G$8-$E$8)*($G$8-$F$8))))</f>
        <v>1.04922725383908</v>
      </c>
      <c r="E903" s="37" t="n">
        <f aca="false">1+IF($G$9=$E$9,$F$9,IF(S903&lt;($F$9-$E$9)/($G$9-$E$9),$E$9+SQRT(S903*($G$9-$E$9)*($F$9-$E$9)),$G$9-SQRT((1-S903)*($G$9-$E$9)*($G$9-$F$9))))</f>
        <v>0.912087965142923</v>
      </c>
      <c r="F903" s="37" t="n">
        <f aca="false">1+IF($G$10=$E$10,$F$10,IF(T903&lt;($F$10-$E$10)/($G$10-$E$10),$E$10+SQRT(T903*($G$10-$E$10)*($F$10-$E$10)),$G$10-SQRT((1-T903)*($G$10-$E$10)*($G$10-$F$10))))</f>
        <v>1.0082610991773</v>
      </c>
      <c r="G903" s="38" t="n">
        <f aca="false">IF($G$11=$E$11,$F$11,IF(U903&lt;($F$11-$E$11)/($G$11-$E$11),$E$11+SQRT(U903*($G$11-$E$11)*($F$11-$E$11)),$G$11-SQRT((1-U903)*($G$11-$E$11)*($G$11-$F$11))))</f>
        <v>0.11098890952016</v>
      </c>
      <c r="H903" s="39" t="n">
        <f aca="false">(('Business Case'!B11*$C903*'Business Case'!B12*$B903)-'Business Case'!B11*$C903*'Business Case'!B13*$D903-'Business Case'!B14*$E903)-MAX(0,(('Business Case'!B11*$C903*'Business Case'!B12*$B903)-'Business Case'!B11*$C903*'Business Case'!B13*$D903-'Business Case'!B14*$E903))*'Business Case'!$B$7-'Business Case'!$B$8*('Business Case'!B11*$C903*'Business Case'!B12*$B903)-'Business Case'!B15*$F903</f>
        <v>-2016522198.3546</v>
      </c>
      <c r="I903" s="39" t="n">
        <f aca="false">(('Business Case'!C11*$C903*'Business Case'!C12*$B903)-'Business Case'!C11*$C903*'Business Case'!C13*$D903-'Business Case'!C14*$E903)-MAX(0,(('Business Case'!C11*$C903*'Business Case'!C12*$B903)-'Business Case'!C11*$C903*'Business Case'!C13*$D903-'Business Case'!C14*$E903))*'Business Case'!$B$7-'Business Case'!$B$8*(('Business Case'!C11*$C903*'Business Case'!C12*$B903)-('Business Case'!B11*$C903*'Business Case'!B12*$B903))-'Business Case'!C15*$F903</f>
        <v>8806440.05841227</v>
      </c>
      <c r="J903" s="39" t="n">
        <f aca="false">(('Business Case'!D11*$C903*'Business Case'!D12*$B903)-'Business Case'!D11*$C903*'Business Case'!D13*$D903-'Business Case'!D14*$E903)-MAX(0,(('Business Case'!D11*$C903*'Business Case'!D12*$B903)-'Business Case'!D11*$C903*'Business Case'!D13*$D903-'Business Case'!D14*$E903))*'Business Case'!$B$7-'Business Case'!$B$8*(('Business Case'!D11*$C903*'Business Case'!D12*$B903)-('Business Case'!C11*$C903*'Business Case'!C12*$B903))-'Business Case'!D15*$F903</f>
        <v>301545634.862042</v>
      </c>
      <c r="K903" s="39" t="n">
        <f aca="false">(('Business Case'!E11*$C903*'Business Case'!E12*$B903)-'Business Case'!E11*$C903*'Business Case'!E13*$D903-'Business Case'!E14*$E903)-MAX(0,(('Business Case'!E11*$C903*'Business Case'!E12*$B903)-'Business Case'!E11*$C903*'Business Case'!E13*$D903-'Business Case'!E14*$E903))*'Business Case'!$B$7-'Business Case'!$B$8*(('Business Case'!E11*$C903*'Business Case'!E12*$B903)-('Business Case'!D11*$C903*'Business Case'!D12*$B903))-'Business Case'!E15*$F903</f>
        <v>644697884.624536</v>
      </c>
      <c r="L903" s="39" t="n">
        <f aca="false">(('Business Case'!F11*$C903*'Business Case'!F12*$B903)-'Business Case'!F11*$C903*'Business Case'!F13*$D903-'Business Case'!F14*$E903)-MAX(0,(('Business Case'!F11*$C903*'Business Case'!F12*$B903)-'Business Case'!F11*$C903*'Business Case'!F13*$D903-'Business Case'!F14*$E903))*'Business Case'!$B$7-'Business Case'!$B$8*(('Business Case'!F11*$C903*'Business Case'!F12*$B903)-('Business Case'!E11*$C903*'Business Case'!E12*$B903))-'Business Case'!F15*$F903</f>
        <v>777882773.681855</v>
      </c>
      <c r="M903" s="39" t="n">
        <f aca="false">(('Business Case'!G11*$C903*'Business Case'!G12*$B903)-'Business Case'!G11*$C903*'Business Case'!G13*$D903-'Business Case'!G14*$E903)-MAX(0,(('Business Case'!G11*$C903*'Business Case'!G12*$B903)-'Business Case'!G11*$C903*'Business Case'!G13*$D903-'Business Case'!G14*$E903))*'Business Case'!$B$7-'Business Case'!$B$8*(('Business Case'!G11*$C903*'Business Case'!G12*$B903)-('Business Case'!F11*$C903*'Business Case'!F12*$B903))-'Business Case'!G15*$F903+'Business Case'!$B$8*('Business Case'!G11*$C903*'Business Case'!G12*$B903)</f>
        <v>973711139.690454</v>
      </c>
      <c r="N903" s="39" t="n">
        <f aca="false">IF(COUNT('Business Case'!B11:G11)=0,"",H903+NPV(G903,I903:M903))</f>
        <v>-208273522.766795</v>
      </c>
      <c r="P903" s="40" t="n">
        <f aca="true">RAND()</f>
        <v>0.719122155909462</v>
      </c>
      <c r="Q903" s="40" t="n">
        <f aca="true">RAND()</f>
        <v>0.772327030971537</v>
      </c>
      <c r="R903" s="40" t="n">
        <f aca="true">RAND()</f>
        <v>0.828141883151897</v>
      </c>
      <c r="S903" s="40" t="n">
        <f aca="true">RAND()</f>
        <v>0.00584475605186067</v>
      </c>
      <c r="T903" s="40" t="n">
        <f aca="true">RAND()</f>
        <v>0.220830717720429</v>
      </c>
      <c r="U903" s="40" t="n">
        <f aca="true">RAND()</f>
        <v>0.759052292511562</v>
      </c>
    </row>
    <row r="904" customFormat="false" ht="15" hidden="false" customHeight="false" outlineLevel="0" collapsed="false">
      <c r="A904" s="36" t="n">
        <v>824</v>
      </c>
      <c r="B904" s="37" t="n">
        <f aca="false">1+IF($G$6=$E$6,$F$6,IF(P904&lt;($F$6-$E$6)/($G$6-$E$6),$E$6+SQRT(P904*($G$6-$E$6)*($F$6-$E$6)),$G$6-SQRT((1-P904)*($G$6-$E$6)*($G$6-$F$6))))</f>
        <v>0.936860691162415</v>
      </c>
      <c r="C904" s="37" t="n">
        <f aca="false">1+IF($G$7=$E$7,$F$7,IF(Q904&lt;($F$7-$E$7)/($G$7-$E$7),$E$7+SQRT(Q904*($G$7-$E$7)*($F$7-$E$7)),$G$7-SQRT((1-Q904)*($G$7-$E$7)*($G$7-$F$7))))</f>
        <v>0.964888760249799</v>
      </c>
      <c r="D904" s="37" t="n">
        <f aca="false">1+IF($G$8=$E$8,$F$8,IF(R904&lt;($F$8-$E$8)/($G$8-$E$8),$E$8+SQRT(R904*($G$8-$E$8)*($F$8-$E$8)),$G$8-SQRT((1-R904)*($G$8-$E$8)*($G$8-$F$8))))</f>
        <v>0.984483184994181</v>
      </c>
      <c r="E904" s="37" t="n">
        <f aca="false">1+IF($G$9=$E$9,$F$9,IF(S904&lt;($F$9-$E$9)/($G$9-$E$9),$E$9+SQRT(S904*($G$9-$E$9)*($F$9-$E$9)),$G$9-SQRT((1-S904)*($G$9-$E$9)*($G$9-$F$9))))</f>
        <v>0.936820047508193</v>
      </c>
      <c r="F904" s="37" t="n">
        <f aca="false">1+IF($G$10=$E$10,$F$10,IF(T904&lt;($F$10-$E$10)/($G$10-$E$10),$E$10+SQRT(T904*($G$10-$E$10)*($F$10-$E$10)),$G$10-SQRT((1-T904)*($G$10-$E$10)*($G$10-$F$10))))</f>
        <v>1.08633693372334</v>
      </c>
      <c r="G904" s="38" t="n">
        <f aca="false">IF($G$11=$E$11,$F$11,IF(U904&lt;($F$11-$E$11)/($G$11-$E$11),$E$11+SQRT(U904*($G$11-$E$11)*($F$11-$E$11)),$G$11-SQRT((1-U904)*($G$11-$E$11)*($G$11-$F$11))))</f>
        <v>0.0988415354947034</v>
      </c>
      <c r="H904" s="39" t="n">
        <f aca="false">(('Business Case'!B11*$C904*'Business Case'!B12*$B904)-'Business Case'!B11*$C904*'Business Case'!B13*$D904-'Business Case'!B14*$E904)-MAX(0,(('Business Case'!B11*$C904*'Business Case'!B12*$B904)-'Business Case'!B11*$C904*'Business Case'!B13*$D904-'Business Case'!B14*$E904))*'Business Case'!$B$7-'Business Case'!$B$8*('Business Case'!B11*$C904*'Business Case'!B12*$B904)-'Business Case'!B15*$F904</f>
        <v>-2172673867.44667</v>
      </c>
      <c r="I904" s="39" t="n">
        <f aca="false">(('Business Case'!C11*$C904*'Business Case'!C12*$B904)-'Business Case'!C11*$C904*'Business Case'!C13*$D904-'Business Case'!C14*$E904)-MAX(0,(('Business Case'!C11*$C904*'Business Case'!C12*$B904)-'Business Case'!C11*$C904*'Business Case'!C13*$D904-'Business Case'!C14*$E904))*'Business Case'!$B$7-'Business Case'!$B$8*(('Business Case'!C11*$C904*'Business Case'!C12*$B904)-('Business Case'!B11*$C904*'Business Case'!B12*$B904))-'Business Case'!C15*$F904</f>
        <v>-34578980.5591571</v>
      </c>
      <c r="J904" s="39" t="n">
        <f aca="false">(('Business Case'!D11*$C904*'Business Case'!D12*$B904)-'Business Case'!D11*$C904*'Business Case'!D13*$D904-'Business Case'!D14*$E904)-MAX(0,(('Business Case'!D11*$C904*'Business Case'!D12*$B904)-'Business Case'!D11*$C904*'Business Case'!D13*$D904-'Business Case'!D14*$E904))*'Business Case'!$B$7-'Business Case'!$B$8*(('Business Case'!D11*$C904*'Business Case'!D12*$B904)-('Business Case'!C11*$C904*'Business Case'!C12*$B904))-'Business Case'!D15*$F904</f>
        <v>219553158.636321</v>
      </c>
      <c r="K904" s="39" t="n">
        <f aca="false">(('Business Case'!E11*$C904*'Business Case'!E12*$B904)-'Business Case'!E11*$C904*'Business Case'!E13*$D904-'Business Case'!E14*$E904)-MAX(0,(('Business Case'!E11*$C904*'Business Case'!E12*$B904)-'Business Case'!E11*$C904*'Business Case'!E13*$D904-'Business Case'!E14*$E904))*'Business Case'!$B$7-'Business Case'!$B$8*(('Business Case'!E11*$C904*'Business Case'!E12*$B904)-('Business Case'!D11*$C904*'Business Case'!D12*$B904))-'Business Case'!E15*$F904</f>
        <v>528002144.517967</v>
      </c>
      <c r="L904" s="39" t="n">
        <f aca="false">(('Business Case'!F11*$C904*'Business Case'!F12*$B904)-'Business Case'!F11*$C904*'Business Case'!F13*$D904-'Business Case'!F14*$E904)-MAX(0,(('Business Case'!F11*$C904*'Business Case'!F12*$B904)-'Business Case'!F11*$C904*'Business Case'!F13*$D904-'Business Case'!F14*$E904))*'Business Case'!$B$7-'Business Case'!$B$8*(('Business Case'!F11*$C904*'Business Case'!F12*$B904)-('Business Case'!E11*$C904*'Business Case'!E12*$B904))-'Business Case'!F15*$F904</f>
        <v>643953934.667551</v>
      </c>
      <c r="M904" s="39" t="n">
        <f aca="false">(('Business Case'!G11*$C904*'Business Case'!G12*$B904)-'Business Case'!G11*$C904*'Business Case'!G13*$D904-'Business Case'!G14*$E904)-MAX(0,(('Business Case'!G11*$C904*'Business Case'!G12*$B904)-'Business Case'!G11*$C904*'Business Case'!G13*$D904-'Business Case'!G14*$E904))*'Business Case'!$B$7-'Business Case'!$B$8*(('Business Case'!G11*$C904*'Business Case'!G12*$B904)-('Business Case'!F11*$C904*'Business Case'!F12*$B904))-'Business Case'!G15*$F904+'Business Case'!$B$8*('Business Case'!G11*$C904*'Business Case'!G12*$B904)</f>
        <v>815779858.631887</v>
      </c>
      <c r="N904" s="39" t="n">
        <f aca="false">IF(COUNT('Business Case'!B11:G11)=0,"",H904+NPV(G904,I904:M904))</f>
        <v>-673461195.61407</v>
      </c>
      <c r="P904" s="40" t="n">
        <f aca="true">RAND()</f>
        <v>0.0905807035313978</v>
      </c>
      <c r="Q904" s="40" t="n">
        <f aca="true">RAND()</f>
        <v>0.519748557827225</v>
      </c>
      <c r="R904" s="40" t="n">
        <f aca="true">RAND()</f>
        <v>0.158545339645724</v>
      </c>
      <c r="S904" s="40" t="n">
        <f aca="true">RAND()</f>
        <v>0.054228635940224</v>
      </c>
      <c r="T904" s="40" t="n">
        <f aca="true">RAND()</f>
        <v>0.642858676492269</v>
      </c>
      <c r="U904" s="40" t="n">
        <f aca="true">RAND()</f>
        <v>0.355003459798168</v>
      </c>
    </row>
    <row r="905" customFormat="false" ht="15" hidden="false" customHeight="false" outlineLevel="0" collapsed="false">
      <c r="A905" s="36" t="n">
        <v>825</v>
      </c>
      <c r="B905" s="37" t="n">
        <f aca="false">1+IF($G$6=$E$6,$F$6,IF(P905&lt;($F$6-$E$6)/($G$6-$E$6),$E$6+SQRT(P905*($G$6-$E$6)*($F$6-$E$6)),$G$6-SQRT((1-P905)*($G$6-$E$6)*($G$6-$F$6))))</f>
        <v>0.993566794860697</v>
      </c>
      <c r="C905" s="37" t="n">
        <f aca="false">1+IF($G$7=$E$7,$F$7,IF(Q905&lt;($F$7-$E$7)/($G$7-$E$7),$E$7+SQRT(Q905*($G$7-$E$7)*($F$7-$E$7)),$G$7-SQRT((1-Q905)*($G$7-$E$7)*($G$7-$F$7))))</f>
        <v>1.06989891890055</v>
      </c>
      <c r="D905" s="37" t="n">
        <f aca="false">1+IF($G$8=$E$8,$F$8,IF(R905&lt;($F$8-$E$8)/($G$8-$E$8),$E$8+SQRT(R905*($G$8-$E$8)*($F$8-$E$8)),$G$8-SQRT((1-R905)*($G$8-$E$8)*($G$8-$F$8))))</f>
        <v>1.02228605181705</v>
      </c>
      <c r="E905" s="37" t="n">
        <f aca="false">1+IF($G$9=$E$9,$F$9,IF(S905&lt;($F$9-$E$9)/($G$9-$E$9),$E$9+SQRT(S905*($G$9-$E$9)*($F$9-$E$9)),$G$9-SQRT((1-S905)*($G$9-$E$9)*($G$9-$F$9))))</f>
        <v>1.05011175078261</v>
      </c>
      <c r="F905" s="37" t="n">
        <f aca="false">1+IF($G$10=$E$10,$F$10,IF(T905&lt;($F$10-$E$10)/($G$10-$E$10),$E$10+SQRT(T905*($G$10-$E$10)*($F$10-$E$10)),$G$10-SQRT((1-T905)*($G$10-$E$10)*($G$10-$F$10))))</f>
        <v>1.09060205467506</v>
      </c>
      <c r="G905" s="38" t="n">
        <f aca="false">IF($G$11=$E$11,$F$11,IF(U905&lt;($F$11-$E$11)/($G$11-$E$11),$E$11+SQRT(U905*($G$11-$E$11)*($F$11-$E$11)),$G$11-SQRT((1-U905)*($G$11-$E$11)*($G$11-$F$11))))</f>
        <v>0.10829999588614</v>
      </c>
      <c r="H905" s="39" t="n">
        <f aca="false">(('Business Case'!B11*$C905*'Business Case'!B12*$B905)-'Business Case'!B11*$C905*'Business Case'!B13*$D905-'Business Case'!B14*$E905)-MAX(0,(('Business Case'!B11*$C905*'Business Case'!B12*$B905)-'Business Case'!B11*$C905*'Business Case'!B13*$D905-'Business Case'!B14*$E905))*'Business Case'!$B$7-'Business Case'!$B$8*('Business Case'!B11*$C905*'Business Case'!B12*$B905)-'Business Case'!B15*$F905</f>
        <v>-2181204109.35013</v>
      </c>
      <c r="I905" s="39" t="n">
        <f aca="false">(('Business Case'!C11*$C905*'Business Case'!C12*$B905)-'Business Case'!C11*$C905*'Business Case'!C13*$D905-'Business Case'!C14*$E905)-MAX(0,(('Business Case'!C11*$C905*'Business Case'!C12*$B905)-'Business Case'!C11*$C905*'Business Case'!C13*$D905-'Business Case'!C14*$E905))*'Business Case'!$B$7-'Business Case'!$B$8*(('Business Case'!C11*$C905*'Business Case'!C12*$B905)-('Business Case'!B11*$C905*'Business Case'!B12*$B905))-'Business Case'!C15*$F905</f>
        <v>-2714958.57887994</v>
      </c>
      <c r="J905" s="39" t="n">
        <f aca="false">(('Business Case'!D11*$C905*'Business Case'!D12*$B905)-'Business Case'!D11*$C905*'Business Case'!D13*$D905-'Business Case'!D14*$E905)-MAX(0,(('Business Case'!D11*$C905*'Business Case'!D12*$B905)-'Business Case'!D11*$C905*'Business Case'!D13*$D905-'Business Case'!D14*$E905))*'Business Case'!$B$7-'Business Case'!$B$8*(('Business Case'!D11*$C905*'Business Case'!D12*$B905)-('Business Case'!C11*$C905*'Business Case'!C12*$B905))-'Business Case'!D15*$F905</f>
        <v>308062930.767886</v>
      </c>
      <c r="K905" s="39" t="n">
        <f aca="false">(('Business Case'!E11*$C905*'Business Case'!E12*$B905)-'Business Case'!E11*$C905*'Business Case'!E13*$D905-'Business Case'!E14*$E905)-MAX(0,(('Business Case'!E11*$C905*'Business Case'!E12*$B905)-'Business Case'!E11*$C905*'Business Case'!E13*$D905-'Business Case'!E14*$E905))*'Business Case'!$B$7-'Business Case'!$B$8*(('Business Case'!E11*$C905*'Business Case'!E12*$B905)-('Business Case'!D11*$C905*'Business Case'!D12*$B905))-'Business Case'!E15*$F905</f>
        <v>673370922.848405</v>
      </c>
      <c r="L905" s="39" t="n">
        <f aca="false">(('Business Case'!F11*$C905*'Business Case'!F12*$B905)-'Business Case'!F11*$C905*'Business Case'!F13*$D905-'Business Case'!F14*$E905)-MAX(0,(('Business Case'!F11*$C905*'Business Case'!F12*$B905)-'Business Case'!F11*$C905*'Business Case'!F13*$D905-'Business Case'!F14*$E905))*'Business Case'!$B$7-'Business Case'!$B$8*(('Business Case'!F11*$C905*'Business Case'!F12*$B905)-('Business Case'!E11*$C905*'Business Case'!E12*$B905))-'Business Case'!F15*$F905</f>
        <v>813701386.961896</v>
      </c>
      <c r="M905" s="39" t="n">
        <f aca="false">(('Business Case'!G11*$C905*'Business Case'!G12*$B905)-'Business Case'!G11*$C905*'Business Case'!G13*$D905-'Business Case'!G14*$E905)-MAX(0,(('Business Case'!G11*$C905*'Business Case'!G12*$B905)-'Business Case'!G11*$C905*'Business Case'!G13*$D905-'Business Case'!G14*$E905))*'Business Case'!$B$7-'Business Case'!$B$8*(('Business Case'!G11*$C905*'Business Case'!G12*$B905)-('Business Case'!F11*$C905*'Business Case'!F12*$B905))-'Business Case'!G15*$F905+'Business Case'!$B$8*('Business Case'!G11*$C905*'Business Case'!G12*$B905)</f>
        <v>1015759475.78369</v>
      </c>
      <c r="N905" s="39" t="n">
        <f aca="false">IF(COUNT('Business Case'!B11:G11)=0,"",H905+NPV(G905,I905:M905))</f>
        <v>-291475418.535922</v>
      </c>
      <c r="P905" s="40" t="n">
        <f aca="true">RAND()</f>
        <v>0.583649673366914</v>
      </c>
      <c r="Q905" s="40" t="n">
        <f aca="true">RAND()</f>
        <v>0.904945434173329</v>
      </c>
      <c r="R905" s="40" t="n">
        <f aca="true">RAND()</f>
        <v>0.597369483854516</v>
      </c>
      <c r="S905" s="40" t="n">
        <f aca="true">RAND()</f>
        <v>0.733929004487564</v>
      </c>
      <c r="T905" s="40" t="n">
        <f aca="true">RAND()</f>
        <v>0.661230600349178</v>
      </c>
      <c r="U905" s="40" t="n">
        <f aca="true">RAND()</f>
        <v>0.686073214305641</v>
      </c>
    </row>
    <row r="906" customFormat="false" ht="15" hidden="false" customHeight="false" outlineLevel="0" collapsed="false">
      <c r="A906" s="36" t="n">
        <v>826</v>
      </c>
      <c r="B906" s="37" t="n">
        <f aca="false">1+IF($G$6=$E$6,$F$6,IF(P906&lt;($F$6-$E$6)/($G$6-$E$6),$E$6+SQRT(P906*($G$6-$E$6)*($F$6-$E$6)),$G$6-SQRT((1-P906)*($G$6-$E$6)*($G$6-$F$6))))</f>
        <v>1.0153815050838</v>
      </c>
      <c r="C906" s="37" t="n">
        <f aca="false">1+IF($G$7=$E$7,$F$7,IF(Q906&lt;($F$7-$E$7)/($G$7-$E$7),$E$7+SQRT(Q906*($G$7-$E$7)*($F$7-$E$7)),$G$7-SQRT((1-Q906)*($G$7-$E$7)*($G$7-$F$7))))</f>
        <v>1.11173028838251</v>
      </c>
      <c r="D906" s="37" t="n">
        <f aca="false">1+IF($G$8=$E$8,$F$8,IF(R906&lt;($F$8-$E$8)/($G$8-$E$8),$E$8+SQRT(R906*($G$8-$E$8)*($F$8-$E$8)),$G$8-SQRT((1-R906)*($G$8-$E$8)*($G$8-$F$8))))</f>
        <v>1.00635099971618</v>
      </c>
      <c r="E906" s="37" t="n">
        <f aca="false">1+IF($G$9=$E$9,$F$9,IF(S906&lt;($F$9-$E$9)/($G$9-$E$9),$E$9+SQRT(S906*($G$9-$E$9)*($F$9-$E$9)),$G$9-SQRT((1-S906)*($G$9-$E$9)*($G$9-$F$9))))</f>
        <v>0.92925001730265</v>
      </c>
      <c r="F906" s="37" t="n">
        <f aca="false">1+IF($G$10=$E$10,$F$10,IF(T906&lt;($F$10-$E$10)/($G$10-$E$10),$E$10+SQRT(T906*($G$10-$E$10)*($F$10-$E$10)),$G$10-SQRT((1-T906)*($G$10-$E$10)*($G$10-$F$10))))</f>
        <v>0.967888316695319</v>
      </c>
      <c r="G906" s="38" t="n">
        <f aca="false">IF($G$11=$E$11,$F$11,IF(U906&lt;($F$11-$E$11)/($G$11-$E$11),$E$11+SQRT(U906*($G$11-$E$11)*($F$11-$E$11)),$G$11-SQRT((1-U906)*($G$11-$E$11)*($G$11-$F$11))))</f>
        <v>0.0930569497285832</v>
      </c>
      <c r="H906" s="39" t="n">
        <f aca="false">(('Business Case'!B11*$C906*'Business Case'!B12*$B906)-'Business Case'!B11*$C906*'Business Case'!B13*$D906-'Business Case'!B14*$E906)-MAX(0,(('Business Case'!B11*$C906*'Business Case'!B12*$B906)-'Business Case'!B11*$C906*'Business Case'!B13*$D906-'Business Case'!B14*$E906))*'Business Case'!$B$7-'Business Case'!$B$8*('Business Case'!B11*$C906*'Business Case'!B12*$B906)-'Business Case'!B15*$F906</f>
        <v>-1935776633.39064</v>
      </c>
      <c r="I906" s="39" t="n">
        <f aca="false">(('Business Case'!C11*$C906*'Business Case'!C12*$B906)-'Business Case'!C11*$C906*'Business Case'!C13*$D906-'Business Case'!C14*$E906)-MAX(0,(('Business Case'!C11*$C906*'Business Case'!C12*$B906)-'Business Case'!C11*$C906*'Business Case'!C13*$D906-'Business Case'!C14*$E906))*'Business Case'!$B$7-'Business Case'!$B$8*(('Business Case'!C11*$C906*'Business Case'!C12*$B906)-('Business Case'!B11*$C906*'Business Case'!B12*$B906))-'Business Case'!C15*$F906</f>
        <v>64415170.0255708</v>
      </c>
      <c r="J906" s="39" t="n">
        <f aca="false">(('Business Case'!D11*$C906*'Business Case'!D12*$B906)-'Business Case'!D11*$C906*'Business Case'!D13*$D906-'Business Case'!D14*$E906)-MAX(0,(('Business Case'!D11*$C906*'Business Case'!D12*$B906)-'Business Case'!D11*$C906*'Business Case'!D13*$D906-'Business Case'!D14*$E906))*'Business Case'!$B$7-'Business Case'!$B$8*(('Business Case'!D11*$C906*'Business Case'!D12*$B906)-('Business Case'!C11*$C906*'Business Case'!C12*$B906))-'Business Case'!D15*$F906</f>
        <v>416277090.74154</v>
      </c>
      <c r="K906" s="39" t="n">
        <f aca="false">(('Business Case'!E11*$C906*'Business Case'!E12*$B906)-'Business Case'!E11*$C906*'Business Case'!E13*$D906-'Business Case'!E14*$E906)-MAX(0,(('Business Case'!E11*$C906*'Business Case'!E12*$B906)-'Business Case'!E11*$C906*'Business Case'!E13*$D906-'Business Case'!E14*$E906))*'Business Case'!$B$7-'Business Case'!$B$8*(('Business Case'!E11*$C906*'Business Case'!E12*$B906)-('Business Case'!D11*$C906*'Business Case'!D12*$B906))-'Business Case'!E15*$F906</f>
        <v>816533427.292275</v>
      </c>
      <c r="L906" s="39" t="n">
        <f aca="false">(('Business Case'!F11*$C906*'Business Case'!F12*$B906)-'Business Case'!F11*$C906*'Business Case'!F13*$D906-'Business Case'!F14*$E906)-MAX(0,(('Business Case'!F11*$C906*'Business Case'!F12*$B906)-'Business Case'!F11*$C906*'Business Case'!F13*$D906-'Business Case'!F14*$E906))*'Business Case'!$B$7-'Business Case'!$B$8*(('Business Case'!F11*$C906*'Business Case'!F12*$B906)-('Business Case'!E11*$C906*'Business Case'!E12*$B906))-'Business Case'!F15*$F906</f>
        <v>972833111.904552</v>
      </c>
      <c r="M906" s="39" t="n">
        <f aca="false">(('Business Case'!G11*$C906*'Business Case'!G12*$B906)-'Business Case'!G11*$C906*'Business Case'!G13*$D906-'Business Case'!G14*$E906)-MAX(0,(('Business Case'!G11*$C906*'Business Case'!G12*$B906)-'Business Case'!G11*$C906*'Business Case'!G13*$D906-'Business Case'!G14*$E906))*'Business Case'!$B$7-'Business Case'!$B$8*(('Business Case'!G11*$C906*'Business Case'!G12*$B906)-('Business Case'!F11*$C906*'Business Case'!F12*$B906))-'Business Case'!G15*$F906+'Business Case'!$B$8*('Business Case'!G11*$C906*'Business Case'!G12*$B906)</f>
        <v>1187401189.29279</v>
      </c>
      <c r="N906" s="39" t="n">
        <f aca="false">IF(COUNT('Business Case'!B11:G11)=0,"",H906+NPV(G906,I906:M906))</f>
        <v>539308088.67998</v>
      </c>
      <c r="P906" s="40" t="n">
        <f aca="true">RAND()</f>
        <v>0.84020797463163</v>
      </c>
      <c r="Q906" s="40" t="n">
        <f aca="true">RAND()</f>
        <v>0.978302654410576</v>
      </c>
      <c r="R906" s="40" t="n">
        <f aca="true">RAND()</f>
        <v>0.415324316389456</v>
      </c>
      <c r="S906" s="40" t="n">
        <f aca="true">RAND()</f>
        <v>0.034222540488212</v>
      </c>
      <c r="T906" s="40" t="n">
        <f aca="true">RAND()</f>
        <v>0.0213327916128028</v>
      </c>
      <c r="U906" s="40" t="n">
        <f aca="true">RAND()</f>
        <v>0.170483936214749</v>
      </c>
    </row>
    <row r="907" customFormat="false" ht="15" hidden="false" customHeight="false" outlineLevel="0" collapsed="false">
      <c r="A907" s="36" t="n">
        <v>827</v>
      </c>
      <c r="B907" s="37" t="n">
        <f aca="false">1+IF($G$6=$E$6,$F$6,IF(P907&lt;($F$6-$E$6)/($G$6-$E$6),$E$6+SQRT(P907*($G$6-$E$6)*($F$6-$E$6)),$G$6-SQRT((1-P907)*($G$6-$E$6)*($G$6-$F$6))))</f>
        <v>0.98109668450537</v>
      </c>
      <c r="C907" s="37" t="n">
        <f aca="false">1+IF($G$7=$E$7,$F$7,IF(Q907&lt;($F$7-$E$7)/($G$7-$E$7),$E$7+SQRT(Q907*($G$7-$E$7)*($F$7-$E$7)),$G$7-SQRT((1-Q907)*($G$7-$E$7)*($G$7-$F$7))))</f>
        <v>1.1147281098575</v>
      </c>
      <c r="D907" s="37" t="n">
        <f aca="false">1+IF($G$8=$E$8,$F$8,IF(R907&lt;($F$8-$E$8)/($G$8-$E$8),$E$8+SQRT(R907*($G$8-$E$8)*($F$8-$E$8)),$G$8-SQRT((1-R907)*($G$8-$E$8)*($G$8-$F$8))))</f>
        <v>0.982032542140371</v>
      </c>
      <c r="E907" s="37" t="n">
        <f aca="false">1+IF($G$9=$E$9,$F$9,IF(S907&lt;($F$9-$E$9)/($G$9-$E$9),$E$9+SQRT(S907*($G$9-$E$9)*($F$9-$E$9)),$G$9-SQRT((1-S907)*($G$9-$E$9)*($G$9-$F$9))))</f>
        <v>1.01371989326541</v>
      </c>
      <c r="F907" s="37" t="n">
        <f aca="false">1+IF($G$10=$E$10,$F$10,IF(T907&lt;($F$10-$E$10)/($G$10-$E$10),$E$10+SQRT(T907*($G$10-$E$10)*($F$10-$E$10)),$G$10-SQRT((1-T907)*($G$10-$E$10)*($G$10-$F$10))))</f>
        <v>1.1865247128693</v>
      </c>
      <c r="G907" s="38" t="n">
        <f aca="false">IF($G$11=$E$11,$F$11,IF(U907&lt;($F$11-$E$11)/($G$11-$E$11),$E$11+SQRT(U907*($G$11-$E$11)*($F$11-$E$11)),$G$11-SQRT((1-U907)*($G$11-$E$11)*($G$11-$F$11))))</f>
        <v>0.104541127207333</v>
      </c>
      <c r="H907" s="39" t="n">
        <f aca="false">(('Business Case'!B11*$C907*'Business Case'!B12*$B907)-'Business Case'!B11*$C907*'Business Case'!B13*$D907-'Business Case'!B14*$E907)-MAX(0,(('Business Case'!B11*$C907*'Business Case'!B12*$B907)-'Business Case'!B11*$C907*'Business Case'!B13*$D907-'Business Case'!B14*$E907))*'Business Case'!$B$7-'Business Case'!$B$8*('Business Case'!B11*$C907*'Business Case'!B12*$B907)-'Business Case'!B15*$F907</f>
        <v>-2373049425.73859</v>
      </c>
      <c r="I907" s="39" t="n">
        <f aca="false">(('Business Case'!C11*$C907*'Business Case'!C12*$B907)-'Business Case'!C11*$C907*'Business Case'!C13*$D907-'Business Case'!C14*$E907)-MAX(0,(('Business Case'!C11*$C907*'Business Case'!C12*$B907)-'Business Case'!C11*$C907*'Business Case'!C13*$D907-'Business Case'!C14*$E907))*'Business Case'!$B$7-'Business Case'!$B$8*(('Business Case'!C11*$C907*'Business Case'!C12*$B907)-('Business Case'!B11*$C907*'Business Case'!B12*$B907))-'Business Case'!C15*$F907</f>
        <v>15886025.3493513</v>
      </c>
      <c r="J907" s="39" t="n">
        <f aca="false">(('Business Case'!D11*$C907*'Business Case'!D12*$B907)-'Business Case'!D11*$C907*'Business Case'!D13*$D907-'Business Case'!D14*$E907)-MAX(0,(('Business Case'!D11*$C907*'Business Case'!D12*$B907)-'Business Case'!D11*$C907*'Business Case'!D13*$D907-'Business Case'!D14*$E907))*'Business Case'!$B$7-'Business Case'!$B$8*(('Business Case'!D11*$C907*'Business Case'!D12*$B907)-('Business Case'!C11*$C907*'Business Case'!C12*$B907))-'Business Case'!D15*$F907</f>
        <v>351270620.580259</v>
      </c>
      <c r="K907" s="39" t="n">
        <f aca="false">(('Business Case'!E11*$C907*'Business Case'!E12*$B907)-'Business Case'!E11*$C907*'Business Case'!E13*$D907-'Business Case'!E14*$E907)-MAX(0,(('Business Case'!E11*$C907*'Business Case'!E12*$B907)-'Business Case'!E11*$C907*'Business Case'!E13*$D907-'Business Case'!E14*$E907))*'Business Case'!$B$7-'Business Case'!$B$8*(('Business Case'!E11*$C907*'Business Case'!E12*$B907)-('Business Case'!D11*$C907*'Business Case'!D12*$B907))-'Business Case'!E15*$F907</f>
        <v>745981451.454631</v>
      </c>
      <c r="L907" s="39" t="n">
        <f aca="false">(('Business Case'!F11*$C907*'Business Case'!F12*$B907)-'Business Case'!F11*$C907*'Business Case'!F13*$D907-'Business Case'!F14*$E907)-MAX(0,(('Business Case'!F11*$C907*'Business Case'!F12*$B907)-'Business Case'!F11*$C907*'Business Case'!F13*$D907-'Business Case'!F14*$E907))*'Business Case'!$B$7-'Business Case'!$B$8*(('Business Case'!F11*$C907*'Business Case'!F12*$B907)-('Business Case'!E11*$C907*'Business Case'!E12*$B907))-'Business Case'!F15*$F907</f>
        <v>895573069.713124</v>
      </c>
      <c r="M907" s="39" t="n">
        <f aca="false">(('Business Case'!G11*$C907*'Business Case'!G12*$B907)-'Business Case'!G11*$C907*'Business Case'!G13*$D907-'Business Case'!G14*$E907)-MAX(0,(('Business Case'!G11*$C907*'Business Case'!G12*$B907)-'Business Case'!G11*$C907*'Business Case'!G13*$D907-'Business Case'!G14*$E907))*'Business Case'!$B$7-'Business Case'!$B$8*(('Business Case'!G11*$C907*'Business Case'!G12*$B907)-('Business Case'!F11*$C907*'Business Case'!F12*$B907))-'Business Case'!G15*$F907+'Business Case'!$B$8*('Business Case'!G11*$C907*'Business Case'!G12*$B907)</f>
        <v>1103455212.21151</v>
      </c>
      <c r="N907" s="39" t="n">
        <f aca="false">IF(COUNT('Business Case'!B11:G11)=0,"",H907+NPV(G907,I907:M907))</f>
        <v>-244279759.959572</v>
      </c>
      <c r="P907" s="40" t="n">
        <f aca="true">RAND()</f>
        <v>0.438444815850897</v>
      </c>
      <c r="Q907" s="40" t="n">
        <f aca="true">RAND()</f>
        <v>0.981568796530007</v>
      </c>
      <c r="R907" s="40" t="n">
        <f aca="true">RAND()</f>
        <v>0.136811167463286</v>
      </c>
      <c r="S907" s="40" t="n">
        <f aca="true">RAND()</f>
        <v>0.504739533557537</v>
      </c>
      <c r="T907" s="40" t="n">
        <f aca="true">RAND()</f>
        <v>0.946278505648994</v>
      </c>
      <c r="U907" s="40" t="n">
        <f aca="true">RAND()</f>
        <v>0.56789719741787</v>
      </c>
    </row>
    <row r="908" customFormat="false" ht="15" hidden="false" customHeight="false" outlineLevel="0" collapsed="false">
      <c r="A908" s="36" t="n">
        <v>828</v>
      </c>
      <c r="B908" s="37" t="n">
        <f aca="false">1+IF($G$6=$E$6,$F$6,IF(P908&lt;($F$6-$E$6)/($G$6-$E$6),$E$6+SQRT(P908*($G$6-$E$6)*($F$6-$E$6)),$G$6-SQRT((1-P908)*($G$6-$E$6)*($G$6-$F$6))))</f>
        <v>0.999730641067835</v>
      </c>
      <c r="C908" s="37" t="n">
        <f aca="false">1+IF($G$7=$E$7,$F$7,IF(Q908&lt;($F$7-$E$7)/($G$7-$E$7),$E$7+SQRT(Q908*($G$7-$E$7)*($F$7-$E$7)),$G$7-SQRT((1-Q908)*($G$7-$E$7)*($G$7-$F$7))))</f>
        <v>0.873560800851501</v>
      </c>
      <c r="D908" s="37" t="n">
        <f aca="false">1+IF($G$8=$E$8,$F$8,IF(R908&lt;($F$8-$E$8)/($G$8-$E$8),$E$8+SQRT(R908*($G$8-$E$8)*($F$8-$E$8)),$G$8-SQRT((1-R908)*($G$8-$E$8)*($G$8-$F$8))))</f>
        <v>1.06802750777682</v>
      </c>
      <c r="E908" s="37" t="n">
        <f aca="false">1+IF($G$9=$E$9,$F$9,IF(S908&lt;($F$9-$E$9)/($G$9-$E$9),$E$9+SQRT(S908*($G$9-$E$9)*($F$9-$E$9)),$G$9-SQRT((1-S908)*($G$9-$E$9)*($G$9-$F$9))))</f>
        <v>1.05653683787352</v>
      </c>
      <c r="F908" s="37" t="n">
        <f aca="false">1+IF($G$10=$E$10,$F$10,IF(T908&lt;($F$10-$E$10)/($G$10-$E$10),$E$10+SQRT(T908*($G$10-$E$10)*($F$10-$E$10)),$G$10-SQRT((1-T908)*($G$10-$E$10)*($G$10-$F$10))))</f>
        <v>0.998237286461219</v>
      </c>
      <c r="G908" s="38" t="n">
        <f aca="false">IF($G$11=$E$11,$F$11,IF(U908&lt;($F$11-$E$11)/($G$11-$E$11),$E$11+SQRT(U908*($G$11-$E$11)*($F$11-$E$11)),$G$11-SQRT((1-U908)*($G$11-$E$11)*($G$11-$F$11))))</f>
        <v>0.102414558550042</v>
      </c>
      <c r="H908" s="39" t="n">
        <f aca="false">(('Business Case'!B11*$C908*'Business Case'!B12*$B908)-'Business Case'!B11*$C908*'Business Case'!B13*$D908-'Business Case'!B14*$E908)-MAX(0,(('Business Case'!B11*$C908*'Business Case'!B12*$B908)-'Business Case'!B11*$C908*'Business Case'!B13*$D908-'Business Case'!B14*$E908))*'Business Case'!$B$7-'Business Case'!$B$8*('Business Case'!B11*$C908*'Business Case'!B12*$B908)-'Business Case'!B15*$F908</f>
        <v>-1996474572.92244</v>
      </c>
      <c r="I908" s="39" t="n">
        <f aca="false">(('Business Case'!C11*$C908*'Business Case'!C12*$B908)-'Business Case'!C11*$C908*'Business Case'!C13*$D908-'Business Case'!C14*$E908)-MAX(0,(('Business Case'!C11*$C908*'Business Case'!C12*$B908)-'Business Case'!C11*$C908*'Business Case'!C13*$D908-'Business Case'!C14*$E908))*'Business Case'!$B$7-'Business Case'!$B$8*(('Business Case'!C11*$C908*'Business Case'!C12*$B908)-('Business Case'!B11*$C908*'Business Case'!B12*$B908))-'Business Case'!C15*$F908</f>
        <v>-57634684.5355865</v>
      </c>
      <c r="J908" s="39" t="n">
        <f aca="false">(('Business Case'!D11*$C908*'Business Case'!D12*$B908)-'Business Case'!D11*$C908*'Business Case'!D13*$D908-'Business Case'!D14*$E908)-MAX(0,(('Business Case'!D11*$C908*'Business Case'!D12*$B908)-'Business Case'!D11*$C908*'Business Case'!D13*$D908-'Business Case'!D14*$E908))*'Business Case'!$B$7-'Business Case'!$B$8*(('Business Case'!D11*$C908*'Business Case'!D12*$B908)-('Business Case'!C11*$C908*'Business Case'!C12*$B908))-'Business Case'!D15*$F908</f>
        <v>180067091.811896</v>
      </c>
      <c r="K908" s="39" t="n">
        <f aca="false">(('Business Case'!E11*$C908*'Business Case'!E12*$B908)-'Business Case'!E11*$C908*'Business Case'!E13*$D908-'Business Case'!E14*$E908)-MAX(0,(('Business Case'!E11*$C908*'Business Case'!E12*$B908)-'Business Case'!E11*$C908*'Business Case'!E13*$D908-'Business Case'!E14*$E908))*'Business Case'!$B$7-'Business Case'!$B$8*(('Business Case'!E11*$C908*'Business Case'!E12*$B908)-('Business Case'!D11*$C908*'Business Case'!D12*$B908))-'Business Case'!E15*$F908</f>
        <v>467680732.482438</v>
      </c>
      <c r="L908" s="39" t="n">
        <f aca="false">(('Business Case'!F11*$C908*'Business Case'!F12*$B908)-'Business Case'!F11*$C908*'Business Case'!F13*$D908-'Business Case'!F14*$E908)-MAX(0,(('Business Case'!F11*$C908*'Business Case'!F12*$B908)-'Business Case'!F11*$C908*'Business Case'!F13*$D908-'Business Case'!F14*$E908))*'Business Case'!$B$7-'Business Case'!$B$8*(('Business Case'!F11*$C908*'Business Case'!F12*$B908)-('Business Case'!E11*$C908*'Business Case'!E12*$B908))-'Business Case'!F15*$F908</f>
        <v>577096787.192488</v>
      </c>
      <c r="M908" s="39" t="n">
        <f aca="false">(('Business Case'!G11*$C908*'Business Case'!G12*$B908)-'Business Case'!G11*$C908*'Business Case'!G13*$D908-'Business Case'!G14*$E908)-MAX(0,(('Business Case'!G11*$C908*'Business Case'!G12*$B908)-'Business Case'!G11*$C908*'Business Case'!G13*$D908-'Business Case'!G14*$E908))*'Business Case'!$B$7-'Business Case'!$B$8*(('Business Case'!G11*$C908*'Business Case'!G12*$B908)-('Business Case'!F11*$C908*'Business Case'!F12*$B908))-'Business Case'!G15*$F908+'Business Case'!$B$8*('Business Case'!G11*$C908*'Business Case'!G12*$B908)</f>
        <v>743098498.127374</v>
      </c>
      <c r="N908" s="39" t="n">
        <f aca="false">IF(COUNT('Business Case'!B11:G11)=0,"",H908+NPV(G908,I908:M908))</f>
        <v>-704420904.538821</v>
      </c>
      <c r="P908" s="40" t="n">
        <f aca="true">RAND()</f>
        <v>0.663080051186754</v>
      </c>
      <c r="Q908" s="40" t="n">
        <f aca="true">RAND()</f>
        <v>0.223135937720107</v>
      </c>
      <c r="R908" s="40" t="n">
        <f aca="true">RAND()</f>
        <v>0.931850649402578</v>
      </c>
      <c r="S908" s="40" t="n">
        <f aca="true">RAND()</f>
        <v>0.767056995341834</v>
      </c>
      <c r="T908" s="40" t="n">
        <f aca="true">RAND()</f>
        <v>0.155122387009443</v>
      </c>
      <c r="U908" s="40" t="n">
        <f aca="true">RAND()</f>
        <v>0.492695613340634</v>
      </c>
    </row>
    <row r="909" customFormat="false" ht="15" hidden="false" customHeight="false" outlineLevel="0" collapsed="false">
      <c r="A909" s="36" t="n">
        <v>829</v>
      </c>
      <c r="B909" s="37" t="n">
        <f aca="false">1+IF($G$6=$E$6,$F$6,IF(P909&lt;($F$6-$E$6)/($G$6-$E$6),$E$6+SQRT(P909*($G$6-$E$6)*($F$6-$E$6)),$G$6-SQRT((1-P909)*($G$6-$E$6)*($G$6-$F$6))))</f>
        <v>1.01255634403764</v>
      </c>
      <c r="C909" s="37" t="n">
        <f aca="false">1+IF($G$7=$E$7,$F$7,IF(Q909&lt;($F$7-$E$7)/($G$7-$E$7),$E$7+SQRT(Q909*($G$7-$E$7)*($F$7-$E$7)),$G$7-SQRT((1-Q909)*($G$7-$E$7)*($G$7-$F$7))))</f>
        <v>0.901100638731177</v>
      </c>
      <c r="D909" s="37" t="n">
        <f aca="false">1+IF($G$8=$E$8,$F$8,IF(R909&lt;($F$8-$E$8)/($G$8-$E$8),$E$8+SQRT(R909*($G$8-$E$8)*($F$8-$E$8)),$G$8-SQRT((1-R909)*($G$8-$E$8)*($G$8-$F$8))))</f>
        <v>0.997562835831442</v>
      </c>
      <c r="E909" s="37" t="n">
        <f aca="false">1+IF($G$9=$E$9,$F$9,IF(S909&lt;($F$9-$E$9)/($G$9-$E$9),$E$9+SQRT(S909*($G$9-$E$9)*($F$9-$E$9)),$G$9-SQRT((1-S909)*($G$9-$E$9)*($G$9-$F$9))))</f>
        <v>0.996150363506503</v>
      </c>
      <c r="F909" s="37" t="n">
        <f aca="false">1+IF($G$10=$E$10,$F$10,IF(T909&lt;($F$10-$E$10)/($G$10-$E$10),$E$10+SQRT(T909*($G$10-$E$10)*($F$10-$E$10)),$G$10-SQRT((1-T909)*($G$10-$E$10)*($G$10-$F$10))))</f>
        <v>1.01301404352403</v>
      </c>
      <c r="G909" s="38" t="n">
        <f aca="false">IF($G$11=$E$11,$F$11,IF(U909&lt;($F$11-$E$11)/($G$11-$E$11),$E$11+SQRT(U909*($G$11-$E$11)*($F$11-$E$11)),$G$11-SQRT((1-U909)*($G$11-$E$11)*($G$11-$F$11))))</f>
        <v>0.109729841737587</v>
      </c>
      <c r="H909" s="39" t="n">
        <f aca="false">(('Business Case'!B11*$C909*'Business Case'!B12*$B909)-'Business Case'!B11*$C909*'Business Case'!B13*$D909-'Business Case'!B14*$E909)-MAX(0,(('Business Case'!B11*$C909*'Business Case'!B12*$B909)-'Business Case'!B11*$C909*'Business Case'!B13*$D909-'Business Case'!B14*$E909))*'Business Case'!$B$7-'Business Case'!$B$8*('Business Case'!B11*$C909*'Business Case'!B12*$B909)-'Business Case'!B15*$F909</f>
        <v>-2026028087.04806</v>
      </c>
      <c r="I909" s="39" t="n">
        <f aca="false">(('Business Case'!C11*$C909*'Business Case'!C12*$B909)-'Business Case'!C11*$C909*'Business Case'!C13*$D909-'Business Case'!C14*$E909)-MAX(0,(('Business Case'!C11*$C909*'Business Case'!C12*$B909)-'Business Case'!C11*$C909*'Business Case'!C13*$D909-'Business Case'!C14*$E909))*'Business Case'!$B$7-'Business Case'!$B$8*(('Business Case'!C11*$C909*'Business Case'!C12*$B909)-('Business Case'!B11*$C909*'Business Case'!B12*$B909))-'Business Case'!C15*$F909</f>
        <v>-3087067.60199285</v>
      </c>
      <c r="J909" s="39" t="n">
        <f aca="false">(('Business Case'!D11*$C909*'Business Case'!D12*$B909)-'Business Case'!D11*$C909*'Business Case'!D13*$D909-'Business Case'!D14*$E909)-MAX(0,(('Business Case'!D11*$C909*'Business Case'!D12*$B909)-'Business Case'!D11*$C909*'Business Case'!D13*$D909-'Business Case'!D14*$E909))*'Business Case'!$B$7-'Business Case'!$B$8*(('Business Case'!D11*$C909*'Business Case'!D12*$B909)-('Business Case'!C11*$C909*'Business Case'!C12*$B909))-'Business Case'!D15*$F909</f>
        <v>284079453.167012</v>
      </c>
      <c r="K909" s="39" t="n">
        <f aca="false">(('Business Case'!E11*$C909*'Business Case'!E12*$B909)-'Business Case'!E11*$C909*'Business Case'!E13*$D909-'Business Case'!E14*$E909)-MAX(0,(('Business Case'!E11*$C909*'Business Case'!E12*$B909)-'Business Case'!E11*$C909*'Business Case'!E13*$D909-'Business Case'!E14*$E909))*'Business Case'!$B$7-'Business Case'!$B$8*(('Business Case'!E11*$C909*'Business Case'!E12*$B909)-('Business Case'!D11*$C909*'Business Case'!D12*$B909))-'Business Case'!E15*$F909</f>
        <v>621896676.112219</v>
      </c>
      <c r="L909" s="39" t="n">
        <f aca="false">(('Business Case'!F11*$C909*'Business Case'!F12*$B909)-'Business Case'!F11*$C909*'Business Case'!F13*$D909-'Business Case'!F14*$E909)-MAX(0,(('Business Case'!F11*$C909*'Business Case'!F12*$B909)-'Business Case'!F11*$C909*'Business Case'!F13*$D909-'Business Case'!F14*$E909))*'Business Case'!$B$7-'Business Case'!$B$8*(('Business Case'!F11*$C909*'Business Case'!F12*$B909)-('Business Case'!E11*$C909*'Business Case'!E12*$B909))-'Business Case'!F15*$F909</f>
        <v>749151917.920534</v>
      </c>
      <c r="M909" s="39" t="n">
        <f aca="false">(('Business Case'!G11*$C909*'Business Case'!G12*$B909)-'Business Case'!G11*$C909*'Business Case'!G13*$D909-'Business Case'!G14*$E909)-MAX(0,(('Business Case'!G11*$C909*'Business Case'!G12*$B909)-'Business Case'!G11*$C909*'Business Case'!G13*$D909-'Business Case'!G14*$E909))*'Business Case'!$B$7-'Business Case'!$B$8*(('Business Case'!G11*$C909*'Business Case'!G12*$B909)-('Business Case'!F11*$C909*'Business Case'!F12*$B909))-'Business Case'!G15*$F909+'Business Case'!$B$8*('Business Case'!G11*$C909*'Business Case'!G12*$B909)</f>
        <v>922583793.12309</v>
      </c>
      <c r="N909" s="39" t="n">
        <f aca="false">IF(COUNT('Business Case'!B11:G11)=0,"",H909+NPV(G909,I909:M909))</f>
        <v>-300929061.158993</v>
      </c>
      <c r="P909" s="40" t="n">
        <f aca="true">RAND()</f>
        <v>0.813063017089613</v>
      </c>
      <c r="Q909" s="40" t="n">
        <f aca="true">RAND()</f>
        <v>0.299566421467313</v>
      </c>
      <c r="R909" s="40" t="n">
        <f aca="true">RAND()</f>
        <v>0.301629780310488</v>
      </c>
      <c r="S909" s="40" t="n">
        <f aca="true">RAND()</f>
        <v>0.369795696097308</v>
      </c>
      <c r="T909" s="40" t="n">
        <f aca="true">RAND()</f>
        <v>0.251168752442265</v>
      </c>
      <c r="U909" s="40" t="n">
        <f aca="true">RAND()</f>
        <v>0.72608045601115</v>
      </c>
    </row>
    <row r="910" customFormat="false" ht="15" hidden="false" customHeight="false" outlineLevel="0" collapsed="false">
      <c r="A910" s="36" t="n">
        <v>830</v>
      </c>
      <c r="B910" s="37" t="n">
        <f aca="false">1+IF($G$6=$E$6,$F$6,IF(P910&lt;($F$6-$E$6)/($G$6-$E$6),$E$6+SQRT(P910*($G$6-$E$6)*($F$6-$E$6)),$G$6-SQRT((1-P910)*($G$6-$E$6)*($G$6-$F$6))))</f>
        <v>0.977657739069855</v>
      </c>
      <c r="C910" s="37" t="n">
        <f aca="false">1+IF($G$7=$E$7,$F$7,IF(Q910&lt;($F$7-$E$7)/($G$7-$E$7),$E$7+SQRT(Q910*($G$7-$E$7)*($F$7-$E$7)),$G$7-SQRT((1-Q910)*($G$7-$E$7)*($G$7-$F$7))))</f>
        <v>1.0571716829234</v>
      </c>
      <c r="D910" s="37" t="n">
        <f aca="false">1+IF($G$8=$E$8,$F$8,IF(R910&lt;($F$8-$E$8)/($G$8-$E$8),$E$8+SQRT(R910*($G$8-$E$8)*($F$8-$E$8)),$G$8-SQRT((1-R910)*($G$8-$E$8)*($G$8-$F$8))))</f>
        <v>0.976135726391242</v>
      </c>
      <c r="E910" s="37" t="n">
        <f aca="false">1+IF($G$9=$E$9,$F$9,IF(S910&lt;($F$9-$E$9)/($G$9-$E$9),$E$9+SQRT(S910*($G$9-$E$9)*($F$9-$E$9)),$G$9-SQRT((1-S910)*($G$9-$E$9)*($G$9-$F$9))))</f>
        <v>1.03535332644289</v>
      </c>
      <c r="F910" s="37" t="n">
        <f aca="false">1+IF($G$10=$E$10,$F$10,IF(T910&lt;($F$10-$E$10)/($G$10-$E$10),$E$10+SQRT(T910*($G$10-$E$10)*($F$10-$E$10)),$G$10-SQRT((1-T910)*($G$10-$E$10)*($G$10-$F$10))))</f>
        <v>1.08444329779344</v>
      </c>
      <c r="G910" s="38" t="n">
        <f aca="false">IF($G$11=$E$11,$F$11,IF(U910&lt;($F$11-$E$11)/($G$11-$E$11),$E$11+SQRT(U910*($G$11-$E$11)*($F$11-$E$11)),$G$11-SQRT((1-U910)*($G$11-$E$11)*($G$11-$F$11))))</f>
        <v>0.110884884469546</v>
      </c>
      <c r="H910" s="39" t="n">
        <f aca="false">(('Business Case'!B11*$C910*'Business Case'!B12*$B910)-'Business Case'!B11*$C910*'Business Case'!B13*$D910-'Business Case'!B14*$E910)-MAX(0,(('Business Case'!B11*$C910*'Business Case'!B12*$B910)-'Business Case'!B11*$C910*'Business Case'!B13*$D910-'Business Case'!B14*$E910))*'Business Case'!$B$7-'Business Case'!$B$8*('Business Case'!B11*$C910*'Business Case'!B12*$B910)-'Business Case'!B15*$F910</f>
        <v>-2168886595.58687</v>
      </c>
      <c r="I910" s="39" t="n">
        <f aca="false">(('Business Case'!C11*$C910*'Business Case'!C12*$B910)-'Business Case'!C11*$C910*'Business Case'!C13*$D910-'Business Case'!C14*$E910)-MAX(0,(('Business Case'!C11*$C910*'Business Case'!C12*$B910)-'Business Case'!C11*$C910*'Business Case'!C13*$D910-'Business Case'!C14*$E910))*'Business Case'!$B$7-'Business Case'!$B$8*(('Business Case'!C11*$C910*'Business Case'!C12*$B910)-('Business Case'!B11*$C910*'Business Case'!B12*$B910))-'Business Case'!C15*$F910</f>
        <v>9030369.14377804</v>
      </c>
      <c r="J910" s="39" t="n">
        <f aca="false">(('Business Case'!D11*$C910*'Business Case'!D12*$B910)-'Business Case'!D11*$C910*'Business Case'!D13*$D910-'Business Case'!D14*$E910)-MAX(0,(('Business Case'!D11*$C910*'Business Case'!D12*$B910)-'Business Case'!D11*$C910*'Business Case'!D13*$D910-'Business Case'!D14*$E910))*'Business Case'!$B$7-'Business Case'!$B$8*(('Business Case'!D11*$C910*'Business Case'!D12*$B910)-('Business Case'!C11*$C910*'Business Case'!C12*$B910))-'Business Case'!D15*$F910</f>
        <v>327311650.776155</v>
      </c>
      <c r="K910" s="39" t="n">
        <f aca="false">(('Business Case'!E11*$C910*'Business Case'!E12*$B910)-'Business Case'!E11*$C910*'Business Case'!E13*$D910-'Business Case'!E14*$E910)-MAX(0,(('Business Case'!E11*$C910*'Business Case'!E12*$B910)-'Business Case'!E11*$C910*'Business Case'!E13*$D910-'Business Case'!E14*$E910))*'Business Case'!$B$7-'Business Case'!$B$8*(('Business Case'!E11*$C910*'Business Case'!E12*$B910)-('Business Case'!D11*$C910*'Business Case'!D12*$B910))-'Business Case'!E15*$F910</f>
        <v>699815097.298203</v>
      </c>
      <c r="L910" s="39" t="n">
        <f aca="false">(('Business Case'!F11*$C910*'Business Case'!F12*$B910)-'Business Case'!F11*$C910*'Business Case'!F13*$D910-'Business Case'!F14*$E910)-MAX(0,(('Business Case'!F11*$C910*'Business Case'!F12*$B910)-'Business Case'!F11*$C910*'Business Case'!F13*$D910-'Business Case'!F14*$E910))*'Business Case'!$B$7-'Business Case'!$B$8*(('Business Case'!F11*$C910*'Business Case'!F12*$B910)-('Business Case'!E11*$C910*'Business Case'!E12*$B910))-'Business Case'!F15*$F910</f>
        <v>841628417.635045</v>
      </c>
      <c r="M910" s="39" t="n">
        <f aca="false">(('Business Case'!G11*$C910*'Business Case'!G12*$B910)-'Business Case'!G11*$C910*'Business Case'!G13*$D910-'Business Case'!G14*$E910)-MAX(0,(('Business Case'!G11*$C910*'Business Case'!G12*$B910)-'Business Case'!G11*$C910*'Business Case'!G13*$D910-'Business Case'!G14*$E910))*'Business Case'!$B$7-'Business Case'!$B$8*(('Business Case'!G11*$C910*'Business Case'!G12*$B910)-('Business Case'!F11*$C910*'Business Case'!F12*$B910))-'Business Case'!G15*$F910+'Business Case'!$B$8*('Business Case'!G11*$C910*'Business Case'!G12*$B910)</f>
        <v>1038085996.49499</v>
      </c>
      <c r="N910" s="39" t="n">
        <f aca="false">IF(COUNT('Business Case'!B11:G11)=0,"",H910+NPV(G910,I910:M910))</f>
        <v>-218804075.602456</v>
      </c>
      <c r="P910" s="40" t="n">
        <f aca="true">RAND()</f>
        <v>0.402048295829445</v>
      </c>
      <c r="Q910" s="40" t="n">
        <f aca="true">RAND()</f>
        <v>0.872339311832992</v>
      </c>
      <c r="R910" s="40" t="n">
        <f aca="true">RAND()</f>
        <v>0.0910768258663832</v>
      </c>
      <c r="S910" s="40" t="n">
        <f aca="true">RAND()</f>
        <v>0.649497073127728</v>
      </c>
      <c r="T910" s="40" t="n">
        <f aca="true">RAND()</f>
        <v>0.634546378059823</v>
      </c>
      <c r="U910" s="40" t="n">
        <f aca="true">RAND()</f>
        <v>0.756408238838251</v>
      </c>
    </row>
    <row r="911" customFormat="false" ht="15" hidden="false" customHeight="false" outlineLevel="0" collapsed="false">
      <c r="A911" s="36" t="n">
        <v>831</v>
      </c>
      <c r="B911" s="37" t="n">
        <f aca="false">1+IF($G$6=$E$6,$F$6,IF(P911&lt;($F$6-$E$6)/($G$6-$E$6),$E$6+SQRT(P911*($G$6-$E$6)*($F$6-$E$6)),$G$6-SQRT((1-P911)*($G$6-$E$6)*($G$6-$F$6))))</f>
        <v>0.915906574023586</v>
      </c>
      <c r="C911" s="37" t="n">
        <f aca="false">1+IF($G$7=$E$7,$F$7,IF(Q911&lt;($F$7-$E$7)/($G$7-$E$7),$E$7+SQRT(Q911*($G$7-$E$7)*($F$7-$E$7)),$G$7-SQRT((1-Q911)*($G$7-$E$7)*($G$7-$F$7))))</f>
        <v>1.0580054132317</v>
      </c>
      <c r="D911" s="37" t="n">
        <f aca="false">1+IF($G$8=$E$8,$F$8,IF(R911&lt;($F$8-$E$8)/($G$8-$E$8),$E$8+SQRT(R911*($G$8-$E$8)*($F$8-$E$8)),$G$8-SQRT((1-R911)*($G$8-$E$8)*($G$8-$F$8))))</f>
        <v>1.07618975453876</v>
      </c>
      <c r="E911" s="37" t="n">
        <f aca="false">1+IF($G$9=$E$9,$F$9,IF(S911&lt;($F$9-$E$9)/($G$9-$E$9),$E$9+SQRT(S911*($G$9-$E$9)*($F$9-$E$9)),$G$9-SQRT((1-S911)*($G$9-$E$9)*($G$9-$F$9))))</f>
        <v>1.02200421629365</v>
      </c>
      <c r="F911" s="37" t="n">
        <f aca="false">1+IF($G$10=$E$10,$F$10,IF(T911&lt;($F$10-$E$10)/($G$10-$E$10),$E$10+SQRT(T911*($G$10-$E$10)*($F$10-$E$10)),$G$10-SQRT((1-T911)*($G$10-$E$10)*($G$10-$F$10))))</f>
        <v>0.975262272508612</v>
      </c>
      <c r="G911" s="38" t="n">
        <f aca="false">IF($G$11=$E$11,$F$11,IF(U911&lt;($F$11-$E$11)/($G$11-$E$11),$E$11+SQRT(U911*($G$11-$E$11)*($F$11-$E$11)),$G$11-SQRT((1-U911)*($G$11-$E$11)*($G$11-$F$11))))</f>
        <v>0.120263987812578</v>
      </c>
      <c r="H911" s="39" t="n">
        <f aca="false">(('Business Case'!B11*$C911*'Business Case'!B12*$B911)-'Business Case'!B11*$C911*'Business Case'!B13*$D911-'Business Case'!B14*$E911)-MAX(0,(('Business Case'!B11*$C911*'Business Case'!B12*$B911)-'Business Case'!B11*$C911*'Business Case'!B13*$D911-'Business Case'!B14*$E911))*'Business Case'!$B$7-'Business Case'!$B$8*('Business Case'!B11*$C911*'Business Case'!B12*$B911)-'Business Case'!B15*$F911</f>
        <v>-1950524545.01722</v>
      </c>
      <c r="I911" s="39" t="n">
        <f aca="false">(('Business Case'!C11*$C911*'Business Case'!C12*$B911)-'Business Case'!C11*$C911*'Business Case'!C13*$D911-'Business Case'!C14*$E911)-MAX(0,(('Business Case'!C11*$C911*'Business Case'!C12*$B911)-'Business Case'!C11*$C911*'Business Case'!C13*$D911-'Business Case'!C14*$E911))*'Business Case'!$B$7-'Business Case'!$B$8*(('Business Case'!C11*$C911*'Business Case'!C12*$B911)-('Business Case'!B11*$C911*'Business Case'!B12*$B911))-'Business Case'!C15*$F911</f>
        <v>-82260824.8162723</v>
      </c>
      <c r="J911" s="39" t="n">
        <f aca="false">(('Business Case'!D11*$C911*'Business Case'!D12*$B911)-'Business Case'!D11*$C911*'Business Case'!D13*$D911-'Business Case'!D14*$E911)-MAX(0,(('Business Case'!D11*$C911*'Business Case'!D12*$B911)-'Business Case'!D11*$C911*'Business Case'!D13*$D911-'Business Case'!D14*$E911))*'Business Case'!$B$7-'Business Case'!$B$8*(('Business Case'!D11*$C911*'Business Case'!D12*$B911)-('Business Case'!C11*$C911*'Business Case'!C12*$B911))-'Business Case'!D15*$F911</f>
        <v>128568305.610376</v>
      </c>
      <c r="K911" s="39" t="n">
        <f aca="false">(('Business Case'!E11*$C911*'Business Case'!E12*$B911)-'Business Case'!E11*$C911*'Business Case'!E13*$D911-'Business Case'!E14*$E911)-MAX(0,(('Business Case'!E11*$C911*'Business Case'!E12*$B911)-'Business Case'!E11*$C911*'Business Case'!E13*$D911-'Business Case'!E14*$E911))*'Business Case'!$B$7-'Business Case'!$B$8*(('Business Case'!E11*$C911*'Business Case'!E12*$B911)-('Business Case'!D11*$C911*'Business Case'!D12*$B911))-'Business Case'!E15*$F911</f>
        <v>388160549.662455</v>
      </c>
      <c r="L911" s="39" t="n">
        <f aca="false">(('Business Case'!F11*$C911*'Business Case'!F12*$B911)-'Business Case'!F11*$C911*'Business Case'!F13*$D911-'Business Case'!F14*$E911)-MAX(0,(('Business Case'!F11*$C911*'Business Case'!F12*$B911)-'Business Case'!F11*$C911*'Business Case'!F13*$D911-'Business Case'!F14*$E911))*'Business Case'!$B$7-'Business Case'!$B$8*(('Business Case'!F11*$C911*'Business Case'!F12*$B911)-('Business Case'!E11*$C911*'Business Case'!E12*$B911))-'Business Case'!F15*$F911</f>
        <v>491926745.428072</v>
      </c>
      <c r="M911" s="39" t="n">
        <f aca="false">(('Business Case'!G11*$C911*'Business Case'!G12*$B911)-'Business Case'!G11*$C911*'Business Case'!G13*$D911-'Business Case'!G14*$E911)-MAX(0,(('Business Case'!G11*$C911*'Business Case'!G12*$B911)-'Business Case'!G11*$C911*'Business Case'!G13*$D911-'Business Case'!G14*$E911))*'Business Case'!$B$7-'Business Case'!$B$8*(('Business Case'!G11*$C911*'Business Case'!G12*$B911)-('Business Case'!F11*$C911*'Business Case'!F12*$B911))-'Business Case'!G15*$F911+'Business Case'!$B$8*('Business Case'!G11*$C911*'Business Case'!G12*$B911)</f>
        <v>676120749.690115</v>
      </c>
      <c r="N911" s="39" t="n">
        <f aca="false">IF(COUNT('Business Case'!B11:G11)=0,"",H911+NPV(G911,I911:M911))</f>
        <v>-949888078.203256</v>
      </c>
      <c r="P911" s="40" t="n">
        <f aca="true">RAND()</f>
        <v>0.0168679398111875</v>
      </c>
      <c r="Q911" s="40" t="n">
        <f aca="true">RAND()</f>
        <v>0.874622163041918</v>
      </c>
      <c r="R911" s="40" t="n">
        <f aca="true">RAND()</f>
        <v>0.962204814071703</v>
      </c>
      <c r="S911" s="40" t="n">
        <f aca="true">RAND()</f>
        <v>0.563122116090582</v>
      </c>
      <c r="T911" s="40" t="n">
        <f aca="true">RAND()</f>
        <v>0.0425454941532927</v>
      </c>
      <c r="U911" s="40" t="n">
        <f aca="true">RAND()</f>
        <v>0.936806711124246</v>
      </c>
    </row>
    <row r="912" customFormat="false" ht="15" hidden="false" customHeight="false" outlineLevel="0" collapsed="false">
      <c r="A912" s="36" t="n">
        <v>832</v>
      </c>
      <c r="B912" s="37" t="n">
        <f aca="false">1+IF($G$6=$E$6,$F$6,IF(P912&lt;($F$6-$E$6)/($G$6-$E$6),$E$6+SQRT(P912*($G$6-$E$6)*($F$6-$E$6)),$G$6-SQRT((1-P912)*($G$6-$E$6)*($G$6-$F$6))))</f>
        <v>1.01184804926346</v>
      </c>
      <c r="C912" s="37" t="n">
        <f aca="false">1+IF($G$7=$E$7,$F$7,IF(Q912&lt;($F$7-$E$7)/($G$7-$E$7),$E$7+SQRT(Q912*($G$7-$E$7)*($F$7-$E$7)),$G$7-SQRT((1-Q912)*($G$7-$E$7)*($G$7-$F$7))))</f>
        <v>1.05532023376576</v>
      </c>
      <c r="D912" s="37" t="n">
        <f aca="false">1+IF($G$8=$E$8,$F$8,IF(R912&lt;($F$8-$E$8)/($G$8-$E$8),$E$8+SQRT(R912*($G$8-$E$8)*($F$8-$E$8)),$G$8-SQRT((1-R912)*($G$8-$E$8)*($G$8-$F$8))))</f>
        <v>1.04425706243093</v>
      </c>
      <c r="E912" s="37" t="n">
        <f aca="false">1+IF($G$9=$E$9,$F$9,IF(S912&lt;($F$9-$E$9)/($G$9-$E$9),$E$9+SQRT(S912*($G$9-$E$9)*($F$9-$E$9)),$G$9-SQRT((1-S912)*($G$9-$E$9)*($G$9-$F$9))))</f>
        <v>0.987777771184645</v>
      </c>
      <c r="F912" s="37" t="n">
        <f aca="false">1+IF($G$10=$E$10,$F$10,IF(T912&lt;($F$10-$E$10)/($G$10-$E$10),$E$10+SQRT(T912*($G$10-$E$10)*($F$10-$E$10)),$G$10-SQRT((1-T912)*($G$10-$E$10)*($G$10-$F$10))))</f>
        <v>0.994643366783389</v>
      </c>
      <c r="G912" s="38" t="n">
        <f aca="false">IF($G$11=$E$11,$F$11,IF(U912&lt;($F$11-$E$11)/($G$11-$E$11),$E$11+SQRT(U912*($G$11-$E$11)*($F$11-$E$11)),$G$11-SQRT((1-U912)*($G$11-$E$11)*($G$11-$F$11))))</f>
        <v>0.0950724341167926</v>
      </c>
      <c r="H912" s="39" t="n">
        <f aca="false">(('Business Case'!B11*$C912*'Business Case'!B12*$B912)-'Business Case'!B11*$C912*'Business Case'!B13*$D912-'Business Case'!B14*$E912)-MAX(0,(('Business Case'!B11*$C912*'Business Case'!B12*$B912)-'Business Case'!B11*$C912*'Business Case'!B13*$D912-'Business Case'!B14*$E912))*'Business Case'!$B$7-'Business Case'!$B$8*('Business Case'!B11*$C912*'Business Case'!B12*$B912)-'Business Case'!B15*$F912</f>
        <v>-1989286733.56678</v>
      </c>
      <c r="I912" s="39" t="n">
        <f aca="false">(('Business Case'!C11*$C912*'Business Case'!C12*$B912)-'Business Case'!C11*$C912*'Business Case'!C13*$D912-'Business Case'!C14*$E912)-MAX(0,(('Business Case'!C11*$C912*'Business Case'!C12*$B912)-'Business Case'!C11*$C912*'Business Case'!C13*$D912-'Business Case'!C14*$E912))*'Business Case'!$B$7-'Business Case'!$B$8*(('Business Case'!C11*$C912*'Business Case'!C12*$B912)-('Business Case'!B11*$C912*'Business Case'!B12*$B912))-'Business Case'!C15*$F912</f>
        <v>15193243.6570194</v>
      </c>
      <c r="J912" s="39" t="n">
        <f aca="false">(('Business Case'!D11*$C912*'Business Case'!D12*$B912)-'Business Case'!D11*$C912*'Business Case'!D13*$D912-'Business Case'!D14*$E912)-MAX(0,(('Business Case'!D11*$C912*'Business Case'!D12*$B912)-'Business Case'!D11*$C912*'Business Case'!D13*$D912-'Business Case'!D14*$E912))*'Business Case'!$B$7-'Business Case'!$B$8*(('Business Case'!D11*$C912*'Business Case'!D12*$B912)-('Business Case'!C11*$C912*'Business Case'!C12*$B912))-'Business Case'!D15*$F912</f>
        <v>325668804.693628</v>
      </c>
      <c r="K912" s="39" t="n">
        <f aca="false">(('Business Case'!E11*$C912*'Business Case'!E12*$B912)-'Business Case'!E11*$C912*'Business Case'!E13*$D912-'Business Case'!E14*$E912)-MAX(0,(('Business Case'!E11*$C912*'Business Case'!E12*$B912)-'Business Case'!E11*$C912*'Business Case'!E13*$D912-'Business Case'!E14*$E912))*'Business Case'!$B$7-'Business Case'!$B$8*(('Business Case'!E11*$C912*'Business Case'!E12*$B912)-('Business Case'!D11*$C912*'Business Case'!D12*$B912))-'Business Case'!E15*$F912</f>
        <v>685876534.069406</v>
      </c>
      <c r="L912" s="39" t="n">
        <f aca="false">(('Business Case'!F11*$C912*'Business Case'!F12*$B912)-'Business Case'!F11*$C912*'Business Case'!F13*$D912-'Business Case'!F14*$E912)-MAX(0,(('Business Case'!F11*$C912*'Business Case'!F12*$B912)-'Business Case'!F11*$C912*'Business Case'!F13*$D912-'Business Case'!F14*$E912))*'Business Case'!$B$7-'Business Case'!$B$8*(('Business Case'!F11*$C912*'Business Case'!F12*$B912)-('Business Case'!E11*$C912*'Business Case'!E12*$B912))-'Business Case'!F15*$F912</f>
        <v>826272375.507472</v>
      </c>
      <c r="M912" s="39" t="n">
        <f aca="false">(('Business Case'!G11*$C912*'Business Case'!G12*$B912)-'Business Case'!G11*$C912*'Business Case'!G13*$D912-'Business Case'!G14*$E912)-MAX(0,(('Business Case'!G11*$C912*'Business Case'!G12*$B912)-'Business Case'!G11*$C912*'Business Case'!G13*$D912-'Business Case'!G14*$E912))*'Business Case'!$B$7-'Business Case'!$B$8*(('Business Case'!G11*$C912*'Business Case'!G12*$B912)-('Business Case'!F11*$C912*'Business Case'!F12*$B912))-'Business Case'!G15*$F912+'Business Case'!$B$8*('Business Case'!G11*$C912*'Business Case'!G12*$B912)</f>
        <v>1029244308.18305</v>
      </c>
      <c r="N912" s="39" t="n">
        <f aca="false">IF(COUNT('Business Case'!B11:G11)=0,"",H912+NPV(G912,I912:M912))</f>
        <v>46629759.5782535</v>
      </c>
      <c r="P912" s="40" t="n">
        <f aca="true">RAND()</f>
        <v>0.805923820666175</v>
      </c>
      <c r="Q912" s="40" t="n">
        <f aca="true">RAND()</f>
        <v>0.867196175790075</v>
      </c>
      <c r="R912" s="40" t="n">
        <f aca="true">RAND()</f>
        <v>0.792848327411394</v>
      </c>
      <c r="S912" s="40" t="n">
        <f aca="true">RAND()</f>
        <v>0.308197484565753</v>
      </c>
      <c r="T912" s="40" t="n">
        <f aca="true">RAND()</f>
        <v>0.13286867985041</v>
      </c>
      <c r="U912" s="40" t="n">
        <f aca="true">RAND()</f>
        <v>0.227178270205055</v>
      </c>
    </row>
    <row r="913" customFormat="false" ht="15" hidden="false" customHeight="false" outlineLevel="0" collapsed="false">
      <c r="A913" s="36" t="n">
        <v>833</v>
      </c>
      <c r="B913" s="37" t="n">
        <f aca="false">1+IF($G$6=$E$6,$F$6,IF(P913&lt;($F$6-$E$6)/($G$6-$E$6),$E$6+SQRT(P913*($G$6-$E$6)*($F$6-$E$6)),$G$6-SQRT((1-P913)*($G$6-$E$6)*($G$6-$F$6))))</f>
        <v>1.02101797371877</v>
      </c>
      <c r="C913" s="37" t="n">
        <f aca="false">1+IF($G$7=$E$7,$F$7,IF(Q913&lt;($F$7-$E$7)/($G$7-$E$7),$E$7+SQRT(Q913*($G$7-$E$7)*($F$7-$E$7)),$G$7-SQRT((1-Q913)*($G$7-$E$7)*($G$7-$F$7))))</f>
        <v>1.03319818497696</v>
      </c>
      <c r="D913" s="37" t="n">
        <f aca="false">1+IF($G$8=$E$8,$F$8,IF(R913&lt;($F$8-$E$8)/($G$8-$E$8),$E$8+SQRT(R913*($G$8-$E$8)*($F$8-$E$8)),$G$8-SQRT((1-R913)*($G$8-$E$8)*($G$8-$F$8))))</f>
        <v>1.07174988609459</v>
      </c>
      <c r="E913" s="37" t="n">
        <f aca="false">1+IF($G$9=$E$9,$F$9,IF(S913&lt;($F$9-$E$9)/($G$9-$E$9),$E$9+SQRT(S913*($G$9-$E$9)*($F$9-$E$9)),$G$9-SQRT((1-S913)*($G$9-$E$9)*($G$9-$F$9))))</f>
        <v>1.03551575806316</v>
      </c>
      <c r="F913" s="37" t="n">
        <f aca="false">1+IF($G$10=$E$10,$F$10,IF(T913&lt;($F$10-$E$10)/($G$10-$E$10),$E$10+SQRT(T913*($G$10-$E$10)*($F$10-$E$10)),$G$10-SQRT((1-T913)*($G$10-$E$10)*($G$10-$F$10))))</f>
        <v>1.06231314966262</v>
      </c>
      <c r="G913" s="38" t="n">
        <f aca="false">IF($G$11=$E$11,$F$11,IF(U913&lt;($F$11-$E$11)/($G$11-$E$11),$E$11+SQRT(U913*($G$11-$E$11)*($F$11-$E$11)),$G$11-SQRT((1-U913)*($G$11-$E$11)*($G$11-$F$11))))</f>
        <v>0.102635377924018</v>
      </c>
      <c r="H913" s="39" t="n">
        <f aca="false">(('Business Case'!B11*$C913*'Business Case'!B12*$B913)-'Business Case'!B11*$C913*'Business Case'!B13*$D913-'Business Case'!B14*$E913)-MAX(0,(('Business Case'!B11*$C913*'Business Case'!B12*$B913)-'Business Case'!B11*$C913*'Business Case'!B13*$D913-'Business Case'!B14*$E913))*'Business Case'!$B$7-'Business Case'!$B$8*('Business Case'!B11*$C913*'Business Case'!B12*$B913)-'Business Case'!B15*$F913</f>
        <v>-2124626299.32524</v>
      </c>
      <c r="I913" s="39" t="n">
        <f aca="false">(('Business Case'!C11*$C913*'Business Case'!C12*$B913)-'Business Case'!C11*$C913*'Business Case'!C13*$D913-'Business Case'!C14*$E913)-MAX(0,(('Business Case'!C11*$C913*'Business Case'!C12*$B913)-'Business Case'!C11*$C913*'Business Case'!C13*$D913-'Business Case'!C14*$E913))*'Business Case'!$B$7-'Business Case'!$B$8*(('Business Case'!C11*$C913*'Business Case'!C12*$B913)-('Business Case'!B11*$C913*'Business Case'!B12*$B913))-'Business Case'!C15*$F913</f>
        <v>-10982333.7569218</v>
      </c>
      <c r="J913" s="39" t="n">
        <f aca="false">(('Business Case'!D11*$C913*'Business Case'!D12*$B913)-'Business Case'!D11*$C913*'Business Case'!D13*$D913-'Business Case'!D14*$E913)-MAX(0,(('Business Case'!D11*$C913*'Business Case'!D12*$B913)-'Business Case'!D11*$C913*'Business Case'!D13*$D913-'Business Case'!D14*$E913))*'Business Case'!$B$7-'Business Case'!$B$8*(('Business Case'!D11*$C913*'Business Case'!D12*$B913)-('Business Case'!C11*$C913*'Business Case'!C12*$B913))-'Business Case'!D15*$F913</f>
        <v>286203725.72054</v>
      </c>
      <c r="K913" s="39" t="n">
        <f aca="false">(('Business Case'!E11*$C913*'Business Case'!E12*$B913)-'Business Case'!E11*$C913*'Business Case'!E13*$D913-'Business Case'!E14*$E913)-MAX(0,(('Business Case'!E11*$C913*'Business Case'!E12*$B913)-'Business Case'!E11*$C913*'Business Case'!E13*$D913-'Business Case'!E14*$E913))*'Business Case'!$B$7-'Business Case'!$B$8*(('Business Case'!E11*$C913*'Business Case'!E12*$B913)-('Business Case'!D11*$C913*'Business Case'!D12*$B913))-'Business Case'!E15*$F913</f>
        <v>636505442.681133</v>
      </c>
      <c r="L913" s="39" t="n">
        <f aca="false">(('Business Case'!F11*$C913*'Business Case'!F12*$B913)-'Business Case'!F11*$C913*'Business Case'!F13*$D913-'Business Case'!F14*$E913)-MAX(0,(('Business Case'!F11*$C913*'Business Case'!F12*$B913)-'Business Case'!F11*$C913*'Business Case'!F13*$D913-'Business Case'!F14*$E913))*'Business Case'!$B$7-'Business Case'!$B$8*(('Business Case'!F11*$C913*'Business Case'!F12*$B913)-('Business Case'!E11*$C913*'Business Case'!E12*$B913))-'Business Case'!F15*$F913</f>
        <v>772025287.48798</v>
      </c>
      <c r="M913" s="39" t="n">
        <f aca="false">(('Business Case'!G11*$C913*'Business Case'!G12*$B913)-'Business Case'!G11*$C913*'Business Case'!G13*$D913-'Business Case'!G14*$E913)-MAX(0,(('Business Case'!G11*$C913*'Business Case'!G12*$B913)-'Business Case'!G11*$C913*'Business Case'!G13*$D913-'Business Case'!G14*$E913))*'Business Case'!$B$7-'Business Case'!$B$8*(('Business Case'!G11*$C913*'Business Case'!G12*$B913)-('Business Case'!F11*$C913*'Business Case'!F12*$B913))-'Business Case'!G15*$F913+'Business Case'!$B$8*('Business Case'!G11*$C913*'Business Case'!G12*$B913)</f>
        <v>972543324.883629</v>
      </c>
      <c r="N913" s="39" t="n">
        <f aca="false">IF(COUNT('Business Case'!B11:G11)=0,"",H913+NPV(G913,I913:M913))</f>
        <v>-305417108.826864</v>
      </c>
      <c r="P913" s="40" t="n">
        <f aca="true">RAND()</f>
        <v>0.888005620351232</v>
      </c>
      <c r="Q913" s="40" t="n">
        <f aca="true">RAND()</f>
        <v>0.797886459367759</v>
      </c>
      <c r="R913" s="40" t="n">
        <f aca="true">RAND()</f>
        <v>0.946795404288772</v>
      </c>
      <c r="S913" s="40" t="n">
        <f aca="true">RAND()</f>
        <v>0.65048955595057</v>
      </c>
      <c r="T913" s="40" t="n">
        <f aca="true">RAND()</f>
        <v>0.530315282805779</v>
      </c>
      <c r="U913" s="40" t="n">
        <f aca="true">RAND()</f>
        <v>0.500784972425799</v>
      </c>
    </row>
    <row r="914" customFormat="false" ht="15" hidden="false" customHeight="false" outlineLevel="0" collapsed="false">
      <c r="A914" s="36" t="n">
        <v>834</v>
      </c>
      <c r="B914" s="37" t="n">
        <f aca="false">1+IF($G$6=$E$6,$F$6,IF(P914&lt;($F$6-$E$6)/($G$6-$E$6),$E$6+SQRT(P914*($G$6-$E$6)*($F$6-$E$6)),$G$6-SQRT((1-P914)*($G$6-$E$6)*($G$6-$F$6))))</f>
        <v>0.916610031336678</v>
      </c>
      <c r="C914" s="37" t="n">
        <f aca="false">1+IF($G$7=$E$7,$F$7,IF(Q914&lt;($F$7-$E$7)/($G$7-$E$7),$E$7+SQRT(Q914*($G$7-$E$7)*($F$7-$E$7)),$G$7-SQRT((1-Q914)*($G$7-$E$7)*($G$7-$F$7))))</f>
        <v>0.897522415803205</v>
      </c>
      <c r="D914" s="37" t="n">
        <f aca="false">1+IF($G$8=$E$8,$F$8,IF(R914&lt;($F$8-$E$8)/($G$8-$E$8),$E$8+SQRT(R914*($G$8-$E$8)*($F$8-$E$8)),$G$8-SQRT((1-R914)*($G$8-$E$8)*($G$8-$F$8))))</f>
        <v>1.03197686499764</v>
      </c>
      <c r="E914" s="37" t="n">
        <f aca="false">1+IF($G$9=$E$9,$F$9,IF(S914&lt;($F$9-$E$9)/($G$9-$E$9),$E$9+SQRT(S914*($G$9-$E$9)*($F$9-$E$9)),$G$9-SQRT((1-S914)*($G$9-$E$9)*($G$9-$F$9))))</f>
        <v>1.06676028568472</v>
      </c>
      <c r="F914" s="37" t="n">
        <f aca="false">1+IF($G$10=$E$10,$F$10,IF(T914&lt;($F$10-$E$10)/($G$10-$E$10),$E$10+SQRT(T914*($G$10-$E$10)*($F$10-$E$10)),$G$10-SQRT((1-T914)*($G$10-$E$10)*($G$10-$F$10))))</f>
        <v>1.1595423630733</v>
      </c>
      <c r="G914" s="38" t="n">
        <f aca="false">IF($G$11=$E$11,$F$11,IF(U914&lt;($F$11-$E$11)/($G$11-$E$11),$E$11+SQRT(U914*($G$11-$E$11)*($F$11-$E$11)),$G$11-SQRT((1-U914)*($G$11-$E$11)*($G$11-$F$11))))</f>
        <v>0.107347727494834</v>
      </c>
      <c r="H914" s="39" t="n">
        <f aca="false">(('Business Case'!B11*$C914*'Business Case'!B12*$B914)-'Business Case'!B11*$C914*'Business Case'!B13*$D914-'Business Case'!B14*$E914)-MAX(0,(('Business Case'!B11*$C914*'Business Case'!B12*$B914)-'Business Case'!B11*$C914*'Business Case'!B13*$D914-'Business Case'!B14*$E914))*'Business Case'!$B$7-'Business Case'!$B$8*('Business Case'!B11*$C914*'Business Case'!B12*$B914)-'Business Case'!B15*$F914</f>
        <v>-2319084726.1466</v>
      </c>
      <c r="I914" s="39" t="n">
        <f aca="false">(('Business Case'!C11*$C914*'Business Case'!C12*$B914)-'Business Case'!C11*$C914*'Business Case'!C13*$D914-'Business Case'!C14*$E914)-MAX(0,(('Business Case'!C11*$C914*'Business Case'!C12*$B914)-'Business Case'!C11*$C914*'Business Case'!C13*$D914-'Business Case'!C14*$E914))*'Business Case'!$B$7-'Business Case'!$B$8*(('Business Case'!C11*$C914*'Business Case'!C12*$B914)-('Business Case'!B11*$C914*'Business Case'!B12*$B914))-'Business Case'!C15*$F914</f>
        <v>-110614378.624088</v>
      </c>
      <c r="J914" s="39" t="n">
        <f aca="false">(('Business Case'!D11*$C914*'Business Case'!D12*$B914)-'Business Case'!D11*$C914*'Business Case'!D13*$D914-'Business Case'!D14*$E914)-MAX(0,(('Business Case'!D11*$C914*'Business Case'!D12*$B914)-'Business Case'!D11*$C914*'Business Case'!D13*$D914-'Business Case'!D14*$E914))*'Business Case'!$B$7-'Business Case'!$B$8*(('Business Case'!D11*$C914*'Business Case'!D12*$B914)-('Business Case'!C11*$C914*'Business Case'!C12*$B914))-'Business Case'!D15*$F914</f>
        <v>89066421.7786606</v>
      </c>
      <c r="K914" s="39" t="n">
        <f aca="false">(('Business Case'!E11*$C914*'Business Case'!E12*$B914)-'Business Case'!E11*$C914*'Business Case'!E13*$D914-'Business Case'!E14*$E914)-MAX(0,(('Business Case'!E11*$C914*'Business Case'!E12*$B914)-'Business Case'!E11*$C914*'Business Case'!E13*$D914-'Business Case'!E14*$E914))*'Business Case'!$B$7-'Business Case'!$B$8*(('Business Case'!E11*$C914*'Business Case'!E12*$B914)-('Business Case'!D11*$C914*'Business Case'!D12*$B914))-'Business Case'!E15*$F914</f>
        <v>346724340.335074</v>
      </c>
      <c r="L914" s="39" t="n">
        <f aca="false">(('Business Case'!F11*$C914*'Business Case'!F12*$B914)-'Business Case'!F11*$C914*'Business Case'!F13*$D914-'Business Case'!F14*$E914)-MAX(0,(('Business Case'!F11*$C914*'Business Case'!F12*$B914)-'Business Case'!F11*$C914*'Business Case'!F13*$D914-'Business Case'!F14*$E914))*'Business Case'!$B$7-'Business Case'!$B$8*(('Business Case'!F11*$C914*'Business Case'!F12*$B914)-('Business Case'!E11*$C914*'Business Case'!E12*$B914))-'Business Case'!F15*$F914</f>
        <v>441716360.532749</v>
      </c>
      <c r="M914" s="39" t="n">
        <f aca="false">(('Business Case'!G11*$C914*'Business Case'!G12*$B914)-'Business Case'!G11*$C914*'Business Case'!G13*$D914-'Business Case'!G14*$E914)-MAX(0,(('Business Case'!G11*$C914*'Business Case'!G12*$B914)-'Business Case'!G11*$C914*'Business Case'!G13*$D914-'Business Case'!G14*$E914))*'Business Case'!$B$7-'Business Case'!$B$8*(('Business Case'!G11*$C914*'Business Case'!G12*$B914)-('Business Case'!F11*$C914*'Business Case'!F12*$B914))-'Business Case'!G15*$F914+'Business Case'!$B$8*('Business Case'!G11*$C914*'Business Case'!G12*$B914)</f>
        <v>598091004.214925</v>
      </c>
      <c r="N914" s="39" t="n">
        <f aca="false">IF(COUNT('Business Case'!B11:G11)=0,"",H914+NPV(G914,I914:M914))</f>
        <v>-1438014157.60238</v>
      </c>
      <c r="P914" s="40" t="n">
        <f aca="true">RAND()</f>
        <v>0.018392876067028</v>
      </c>
      <c r="Q914" s="40" t="n">
        <f aca="true">RAND()</f>
        <v>0.289000775886921</v>
      </c>
      <c r="R914" s="40" t="n">
        <f aca="true">RAND()</f>
        <v>0.691523540296744</v>
      </c>
      <c r="S914" s="40" t="n">
        <f aca="true">RAND()</f>
        <v>0.815230665618952</v>
      </c>
      <c r="T914" s="40" t="n">
        <f aca="true">RAND()</f>
        <v>0.890898878955162</v>
      </c>
      <c r="U914" s="40" t="n">
        <f aca="true">RAND()</f>
        <v>0.657916366901119</v>
      </c>
    </row>
    <row r="915" customFormat="false" ht="15" hidden="false" customHeight="false" outlineLevel="0" collapsed="false">
      <c r="A915" s="36" t="n">
        <v>835</v>
      </c>
      <c r="B915" s="37" t="n">
        <f aca="false">1+IF($G$6=$E$6,$F$6,IF(P915&lt;($F$6-$E$6)/($G$6-$E$6),$E$6+SQRT(P915*($G$6-$E$6)*($F$6-$E$6)),$G$6-SQRT((1-P915)*($G$6-$E$6)*($G$6-$F$6))))</f>
        <v>0.965277571275095</v>
      </c>
      <c r="C915" s="37" t="n">
        <f aca="false">1+IF($G$7=$E$7,$F$7,IF(Q915&lt;($F$7-$E$7)/($G$7-$E$7),$E$7+SQRT(Q915*($G$7-$E$7)*($F$7-$E$7)),$G$7-SQRT((1-Q915)*($G$7-$E$7)*($G$7-$F$7))))</f>
        <v>0.809280478582539</v>
      </c>
      <c r="D915" s="37" t="n">
        <f aca="false">1+IF($G$8=$E$8,$F$8,IF(R915&lt;($F$8-$E$8)/($G$8-$E$8),$E$8+SQRT(R915*($G$8-$E$8)*($F$8-$E$8)),$G$8-SQRT((1-R915)*($G$8-$E$8)*($G$8-$F$8))))</f>
        <v>1.05261945231083</v>
      </c>
      <c r="E915" s="37" t="n">
        <f aca="false">1+IF($G$9=$E$9,$F$9,IF(S915&lt;($F$9-$E$9)/($G$9-$E$9),$E$9+SQRT(S915*($G$9-$E$9)*($F$9-$E$9)),$G$9-SQRT((1-S915)*($G$9-$E$9)*($G$9-$F$9))))</f>
        <v>1.05211161642172</v>
      </c>
      <c r="F915" s="37" t="n">
        <f aca="false">1+IF($G$10=$E$10,$F$10,IF(T915&lt;($F$10-$E$10)/($G$10-$E$10),$E$10+SQRT(T915*($G$10-$E$10)*($F$10-$E$10)),$G$10-SQRT((1-T915)*($G$10-$E$10)*($G$10-$F$10))))</f>
        <v>1.00424067627705</v>
      </c>
      <c r="G915" s="38" t="n">
        <f aca="false">IF($G$11=$E$11,$F$11,IF(U915&lt;($F$11-$E$11)/($G$11-$E$11),$E$11+SQRT(U915*($G$11-$E$11)*($F$11-$E$11)),$G$11-SQRT((1-U915)*($G$11-$E$11)*($G$11-$F$11))))</f>
        <v>0.0933684534130967</v>
      </c>
      <c r="H915" s="39" t="n">
        <f aca="false">(('Business Case'!B11*$C915*'Business Case'!B12*$B915)-'Business Case'!B11*$C915*'Business Case'!B13*$D915-'Business Case'!B14*$E915)-MAX(0,(('Business Case'!B11*$C915*'Business Case'!B12*$B915)-'Business Case'!B11*$C915*'Business Case'!B13*$D915-'Business Case'!B14*$E915))*'Business Case'!$B$7-'Business Case'!$B$8*('Business Case'!B11*$C915*'Business Case'!B12*$B915)-'Business Case'!B15*$F915</f>
        <v>-2008481352.5541</v>
      </c>
      <c r="I915" s="39" t="n">
        <f aca="false">(('Business Case'!C11*$C915*'Business Case'!C12*$B915)-'Business Case'!C11*$C915*'Business Case'!C13*$D915-'Business Case'!C14*$E915)-MAX(0,(('Business Case'!C11*$C915*'Business Case'!C12*$B915)-'Business Case'!C11*$C915*'Business Case'!C13*$D915-'Business Case'!C14*$E915))*'Business Case'!$B$7-'Business Case'!$B$8*(('Business Case'!C11*$C915*'Business Case'!C12*$B915)-('Business Case'!B11*$C915*'Business Case'!B12*$B915))-'Business Case'!C15*$F915</f>
        <v>-86774229.9125484</v>
      </c>
      <c r="J915" s="39" t="n">
        <f aca="false">(('Business Case'!D11*$C915*'Business Case'!D12*$B915)-'Business Case'!D11*$C915*'Business Case'!D13*$D915-'Business Case'!D14*$E915)-MAX(0,(('Business Case'!D11*$C915*'Business Case'!D12*$B915)-'Business Case'!D11*$C915*'Business Case'!D13*$D915-'Business Case'!D14*$E915))*'Business Case'!$B$7-'Business Case'!$B$8*(('Business Case'!D11*$C915*'Business Case'!D12*$B915)-('Business Case'!C11*$C915*'Business Case'!C12*$B915))-'Business Case'!D15*$F915</f>
        <v>116982266.142619</v>
      </c>
      <c r="K915" s="39" t="n">
        <f aca="false">(('Business Case'!E11*$C915*'Business Case'!E12*$B915)-'Business Case'!E11*$C915*'Business Case'!E13*$D915-'Business Case'!E14*$E915)-MAX(0,(('Business Case'!E11*$C915*'Business Case'!E12*$B915)-'Business Case'!E11*$C915*'Business Case'!E13*$D915-'Business Case'!E14*$E915))*'Business Case'!$B$7-'Business Case'!$B$8*(('Business Case'!E11*$C915*'Business Case'!E12*$B915)-('Business Case'!D11*$C915*'Business Case'!D12*$B915))-'Business Case'!E15*$F915</f>
        <v>370950796.011639</v>
      </c>
      <c r="L915" s="39" t="n">
        <f aca="false">(('Business Case'!F11*$C915*'Business Case'!F12*$B915)-'Business Case'!F11*$C915*'Business Case'!F13*$D915-'Business Case'!F14*$E915)-MAX(0,(('Business Case'!F11*$C915*'Business Case'!F12*$B915)-'Business Case'!F11*$C915*'Business Case'!F13*$D915-'Business Case'!F14*$E915))*'Business Case'!$B$7-'Business Case'!$B$8*(('Business Case'!F11*$C915*'Business Case'!F12*$B915)-('Business Case'!E11*$C915*'Business Case'!E12*$B915))-'Business Case'!F15*$F915</f>
        <v>465867219.019923</v>
      </c>
      <c r="M915" s="39" t="n">
        <f aca="false">(('Business Case'!G11*$C915*'Business Case'!G12*$B915)-'Business Case'!G11*$C915*'Business Case'!G13*$D915-'Business Case'!G14*$E915)-MAX(0,(('Business Case'!G11*$C915*'Business Case'!G12*$B915)-'Business Case'!G11*$C915*'Business Case'!G13*$D915-'Business Case'!G14*$E915))*'Business Case'!$B$7-'Business Case'!$B$8*(('Business Case'!G11*$C915*'Business Case'!G12*$B915)-('Business Case'!F11*$C915*'Business Case'!F12*$B915))-'Business Case'!G15*$F915+'Business Case'!$B$8*('Business Case'!G11*$C915*'Business Case'!G12*$B915)</f>
        <v>614353969.464345</v>
      </c>
      <c r="N915" s="39" t="n">
        <f aca="false">IF(COUNT('Business Case'!B11:G11)=0,"",H915+NPV(G915,I915:M915))</f>
        <v>-987027929.199315</v>
      </c>
      <c r="P915" s="40" t="n">
        <f aca="true">RAND()</f>
        <v>0.284077420771675</v>
      </c>
      <c r="Q915" s="40" t="n">
        <f aca="true">RAND()</f>
        <v>0.0884609111053978</v>
      </c>
      <c r="R915" s="40" t="n">
        <f aca="true">RAND()</f>
        <v>0.850338913378278</v>
      </c>
      <c r="S915" s="40" t="n">
        <f aca="true">RAND()</f>
        <v>0.74447638294482</v>
      </c>
      <c r="T915" s="40" t="n">
        <f aca="true">RAND()</f>
        <v>0.194698064043182</v>
      </c>
      <c r="U915" s="40" t="n">
        <f aca="true">RAND()</f>
        <v>0.178715546658136</v>
      </c>
    </row>
    <row r="916" customFormat="false" ht="15" hidden="false" customHeight="false" outlineLevel="0" collapsed="false">
      <c r="A916" s="36" t="n">
        <v>836</v>
      </c>
      <c r="B916" s="37" t="n">
        <f aca="false">1+IF($G$6=$E$6,$F$6,IF(P916&lt;($F$6-$E$6)/($G$6-$E$6),$E$6+SQRT(P916*($G$6-$E$6)*($F$6-$E$6)),$G$6-SQRT((1-P916)*($G$6-$E$6)*($G$6-$F$6))))</f>
        <v>0.97691945261701</v>
      </c>
      <c r="C916" s="37" t="n">
        <f aca="false">1+IF($G$7=$E$7,$F$7,IF(Q916&lt;($F$7-$E$7)/($G$7-$E$7),$E$7+SQRT(Q916*($G$7-$E$7)*($F$7-$E$7)),$G$7-SQRT((1-Q916)*($G$7-$E$7)*($G$7-$F$7))))</f>
        <v>0.982124980425271</v>
      </c>
      <c r="D916" s="37" t="n">
        <f aca="false">1+IF($G$8=$E$8,$F$8,IF(R916&lt;($F$8-$E$8)/($G$8-$E$8),$E$8+SQRT(R916*($G$8-$E$8)*($F$8-$E$8)),$G$8-SQRT((1-R916)*($G$8-$E$8)*($G$8-$F$8))))</f>
        <v>0.971457435347193</v>
      </c>
      <c r="E916" s="37" t="n">
        <f aca="false">1+IF($G$9=$E$9,$F$9,IF(S916&lt;($F$9-$E$9)/($G$9-$E$9),$E$9+SQRT(S916*($G$9-$E$9)*($F$9-$E$9)),$G$9-SQRT((1-S916)*($G$9-$E$9)*($G$9-$F$9))))</f>
        <v>0.948488977898005</v>
      </c>
      <c r="F916" s="37" t="n">
        <f aca="false">1+IF($G$10=$E$10,$F$10,IF(T916&lt;($F$10-$E$10)/($G$10-$E$10),$E$10+SQRT(T916*($G$10-$E$10)*($F$10-$E$10)),$G$10-SQRT((1-T916)*($G$10-$E$10)*($G$10-$F$10))))</f>
        <v>1.00337551329839</v>
      </c>
      <c r="G916" s="38" t="n">
        <f aca="false">IF($G$11=$E$11,$F$11,IF(U916&lt;($F$11-$E$11)/($G$11-$E$11),$E$11+SQRT(U916*($G$11-$E$11)*($F$11-$E$11)),$G$11-SQRT((1-U916)*($G$11-$E$11)*($G$11-$F$11))))</f>
        <v>0.103246806106021</v>
      </c>
      <c r="H916" s="39" t="n">
        <f aca="false">(('Business Case'!B11*$C916*'Business Case'!B12*$B916)-'Business Case'!B11*$C916*'Business Case'!B13*$D916-'Business Case'!B14*$E916)-MAX(0,(('Business Case'!B11*$C916*'Business Case'!B12*$B916)-'Business Case'!B11*$C916*'Business Case'!B13*$D916-'Business Case'!B14*$E916))*'Business Case'!$B$7-'Business Case'!$B$8*('Business Case'!B11*$C916*'Business Case'!B12*$B916)-'Business Case'!B15*$F916</f>
        <v>-2006751026.59677</v>
      </c>
      <c r="I916" s="39" t="n">
        <f aca="false">(('Business Case'!C11*$C916*'Business Case'!C12*$B916)-'Business Case'!C11*$C916*'Business Case'!C13*$D916-'Business Case'!C14*$E916)-MAX(0,(('Business Case'!C11*$C916*'Business Case'!C12*$B916)-'Business Case'!C11*$C916*'Business Case'!C13*$D916-'Business Case'!C14*$E916))*'Business Case'!$B$7-'Business Case'!$B$8*(('Business Case'!C11*$C916*'Business Case'!C12*$B916)-('Business Case'!B11*$C916*'Business Case'!B12*$B916))-'Business Case'!C15*$F916</f>
        <v>12494336.41222</v>
      </c>
      <c r="J916" s="39" t="n">
        <f aca="false">(('Business Case'!D11*$C916*'Business Case'!D12*$B916)-'Business Case'!D11*$C916*'Business Case'!D13*$D916-'Business Case'!D14*$E916)-MAX(0,(('Business Case'!D11*$C916*'Business Case'!D12*$B916)-'Business Case'!D11*$C916*'Business Case'!D13*$D916-'Business Case'!D14*$E916))*'Business Case'!$B$7-'Business Case'!$B$8*(('Business Case'!D11*$C916*'Business Case'!D12*$B916)-('Business Case'!C11*$C916*'Business Case'!C12*$B916))-'Business Case'!D15*$F916</f>
        <v>309939607.602135</v>
      </c>
      <c r="K916" s="39" t="n">
        <f aca="false">(('Business Case'!E11*$C916*'Business Case'!E12*$B916)-'Business Case'!E11*$C916*'Business Case'!E13*$D916-'Business Case'!E14*$E916)-MAX(0,(('Business Case'!E11*$C916*'Business Case'!E12*$B916)-'Business Case'!E11*$C916*'Business Case'!E13*$D916-'Business Case'!E14*$E916))*'Business Case'!$B$7-'Business Case'!$B$8*(('Business Case'!E11*$C916*'Business Case'!E12*$B916)-('Business Case'!D11*$C916*'Business Case'!D12*$B916))-'Business Case'!E15*$F916</f>
        <v>657553654.456969</v>
      </c>
      <c r="L916" s="39" t="n">
        <f aca="false">(('Business Case'!F11*$C916*'Business Case'!F12*$B916)-'Business Case'!F11*$C916*'Business Case'!F13*$D916-'Business Case'!F14*$E916)-MAX(0,(('Business Case'!F11*$C916*'Business Case'!F12*$B916)-'Business Case'!F11*$C916*'Business Case'!F13*$D916-'Business Case'!F14*$E916))*'Business Case'!$B$7-'Business Case'!$B$8*(('Business Case'!F11*$C916*'Business Case'!F12*$B916)-('Business Case'!E11*$C916*'Business Case'!E12*$B916))-'Business Case'!F15*$F916</f>
        <v>789860912.047448</v>
      </c>
      <c r="M916" s="39" t="n">
        <f aca="false">(('Business Case'!G11*$C916*'Business Case'!G12*$B916)-'Business Case'!G11*$C916*'Business Case'!G13*$D916-'Business Case'!G14*$E916)-MAX(0,(('Business Case'!G11*$C916*'Business Case'!G12*$B916)-'Business Case'!G11*$C916*'Business Case'!G13*$D916-'Business Case'!G14*$E916))*'Business Case'!$B$7-'Business Case'!$B$8*(('Business Case'!G11*$C916*'Business Case'!G12*$B916)-('Business Case'!F11*$C916*'Business Case'!F12*$B916))-'Business Case'!G15*$F916+'Business Case'!$B$8*('Business Case'!G11*$C916*'Business Case'!G12*$B916)</f>
        <v>972234498.280234</v>
      </c>
      <c r="N916" s="39" t="n">
        <f aca="false">IF(COUNT('Business Case'!B11:G11)=0,"",H916+NPV(G916,I916:M916))</f>
        <v>-123088973.759347</v>
      </c>
      <c r="P916" s="40" t="n">
        <f aca="true">RAND()</f>
        <v>0.394440146060026</v>
      </c>
      <c r="Q916" s="40" t="n">
        <f aca="true">RAND()</f>
        <v>0.589588922814517</v>
      </c>
      <c r="R916" s="40" t="n">
        <f aca="true">RAND()</f>
        <v>0.0613895375571966</v>
      </c>
      <c r="S916" s="40" t="n">
        <f aca="true">RAND()</f>
        <v>0.094047239103728</v>
      </c>
      <c r="T916" s="40" t="n">
        <f aca="true">RAND()</f>
        <v>0.189018167455544</v>
      </c>
      <c r="U916" s="40" t="n">
        <f aca="true">RAND()</f>
        <v>0.522844410980761</v>
      </c>
    </row>
    <row r="917" customFormat="false" ht="15" hidden="false" customHeight="false" outlineLevel="0" collapsed="false">
      <c r="A917" s="36" t="n">
        <v>837</v>
      </c>
      <c r="B917" s="37" t="n">
        <f aca="false">1+IF($G$6=$E$6,$F$6,IF(P917&lt;($F$6-$E$6)/($G$6-$E$6),$E$6+SQRT(P917*($G$6-$E$6)*($F$6-$E$6)),$G$6-SQRT((1-P917)*($G$6-$E$6)*($G$6-$F$6))))</f>
        <v>1.04261933808919</v>
      </c>
      <c r="C917" s="37" t="n">
        <f aca="false">1+IF($G$7=$E$7,$F$7,IF(Q917&lt;($F$7-$E$7)/($G$7-$E$7),$E$7+SQRT(Q917*($G$7-$E$7)*($F$7-$E$7)),$G$7-SQRT((1-Q917)*($G$7-$E$7)*($G$7-$F$7))))</f>
        <v>0.883147590457512</v>
      </c>
      <c r="D917" s="37" t="n">
        <f aca="false">1+IF($G$8=$E$8,$F$8,IF(R917&lt;($F$8-$E$8)/($G$8-$E$8),$E$8+SQRT(R917*($G$8-$E$8)*($F$8-$E$8)),$G$8-SQRT((1-R917)*($G$8-$E$8)*($G$8-$F$8))))</f>
        <v>1.00901993631849</v>
      </c>
      <c r="E917" s="37" t="n">
        <f aca="false">1+IF($G$9=$E$9,$F$9,IF(S917&lt;($F$9-$E$9)/($G$9-$E$9),$E$9+SQRT(S917*($G$9-$E$9)*($F$9-$E$9)),$G$9-SQRT((1-S917)*($G$9-$E$9)*($G$9-$F$9))))</f>
        <v>1.04486750292495</v>
      </c>
      <c r="F917" s="37" t="n">
        <f aca="false">1+IF($G$10=$E$10,$F$10,IF(T917&lt;($F$10-$E$10)/($G$10-$E$10),$E$10+SQRT(T917*($G$10-$E$10)*($F$10-$E$10)),$G$10-SQRT((1-T917)*($G$10-$E$10)*($G$10-$F$10))))</f>
        <v>1.1932288015944</v>
      </c>
      <c r="G917" s="38" t="n">
        <f aca="false">IF($G$11=$E$11,$F$11,IF(U917&lt;($F$11-$E$11)/($G$11-$E$11),$E$11+SQRT(U917*($G$11-$E$11)*($F$11-$E$11)),$G$11-SQRT((1-U917)*($G$11-$E$11)*($G$11-$F$11))))</f>
        <v>0.101478263919623</v>
      </c>
      <c r="H917" s="39" t="n">
        <f aca="false">(('Business Case'!B11*$C917*'Business Case'!B12*$B917)-'Business Case'!B11*$C917*'Business Case'!B13*$D917-'Business Case'!B14*$E917)-MAX(0,(('Business Case'!B11*$C917*'Business Case'!B12*$B917)-'Business Case'!B11*$C917*'Business Case'!B13*$D917-'Business Case'!B14*$E917))*'Business Case'!$B$7-'Business Case'!$B$8*('Business Case'!B11*$C917*'Business Case'!B12*$B917)-'Business Case'!B15*$F917</f>
        <v>-2386457603.18881</v>
      </c>
      <c r="I917" s="39" t="n">
        <f aca="false">(('Business Case'!C11*$C917*'Business Case'!C12*$B917)-'Business Case'!C11*$C917*'Business Case'!C13*$D917-'Business Case'!C14*$E917)-MAX(0,(('Business Case'!C11*$C917*'Business Case'!C12*$B917)-'Business Case'!C11*$C917*'Business Case'!C13*$D917-'Business Case'!C14*$E917))*'Business Case'!$B$7-'Business Case'!$B$8*(('Business Case'!C11*$C917*'Business Case'!C12*$B917)-('Business Case'!B11*$C917*'Business Case'!B12*$B917))-'Business Case'!C15*$F917</f>
        <v>-17624810.5095561</v>
      </c>
      <c r="J917" s="39" t="n">
        <f aca="false">(('Business Case'!D11*$C917*'Business Case'!D12*$B917)-'Business Case'!D11*$C917*'Business Case'!D13*$D917-'Business Case'!D14*$E917)-MAX(0,(('Business Case'!D11*$C917*'Business Case'!D12*$B917)-'Business Case'!D11*$C917*'Business Case'!D13*$D917-'Business Case'!D14*$E917))*'Business Case'!$B$7-'Business Case'!$B$8*(('Business Case'!D11*$C917*'Business Case'!D12*$B917)-('Business Case'!C11*$C917*'Business Case'!C12*$B917))-'Business Case'!D15*$F917</f>
        <v>280387003.497553</v>
      </c>
      <c r="K917" s="39" t="n">
        <f aca="false">(('Business Case'!E11*$C917*'Business Case'!E12*$B917)-'Business Case'!E11*$C917*'Business Case'!E13*$D917-'Business Case'!E14*$E917)-MAX(0,(('Business Case'!E11*$C917*'Business Case'!E12*$B917)-'Business Case'!E11*$C917*'Business Case'!E13*$D917-'Business Case'!E14*$E917))*'Business Case'!$B$7-'Business Case'!$B$8*(('Business Case'!E11*$C917*'Business Case'!E12*$B917)-('Business Case'!D11*$C917*'Business Case'!D12*$B917))-'Business Case'!E15*$F917</f>
        <v>638060257.584384</v>
      </c>
      <c r="L917" s="39" t="n">
        <f aca="false">(('Business Case'!F11*$C917*'Business Case'!F12*$B917)-'Business Case'!F11*$C917*'Business Case'!F13*$D917-'Business Case'!F14*$E917)-MAX(0,(('Business Case'!F11*$C917*'Business Case'!F12*$B917)-'Business Case'!F11*$C917*'Business Case'!F13*$D917-'Business Case'!F14*$E917))*'Business Case'!$B$7-'Business Case'!$B$8*(('Business Case'!F11*$C917*'Business Case'!F12*$B917)-('Business Case'!E11*$C917*'Business Case'!E12*$B917))-'Business Case'!F15*$F917</f>
        <v>769219919.214285</v>
      </c>
      <c r="M917" s="39" t="n">
        <f aca="false">(('Business Case'!G11*$C917*'Business Case'!G12*$B917)-'Business Case'!G11*$C917*'Business Case'!G13*$D917-'Business Case'!G14*$E917)-MAX(0,(('Business Case'!G11*$C917*'Business Case'!G12*$B917)-'Business Case'!G11*$C917*'Business Case'!G13*$D917-'Business Case'!G14*$E917))*'Business Case'!$B$7-'Business Case'!$B$8*(('Business Case'!G11*$C917*'Business Case'!G12*$B917)-('Business Case'!F11*$C917*'Business Case'!F12*$B917))-'Business Case'!G15*$F917+'Business Case'!$B$8*('Business Case'!G11*$C917*'Business Case'!G12*$B917)</f>
        <v>944243065.832377</v>
      </c>
      <c r="N917" s="39" t="n">
        <f aca="false">IF(COUNT('Business Case'!B11:G11)=0,"",H917+NPV(G917,I917:M917))</f>
        <v>-588949120.85644</v>
      </c>
      <c r="P917" s="40" t="n">
        <f aca="true">RAND()</f>
        <v>0.992736777301107</v>
      </c>
      <c r="Q917" s="40" t="n">
        <f aca="true">RAND()</f>
        <v>0.248466962151056</v>
      </c>
      <c r="R917" s="40" t="n">
        <f aca="true">RAND()</f>
        <v>0.44817520083392</v>
      </c>
      <c r="S917" s="40" t="n">
        <f aca="true">RAND()</f>
        <v>0.705257548233718</v>
      </c>
      <c r="T917" s="40" t="n">
        <f aca="true">RAND()</f>
        <v>0.957027080421231</v>
      </c>
      <c r="U917" s="40" t="n">
        <f aca="true">RAND()</f>
        <v>0.457673713974206</v>
      </c>
    </row>
    <row r="918" customFormat="false" ht="15" hidden="false" customHeight="false" outlineLevel="0" collapsed="false">
      <c r="A918" s="36" t="n">
        <v>838</v>
      </c>
      <c r="B918" s="37" t="n">
        <f aca="false">1+IF($G$6=$E$6,$F$6,IF(P918&lt;($F$6-$E$6)/($G$6-$E$6),$E$6+SQRT(P918*($G$6-$E$6)*($F$6-$E$6)),$G$6-SQRT((1-P918)*($G$6-$E$6)*($G$6-$F$6))))</f>
        <v>0.960266416157164</v>
      </c>
      <c r="C918" s="37" t="n">
        <f aca="false">1+IF($G$7=$E$7,$F$7,IF(Q918&lt;($F$7-$E$7)/($G$7-$E$7),$E$7+SQRT(Q918*($G$7-$E$7)*($F$7-$E$7)),$G$7-SQRT((1-Q918)*($G$7-$E$7)*($G$7-$F$7))))</f>
        <v>1.0454554347985</v>
      </c>
      <c r="D918" s="37" t="n">
        <f aca="false">1+IF($G$8=$E$8,$F$8,IF(R918&lt;($F$8-$E$8)/($G$8-$E$8),$E$8+SQRT(R918*($G$8-$E$8)*($F$8-$E$8)),$G$8-SQRT((1-R918)*($G$8-$E$8)*($G$8-$F$8))))</f>
        <v>0.985058530012682</v>
      </c>
      <c r="E918" s="37" t="n">
        <f aca="false">1+IF($G$9=$E$9,$F$9,IF(S918&lt;($F$9-$E$9)/($G$9-$E$9),$E$9+SQRT(S918*($G$9-$E$9)*($F$9-$E$9)),$G$9-SQRT((1-S918)*($G$9-$E$9)*($G$9-$F$9))))</f>
        <v>0.980238947934064</v>
      </c>
      <c r="F918" s="37" t="n">
        <f aca="false">1+IF($G$10=$E$10,$F$10,IF(T918&lt;($F$10-$E$10)/($G$10-$E$10),$E$10+SQRT(T918*($G$10-$E$10)*($F$10-$E$10)),$G$10-SQRT((1-T918)*($G$10-$E$10)*($G$10-$F$10))))</f>
        <v>1.05976844441023</v>
      </c>
      <c r="G918" s="38" t="n">
        <f aca="false">IF($G$11=$E$11,$F$11,IF(U918&lt;($F$11-$E$11)/($G$11-$E$11),$E$11+SQRT(U918*($G$11-$E$11)*($F$11-$E$11)),$G$11-SQRT((1-U918)*($G$11-$E$11)*($G$11-$F$11))))</f>
        <v>0.113459848635686</v>
      </c>
      <c r="H918" s="39" t="n">
        <f aca="false">(('Business Case'!B11*$C918*'Business Case'!B12*$B918)-'Business Case'!B11*$C918*'Business Case'!B13*$D918-'Business Case'!B14*$E918)-MAX(0,(('Business Case'!B11*$C918*'Business Case'!B12*$B918)-'Business Case'!B11*$C918*'Business Case'!B13*$D918-'Business Case'!B14*$E918))*'Business Case'!$B$7-'Business Case'!$B$8*('Business Case'!B11*$C918*'Business Case'!B12*$B918)-'Business Case'!B15*$F918</f>
        <v>-2119536888.82046</v>
      </c>
      <c r="I918" s="39" t="n">
        <f aca="false">(('Business Case'!C11*$C918*'Business Case'!C12*$B918)-'Business Case'!C11*$C918*'Business Case'!C13*$D918-'Business Case'!C14*$E918)-MAX(0,(('Business Case'!C11*$C918*'Business Case'!C12*$B918)-'Business Case'!C11*$C918*'Business Case'!C13*$D918-'Business Case'!C14*$E918))*'Business Case'!$B$7-'Business Case'!$B$8*(('Business Case'!C11*$C918*'Business Case'!C12*$B918)-('Business Case'!B11*$C918*'Business Case'!B12*$B918))-'Business Case'!C15*$F918</f>
        <v>-2323566.66383727</v>
      </c>
      <c r="J918" s="39" t="n">
        <f aca="false">(('Business Case'!D11*$C918*'Business Case'!D12*$B918)-'Business Case'!D11*$C918*'Business Case'!D13*$D918-'Business Case'!D14*$E918)-MAX(0,(('Business Case'!D11*$C918*'Business Case'!D12*$B918)-'Business Case'!D11*$C918*'Business Case'!D13*$D918-'Business Case'!D14*$E918))*'Business Case'!$B$7-'Business Case'!$B$8*(('Business Case'!D11*$C918*'Business Case'!D12*$B918)-('Business Case'!C11*$C918*'Business Case'!C12*$B918))-'Business Case'!D15*$F918</f>
        <v>292762681.659144</v>
      </c>
      <c r="K918" s="39" t="n">
        <f aca="false">(('Business Case'!E11*$C918*'Business Case'!E12*$B918)-'Business Case'!E11*$C918*'Business Case'!E13*$D918-'Business Case'!E14*$E918)-MAX(0,(('Business Case'!E11*$C918*'Business Case'!E12*$B918)-'Business Case'!E11*$C918*'Business Case'!E13*$D918-'Business Case'!E14*$E918))*'Business Case'!$B$7-'Business Case'!$B$8*(('Business Case'!E11*$C918*'Business Case'!E12*$B918)-('Business Case'!D11*$C918*'Business Case'!D12*$B918))-'Business Case'!E15*$F918</f>
        <v>640837352.202636</v>
      </c>
      <c r="L918" s="39" t="n">
        <f aca="false">(('Business Case'!F11*$C918*'Business Case'!F12*$B918)-'Business Case'!F11*$C918*'Business Case'!F13*$D918-'Business Case'!F14*$E918)-MAX(0,(('Business Case'!F11*$C918*'Business Case'!F12*$B918)-'Business Case'!F11*$C918*'Business Case'!F13*$D918-'Business Case'!F14*$E918))*'Business Case'!$B$7-'Business Case'!$B$8*(('Business Case'!F11*$C918*'Business Case'!F12*$B918)-('Business Case'!E11*$C918*'Business Case'!E12*$B918))-'Business Case'!F15*$F918</f>
        <v>773894763.076677</v>
      </c>
      <c r="M918" s="39" t="n">
        <f aca="false">(('Business Case'!G11*$C918*'Business Case'!G12*$B918)-'Business Case'!G11*$C918*'Business Case'!G13*$D918-'Business Case'!G14*$E918)-MAX(0,(('Business Case'!G11*$C918*'Business Case'!G12*$B918)-'Business Case'!G11*$C918*'Business Case'!G13*$D918-'Business Case'!G14*$E918))*'Business Case'!$B$7-'Business Case'!$B$8*(('Business Case'!G11*$C918*'Business Case'!G12*$B918)-('Business Case'!F11*$C918*'Business Case'!F12*$B918))-'Business Case'!G15*$F918+'Business Case'!$B$8*('Business Case'!G11*$C918*'Business Case'!G12*$B918)</f>
        <v>964719067.625105</v>
      </c>
      <c r="N918" s="39" t="n">
        <f aca="false">IF(COUNT('Business Case'!B11:G11)=0,"",H918+NPV(G918,I918:M918))</f>
        <v>-354109252.087953</v>
      </c>
      <c r="P918" s="40" t="n">
        <f aca="true">RAND()</f>
        <v>0.24213606109523</v>
      </c>
      <c r="Q918" s="40" t="n">
        <f aca="true">RAND()</f>
        <v>0.838080502027111</v>
      </c>
      <c r="R918" s="40" t="n">
        <f aca="true">RAND()</f>
        <v>0.16388007022002</v>
      </c>
      <c r="S918" s="40" t="n">
        <f aca="true">RAND()</f>
        <v>0.257531550622619</v>
      </c>
      <c r="T918" s="40" t="n">
        <f aca="true">RAND()</f>
        <v>0.517492736771953</v>
      </c>
      <c r="U918" s="40" t="n">
        <f aca="true">RAND()</f>
        <v>0.817615595230388</v>
      </c>
    </row>
    <row r="919" customFormat="false" ht="15" hidden="false" customHeight="false" outlineLevel="0" collapsed="false">
      <c r="A919" s="36" t="n">
        <v>839</v>
      </c>
      <c r="B919" s="37" t="n">
        <f aca="false">1+IF($G$6=$E$6,$F$6,IF(P919&lt;($F$6-$E$6)/($G$6-$E$6),$E$6+SQRT(P919*($G$6-$E$6)*($F$6-$E$6)),$G$6-SQRT((1-P919)*($G$6-$E$6)*($G$6-$F$6))))</f>
        <v>0.926717233612734</v>
      </c>
      <c r="C919" s="37" t="n">
        <f aca="false">1+IF($G$7=$E$7,$F$7,IF(Q919&lt;($F$7-$E$7)/($G$7-$E$7),$E$7+SQRT(Q919*($G$7-$E$7)*($F$7-$E$7)),$G$7-SQRT((1-Q919)*($G$7-$E$7)*($G$7-$F$7))))</f>
        <v>0.993924010186977</v>
      </c>
      <c r="D919" s="37" t="n">
        <f aca="false">1+IF($G$8=$E$8,$F$8,IF(R919&lt;($F$8-$E$8)/($G$8-$E$8),$E$8+SQRT(R919*($G$8-$E$8)*($F$8-$E$8)),$G$8-SQRT((1-R919)*($G$8-$E$8)*($G$8-$F$8))))</f>
        <v>1.01772492319135</v>
      </c>
      <c r="E919" s="37" t="n">
        <f aca="false">1+IF($G$9=$E$9,$F$9,IF(S919&lt;($F$9-$E$9)/($G$9-$E$9),$E$9+SQRT(S919*($G$9-$E$9)*($F$9-$E$9)),$G$9-SQRT((1-S919)*($G$9-$E$9)*($G$9-$F$9))))</f>
        <v>1.11542174204945</v>
      </c>
      <c r="F919" s="37" t="n">
        <f aca="false">1+IF($G$10=$E$10,$F$10,IF(T919&lt;($F$10-$E$10)/($G$10-$E$10),$E$10+SQRT(T919*($G$10-$E$10)*($F$10-$E$10)),$G$10-SQRT((1-T919)*($G$10-$E$10)*($G$10-$F$10))))</f>
        <v>1.04339061445003</v>
      </c>
      <c r="G919" s="38" t="n">
        <f aca="false">IF($G$11=$E$11,$F$11,IF(U919&lt;($F$11-$E$11)/($G$11-$E$11),$E$11+SQRT(U919*($G$11-$E$11)*($F$11-$E$11)),$G$11-SQRT((1-U919)*($G$11-$E$11)*($G$11-$F$11))))</f>
        <v>0.0935602991325309</v>
      </c>
      <c r="H919" s="39" t="n">
        <f aca="false">(('Business Case'!B11*$C919*'Business Case'!B12*$B919)-'Business Case'!B11*$C919*'Business Case'!B13*$D919-'Business Case'!B14*$E919)-MAX(0,(('Business Case'!B11*$C919*'Business Case'!B12*$B919)-'Business Case'!B11*$C919*'Business Case'!B13*$D919-'Business Case'!B14*$E919))*'Business Case'!$B$7-'Business Case'!$B$8*('Business Case'!B11*$C919*'Business Case'!B12*$B919)-'Business Case'!B15*$F919</f>
        <v>-2086781228.90006</v>
      </c>
      <c r="I919" s="39" t="n">
        <f aca="false">(('Business Case'!C11*$C919*'Business Case'!C12*$B919)-'Business Case'!C11*$C919*'Business Case'!C13*$D919-'Business Case'!C14*$E919)-MAX(0,(('Business Case'!C11*$C919*'Business Case'!C12*$B919)-'Business Case'!C11*$C919*'Business Case'!C13*$D919-'Business Case'!C14*$E919))*'Business Case'!$B$7-'Business Case'!$B$8*(('Business Case'!C11*$C919*'Business Case'!C12*$B919)-('Business Case'!B11*$C919*'Business Case'!B12*$B919))-'Business Case'!C15*$F919</f>
        <v>-74093178.5895328</v>
      </c>
      <c r="J919" s="39" t="n">
        <f aca="false">(('Business Case'!D11*$C919*'Business Case'!D12*$B919)-'Business Case'!D11*$C919*'Business Case'!D13*$D919-'Business Case'!D14*$E919)-MAX(0,(('Business Case'!D11*$C919*'Business Case'!D12*$B919)-'Business Case'!D11*$C919*'Business Case'!D13*$D919-'Business Case'!D14*$E919))*'Business Case'!$B$7-'Business Case'!$B$8*(('Business Case'!D11*$C919*'Business Case'!D12*$B919)-('Business Case'!C11*$C919*'Business Case'!C12*$B919))-'Business Case'!D15*$F919</f>
        <v>162514800.619277</v>
      </c>
      <c r="K919" s="39" t="n">
        <f aca="false">(('Business Case'!E11*$C919*'Business Case'!E12*$B919)-'Business Case'!E11*$C919*'Business Case'!E13*$D919-'Business Case'!E14*$E919)-MAX(0,(('Business Case'!E11*$C919*'Business Case'!E12*$B919)-'Business Case'!E11*$C919*'Business Case'!E13*$D919-'Business Case'!E14*$E919))*'Business Case'!$B$7-'Business Case'!$B$8*(('Business Case'!E11*$C919*'Business Case'!E12*$B919)-('Business Case'!D11*$C919*'Business Case'!D12*$B919))-'Business Case'!E15*$F919</f>
        <v>451292310.550588</v>
      </c>
      <c r="L919" s="39" t="n">
        <f aca="false">(('Business Case'!F11*$C919*'Business Case'!F12*$B919)-'Business Case'!F11*$C919*'Business Case'!F13*$D919-'Business Case'!F14*$E919)-MAX(0,(('Business Case'!F11*$C919*'Business Case'!F12*$B919)-'Business Case'!F11*$C919*'Business Case'!F13*$D919-'Business Case'!F14*$E919))*'Business Case'!$B$7-'Business Case'!$B$8*(('Business Case'!F11*$C919*'Business Case'!F12*$B919)-('Business Case'!E11*$C919*'Business Case'!E12*$B919))-'Business Case'!F15*$F919</f>
        <v>561994386.709464</v>
      </c>
      <c r="M919" s="39" t="n">
        <f aca="false">(('Business Case'!G11*$C919*'Business Case'!G12*$B919)-'Business Case'!G11*$C919*'Business Case'!G13*$D919-'Business Case'!G14*$E919)-MAX(0,(('Business Case'!G11*$C919*'Business Case'!G12*$B919)-'Business Case'!G11*$C919*'Business Case'!G13*$D919-'Business Case'!G14*$E919))*'Business Case'!$B$7-'Business Case'!$B$8*(('Business Case'!G11*$C919*'Business Case'!G12*$B919)-('Business Case'!F11*$C919*'Business Case'!F12*$B919))-'Business Case'!G15*$F919+'Business Case'!$B$8*('Business Case'!G11*$C919*'Business Case'!G12*$B919)</f>
        <v>737074510.367128</v>
      </c>
      <c r="N919" s="39" t="n">
        <f aca="false">IF(COUNT('Business Case'!B11:G11)=0,"",H919+NPV(G919,I919:M919))</f>
        <v>-809279389.648353</v>
      </c>
      <c r="P919" s="40" t="n">
        <f aca="true">RAND()</f>
        <v>0.0475873714611611</v>
      </c>
      <c r="Q919" s="40" t="n">
        <f aca="true">RAND()</f>
        <v>0.639935731588105</v>
      </c>
      <c r="R919" s="40" t="n">
        <f aca="true">RAND()</f>
        <v>0.548720782408698</v>
      </c>
      <c r="S919" s="40" t="n">
        <f aca="true">RAND()</f>
        <v>0.968115842056132</v>
      </c>
      <c r="T919" s="40" t="n">
        <f aca="true">RAND()</f>
        <v>0.430834157368863</v>
      </c>
      <c r="U919" s="40" t="n">
        <f aca="true">RAND()</f>
        <v>0.183881712563719</v>
      </c>
    </row>
    <row r="920" customFormat="false" ht="15" hidden="false" customHeight="false" outlineLevel="0" collapsed="false">
      <c r="A920" s="36" t="n">
        <v>840</v>
      </c>
      <c r="B920" s="37" t="n">
        <f aca="false">1+IF($G$6=$E$6,$F$6,IF(P920&lt;($F$6-$E$6)/($G$6-$E$6),$E$6+SQRT(P920*($G$6-$E$6)*($F$6-$E$6)),$G$6-SQRT((1-P920)*($G$6-$E$6)*($G$6-$F$6))))</f>
        <v>1.00296730800016</v>
      </c>
      <c r="C920" s="37" t="n">
        <f aca="false">1+IF($G$7=$E$7,$F$7,IF(Q920&lt;($F$7-$E$7)/($G$7-$E$7),$E$7+SQRT(Q920*($G$7-$E$7)*($F$7-$E$7)),$G$7-SQRT((1-Q920)*($G$7-$E$7)*($G$7-$F$7))))</f>
        <v>0.83032402564469</v>
      </c>
      <c r="D920" s="37" t="n">
        <f aca="false">1+IF($G$8=$E$8,$F$8,IF(R920&lt;($F$8-$E$8)/($G$8-$E$8),$E$8+SQRT(R920*($G$8-$E$8)*($F$8-$E$8)),$G$8-SQRT((1-R920)*($G$8-$E$8)*($G$8-$F$8))))</f>
        <v>1.02349800185815</v>
      </c>
      <c r="E920" s="37" t="n">
        <f aca="false">1+IF($G$9=$E$9,$F$9,IF(S920&lt;($F$9-$E$9)/($G$9-$E$9),$E$9+SQRT(S920*($G$9-$E$9)*($F$9-$E$9)),$G$9-SQRT((1-S920)*($G$9-$E$9)*($G$9-$F$9))))</f>
        <v>0.929561756607364</v>
      </c>
      <c r="F920" s="37" t="n">
        <f aca="false">1+IF($G$10=$E$10,$F$10,IF(T920&lt;($F$10-$E$10)/($G$10-$E$10),$E$10+SQRT(T920*($G$10-$E$10)*($F$10-$E$10)),$G$10-SQRT((1-T920)*($G$10-$E$10)*($G$10-$F$10))))</f>
        <v>1.03782023280925</v>
      </c>
      <c r="G920" s="38" t="n">
        <f aca="false">IF($G$11=$E$11,$F$11,IF(U920&lt;($F$11-$E$11)/($G$11-$E$11),$E$11+SQRT(U920*($G$11-$E$11)*($F$11-$E$11)),$G$11-SQRT((1-U920)*($G$11-$E$11)*($G$11-$F$11))))</f>
        <v>0.0888077960473976</v>
      </c>
      <c r="H920" s="39" t="n">
        <f aca="false">(('Business Case'!B11*$C920*'Business Case'!B12*$B920)-'Business Case'!B11*$C920*'Business Case'!B13*$D920-'Business Case'!B14*$E920)-MAX(0,(('Business Case'!B11*$C920*'Business Case'!B12*$B920)-'Business Case'!B11*$C920*'Business Case'!B13*$D920-'Business Case'!B14*$E920))*'Business Case'!$B$7-'Business Case'!$B$8*('Business Case'!B11*$C920*'Business Case'!B12*$B920)-'Business Case'!B15*$F920</f>
        <v>-2075640465.61851</v>
      </c>
      <c r="I920" s="39" t="n">
        <f aca="false">(('Business Case'!C11*$C920*'Business Case'!C12*$B920)-'Business Case'!C11*$C920*'Business Case'!C13*$D920-'Business Case'!C14*$E920)-MAX(0,(('Business Case'!C11*$C920*'Business Case'!C12*$B920)-'Business Case'!C11*$C920*'Business Case'!C13*$D920-'Business Case'!C14*$E920))*'Business Case'!$B$7-'Business Case'!$B$8*(('Business Case'!C11*$C920*'Business Case'!C12*$B920)-('Business Case'!B11*$C920*'Business Case'!B12*$B920))-'Business Case'!C15*$F920</f>
        <v>-32071738.7613444</v>
      </c>
      <c r="J920" s="39" t="n">
        <f aca="false">(('Business Case'!D11*$C920*'Business Case'!D12*$B920)-'Business Case'!D11*$C920*'Business Case'!D13*$D920-'Business Case'!D14*$E920)-MAX(0,(('Business Case'!D11*$C920*'Business Case'!D12*$B920)-'Business Case'!D11*$C920*'Business Case'!D13*$D920-'Business Case'!D14*$E920))*'Business Case'!$B$7-'Business Case'!$B$8*(('Business Case'!D11*$C920*'Business Case'!D12*$B920)-('Business Case'!C11*$C920*'Business Case'!C12*$B920))-'Business Case'!D15*$F920</f>
        <v>214993949.835334</v>
      </c>
      <c r="K920" s="39" t="n">
        <f aca="false">(('Business Case'!E11*$C920*'Business Case'!E12*$B920)-'Business Case'!E11*$C920*'Business Case'!E13*$D920-'Business Case'!E14*$E920)-MAX(0,(('Business Case'!E11*$C920*'Business Case'!E12*$B920)-'Business Case'!E11*$C920*'Business Case'!E13*$D920-'Business Case'!E14*$E920))*'Business Case'!$B$7-'Business Case'!$B$8*(('Business Case'!E11*$C920*'Business Case'!E12*$B920)-('Business Case'!D11*$C920*'Business Case'!D12*$B920))-'Business Case'!E15*$F920</f>
        <v>513950650.072475</v>
      </c>
      <c r="L920" s="39" t="n">
        <f aca="false">(('Business Case'!F11*$C920*'Business Case'!F12*$B920)-'Business Case'!F11*$C920*'Business Case'!F13*$D920-'Business Case'!F14*$E920)-MAX(0,(('Business Case'!F11*$C920*'Business Case'!F12*$B920)-'Business Case'!F11*$C920*'Business Case'!F13*$D920-'Business Case'!F14*$E920))*'Business Case'!$B$7-'Business Case'!$B$8*(('Business Case'!F11*$C920*'Business Case'!F12*$B920)-('Business Case'!E11*$C920*'Business Case'!E12*$B920))-'Business Case'!F15*$F920</f>
        <v>625087027.796387</v>
      </c>
      <c r="M920" s="39" t="n">
        <f aca="false">(('Business Case'!G11*$C920*'Business Case'!G12*$B920)-'Business Case'!G11*$C920*'Business Case'!G13*$D920-'Business Case'!G14*$E920)-MAX(0,(('Business Case'!G11*$C920*'Business Case'!G12*$B920)-'Business Case'!G11*$C920*'Business Case'!G13*$D920-'Business Case'!G14*$E920))*'Business Case'!$B$7-'Business Case'!$B$8*(('Business Case'!G11*$C920*'Business Case'!G12*$B920)-('Business Case'!F11*$C920*'Business Case'!F12*$B920))-'Business Case'!G15*$F920+'Business Case'!$B$8*('Business Case'!G11*$C920*'Business Case'!G12*$B920)</f>
        <v>783383342.850663</v>
      </c>
      <c r="N920" s="39" t="n">
        <f aca="false">IF(COUNT('Business Case'!B11:G11)=0,"",H920+NPV(G920,I920:M920))</f>
        <v>-568865284.40291</v>
      </c>
      <c r="P920" s="40" t="n">
        <f aca="true">RAND()</f>
        <v>0.705056784433069</v>
      </c>
      <c r="Q920" s="40" t="n">
        <f aca="true">RAND()</f>
        <v>0.125810012298057</v>
      </c>
      <c r="R920" s="40" t="n">
        <f aca="true">RAND()</f>
        <v>0.609829618687001</v>
      </c>
      <c r="S920" s="40" t="n">
        <f aca="true">RAND()</f>
        <v>0.034955898148522</v>
      </c>
      <c r="T920" s="40" t="n">
        <f aca="true">RAND()</f>
        <v>0.399729951931739</v>
      </c>
      <c r="U920" s="40" t="n">
        <f aca="true">RAND()</f>
        <v>0.077577271212553</v>
      </c>
    </row>
    <row r="921" customFormat="false" ht="15" hidden="false" customHeight="false" outlineLevel="0" collapsed="false">
      <c r="A921" s="36" t="n">
        <v>841</v>
      </c>
      <c r="B921" s="37" t="n">
        <f aca="false">1+IF($G$6=$E$6,$F$6,IF(P921&lt;($F$6-$E$6)/($G$6-$E$6),$E$6+SQRT(P921*($G$6-$E$6)*($F$6-$E$6)),$G$6-SQRT((1-P921)*($G$6-$E$6)*($G$6-$F$6))))</f>
        <v>0.959176641800558</v>
      </c>
      <c r="C921" s="37" t="n">
        <f aca="false">1+IF($G$7=$E$7,$F$7,IF(Q921&lt;($F$7-$E$7)/($G$7-$E$7),$E$7+SQRT(Q921*($G$7-$E$7)*($F$7-$E$7)),$G$7-SQRT((1-Q921)*($G$7-$E$7)*($G$7-$F$7))))</f>
        <v>0.855238749327037</v>
      </c>
      <c r="D921" s="37" t="n">
        <f aca="false">1+IF($G$8=$E$8,$F$8,IF(R921&lt;($F$8-$E$8)/($G$8-$E$8),$E$8+SQRT(R921*($G$8-$E$8)*($F$8-$E$8)),$G$8-SQRT((1-R921)*($G$8-$E$8)*($G$8-$F$8))))</f>
        <v>1.03239665318103</v>
      </c>
      <c r="E921" s="37" t="n">
        <f aca="false">1+IF($G$9=$E$9,$F$9,IF(S921&lt;($F$9-$E$9)/($G$9-$E$9),$E$9+SQRT(S921*($G$9-$E$9)*($F$9-$E$9)),$G$9-SQRT((1-S921)*($G$9-$E$9)*($G$9-$F$9))))</f>
        <v>1.05783270383913</v>
      </c>
      <c r="F921" s="37" t="n">
        <f aca="false">1+IF($G$10=$E$10,$F$10,IF(T921&lt;($F$10-$E$10)/($G$10-$E$10),$E$10+SQRT(T921*($G$10-$E$10)*($F$10-$E$10)),$G$10-SQRT((1-T921)*($G$10-$E$10)*($G$10-$F$10))))</f>
        <v>0.960441744432409</v>
      </c>
      <c r="G921" s="38" t="n">
        <f aca="false">IF($G$11=$E$11,$F$11,IF(U921&lt;($F$11-$E$11)/($G$11-$E$11),$E$11+SQRT(U921*($G$11-$E$11)*($F$11-$E$11)),$G$11-SQRT((1-U921)*($G$11-$E$11)*($G$11-$F$11))))</f>
        <v>0.100105192311493</v>
      </c>
      <c r="H921" s="39" t="n">
        <f aca="false">(('Business Case'!B11*$C921*'Business Case'!B12*$B921)-'Business Case'!B11*$C921*'Business Case'!B13*$D921-'Business Case'!B14*$E921)-MAX(0,(('Business Case'!B11*$C921*'Business Case'!B12*$B921)-'Business Case'!B11*$C921*'Business Case'!B13*$D921-'Business Case'!B14*$E921))*'Business Case'!$B$7-'Business Case'!$B$8*('Business Case'!B11*$C921*'Business Case'!B12*$B921)-'Business Case'!B15*$F921</f>
        <v>-1920883488.86482</v>
      </c>
      <c r="I921" s="39" t="n">
        <f aca="false">(('Business Case'!C11*$C921*'Business Case'!C12*$B921)-'Business Case'!C11*$C921*'Business Case'!C13*$D921-'Business Case'!C14*$E921)-MAX(0,(('Business Case'!C11*$C921*'Business Case'!C12*$B921)-'Business Case'!C11*$C921*'Business Case'!C13*$D921-'Business Case'!C14*$E921))*'Business Case'!$B$7-'Business Case'!$B$8*(('Business Case'!C11*$C921*'Business Case'!C12*$B921)-('Business Case'!B11*$C921*'Business Case'!B12*$B921))-'Business Case'!C15*$F921</f>
        <v>-69085893.4060443</v>
      </c>
      <c r="J921" s="39" t="n">
        <f aca="false">(('Business Case'!D11*$C921*'Business Case'!D12*$B921)-'Business Case'!D11*$C921*'Business Case'!D13*$D921-'Business Case'!D14*$E921)-MAX(0,(('Business Case'!D11*$C921*'Business Case'!D12*$B921)-'Business Case'!D11*$C921*'Business Case'!D13*$D921-'Business Case'!D14*$E921))*'Business Case'!$B$7-'Business Case'!$B$8*(('Business Case'!D11*$C921*'Business Case'!D12*$B921)-('Business Case'!C11*$C921*'Business Case'!C12*$B921))-'Business Case'!D15*$F921</f>
        <v>150821847.75093</v>
      </c>
      <c r="K921" s="39" t="n">
        <f aca="false">(('Business Case'!E11*$C921*'Business Case'!E12*$B921)-'Business Case'!E11*$C921*'Business Case'!E13*$D921-'Business Case'!E14*$E921)-MAX(0,(('Business Case'!E11*$C921*'Business Case'!E12*$B921)-'Business Case'!E11*$C921*'Business Case'!E13*$D921-'Business Case'!E14*$E921))*'Business Case'!$B$7-'Business Case'!$B$8*(('Business Case'!E11*$C921*'Business Case'!E12*$B921)-('Business Case'!D11*$C921*'Business Case'!D12*$B921))-'Business Case'!E15*$F921</f>
        <v>418751676.129524</v>
      </c>
      <c r="L921" s="39" t="n">
        <f aca="false">(('Business Case'!F11*$C921*'Business Case'!F12*$B921)-'Business Case'!F11*$C921*'Business Case'!F13*$D921-'Business Case'!F14*$E921)-MAX(0,(('Business Case'!F11*$C921*'Business Case'!F12*$B921)-'Business Case'!F11*$C921*'Business Case'!F13*$D921-'Business Case'!F14*$E921))*'Business Case'!$B$7-'Business Case'!$B$8*(('Business Case'!F11*$C921*'Business Case'!F12*$B921)-('Business Case'!E11*$C921*'Business Case'!E12*$B921))-'Business Case'!F15*$F921</f>
        <v>520404689.604417</v>
      </c>
      <c r="M921" s="39" t="n">
        <f aca="false">(('Business Case'!G11*$C921*'Business Case'!G12*$B921)-'Business Case'!G11*$C921*'Business Case'!G13*$D921-'Business Case'!G14*$E921)-MAX(0,(('Business Case'!G11*$C921*'Business Case'!G12*$B921)-'Business Case'!G11*$C921*'Business Case'!G13*$D921-'Business Case'!G14*$E921))*'Business Case'!$B$7-'Business Case'!$B$8*(('Business Case'!G11*$C921*'Business Case'!G12*$B921)-('Business Case'!F11*$C921*'Business Case'!F12*$B921))-'Business Case'!G15*$F921+'Business Case'!$B$8*('Business Case'!G11*$C921*'Business Case'!G12*$B921)</f>
        <v>676332071.59521</v>
      </c>
      <c r="N921" s="39" t="n">
        <f aca="false">IF(COUNT('Business Case'!B11:G11)=0,"",H921+NPV(G921,I921:M921))</f>
        <v>-769480692.376854</v>
      </c>
      <c r="P921" s="40" t="n">
        <f aca="true">RAND()</f>
        <v>0.233458328986106</v>
      </c>
      <c r="Q921" s="40" t="n">
        <f aca="true">RAND()</f>
        <v>0.178511624389798</v>
      </c>
      <c r="R921" s="40" t="n">
        <f aca="true">RAND()</f>
        <v>0.695319166591627</v>
      </c>
      <c r="S921" s="40" t="n">
        <f aca="true">RAND()</f>
        <v>0.773471720490537</v>
      </c>
      <c r="T921" s="40" t="n">
        <f aca="true">RAND()</f>
        <v>0.00726866845278311</v>
      </c>
      <c r="U921" s="40" t="n">
        <f aca="true">RAND()</f>
        <v>0.404200315511444</v>
      </c>
    </row>
    <row r="922" customFormat="false" ht="15" hidden="false" customHeight="false" outlineLevel="0" collapsed="false">
      <c r="A922" s="36" t="n">
        <v>842</v>
      </c>
      <c r="B922" s="37" t="n">
        <f aca="false">1+IF($G$6=$E$6,$F$6,IF(P922&lt;($F$6-$E$6)/($G$6-$E$6),$E$6+SQRT(P922*($G$6-$E$6)*($F$6-$E$6)),$G$6-SQRT((1-P922)*($G$6-$E$6)*($G$6-$F$6))))</f>
        <v>0.998894792809928</v>
      </c>
      <c r="C922" s="37" t="n">
        <f aca="false">1+IF($G$7=$E$7,$F$7,IF(Q922&lt;($F$7-$E$7)/($G$7-$E$7),$E$7+SQRT(Q922*($G$7-$E$7)*($F$7-$E$7)),$G$7-SQRT((1-Q922)*($G$7-$E$7)*($G$7-$F$7))))</f>
        <v>0.99874723444672</v>
      </c>
      <c r="D922" s="37" t="n">
        <f aca="false">1+IF($G$8=$E$8,$F$8,IF(R922&lt;($F$8-$E$8)/($G$8-$E$8),$E$8+SQRT(R922*($G$8-$E$8)*($F$8-$E$8)),$G$8-SQRT((1-R922)*($G$8-$E$8)*($G$8-$F$8))))</f>
        <v>1.00520139745726</v>
      </c>
      <c r="E922" s="37" t="n">
        <f aca="false">1+IF($G$9=$E$9,$F$9,IF(S922&lt;($F$9-$E$9)/($G$9-$E$9),$E$9+SQRT(S922*($G$9-$E$9)*($F$9-$E$9)),$G$9-SQRT((1-S922)*($G$9-$E$9)*($G$9-$F$9))))</f>
        <v>1.01181770377298</v>
      </c>
      <c r="F922" s="37" t="n">
        <f aca="false">1+IF($G$10=$E$10,$F$10,IF(T922&lt;($F$10-$E$10)/($G$10-$E$10),$E$10+SQRT(T922*($G$10-$E$10)*($F$10-$E$10)),$G$10-SQRT((1-T922)*($G$10-$E$10)*($G$10-$F$10))))</f>
        <v>1.07866408963537</v>
      </c>
      <c r="G922" s="38" t="n">
        <f aca="false">IF($G$11=$E$11,$F$11,IF(U922&lt;($F$11-$E$11)/($G$11-$E$11),$E$11+SQRT(U922*($G$11-$E$11)*($F$11-$E$11)),$G$11-SQRT((1-U922)*($G$11-$E$11)*($G$11-$F$11))))</f>
        <v>0.10260301478921</v>
      </c>
      <c r="H922" s="39" t="n">
        <f aca="false">(('Business Case'!B11*$C922*'Business Case'!B12*$B922)-'Business Case'!B11*$C922*'Business Case'!B13*$D922-'Business Case'!B14*$E922)-MAX(0,(('Business Case'!B11*$C922*'Business Case'!B12*$B922)-'Business Case'!B11*$C922*'Business Case'!B13*$D922-'Business Case'!B14*$E922))*'Business Case'!$B$7-'Business Case'!$B$8*('Business Case'!B11*$C922*'Business Case'!B12*$B922)-'Business Case'!B15*$F922</f>
        <v>-2157328179.27075</v>
      </c>
      <c r="I922" s="39" t="n">
        <f aca="false">(('Business Case'!C11*$C922*'Business Case'!C12*$B922)-'Business Case'!C11*$C922*'Business Case'!C13*$D922-'Business Case'!C14*$E922)-MAX(0,(('Business Case'!C11*$C922*'Business Case'!C12*$B922)-'Business Case'!C11*$C922*'Business Case'!C13*$D922-'Business Case'!C14*$E922))*'Business Case'!$B$7-'Business Case'!$B$8*(('Business Case'!C11*$C922*'Business Case'!C12*$B922)-('Business Case'!B11*$C922*'Business Case'!B12*$B922))-'Business Case'!C15*$F922</f>
        <v>-260984.207140699</v>
      </c>
      <c r="J922" s="39" t="n">
        <f aca="false">(('Business Case'!D11*$C922*'Business Case'!D12*$B922)-'Business Case'!D11*$C922*'Business Case'!D13*$D922-'Business Case'!D14*$E922)-MAX(0,(('Business Case'!D11*$C922*'Business Case'!D12*$B922)-'Business Case'!D11*$C922*'Business Case'!D13*$D922-'Business Case'!D14*$E922))*'Business Case'!$B$7-'Business Case'!$B$8*(('Business Case'!D11*$C922*'Business Case'!D12*$B922)-('Business Case'!C11*$C922*'Business Case'!C12*$B922))-'Business Case'!D15*$F922</f>
        <v>302942752.494634</v>
      </c>
      <c r="K922" s="39" t="n">
        <f aca="false">(('Business Case'!E11*$C922*'Business Case'!E12*$B922)-'Business Case'!E11*$C922*'Business Case'!E13*$D922-'Business Case'!E14*$E922)-MAX(0,(('Business Case'!E11*$C922*'Business Case'!E12*$B922)-'Business Case'!E11*$C922*'Business Case'!E13*$D922-'Business Case'!E14*$E922))*'Business Case'!$B$7-'Business Case'!$B$8*(('Business Case'!E11*$C922*'Business Case'!E12*$B922)-('Business Case'!D11*$C922*'Business Case'!D12*$B922))-'Business Case'!E15*$F922</f>
        <v>660079693.678177</v>
      </c>
      <c r="L922" s="39" t="n">
        <f aca="false">(('Business Case'!F11*$C922*'Business Case'!F12*$B922)-'Business Case'!F11*$C922*'Business Case'!F13*$D922-'Business Case'!F14*$E922)-MAX(0,(('Business Case'!F11*$C922*'Business Case'!F12*$B922)-'Business Case'!F11*$C922*'Business Case'!F13*$D922-'Business Case'!F14*$E922))*'Business Case'!$B$7-'Business Case'!$B$8*(('Business Case'!F11*$C922*'Business Case'!F12*$B922)-('Business Case'!E11*$C922*'Business Case'!E12*$B922))-'Business Case'!F15*$F922</f>
        <v>795626162.224675</v>
      </c>
      <c r="M922" s="39" t="n">
        <f aca="false">(('Business Case'!G11*$C922*'Business Case'!G12*$B922)-'Business Case'!G11*$C922*'Business Case'!G13*$D922-'Business Case'!G14*$E922)-MAX(0,(('Business Case'!G11*$C922*'Business Case'!G12*$B922)-'Business Case'!G11*$C922*'Business Case'!G13*$D922-'Business Case'!G14*$E922))*'Business Case'!$B$7-'Business Case'!$B$8*(('Business Case'!G11*$C922*'Business Case'!G12*$B922)-('Business Case'!F11*$C922*'Business Case'!F12*$B922))-'Business Case'!G15*$F922+'Business Case'!$B$8*('Business Case'!G11*$C922*'Business Case'!G12*$B922)</f>
        <v>985258221.943829</v>
      </c>
      <c r="N922" s="39" t="n">
        <f aca="false">IF(COUNT('Business Case'!B11:G11)=0,"",H922+NPV(G922,I922:M922))</f>
        <v>-273065650.712881</v>
      </c>
      <c r="P922" s="40" t="n">
        <f aca="true">RAND()</f>
        <v>0.652012002994575</v>
      </c>
      <c r="Q922" s="40" t="n">
        <f aca="true">RAND()</f>
        <v>0.661110445107877</v>
      </c>
      <c r="R922" s="40" t="n">
        <f aca="true">RAND()</f>
        <v>0.400881663729524</v>
      </c>
      <c r="S922" s="40" t="n">
        <f aca="true">RAND()</f>
        <v>0.490817413584753</v>
      </c>
      <c r="T922" s="40" t="n">
        <f aca="true">RAND()</f>
        <v>0.608586744260331</v>
      </c>
      <c r="U922" s="40" t="n">
        <f aca="true">RAND()</f>
        <v>0.499603467573174</v>
      </c>
    </row>
    <row r="923" customFormat="false" ht="15" hidden="false" customHeight="false" outlineLevel="0" collapsed="false">
      <c r="A923" s="36" t="n">
        <v>843</v>
      </c>
      <c r="B923" s="37" t="n">
        <f aca="false">1+IF($G$6=$E$6,$F$6,IF(P923&lt;($F$6-$E$6)/($G$6-$E$6),$E$6+SQRT(P923*($G$6-$E$6)*($F$6-$E$6)),$G$6-SQRT((1-P923)*($G$6-$E$6)*($G$6-$F$6))))</f>
        <v>1.02505535591485</v>
      </c>
      <c r="C923" s="37" t="n">
        <f aca="false">1+IF($G$7=$E$7,$F$7,IF(Q923&lt;($F$7-$E$7)/($G$7-$E$7),$E$7+SQRT(Q923*($G$7-$E$7)*($F$7-$E$7)),$G$7-SQRT((1-Q923)*($G$7-$E$7)*($G$7-$F$7))))</f>
        <v>0.968740289858486</v>
      </c>
      <c r="D923" s="37" t="n">
        <f aca="false">1+IF($G$8=$E$8,$F$8,IF(R923&lt;($F$8-$E$8)/($G$8-$E$8),$E$8+SQRT(R923*($G$8-$E$8)*($F$8-$E$8)),$G$8-SQRT((1-R923)*($G$8-$E$8)*($G$8-$F$8))))</f>
        <v>1.05708051471835</v>
      </c>
      <c r="E923" s="37" t="n">
        <f aca="false">1+IF($G$9=$E$9,$F$9,IF(S923&lt;($F$9-$E$9)/($G$9-$E$9),$E$9+SQRT(S923*($G$9-$E$9)*($F$9-$E$9)),$G$9-SQRT((1-S923)*($G$9-$E$9)*($G$9-$F$9))))</f>
        <v>1.06172778241983</v>
      </c>
      <c r="F923" s="37" t="n">
        <f aca="false">1+IF($G$10=$E$10,$F$10,IF(T923&lt;($F$10-$E$10)/($G$10-$E$10),$E$10+SQRT(T923*($G$10-$E$10)*($F$10-$E$10)),$G$10-SQRT((1-T923)*($G$10-$E$10)*($G$10-$F$10))))</f>
        <v>1.1444757433247</v>
      </c>
      <c r="G923" s="38" t="n">
        <f aca="false">IF($G$11=$E$11,$F$11,IF(U923&lt;($F$11-$E$11)/($G$11-$E$11),$E$11+SQRT(U923*($G$11-$E$11)*($F$11-$E$11)),$G$11-SQRT((1-U923)*($G$11-$E$11)*($G$11-$F$11))))</f>
        <v>0.101888901891017</v>
      </c>
      <c r="H923" s="39" t="n">
        <f aca="false">(('Business Case'!B11*$C923*'Business Case'!B12*$B923)-'Business Case'!B11*$C923*'Business Case'!B13*$D923-'Business Case'!B14*$E923)-MAX(0,(('Business Case'!B11*$C923*'Business Case'!B12*$B923)-'Business Case'!B11*$C923*'Business Case'!B13*$D923-'Business Case'!B14*$E923))*'Business Case'!$B$7-'Business Case'!$B$8*('Business Case'!B11*$C923*'Business Case'!B12*$B923)-'Business Case'!B15*$F923</f>
        <v>-2288951486.6494</v>
      </c>
      <c r="I923" s="39" t="n">
        <f aca="false">(('Business Case'!C11*$C923*'Business Case'!C12*$B923)-'Business Case'!C11*$C923*'Business Case'!C13*$D923-'Business Case'!C14*$E923)-MAX(0,(('Business Case'!C11*$C923*'Business Case'!C12*$B923)-'Business Case'!C11*$C923*'Business Case'!C13*$D923-'Business Case'!C14*$E923))*'Business Case'!$B$7-'Business Case'!$B$8*(('Business Case'!C11*$C923*'Business Case'!C12*$B923)-('Business Case'!B11*$C923*'Business Case'!B12*$B923))-'Business Case'!C15*$F923</f>
        <v>-27779114.9767485</v>
      </c>
      <c r="J923" s="39" t="n">
        <f aca="false">(('Business Case'!D11*$C923*'Business Case'!D12*$B923)-'Business Case'!D11*$C923*'Business Case'!D13*$D923-'Business Case'!D14*$E923)-MAX(0,(('Business Case'!D11*$C923*'Business Case'!D12*$B923)-'Business Case'!D11*$C923*'Business Case'!D13*$D923-'Business Case'!D14*$E923))*'Business Case'!$B$7-'Business Case'!$B$8*(('Business Case'!D11*$C923*'Business Case'!D12*$B923)-('Business Case'!C11*$C923*'Business Case'!C12*$B923))-'Business Case'!D15*$F923</f>
        <v>261344799.027172</v>
      </c>
      <c r="K923" s="39" t="n">
        <f aca="false">(('Business Case'!E11*$C923*'Business Case'!E12*$B923)-'Business Case'!E11*$C923*'Business Case'!E13*$D923-'Business Case'!E14*$E923)-MAX(0,(('Business Case'!E11*$C923*'Business Case'!E12*$B923)-'Business Case'!E11*$C923*'Business Case'!E13*$D923-'Business Case'!E14*$E923))*'Business Case'!$B$7-'Business Case'!$B$8*(('Business Case'!E11*$C923*'Business Case'!E12*$B923)-('Business Case'!D11*$C923*'Business Case'!D12*$B923))-'Business Case'!E15*$F923</f>
        <v>607692500.197327</v>
      </c>
      <c r="L923" s="39" t="n">
        <f aca="false">(('Business Case'!F11*$C923*'Business Case'!F12*$B923)-'Business Case'!F11*$C923*'Business Case'!F13*$D923-'Business Case'!F14*$E923)-MAX(0,(('Business Case'!F11*$C923*'Business Case'!F12*$B923)-'Business Case'!F11*$C923*'Business Case'!F13*$D923-'Business Case'!F14*$E923))*'Business Case'!$B$7-'Business Case'!$B$8*(('Business Case'!F11*$C923*'Business Case'!F12*$B923)-('Business Case'!E11*$C923*'Business Case'!E12*$B923))-'Business Case'!F15*$F923</f>
        <v>738385647.524034</v>
      </c>
      <c r="M923" s="39" t="n">
        <f aca="false">(('Business Case'!G11*$C923*'Business Case'!G12*$B923)-'Business Case'!G11*$C923*'Business Case'!G13*$D923-'Business Case'!G14*$E923)-MAX(0,(('Business Case'!G11*$C923*'Business Case'!G12*$B923)-'Business Case'!G11*$C923*'Business Case'!G13*$D923-'Business Case'!G14*$E923))*'Business Case'!$B$7-'Business Case'!$B$8*(('Business Case'!G11*$C923*'Business Case'!G12*$B923)-('Business Case'!F11*$C923*'Business Case'!F12*$B923))-'Business Case'!G15*$F923+'Business Case'!$B$8*('Business Case'!G11*$C923*'Business Case'!G12*$B923)</f>
        <v>927137448.813732</v>
      </c>
      <c r="N923" s="39" t="n">
        <f aca="false">IF(COUNT('Business Case'!B11:G11)=0,"",H923+NPV(G923,I923:M923))</f>
        <v>-573049884.951371</v>
      </c>
      <c r="P923" s="40" t="n">
        <f aca="true">RAND()</f>
        <v>0.917035297528685</v>
      </c>
      <c r="Q923" s="40" t="n">
        <f aca="true">RAND()</f>
        <v>0.534972914023875</v>
      </c>
      <c r="R923" s="40" t="n">
        <f aca="true">RAND()</f>
        <v>0.87719451887722</v>
      </c>
      <c r="S923" s="40" t="n">
        <f aca="true">RAND()</f>
        <v>0.792213749426092</v>
      </c>
      <c r="T923" s="40" t="n">
        <f aca="true">RAND()</f>
        <v>0.851528416708342</v>
      </c>
      <c r="U923" s="40" t="n">
        <f aca="true">RAND()</f>
        <v>0.473177442071423</v>
      </c>
    </row>
    <row r="924" customFormat="false" ht="15" hidden="false" customHeight="false" outlineLevel="0" collapsed="false">
      <c r="A924" s="36" t="n">
        <v>844</v>
      </c>
      <c r="B924" s="37" t="n">
        <f aca="false">1+IF($G$6=$E$6,$F$6,IF(P924&lt;($F$6-$E$6)/($G$6-$E$6),$E$6+SQRT(P924*($G$6-$E$6)*($F$6-$E$6)),$G$6-SQRT((1-P924)*($G$6-$E$6)*($G$6-$F$6))))</f>
        <v>1.01589929128866</v>
      </c>
      <c r="C924" s="37" t="n">
        <f aca="false">1+IF($G$7=$E$7,$F$7,IF(Q924&lt;($F$7-$E$7)/($G$7-$E$7),$E$7+SQRT(Q924*($G$7-$E$7)*($F$7-$E$7)),$G$7-SQRT((1-Q924)*($G$7-$E$7)*($G$7-$F$7))))</f>
        <v>0.921474705817784</v>
      </c>
      <c r="D924" s="37" t="n">
        <f aca="false">1+IF($G$8=$E$8,$F$8,IF(R924&lt;($F$8-$E$8)/($G$8-$E$8),$E$8+SQRT(R924*($G$8-$E$8)*($F$8-$E$8)),$G$8-SQRT((1-R924)*($G$8-$E$8)*($G$8-$F$8))))</f>
        <v>1.0019376281503</v>
      </c>
      <c r="E924" s="37" t="n">
        <f aca="false">1+IF($G$9=$E$9,$F$9,IF(S924&lt;($F$9-$E$9)/($G$9-$E$9),$E$9+SQRT(S924*($G$9-$E$9)*($F$9-$E$9)),$G$9-SQRT((1-S924)*($G$9-$E$9)*($G$9-$F$9))))</f>
        <v>1.09517461072723</v>
      </c>
      <c r="F924" s="37" t="n">
        <f aca="false">1+IF($G$10=$E$10,$F$10,IF(T924&lt;($F$10-$E$10)/($G$10-$E$10),$E$10+SQRT(T924*($G$10-$E$10)*($F$10-$E$10)),$G$10-SQRT((1-T924)*($G$10-$E$10)*($G$10-$F$10))))</f>
        <v>1.2123745395653</v>
      </c>
      <c r="G924" s="38" t="n">
        <f aca="false">IF($G$11=$E$11,$F$11,IF(U924&lt;($F$11-$E$11)/($G$11-$E$11),$E$11+SQRT(U924*($G$11-$E$11)*($F$11-$E$11)),$G$11-SQRT((1-U924)*($G$11-$E$11)*($G$11-$F$11))))</f>
        <v>0.104464536011025</v>
      </c>
      <c r="H924" s="39" t="n">
        <f aca="false">(('Business Case'!B11*$C924*'Business Case'!B12*$B924)-'Business Case'!B11*$C924*'Business Case'!B13*$D924-'Business Case'!B14*$E924)-MAX(0,(('Business Case'!B11*$C924*'Business Case'!B12*$B924)-'Business Case'!B11*$C924*'Business Case'!B13*$D924-'Business Case'!B14*$E924))*'Business Case'!$B$7-'Business Case'!$B$8*('Business Case'!B11*$C924*'Business Case'!B12*$B924)-'Business Case'!B15*$F924</f>
        <v>-2424749079.13061</v>
      </c>
      <c r="I924" s="39" t="n">
        <f aca="false">(('Business Case'!C11*$C924*'Business Case'!C12*$B924)-'Business Case'!C11*$C924*'Business Case'!C13*$D924-'Business Case'!C14*$E924)-MAX(0,(('Business Case'!C11*$C924*'Business Case'!C12*$B924)-'Business Case'!C11*$C924*'Business Case'!C13*$D924-'Business Case'!C14*$E924))*'Business Case'!$B$7-'Business Case'!$B$8*(('Business Case'!C11*$C924*'Business Case'!C12*$B924)-('Business Case'!B11*$C924*'Business Case'!B12*$B924))-'Business Case'!C15*$F924</f>
        <v>-31381195.4734593</v>
      </c>
      <c r="J924" s="39" t="n">
        <f aca="false">(('Business Case'!D11*$C924*'Business Case'!D12*$B924)-'Business Case'!D11*$C924*'Business Case'!D13*$D924-'Business Case'!D14*$E924)-MAX(0,(('Business Case'!D11*$C924*'Business Case'!D12*$B924)-'Business Case'!D11*$C924*'Business Case'!D13*$D924-'Business Case'!D14*$E924))*'Business Case'!$B$7-'Business Case'!$B$8*(('Business Case'!D11*$C924*'Business Case'!D12*$B924)-('Business Case'!C11*$C924*'Business Case'!C12*$B924))-'Business Case'!D15*$F924</f>
        <v>262737638.605128</v>
      </c>
      <c r="K924" s="39" t="n">
        <f aca="false">(('Business Case'!E11*$C924*'Business Case'!E12*$B924)-'Business Case'!E11*$C924*'Business Case'!E13*$D924-'Business Case'!E14*$E924)-MAX(0,(('Business Case'!E11*$C924*'Business Case'!E12*$B924)-'Business Case'!E11*$C924*'Business Case'!E13*$D924-'Business Case'!E14*$E924))*'Business Case'!$B$7-'Business Case'!$B$8*(('Business Case'!E11*$C924*'Business Case'!E12*$B924)-('Business Case'!D11*$C924*'Business Case'!D12*$B924))-'Business Case'!E15*$F924</f>
        <v>617475199.661981</v>
      </c>
      <c r="L924" s="39" t="n">
        <f aca="false">(('Business Case'!F11*$C924*'Business Case'!F12*$B924)-'Business Case'!F11*$C924*'Business Case'!F13*$D924-'Business Case'!F14*$E924)-MAX(0,(('Business Case'!F11*$C924*'Business Case'!F12*$B924)-'Business Case'!F11*$C924*'Business Case'!F13*$D924-'Business Case'!F14*$E924))*'Business Case'!$B$7-'Business Case'!$B$8*(('Business Case'!F11*$C924*'Business Case'!F12*$B924)-('Business Case'!E11*$C924*'Business Case'!E12*$B924))-'Business Case'!F15*$F924</f>
        <v>747867308.321579</v>
      </c>
      <c r="M924" s="39" t="n">
        <f aca="false">(('Business Case'!G11*$C924*'Business Case'!G12*$B924)-'Business Case'!G11*$C924*'Business Case'!G13*$D924-'Business Case'!G14*$E924)-MAX(0,(('Business Case'!G11*$C924*'Business Case'!G12*$B924)-'Business Case'!G11*$C924*'Business Case'!G13*$D924-'Business Case'!G14*$E924))*'Business Case'!$B$7-'Business Case'!$B$8*(('Business Case'!G11*$C924*'Business Case'!G12*$B924)-('Business Case'!F11*$C924*'Business Case'!F12*$B924))-'Business Case'!G15*$F924+'Business Case'!$B$8*('Business Case'!G11*$C924*'Business Case'!G12*$B924)</f>
        <v>925806043.471961</v>
      </c>
      <c r="N924" s="39" t="n">
        <f aca="false">IF(COUNT('Business Case'!B11:G11)=0,"",H924+NPV(G924,I924:M924))</f>
        <v>-713538453.68701</v>
      </c>
      <c r="P924" s="40" t="n">
        <f aca="true">RAND()</f>
        <v>0.84495222205127</v>
      </c>
      <c r="Q924" s="40" t="n">
        <f aca="true">RAND()</f>
        <v>0.363341076422769</v>
      </c>
      <c r="R924" s="40" t="n">
        <f aca="true">RAND()</f>
        <v>0.358918081814042</v>
      </c>
      <c r="S924" s="40" t="n">
        <f aca="true">RAND()</f>
        <v>0.919844711762375</v>
      </c>
      <c r="T924" s="40" t="n">
        <f aca="true">RAND()</f>
        <v>0.981124329694362</v>
      </c>
      <c r="U924" s="40" t="n">
        <f aca="true">RAND()</f>
        <v>0.565293385911826</v>
      </c>
    </row>
    <row r="925" customFormat="false" ht="15" hidden="false" customHeight="false" outlineLevel="0" collapsed="false">
      <c r="A925" s="36" t="n">
        <v>845</v>
      </c>
      <c r="B925" s="37" t="n">
        <f aca="false">1+IF($G$6=$E$6,$F$6,IF(P925&lt;($F$6-$E$6)/($G$6-$E$6),$E$6+SQRT(P925*($G$6-$E$6)*($F$6-$E$6)),$G$6-SQRT((1-P925)*($G$6-$E$6)*($G$6-$F$6))))</f>
        <v>0.921521424046059</v>
      </c>
      <c r="C925" s="37" t="n">
        <f aca="false">1+IF($G$7=$E$7,$F$7,IF(Q925&lt;($F$7-$E$7)/($G$7-$E$7),$E$7+SQRT(Q925*($G$7-$E$7)*($F$7-$E$7)),$G$7-SQRT((1-Q925)*($G$7-$E$7)*($G$7-$F$7))))</f>
        <v>0.956545648122556</v>
      </c>
      <c r="D925" s="37" t="n">
        <f aca="false">1+IF($G$8=$E$8,$F$8,IF(R925&lt;($F$8-$E$8)/($G$8-$E$8),$E$8+SQRT(R925*($G$8-$E$8)*($F$8-$E$8)),$G$8-SQRT((1-R925)*($G$8-$E$8)*($G$8-$F$8))))</f>
        <v>0.974295028742885</v>
      </c>
      <c r="E925" s="37" t="n">
        <f aca="false">1+IF($G$9=$E$9,$F$9,IF(S925&lt;($F$9-$E$9)/($G$9-$E$9),$E$9+SQRT(S925*($G$9-$E$9)*($F$9-$E$9)),$G$9-SQRT((1-S925)*($G$9-$E$9)*($G$9-$F$9))))</f>
        <v>1.04385412958886</v>
      </c>
      <c r="F925" s="37" t="n">
        <f aca="false">1+IF($G$10=$E$10,$F$10,IF(T925&lt;($F$10-$E$10)/($G$10-$E$10),$E$10+SQRT(T925*($G$10-$E$10)*($F$10-$E$10)),$G$10-SQRT((1-T925)*($G$10-$E$10)*($G$10-$F$10))))</f>
        <v>0.984970150024912</v>
      </c>
      <c r="G925" s="38" t="n">
        <f aca="false">IF($G$11=$E$11,$F$11,IF(U925&lt;($F$11-$E$11)/($G$11-$E$11),$E$11+SQRT(U925*($G$11-$E$11)*($F$11-$E$11)),$G$11-SQRT((1-U925)*($G$11-$E$11)*($G$11-$F$11))))</f>
        <v>0.0981160470749159</v>
      </c>
      <c r="H925" s="39" t="n">
        <f aca="false">(('Business Case'!B11*$C925*'Business Case'!B12*$B925)-'Business Case'!B11*$C925*'Business Case'!B13*$D925-'Business Case'!B14*$E925)-MAX(0,(('Business Case'!B11*$C925*'Business Case'!B12*$B925)-'Business Case'!B11*$C925*'Business Case'!B13*$D925-'Business Case'!B14*$E925))*'Business Case'!$B$7-'Business Case'!$B$8*('Business Case'!B11*$C925*'Business Case'!B12*$B925)-'Business Case'!B15*$F925</f>
        <v>-1969940300.04982</v>
      </c>
      <c r="I925" s="39" t="n">
        <f aca="false">(('Business Case'!C11*$C925*'Business Case'!C12*$B925)-'Business Case'!C11*$C925*'Business Case'!C13*$D925-'Business Case'!C14*$E925)-MAX(0,(('Business Case'!C11*$C925*'Business Case'!C12*$B925)-'Business Case'!C11*$C925*'Business Case'!C13*$D925-'Business Case'!C14*$E925))*'Business Case'!$B$7-'Business Case'!$B$8*(('Business Case'!C11*$C925*'Business Case'!C12*$B925)-('Business Case'!B11*$C925*'Business Case'!B12*$B925))-'Business Case'!C15*$F925</f>
        <v>-47723244.6833263</v>
      </c>
      <c r="J925" s="39" t="n">
        <f aca="false">(('Business Case'!D11*$C925*'Business Case'!D12*$B925)-'Business Case'!D11*$C925*'Business Case'!D13*$D925-'Business Case'!D14*$E925)-MAX(0,(('Business Case'!D11*$C925*'Business Case'!D12*$B925)-'Business Case'!D11*$C925*'Business Case'!D13*$D925-'Business Case'!D14*$E925))*'Business Case'!$B$7-'Business Case'!$B$8*(('Business Case'!D11*$C925*'Business Case'!D12*$B925)-('Business Case'!C11*$C925*'Business Case'!C12*$B925))-'Business Case'!D15*$F925</f>
        <v>197182366.500917</v>
      </c>
      <c r="K925" s="39" t="n">
        <f aca="false">(('Business Case'!E11*$C925*'Business Case'!E12*$B925)-'Business Case'!E11*$C925*'Business Case'!E13*$D925-'Business Case'!E14*$E925)-MAX(0,(('Business Case'!E11*$C925*'Business Case'!E12*$B925)-'Business Case'!E11*$C925*'Business Case'!E13*$D925-'Business Case'!E14*$E925))*'Business Case'!$B$7-'Business Case'!$B$8*(('Business Case'!E11*$C925*'Business Case'!E12*$B925)-('Business Case'!D11*$C925*'Business Case'!D12*$B925))-'Business Case'!E15*$F925</f>
        <v>491336485.186406</v>
      </c>
      <c r="L925" s="39" t="n">
        <f aca="false">(('Business Case'!F11*$C925*'Business Case'!F12*$B925)-'Business Case'!F11*$C925*'Business Case'!F13*$D925-'Business Case'!F14*$E925)-MAX(0,(('Business Case'!F11*$C925*'Business Case'!F12*$B925)-'Business Case'!F11*$C925*'Business Case'!F13*$D925-'Business Case'!F14*$E925))*'Business Case'!$B$7-'Business Case'!$B$8*(('Business Case'!F11*$C925*'Business Case'!F12*$B925)-('Business Case'!E11*$C925*'Business Case'!E12*$B925))-'Business Case'!F15*$F925</f>
        <v>603435544.672849</v>
      </c>
      <c r="M925" s="39" t="n">
        <f aca="false">(('Business Case'!G11*$C925*'Business Case'!G12*$B925)-'Business Case'!G11*$C925*'Business Case'!G13*$D925-'Business Case'!G14*$E925)-MAX(0,(('Business Case'!G11*$C925*'Business Case'!G12*$B925)-'Business Case'!G11*$C925*'Business Case'!G13*$D925-'Business Case'!G14*$E925))*'Business Case'!$B$7-'Business Case'!$B$8*(('Business Case'!G11*$C925*'Business Case'!G12*$B925)-('Business Case'!F11*$C925*'Business Case'!F12*$B925))-'Business Case'!G15*$F925+'Business Case'!$B$8*('Business Case'!G11*$C925*'Business Case'!G12*$B925)</f>
        <v>770986751.343837</v>
      </c>
      <c r="N925" s="39" t="n">
        <f aca="false">IF(COUNT('Business Case'!B11:G11)=0,"",H925+NPV(G925,I925:M925))</f>
        <v>-580994583.568323</v>
      </c>
      <c r="P925" s="40" t="n">
        <f aca="true">RAND()</f>
        <v>0.0308781128646854</v>
      </c>
      <c r="Q925" s="40" t="n">
        <f aca="true">RAND()</f>
        <v>0.487523478300905</v>
      </c>
      <c r="R925" s="40" t="n">
        <f aca="true">RAND()</f>
        <v>0.0786997895490139</v>
      </c>
      <c r="S925" s="40" t="n">
        <f aca="true">RAND()</f>
        <v>0.699548111857658</v>
      </c>
      <c r="T925" s="40" t="n">
        <f aca="true">RAND()</f>
        <v>0.0815274261843246</v>
      </c>
      <c r="U925" s="40" t="n">
        <f aca="true">RAND()</f>
        <v>0.32819116162057</v>
      </c>
    </row>
    <row r="926" customFormat="false" ht="15" hidden="false" customHeight="false" outlineLevel="0" collapsed="false">
      <c r="A926" s="36" t="n">
        <v>846</v>
      </c>
      <c r="B926" s="37" t="n">
        <f aca="false">1+IF($G$6=$E$6,$F$6,IF(P926&lt;($F$6-$E$6)/($G$6-$E$6),$E$6+SQRT(P926*($G$6-$E$6)*($F$6-$E$6)),$G$6-SQRT((1-P926)*($G$6-$E$6)*($G$6-$F$6))))</f>
        <v>0.998399818875131</v>
      </c>
      <c r="C926" s="37" t="n">
        <f aca="false">1+IF($G$7=$E$7,$F$7,IF(Q926&lt;($F$7-$E$7)/($G$7-$E$7),$E$7+SQRT(Q926*($G$7-$E$7)*($F$7-$E$7)),$G$7-SQRT((1-Q926)*($G$7-$E$7)*($G$7-$F$7))))</f>
        <v>0.902137030968211</v>
      </c>
      <c r="D926" s="37" t="n">
        <f aca="false">1+IF($G$8=$E$8,$F$8,IF(R926&lt;($F$8-$E$8)/($G$8-$E$8),$E$8+SQRT(R926*($G$8-$E$8)*($F$8-$E$8)),$G$8-SQRT((1-R926)*($G$8-$E$8)*($G$8-$F$8))))</f>
        <v>0.97299983244033</v>
      </c>
      <c r="E926" s="37" t="n">
        <f aca="false">1+IF($G$9=$E$9,$F$9,IF(S926&lt;($F$9-$E$9)/($G$9-$E$9),$E$9+SQRT(S926*($G$9-$E$9)*($F$9-$E$9)),$G$9-SQRT((1-S926)*($G$9-$E$9)*($G$9-$F$9))))</f>
        <v>1.00261572088218</v>
      </c>
      <c r="F926" s="37" t="n">
        <f aca="false">1+IF($G$10=$E$10,$F$10,IF(T926&lt;($F$10-$E$10)/($G$10-$E$10),$E$10+SQRT(T926*($G$10-$E$10)*($F$10-$E$10)),$G$10-SQRT((1-T926)*($G$10-$E$10)*($G$10-$F$10))))</f>
        <v>1.07499874205214</v>
      </c>
      <c r="G926" s="38" t="n">
        <f aca="false">IF($G$11=$E$11,$F$11,IF(U926&lt;($F$11-$E$11)/($G$11-$E$11),$E$11+SQRT(U926*($G$11-$E$11)*($F$11-$E$11)),$G$11-SQRT((1-U926)*($G$11-$E$11)*($G$11-$F$11))))</f>
        <v>0.106229380258088</v>
      </c>
      <c r="H926" s="39" t="n">
        <f aca="false">(('Business Case'!B11*$C926*'Business Case'!B12*$B926)-'Business Case'!B11*$C926*'Business Case'!B13*$D926-'Business Case'!B14*$E926)-MAX(0,(('Business Case'!B11*$C926*'Business Case'!B12*$B926)-'Business Case'!B11*$C926*'Business Case'!B13*$D926-'Business Case'!B14*$E926))*'Business Case'!$B$7-'Business Case'!$B$8*('Business Case'!B11*$C926*'Business Case'!B12*$B926)-'Business Case'!B15*$F926</f>
        <v>-2149997484.10428</v>
      </c>
      <c r="I926" s="39" t="n">
        <f aca="false">(('Business Case'!C11*$C926*'Business Case'!C12*$B926)-'Business Case'!C11*$C926*'Business Case'!C13*$D926-'Business Case'!C14*$E926)-MAX(0,(('Business Case'!C11*$C926*'Business Case'!C12*$B926)-'Business Case'!C11*$C926*'Business Case'!C13*$D926-'Business Case'!C14*$E926))*'Business Case'!$B$7-'Business Case'!$B$8*(('Business Case'!C11*$C926*'Business Case'!C12*$B926)-('Business Case'!B11*$C926*'Business Case'!B12*$B926))-'Business Case'!C15*$F926</f>
        <v>-8383711.78420535</v>
      </c>
      <c r="J926" s="39" t="n">
        <f aca="false">(('Business Case'!D11*$C926*'Business Case'!D12*$B926)-'Business Case'!D11*$C926*'Business Case'!D13*$D926-'Business Case'!D14*$E926)-MAX(0,(('Business Case'!D11*$C926*'Business Case'!D12*$B926)-'Business Case'!D11*$C926*'Business Case'!D13*$D926-'Business Case'!D14*$E926))*'Business Case'!$B$7-'Business Case'!$B$8*(('Business Case'!D11*$C926*'Business Case'!D12*$B926)-('Business Case'!C11*$C926*'Business Case'!C12*$B926))-'Business Case'!D15*$F926</f>
        <v>279996354.507118</v>
      </c>
      <c r="K926" s="39" t="n">
        <f aca="false">(('Business Case'!E11*$C926*'Business Case'!E12*$B926)-'Business Case'!E11*$C926*'Business Case'!E13*$D926-'Business Case'!E14*$E926)-MAX(0,(('Business Case'!E11*$C926*'Business Case'!E12*$B926)-'Business Case'!E11*$C926*'Business Case'!E13*$D926-'Business Case'!E14*$E926))*'Business Case'!$B$7-'Business Case'!$B$8*(('Business Case'!E11*$C926*'Business Case'!E12*$B926)-('Business Case'!D11*$C926*'Business Case'!D12*$B926))-'Business Case'!E15*$F926</f>
        <v>622126357.901048</v>
      </c>
      <c r="L926" s="39" t="n">
        <f aca="false">(('Business Case'!F11*$C926*'Business Case'!F12*$B926)-'Business Case'!F11*$C926*'Business Case'!F13*$D926-'Business Case'!F14*$E926)-MAX(0,(('Business Case'!F11*$C926*'Business Case'!F12*$B926)-'Business Case'!F11*$C926*'Business Case'!F13*$D926-'Business Case'!F14*$E926))*'Business Case'!$B$7-'Business Case'!$B$8*(('Business Case'!F11*$C926*'Business Case'!F12*$B926)-('Business Case'!E11*$C926*'Business Case'!E12*$B926))-'Business Case'!F15*$F926</f>
        <v>749381012.238734</v>
      </c>
      <c r="M926" s="39" t="n">
        <f aca="false">(('Business Case'!G11*$C926*'Business Case'!G12*$B926)-'Business Case'!G11*$C926*'Business Case'!G13*$D926-'Business Case'!G14*$E926)-MAX(0,(('Business Case'!G11*$C926*'Business Case'!G12*$B926)-'Business Case'!G11*$C926*'Business Case'!G13*$D926-'Business Case'!G14*$E926))*'Business Case'!$B$7-'Business Case'!$B$8*(('Business Case'!G11*$C926*'Business Case'!G12*$B926)-('Business Case'!F11*$C926*'Business Case'!F12*$B926))-'Business Case'!G15*$F926+'Business Case'!$B$8*('Business Case'!G11*$C926*'Business Case'!G12*$B926)</f>
        <v>920584822.895249</v>
      </c>
      <c r="N926" s="39" t="n">
        <f aca="false">IF(COUNT('Business Case'!B11:G11)=0,"",H926+NPV(G926,I926:M926))</f>
        <v>-413110012.351128</v>
      </c>
      <c r="P926" s="40" t="n">
        <f aca="true">RAND()</f>
        <v>0.645501623643901</v>
      </c>
      <c r="Q926" s="40" t="n">
        <f aca="true">RAND()</f>
        <v>0.302662068804766</v>
      </c>
      <c r="R926" s="40" t="n">
        <f aca="true">RAND()</f>
        <v>0.0705323056377678</v>
      </c>
      <c r="S926" s="40" t="n">
        <f aca="true">RAND()</f>
        <v>0.420743313837914</v>
      </c>
      <c r="T926" s="40" t="n">
        <f aca="true">RAND()</f>
        <v>0.591660796222219</v>
      </c>
      <c r="U926" s="40" t="n">
        <f aca="true">RAND()</f>
        <v>0.623305091390274</v>
      </c>
    </row>
    <row r="927" customFormat="false" ht="15" hidden="false" customHeight="false" outlineLevel="0" collapsed="false">
      <c r="A927" s="36" t="n">
        <v>847</v>
      </c>
      <c r="B927" s="37" t="n">
        <f aca="false">1+IF($G$6=$E$6,$F$6,IF(P927&lt;($F$6-$E$6)/($G$6-$E$6),$E$6+SQRT(P927*($G$6-$E$6)*($F$6-$E$6)),$G$6-SQRT((1-P927)*($G$6-$E$6)*($G$6-$F$6))))</f>
        <v>0.972722866621439</v>
      </c>
      <c r="C927" s="37" t="n">
        <f aca="false">1+IF($G$7=$E$7,$F$7,IF(Q927&lt;($F$7-$E$7)/($G$7-$E$7),$E$7+SQRT(Q927*($G$7-$E$7)*($F$7-$E$7)),$G$7-SQRT((1-Q927)*($G$7-$E$7)*($G$7-$F$7))))</f>
        <v>0.998399624658892</v>
      </c>
      <c r="D927" s="37" t="n">
        <f aca="false">1+IF($G$8=$E$8,$F$8,IF(R927&lt;($F$8-$E$8)/($G$8-$E$8),$E$8+SQRT(R927*($G$8-$E$8)*($F$8-$E$8)),$G$8-SQRT((1-R927)*($G$8-$E$8)*($G$8-$F$8))))</f>
        <v>1.01175522029122</v>
      </c>
      <c r="E927" s="37" t="n">
        <f aca="false">1+IF($G$9=$E$9,$F$9,IF(S927&lt;($F$9-$E$9)/($G$9-$E$9),$E$9+SQRT(S927*($G$9-$E$9)*($F$9-$E$9)),$G$9-SQRT((1-S927)*($G$9-$E$9)*($G$9-$F$9))))</f>
        <v>0.96783014434681</v>
      </c>
      <c r="F927" s="37" t="n">
        <f aca="false">1+IF($G$10=$E$10,$F$10,IF(T927&lt;($F$10-$E$10)/($G$10-$E$10),$E$10+SQRT(T927*($G$10-$E$10)*($F$10-$E$10)),$G$10-SQRT((1-T927)*($G$10-$E$10)*($G$10-$F$10))))</f>
        <v>1.05883465580628</v>
      </c>
      <c r="G927" s="38" t="n">
        <f aca="false">IF($G$11=$E$11,$F$11,IF(U927&lt;($F$11-$E$11)/($G$11-$E$11),$E$11+SQRT(U927*($G$11-$E$11)*($F$11-$E$11)),$G$11-SQRT((1-U927)*($G$11-$E$11)*($G$11-$F$11))))</f>
        <v>0.117195683527552</v>
      </c>
      <c r="H927" s="39" t="n">
        <f aca="false">(('Business Case'!B11*$C927*'Business Case'!B12*$B927)-'Business Case'!B11*$C927*'Business Case'!B13*$D927-'Business Case'!B14*$E927)-MAX(0,(('Business Case'!B11*$C927*'Business Case'!B12*$B927)-'Business Case'!B11*$C927*'Business Case'!B13*$D927-'Business Case'!B14*$E927))*'Business Case'!$B$7-'Business Case'!$B$8*('Business Case'!B11*$C927*'Business Case'!B12*$B927)-'Business Case'!B15*$F927</f>
        <v>-2117669311.61256</v>
      </c>
      <c r="I927" s="39" t="n">
        <f aca="false">(('Business Case'!C11*$C927*'Business Case'!C12*$B927)-'Business Case'!C11*$C927*'Business Case'!C13*$D927-'Business Case'!C14*$E927)-MAX(0,(('Business Case'!C11*$C927*'Business Case'!C12*$B927)-'Business Case'!C11*$C927*'Business Case'!C13*$D927-'Business Case'!C14*$E927))*'Business Case'!$B$7-'Business Case'!$B$8*(('Business Case'!C11*$C927*'Business Case'!C12*$B927)-('Business Case'!B11*$C927*'Business Case'!B12*$B927))-'Business Case'!C15*$F927</f>
        <v>-15508005.9946682</v>
      </c>
      <c r="J927" s="39" t="n">
        <f aca="false">(('Business Case'!D11*$C927*'Business Case'!D12*$B927)-'Business Case'!D11*$C927*'Business Case'!D13*$D927-'Business Case'!D14*$E927)-MAX(0,(('Business Case'!D11*$C927*'Business Case'!D12*$B927)-'Business Case'!D11*$C927*'Business Case'!D13*$D927-'Business Case'!D14*$E927))*'Business Case'!$B$7-'Business Case'!$B$8*(('Business Case'!D11*$C927*'Business Case'!D12*$B927)-('Business Case'!C11*$C927*'Business Case'!C12*$B927))-'Business Case'!D15*$F927</f>
        <v>262838153.070681</v>
      </c>
      <c r="K927" s="39" t="n">
        <f aca="false">(('Business Case'!E11*$C927*'Business Case'!E12*$B927)-'Business Case'!E11*$C927*'Business Case'!E13*$D927-'Business Case'!E14*$E927)-MAX(0,(('Business Case'!E11*$C927*'Business Case'!E12*$B927)-'Business Case'!E11*$C927*'Business Case'!E13*$D927-'Business Case'!E14*$E927))*'Business Case'!$B$7-'Business Case'!$B$8*(('Business Case'!E11*$C927*'Business Case'!E12*$B927)-('Business Case'!D11*$C927*'Business Case'!D12*$B927))-'Business Case'!E15*$F927</f>
        <v>594126044.926345</v>
      </c>
      <c r="L927" s="39" t="n">
        <f aca="false">(('Business Case'!F11*$C927*'Business Case'!F12*$B927)-'Business Case'!F11*$C927*'Business Case'!F13*$D927-'Business Case'!F14*$E927)-MAX(0,(('Business Case'!F11*$C927*'Business Case'!F12*$B927)-'Business Case'!F11*$C927*'Business Case'!F13*$D927-'Business Case'!F14*$E927))*'Business Case'!$B$7-'Business Case'!$B$8*(('Business Case'!F11*$C927*'Business Case'!F12*$B927)-('Business Case'!E11*$C927*'Business Case'!E12*$B927))-'Business Case'!F15*$F927</f>
        <v>720471599.916977</v>
      </c>
      <c r="M927" s="39" t="n">
        <f aca="false">(('Business Case'!G11*$C927*'Business Case'!G12*$B927)-'Business Case'!G11*$C927*'Business Case'!G13*$D927-'Business Case'!G14*$E927)-MAX(0,(('Business Case'!G11*$C927*'Business Case'!G12*$B927)-'Business Case'!G11*$C927*'Business Case'!G13*$D927-'Business Case'!G14*$E927))*'Business Case'!$B$7-'Business Case'!$B$8*(('Business Case'!G11*$C927*'Business Case'!G12*$B927)-('Business Case'!F11*$C927*'Business Case'!F12*$B927))-'Business Case'!G15*$F927+'Business Case'!$B$8*('Business Case'!G11*$C927*'Business Case'!G12*$B927)</f>
        <v>905070860.745645</v>
      </c>
      <c r="N927" s="39" t="n">
        <f aca="false">IF(COUNT('Business Case'!B11:G11)=0,"",H927+NPV(G927,I927:M927))</f>
        <v>-512357732.276461</v>
      </c>
      <c r="P927" s="40" t="n">
        <f aca="true">RAND()</f>
        <v>0.352574355309303</v>
      </c>
      <c r="Q927" s="40" t="n">
        <f aca="true">RAND()</f>
        <v>0.659572859233834</v>
      </c>
      <c r="R927" s="40" t="n">
        <f aca="true">RAND()</f>
        <v>0.480857256943283</v>
      </c>
      <c r="S927" s="40" t="n">
        <f aca="true">RAND()</f>
        <v>0.184037139284361</v>
      </c>
      <c r="T927" s="40" t="n">
        <f aca="true">RAND()</f>
        <v>0.512744149057298</v>
      </c>
      <c r="U927" s="40" t="n">
        <f aca="true">RAND()</f>
        <v>0.890699653115589</v>
      </c>
    </row>
    <row r="928" customFormat="false" ht="15" hidden="false" customHeight="false" outlineLevel="0" collapsed="false">
      <c r="A928" s="36" t="n">
        <v>848</v>
      </c>
      <c r="B928" s="37" t="n">
        <f aca="false">1+IF($G$6=$E$6,$F$6,IF(P928&lt;($F$6-$E$6)/($G$6-$E$6),$E$6+SQRT(P928*($G$6-$E$6)*($F$6-$E$6)),$G$6-SQRT((1-P928)*($G$6-$E$6)*($G$6-$F$6))))</f>
        <v>1.01273921319178</v>
      </c>
      <c r="C928" s="37" t="n">
        <f aca="false">1+IF($G$7=$E$7,$F$7,IF(Q928&lt;($F$7-$E$7)/($G$7-$E$7),$E$7+SQRT(Q928*($G$7-$E$7)*($F$7-$E$7)),$G$7-SQRT((1-Q928)*($G$7-$E$7)*($G$7-$F$7))))</f>
        <v>0.807941214615424</v>
      </c>
      <c r="D928" s="37" t="n">
        <f aca="false">1+IF($G$8=$E$8,$F$8,IF(R928&lt;($F$8-$E$8)/($G$8-$E$8),$E$8+SQRT(R928*($G$8-$E$8)*($F$8-$E$8)),$G$8-SQRT((1-R928)*($G$8-$E$8)*($G$8-$F$8))))</f>
        <v>1.03937273368406</v>
      </c>
      <c r="E928" s="37" t="n">
        <f aca="false">1+IF($G$9=$E$9,$F$9,IF(S928&lt;($F$9-$E$9)/($G$9-$E$9),$E$9+SQRT(S928*($G$9-$E$9)*($F$9-$E$9)),$G$9-SQRT((1-S928)*($G$9-$E$9)*($G$9-$F$9))))</f>
        <v>1.0213998319697</v>
      </c>
      <c r="F928" s="37" t="n">
        <f aca="false">1+IF($G$10=$E$10,$F$10,IF(T928&lt;($F$10-$E$10)/($G$10-$E$10),$E$10+SQRT(T928*($G$10-$E$10)*($F$10-$E$10)),$G$10-SQRT((1-T928)*($G$10-$E$10)*($G$10-$F$10))))</f>
        <v>1.05583737825023</v>
      </c>
      <c r="G928" s="38" t="n">
        <f aca="false">IF($G$11=$E$11,$F$11,IF(U928&lt;($F$11-$E$11)/($G$11-$E$11),$E$11+SQRT(U928*($G$11-$E$11)*($F$11-$E$11)),$G$11-SQRT((1-U928)*($G$11-$E$11)*($G$11-$F$11))))</f>
        <v>0.081215235905856</v>
      </c>
      <c r="H928" s="39" t="n">
        <f aca="false">(('Business Case'!B11*$C928*'Business Case'!B12*$B928)-'Business Case'!B11*$C928*'Business Case'!B13*$D928-'Business Case'!B14*$E928)-MAX(0,(('Business Case'!B11*$C928*'Business Case'!B12*$B928)-'Business Case'!B11*$C928*'Business Case'!B13*$D928-'Business Case'!B14*$E928))*'Business Case'!$B$7-'Business Case'!$B$8*('Business Case'!B11*$C928*'Business Case'!B12*$B928)-'Business Case'!B15*$F928</f>
        <v>-2111674756.50046</v>
      </c>
      <c r="I928" s="39" t="n">
        <f aca="false">(('Business Case'!C11*$C928*'Business Case'!C12*$B928)-'Business Case'!C11*$C928*'Business Case'!C13*$D928-'Business Case'!C14*$E928)-MAX(0,(('Business Case'!C11*$C928*'Business Case'!C12*$B928)-'Business Case'!C11*$C928*'Business Case'!C13*$D928-'Business Case'!C14*$E928))*'Business Case'!$B$7-'Business Case'!$B$8*(('Business Case'!C11*$C928*'Business Case'!C12*$B928)-('Business Case'!B11*$C928*'Business Case'!B12*$B928))-'Business Case'!C15*$F928</f>
        <v>-52937556.5616841</v>
      </c>
      <c r="J928" s="39" t="n">
        <f aca="false">(('Business Case'!D11*$C928*'Business Case'!D12*$B928)-'Business Case'!D11*$C928*'Business Case'!D13*$D928-'Business Case'!D14*$E928)-MAX(0,(('Business Case'!D11*$C928*'Business Case'!D12*$B928)-'Business Case'!D11*$C928*'Business Case'!D13*$D928-'Business Case'!D14*$E928))*'Business Case'!$B$7-'Business Case'!$B$8*(('Business Case'!D11*$C928*'Business Case'!D12*$B928)-('Business Case'!C11*$C928*'Business Case'!C12*$B928))-'Business Case'!D15*$F928</f>
        <v>187368918.407478</v>
      </c>
      <c r="K928" s="39" t="n">
        <f aca="false">(('Business Case'!E11*$C928*'Business Case'!E12*$B928)-'Business Case'!E11*$C928*'Business Case'!E13*$D928-'Business Case'!E14*$E928)-MAX(0,(('Business Case'!E11*$C928*'Business Case'!E12*$B928)-'Business Case'!E11*$C928*'Business Case'!E13*$D928-'Business Case'!E14*$E928))*'Business Case'!$B$7-'Business Case'!$B$8*(('Business Case'!E11*$C928*'Business Case'!E12*$B928)-('Business Case'!D11*$C928*'Business Case'!D12*$B928))-'Business Case'!E15*$F928</f>
        <v>480467262.289153</v>
      </c>
      <c r="L928" s="39" t="n">
        <f aca="false">(('Business Case'!F11*$C928*'Business Case'!F12*$B928)-'Business Case'!F11*$C928*'Business Case'!F13*$D928-'Business Case'!F14*$E928)-MAX(0,(('Business Case'!F11*$C928*'Business Case'!F12*$B928)-'Business Case'!F11*$C928*'Business Case'!F13*$D928-'Business Case'!F14*$E928))*'Business Case'!$B$7-'Business Case'!$B$8*(('Business Case'!F11*$C928*'Business Case'!F12*$B928)-('Business Case'!E11*$C928*'Business Case'!E12*$B928))-'Business Case'!F15*$F928</f>
        <v>588847579.012028</v>
      </c>
      <c r="M928" s="39" t="n">
        <f aca="false">(('Business Case'!G11*$C928*'Business Case'!G12*$B928)-'Business Case'!G11*$C928*'Business Case'!G13*$D928-'Business Case'!G14*$E928)-MAX(0,(('Business Case'!G11*$C928*'Business Case'!G12*$B928)-'Business Case'!G11*$C928*'Business Case'!G13*$D928-'Business Case'!G14*$E928))*'Business Case'!$B$7-'Business Case'!$B$8*(('Business Case'!G11*$C928*'Business Case'!G12*$B928)-('Business Case'!F11*$C928*'Business Case'!F12*$B928))-'Business Case'!G15*$F928+'Business Case'!$B$8*('Business Case'!G11*$C928*'Business Case'!G12*$B928)</f>
        <v>744377450.211046</v>
      </c>
      <c r="N928" s="39" t="n">
        <f aca="false">IF(COUNT('Business Case'!B11:G11)=0,"",H928+NPV(G928,I928:M928))</f>
        <v>-685584296.934275</v>
      </c>
      <c r="P928" s="40" t="n">
        <f aca="true">RAND()</f>
        <v>0.814884502190943</v>
      </c>
      <c r="Q928" s="40" t="n">
        <f aca="true">RAND()</f>
        <v>0.0863059689826145</v>
      </c>
      <c r="R928" s="40" t="n">
        <f aca="true">RAND()</f>
        <v>0.754955638603722</v>
      </c>
      <c r="S928" s="40" t="n">
        <f aca="true">RAND()</f>
        <v>0.558986580868758</v>
      </c>
      <c r="T928" s="40" t="n">
        <f aca="true">RAND()</f>
        <v>0.497345017536754</v>
      </c>
      <c r="U928" s="40" t="n">
        <f aca="true">RAND()</f>
        <v>0.00147679830688166</v>
      </c>
    </row>
    <row r="929" customFormat="false" ht="15" hidden="false" customHeight="false" outlineLevel="0" collapsed="false">
      <c r="A929" s="36" t="n">
        <v>849</v>
      </c>
      <c r="B929" s="37" t="n">
        <f aca="false">1+IF($G$6=$E$6,$F$6,IF(P929&lt;($F$6-$E$6)/($G$6-$E$6),$E$6+SQRT(P929*($G$6-$E$6)*($F$6-$E$6)),$G$6-SQRT((1-P929)*($G$6-$E$6)*($G$6-$F$6))))</f>
        <v>0.989547910350745</v>
      </c>
      <c r="C929" s="37" t="n">
        <f aca="false">1+IF($G$7=$E$7,$F$7,IF(Q929&lt;($F$7-$E$7)/($G$7-$E$7),$E$7+SQRT(Q929*($G$7-$E$7)*($F$7-$E$7)),$G$7-SQRT((1-Q929)*($G$7-$E$7)*($G$7-$F$7))))</f>
        <v>1.01534100876595</v>
      </c>
      <c r="D929" s="37" t="n">
        <f aca="false">1+IF($G$8=$E$8,$F$8,IF(R929&lt;($F$8-$E$8)/($G$8-$E$8),$E$8+SQRT(R929*($G$8-$E$8)*($F$8-$E$8)),$G$8-SQRT((1-R929)*($G$8-$E$8)*($G$8-$F$8))))</f>
        <v>1.0548166823082</v>
      </c>
      <c r="E929" s="37" t="n">
        <f aca="false">1+IF($G$9=$E$9,$F$9,IF(S929&lt;($F$9-$E$9)/($G$9-$E$9),$E$9+SQRT(S929*($G$9-$E$9)*($F$9-$E$9)),$G$9-SQRT((1-S929)*($G$9-$E$9)*($G$9-$F$9))))</f>
        <v>0.97544867644631</v>
      </c>
      <c r="F929" s="37" t="n">
        <f aca="false">1+IF($G$10=$E$10,$F$10,IF(T929&lt;($F$10-$E$10)/($G$10-$E$10),$E$10+SQRT(T929*($G$10-$E$10)*($F$10-$E$10)),$G$10-SQRT((1-T929)*($G$10-$E$10)*($G$10-$F$10))))</f>
        <v>0.981968760234584</v>
      </c>
      <c r="G929" s="38" t="n">
        <f aca="false">IF($G$11=$E$11,$F$11,IF(U929&lt;($F$11-$E$11)/($G$11-$E$11),$E$11+SQRT(U929*($G$11-$E$11)*($F$11-$E$11)),$G$11-SQRT((1-U929)*($G$11-$E$11)*($G$11-$F$11))))</f>
        <v>0.121185038228209</v>
      </c>
      <c r="H929" s="39" t="n">
        <f aca="false">(('Business Case'!B11*$C929*'Business Case'!B12*$B929)-'Business Case'!B11*$C929*'Business Case'!B13*$D929-'Business Case'!B14*$E929)-MAX(0,(('Business Case'!B11*$C929*'Business Case'!B12*$B929)-'Business Case'!B11*$C929*'Business Case'!B13*$D929-'Business Case'!B14*$E929))*'Business Case'!$B$7-'Business Case'!$B$8*('Business Case'!B11*$C929*'Business Case'!B12*$B929)-'Business Case'!B15*$F929</f>
        <v>-1963937520.46917</v>
      </c>
      <c r="I929" s="39" t="n">
        <f aca="false">(('Business Case'!C11*$C929*'Business Case'!C12*$B929)-'Business Case'!C11*$C929*'Business Case'!C13*$D929-'Business Case'!C14*$E929)-MAX(0,(('Business Case'!C11*$C929*'Business Case'!C12*$B929)-'Business Case'!C11*$C929*'Business Case'!C13*$D929-'Business Case'!C14*$E929))*'Business Case'!$B$7-'Business Case'!$B$8*(('Business Case'!C11*$C929*'Business Case'!C12*$B929)-('Business Case'!B11*$C929*'Business Case'!B12*$B929))-'Business Case'!C15*$F929</f>
        <v>-14311385.7565146</v>
      </c>
      <c r="J929" s="39" t="n">
        <f aca="false">(('Business Case'!D11*$C929*'Business Case'!D12*$B929)-'Business Case'!D11*$C929*'Business Case'!D13*$D929-'Business Case'!D14*$E929)-MAX(0,(('Business Case'!D11*$C929*'Business Case'!D12*$B929)-'Business Case'!D11*$C929*'Business Case'!D13*$D929-'Business Case'!D14*$E929))*'Business Case'!$B$7-'Business Case'!$B$8*(('Business Case'!D11*$C929*'Business Case'!D12*$B929)-('Business Case'!C11*$C929*'Business Case'!C12*$B929))-'Business Case'!D15*$F929</f>
        <v>260368035.552255</v>
      </c>
      <c r="K929" s="39" t="n">
        <f aca="false">(('Business Case'!E11*$C929*'Business Case'!E12*$B929)-'Business Case'!E11*$C929*'Business Case'!E13*$D929-'Business Case'!E14*$E929)-MAX(0,(('Business Case'!E11*$C929*'Business Case'!E12*$B929)-'Business Case'!E11*$C929*'Business Case'!E13*$D929-'Business Case'!E14*$E929))*'Business Case'!$B$7-'Business Case'!$B$8*(('Business Case'!E11*$C929*'Business Case'!E12*$B929)-('Business Case'!D11*$C929*'Business Case'!D12*$B929))-'Business Case'!E15*$F929</f>
        <v>584145894.872754</v>
      </c>
      <c r="L929" s="39" t="n">
        <f aca="false">(('Business Case'!F11*$C929*'Business Case'!F12*$B929)-'Business Case'!F11*$C929*'Business Case'!F13*$D929-'Business Case'!F14*$E929)-MAX(0,(('Business Case'!F11*$C929*'Business Case'!F12*$B929)-'Business Case'!F11*$C929*'Business Case'!F13*$D929-'Business Case'!F14*$E929))*'Business Case'!$B$7-'Business Case'!$B$8*(('Business Case'!F11*$C929*'Business Case'!F12*$B929)-('Business Case'!E11*$C929*'Business Case'!E12*$B929))-'Business Case'!F15*$F929</f>
        <v>710429121.476451</v>
      </c>
      <c r="M929" s="39" t="n">
        <f aca="false">(('Business Case'!G11*$C929*'Business Case'!G12*$B929)-'Business Case'!G11*$C929*'Business Case'!G13*$D929-'Business Case'!G14*$E929)-MAX(0,(('Business Case'!G11*$C929*'Business Case'!G12*$B929)-'Business Case'!G11*$C929*'Business Case'!G13*$D929-'Business Case'!G14*$E929))*'Business Case'!$B$7-'Business Case'!$B$8*(('Business Case'!G11*$C929*'Business Case'!G12*$B929)-('Business Case'!F11*$C929*'Business Case'!F12*$B929))-'Business Case'!G15*$F929+'Business Case'!$B$8*('Business Case'!G11*$C929*'Business Case'!G12*$B929)</f>
        <v>901407928.730708</v>
      </c>
      <c r="N929" s="39" t="n">
        <f aca="false">IF(COUNT('Business Case'!B11:G11)=0,"",H929+NPV(G929,I929:M929))</f>
        <v>-396739787.512515</v>
      </c>
      <c r="P929" s="40" t="n">
        <f aca="true">RAND()</f>
        <v>0.534588549878999</v>
      </c>
      <c r="Q929" s="40" t="n">
        <f aca="true">RAND()</f>
        <v>0.731362312293746</v>
      </c>
      <c r="R929" s="40" t="n">
        <f aca="true">RAND()</f>
        <v>0.863897853490763</v>
      </c>
      <c r="S929" s="40" t="n">
        <f aca="true">RAND()</f>
        <v>0.227700111099998</v>
      </c>
      <c r="T929" s="40" t="n">
        <f aca="true">RAND()</f>
        <v>0.0681334420624196</v>
      </c>
      <c r="U929" s="40" t="n">
        <f aca="true">RAND()</f>
        <v>0.948197632641244</v>
      </c>
    </row>
    <row r="930" customFormat="false" ht="15" hidden="false" customHeight="false" outlineLevel="0" collapsed="false">
      <c r="A930" s="36" t="n">
        <v>850</v>
      </c>
      <c r="B930" s="37" t="n">
        <f aca="false">1+IF($G$6=$E$6,$F$6,IF(P930&lt;($F$6-$E$6)/($G$6-$E$6),$E$6+SQRT(P930*($G$6-$E$6)*($F$6-$E$6)),$G$6-SQRT((1-P930)*($G$6-$E$6)*($G$6-$F$6))))</f>
        <v>0.975818007342075</v>
      </c>
      <c r="C930" s="37" t="n">
        <f aca="false">1+IF($G$7=$E$7,$F$7,IF(Q930&lt;($F$7-$E$7)/($G$7-$E$7),$E$7+SQRT(Q930*($G$7-$E$7)*($F$7-$E$7)),$G$7-SQRT((1-Q930)*($G$7-$E$7)*($G$7-$F$7))))</f>
        <v>0.920087103855425</v>
      </c>
      <c r="D930" s="37" t="n">
        <f aca="false">1+IF($G$8=$E$8,$F$8,IF(R930&lt;($F$8-$E$8)/($G$8-$E$8),$E$8+SQRT(R930*($G$8-$E$8)*($F$8-$E$8)),$G$8-SQRT((1-R930)*($G$8-$E$8)*($G$8-$F$8))))</f>
        <v>0.983189363773712</v>
      </c>
      <c r="E930" s="37" t="n">
        <f aca="false">1+IF($G$9=$E$9,$F$9,IF(S930&lt;($F$9-$E$9)/($G$9-$E$9),$E$9+SQRT(S930*($G$9-$E$9)*($F$9-$E$9)),$G$9-SQRT((1-S930)*($G$9-$E$9)*($G$9-$F$9))))</f>
        <v>1.05543706366772</v>
      </c>
      <c r="F930" s="37" t="n">
        <f aca="false">1+IF($G$10=$E$10,$F$10,IF(T930&lt;($F$10-$E$10)/($G$10-$E$10),$E$10+SQRT(T930*($G$10-$E$10)*($F$10-$E$10)),$G$10-SQRT((1-T930)*($G$10-$E$10)*($G$10-$F$10))))</f>
        <v>1.11068976677091</v>
      </c>
      <c r="G930" s="38" t="n">
        <f aca="false">IF($G$11=$E$11,$F$11,IF(U930&lt;($F$11-$E$11)/($G$11-$E$11),$E$11+SQRT(U930*($G$11-$E$11)*($F$11-$E$11)),$G$11-SQRT((1-U930)*($G$11-$E$11)*($G$11-$F$11))))</f>
        <v>0.110814629527603</v>
      </c>
      <c r="H930" s="39" t="n">
        <f aca="false">(('Business Case'!B11*$C930*'Business Case'!B12*$B930)-'Business Case'!B11*$C930*'Business Case'!B13*$D930-'Business Case'!B14*$E930)-MAX(0,(('Business Case'!B11*$C930*'Business Case'!B12*$B930)-'Business Case'!B11*$C930*'Business Case'!B13*$D930-'Business Case'!B14*$E930))*'Business Case'!$B$7-'Business Case'!$B$8*('Business Case'!B11*$C930*'Business Case'!B12*$B930)-'Business Case'!B15*$F930</f>
        <v>-2221379533.54181</v>
      </c>
      <c r="I930" s="39" t="n">
        <f aca="false">(('Business Case'!C11*$C930*'Business Case'!C12*$B930)-'Business Case'!C11*$C930*'Business Case'!C13*$D930-'Business Case'!C14*$E930)-MAX(0,(('Business Case'!C11*$C930*'Business Case'!C12*$B930)-'Business Case'!C11*$C930*'Business Case'!C13*$D930-'Business Case'!C14*$E930))*'Business Case'!$B$7-'Business Case'!$B$8*(('Business Case'!C11*$C930*'Business Case'!C12*$B930)-('Business Case'!B11*$C930*'Business Case'!B12*$B930))-'Business Case'!C15*$F930</f>
        <v>-35395412.8149518</v>
      </c>
      <c r="J930" s="39" t="n">
        <f aca="false">(('Business Case'!D11*$C930*'Business Case'!D12*$B930)-'Business Case'!D11*$C930*'Business Case'!D13*$D930-'Business Case'!D14*$E930)-MAX(0,(('Business Case'!D11*$C930*'Business Case'!D12*$B930)-'Business Case'!D11*$C930*'Business Case'!D13*$D930-'Business Case'!D14*$E930))*'Business Case'!$B$7-'Business Case'!$B$8*(('Business Case'!D11*$C930*'Business Case'!D12*$B930)-('Business Case'!C11*$C930*'Business Case'!C12*$B930))-'Business Case'!D15*$F930</f>
        <v>236905200.832252</v>
      </c>
      <c r="K930" s="39" t="n">
        <f aca="false">(('Business Case'!E11*$C930*'Business Case'!E12*$B930)-'Business Case'!E11*$C930*'Business Case'!E13*$D930-'Business Case'!E14*$E930)-MAX(0,(('Business Case'!E11*$C930*'Business Case'!E12*$B930)-'Business Case'!E11*$C930*'Business Case'!E13*$D930-'Business Case'!E14*$E930))*'Business Case'!$B$7-'Business Case'!$B$8*(('Business Case'!E11*$C930*'Business Case'!E12*$B930)-('Business Case'!D11*$C930*'Business Case'!D12*$B930))-'Business Case'!E15*$F930</f>
        <v>564740302.818001</v>
      </c>
      <c r="L930" s="39" t="n">
        <f aca="false">(('Business Case'!F11*$C930*'Business Case'!F12*$B930)-'Business Case'!F11*$C930*'Business Case'!F13*$D930-'Business Case'!F14*$E930)-MAX(0,(('Business Case'!F11*$C930*'Business Case'!F12*$B930)-'Business Case'!F11*$C930*'Business Case'!F13*$D930-'Business Case'!F14*$E930))*'Business Case'!$B$7-'Business Case'!$B$8*(('Business Case'!F11*$C930*'Business Case'!F12*$B930)-('Business Case'!E11*$C930*'Business Case'!E12*$B930))-'Business Case'!F15*$F930</f>
        <v>686536440.254745</v>
      </c>
      <c r="M930" s="39" t="n">
        <f aca="false">(('Business Case'!G11*$C930*'Business Case'!G12*$B930)-'Business Case'!G11*$C930*'Business Case'!G13*$D930-'Business Case'!G14*$E930)-MAX(0,(('Business Case'!G11*$C930*'Business Case'!G12*$B930)-'Business Case'!G11*$C930*'Business Case'!G13*$D930-'Business Case'!G14*$E930))*'Business Case'!$B$7-'Business Case'!$B$8*(('Business Case'!G11*$C930*'Business Case'!G12*$B930)-('Business Case'!F11*$C930*'Business Case'!F12*$B930))-'Business Case'!G15*$F930+'Business Case'!$B$8*('Business Case'!G11*$C930*'Business Case'!G12*$B930)</f>
        <v>857197404.470301</v>
      </c>
      <c r="N930" s="39" t="n">
        <f aca="false">IF(COUNT('Business Case'!B11:G11)=0,"",H930+NPV(G930,I930:M930))</f>
        <v>-691462835.177277</v>
      </c>
      <c r="P930" s="40" t="n">
        <f aca="true">RAND()</f>
        <v>0.38322468248819</v>
      </c>
      <c r="Q930" s="40" t="n">
        <f aca="true">RAND()</f>
        <v>0.358802468766435</v>
      </c>
      <c r="R930" s="40" t="n">
        <f aca="true">RAND()</f>
        <v>0.146871182360508</v>
      </c>
      <c r="S930" s="40" t="n">
        <f aca="true">RAND()</f>
        <v>0.761542695259108</v>
      </c>
      <c r="T930" s="40" t="n">
        <f aca="true">RAND()</f>
        <v>0.741235452235405</v>
      </c>
      <c r="U930" s="40" t="n">
        <f aca="true">RAND()</f>
        <v>0.754614373224588</v>
      </c>
    </row>
    <row r="931" customFormat="false" ht="15" hidden="false" customHeight="false" outlineLevel="0" collapsed="false">
      <c r="A931" s="36" t="n">
        <v>851</v>
      </c>
      <c r="B931" s="37" t="n">
        <f aca="false">1+IF($G$6=$E$6,$F$6,IF(P931&lt;($F$6-$E$6)/($G$6-$E$6),$E$6+SQRT(P931*($G$6-$E$6)*($F$6-$E$6)),$G$6-SQRT((1-P931)*($G$6-$E$6)*($G$6-$F$6))))</f>
        <v>1.0259344279745</v>
      </c>
      <c r="C931" s="37" t="n">
        <f aca="false">1+IF($G$7=$E$7,$F$7,IF(Q931&lt;($F$7-$E$7)/($G$7-$E$7),$E$7+SQRT(Q931*($G$7-$E$7)*($F$7-$E$7)),$G$7-SQRT((1-Q931)*($G$7-$E$7)*($G$7-$F$7))))</f>
        <v>0.851639544665916</v>
      </c>
      <c r="D931" s="37" t="n">
        <f aca="false">1+IF($G$8=$E$8,$F$8,IF(R931&lt;($F$8-$E$8)/($G$8-$E$8),$E$8+SQRT(R931*($G$8-$E$8)*($F$8-$E$8)),$G$8-SQRT((1-R931)*($G$8-$E$8)*($G$8-$F$8))))</f>
        <v>0.988204860783872</v>
      </c>
      <c r="E931" s="37" t="n">
        <f aca="false">1+IF($G$9=$E$9,$F$9,IF(S931&lt;($F$9-$E$9)/($G$9-$E$9),$E$9+SQRT(S931*($G$9-$E$9)*($F$9-$E$9)),$G$9-SQRT((1-S931)*($G$9-$E$9)*($G$9-$F$9))))</f>
        <v>0.990942638229939</v>
      </c>
      <c r="F931" s="37" t="n">
        <f aca="false">1+IF($G$10=$E$10,$F$10,IF(T931&lt;($F$10-$E$10)/($G$10-$E$10),$E$10+SQRT(T931*($G$10-$E$10)*($F$10-$E$10)),$G$10-SQRT((1-T931)*($G$10-$E$10)*($G$10-$F$10))))</f>
        <v>1.22297151271644</v>
      </c>
      <c r="G931" s="38" t="n">
        <f aca="false">IF($G$11=$E$11,$F$11,IF(U931&lt;($F$11-$E$11)/($G$11-$E$11),$E$11+SQRT(U931*($G$11-$E$11)*($F$11-$E$11)),$G$11-SQRT((1-U931)*($G$11-$E$11)*($G$11-$F$11))))</f>
        <v>0.0922494152175289</v>
      </c>
      <c r="H931" s="39" t="n">
        <f aca="false">(('Business Case'!B11*$C931*'Business Case'!B12*$B931)-'Business Case'!B11*$C931*'Business Case'!B13*$D931-'Business Case'!B14*$E931)-MAX(0,(('Business Case'!B11*$C931*'Business Case'!B12*$B931)-'Business Case'!B11*$C931*'Business Case'!B13*$D931-'Business Case'!B14*$E931))*'Business Case'!$B$7-'Business Case'!$B$8*('Business Case'!B11*$C931*'Business Case'!B12*$B931)-'Business Case'!B15*$F931</f>
        <v>-2445943025.43289</v>
      </c>
      <c r="I931" s="39" t="n">
        <f aca="false">(('Business Case'!C11*$C931*'Business Case'!C12*$B931)-'Business Case'!C11*$C931*'Business Case'!C13*$D931-'Business Case'!C14*$E931)-MAX(0,(('Business Case'!C11*$C931*'Business Case'!C12*$B931)-'Business Case'!C11*$C931*'Business Case'!C13*$D931-'Business Case'!C14*$E931))*'Business Case'!$B$7-'Business Case'!$B$8*(('Business Case'!C11*$C931*'Business Case'!C12*$B931)-('Business Case'!B11*$C931*'Business Case'!B12*$B931))-'Business Case'!C15*$F931</f>
        <v>-23687368.8443616</v>
      </c>
      <c r="J931" s="39" t="n">
        <f aca="false">(('Business Case'!D11*$C931*'Business Case'!D12*$B931)-'Business Case'!D11*$C931*'Business Case'!D13*$D931-'Business Case'!D14*$E931)-MAX(0,(('Business Case'!D11*$C931*'Business Case'!D12*$B931)-'Business Case'!D11*$C931*'Business Case'!D13*$D931-'Business Case'!D14*$E931))*'Business Case'!$B$7-'Business Case'!$B$8*(('Business Case'!D11*$C931*'Business Case'!D12*$B931)-('Business Case'!C11*$C931*'Business Case'!C12*$B931))-'Business Case'!D15*$F931</f>
        <v>261128429.639622</v>
      </c>
      <c r="K931" s="39" t="n">
        <f aca="false">(('Business Case'!E11*$C931*'Business Case'!E12*$B931)-'Business Case'!E11*$C931*'Business Case'!E13*$D931-'Business Case'!E14*$E931)-MAX(0,(('Business Case'!E11*$C931*'Business Case'!E12*$B931)-'Business Case'!E11*$C931*'Business Case'!E13*$D931-'Business Case'!E14*$E931))*'Business Case'!$B$7-'Business Case'!$B$8*(('Business Case'!E11*$C931*'Business Case'!E12*$B931)-('Business Case'!D11*$C931*'Business Case'!D12*$B931))-'Business Case'!E15*$F931</f>
        <v>607092803.759428</v>
      </c>
      <c r="L931" s="39" t="n">
        <f aca="false">(('Business Case'!F11*$C931*'Business Case'!F12*$B931)-'Business Case'!F11*$C931*'Business Case'!F13*$D931-'Business Case'!F14*$E931)-MAX(0,(('Business Case'!F11*$C931*'Business Case'!F12*$B931)-'Business Case'!F11*$C931*'Business Case'!F13*$D931-'Business Case'!F14*$E931))*'Business Case'!$B$7-'Business Case'!$B$8*(('Business Case'!F11*$C931*'Business Case'!F12*$B931)-('Business Case'!E11*$C931*'Business Case'!E12*$B931))-'Business Case'!F15*$F931</f>
        <v>732227385.187691</v>
      </c>
      <c r="M931" s="39" t="n">
        <f aca="false">(('Business Case'!G11*$C931*'Business Case'!G12*$B931)-'Business Case'!G11*$C931*'Business Case'!G13*$D931-'Business Case'!G14*$E931)-MAX(0,(('Business Case'!G11*$C931*'Business Case'!G12*$B931)-'Business Case'!G11*$C931*'Business Case'!G13*$D931-'Business Case'!G14*$E931))*'Business Case'!$B$7-'Business Case'!$B$8*(('Business Case'!G11*$C931*'Business Case'!G12*$B931)-('Business Case'!F11*$C931*'Business Case'!F12*$B931))-'Business Case'!G15*$F931+'Business Case'!$B$8*('Business Case'!G11*$C931*'Business Case'!G12*$B931)</f>
        <v>898305285.822504</v>
      </c>
      <c r="N931" s="39" t="n">
        <f aca="false">IF(COUNT('Business Case'!B11:G11)=0,"",H931+NPV(G931,I931:M931))</f>
        <v>-690532858.505764</v>
      </c>
      <c r="P931" s="40" t="n">
        <f aca="true">RAND()</f>
        <v>0.922779765744735</v>
      </c>
      <c r="Q931" s="40" t="n">
        <f aca="true">RAND()</f>
        <v>0.170330011159157</v>
      </c>
      <c r="R931" s="40" t="n">
        <f aca="true">RAND()</f>
        <v>0.194614851668676</v>
      </c>
      <c r="S931" s="40" t="n">
        <f aca="true">RAND()</f>
        <v>0.330822537928861</v>
      </c>
      <c r="T931" s="40" t="n">
        <f aca="true">RAND()</f>
        <v>0.990259478335502</v>
      </c>
      <c r="U931" s="40" t="n">
        <f aca="true">RAND()</f>
        <v>0.150048173171428</v>
      </c>
    </row>
    <row r="932" customFormat="false" ht="15" hidden="false" customHeight="false" outlineLevel="0" collapsed="false">
      <c r="A932" s="36" t="n">
        <v>852</v>
      </c>
      <c r="B932" s="37" t="n">
        <f aca="false">1+IF($G$6=$E$6,$F$6,IF(P932&lt;($F$6-$E$6)/($G$6-$E$6),$E$6+SQRT(P932*($G$6-$E$6)*($F$6-$E$6)),$G$6-SQRT((1-P932)*($G$6-$E$6)*($G$6-$F$6))))</f>
        <v>1.02683899247218</v>
      </c>
      <c r="C932" s="37" t="n">
        <f aca="false">1+IF($G$7=$E$7,$F$7,IF(Q932&lt;($F$7-$E$7)/($G$7-$E$7),$E$7+SQRT(Q932*($G$7-$E$7)*($F$7-$E$7)),$G$7-SQRT((1-Q932)*($G$7-$E$7)*($G$7-$F$7))))</f>
        <v>0.807244245594539</v>
      </c>
      <c r="D932" s="37" t="n">
        <f aca="false">1+IF($G$8=$E$8,$F$8,IF(R932&lt;($F$8-$E$8)/($G$8-$E$8),$E$8+SQRT(R932*($G$8-$E$8)*($F$8-$E$8)),$G$8-SQRT((1-R932)*($G$8-$E$8)*($G$8-$F$8))))</f>
        <v>0.967483676800467</v>
      </c>
      <c r="E932" s="37" t="n">
        <f aca="false">1+IF($G$9=$E$9,$F$9,IF(S932&lt;($F$9-$E$9)/($G$9-$E$9),$E$9+SQRT(S932*($G$9-$E$9)*($F$9-$E$9)),$G$9-SQRT((1-S932)*($G$9-$E$9)*($G$9-$F$9))))</f>
        <v>1.03680470873857</v>
      </c>
      <c r="F932" s="37" t="n">
        <f aca="false">1+IF($G$10=$E$10,$F$10,IF(T932&lt;($F$10-$E$10)/($G$10-$E$10),$E$10+SQRT(T932*($G$10-$E$10)*($F$10-$E$10)),$G$10-SQRT((1-T932)*($G$10-$E$10)*($G$10-$F$10))))</f>
        <v>1.01201114990413</v>
      </c>
      <c r="G932" s="38" t="n">
        <f aca="false">IF($G$11=$E$11,$F$11,IF(U932&lt;($F$11-$E$11)/($G$11-$E$11),$E$11+SQRT(U932*($G$11-$E$11)*($F$11-$E$11)),$G$11-SQRT((1-U932)*($G$11-$E$11)*($G$11-$F$11))))</f>
        <v>0.0953285931065944</v>
      </c>
      <c r="H932" s="39" t="n">
        <f aca="false">(('Business Case'!B11*$C932*'Business Case'!B12*$B932)-'Business Case'!B11*$C932*'Business Case'!B13*$D932-'Business Case'!B14*$E932)-MAX(0,(('Business Case'!B11*$C932*'Business Case'!B12*$B932)-'Business Case'!B11*$C932*'Business Case'!B13*$D932-'Business Case'!B14*$E932))*'Business Case'!$B$7-'Business Case'!$B$8*('Business Case'!B11*$C932*'Business Case'!B12*$B932)-'Business Case'!B15*$F932</f>
        <v>-2024022299.80825</v>
      </c>
      <c r="I932" s="39" t="n">
        <f aca="false">(('Business Case'!C11*$C932*'Business Case'!C12*$B932)-'Business Case'!C11*$C932*'Business Case'!C13*$D932-'Business Case'!C14*$E932)-MAX(0,(('Business Case'!C11*$C932*'Business Case'!C12*$B932)-'Business Case'!C11*$C932*'Business Case'!C13*$D932-'Business Case'!C14*$E932))*'Business Case'!$B$7-'Business Case'!$B$8*(('Business Case'!C11*$C932*'Business Case'!C12*$B932)-('Business Case'!B11*$C932*'Business Case'!B12*$B932))-'Business Case'!C15*$F932</f>
        <v>-12475852.182818</v>
      </c>
      <c r="J932" s="39" t="n">
        <f aca="false">(('Business Case'!D11*$C932*'Business Case'!D12*$B932)-'Business Case'!D11*$C932*'Business Case'!D13*$D932-'Business Case'!D14*$E932)-MAX(0,(('Business Case'!D11*$C932*'Business Case'!D12*$B932)-'Business Case'!D11*$C932*'Business Case'!D13*$D932-'Business Case'!D14*$E932))*'Business Case'!$B$7-'Business Case'!$B$8*(('Business Case'!D11*$C932*'Business Case'!D12*$B932)-('Business Case'!C11*$C932*'Business Case'!C12*$B932))-'Business Case'!D15*$F932</f>
        <v>266653727.755463</v>
      </c>
      <c r="K932" s="39" t="n">
        <f aca="false">(('Business Case'!E11*$C932*'Business Case'!E12*$B932)-'Business Case'!E11*$C932*'Business Case'!E13*$D932-'Business Case'!E14*$E932)-MAX(0,(('Business Case'!E11*$C932*'Business Case'!E12*$B932)-'Business Case'!E11*$C932*'Business Case'!E13*$D932-'Business Case'!E14*$E932))*'Business Case'!$B$7-'Business Case'!$B$8*(('Business Case'!E11*$C932*'Business Case'!E12*$B932)-('Business Case'!D11*$C932*'Business Case'!D12*$B932))-'Business Case'!E15*$F932</f>
        <v>596383865.18895</v>
      </c>
      <c r="L932" s="39" t="n">
        <f aca="false">(('Business Case'!F11*$C932*'Business Case'!F12*$B932)-'Business Case'!F11*$C932*'Business Case'!F13*$D932-'Business Case'!F14*$E932)-MAX(0,(('Business Case'!F11*$C932*'Business Case'!F12*$B932)-'Business Case'!F11*$C932*'Business Case'!F13*$D932-'Business Case'!F14*$E932))*'Business Case'!$B$7-'Business Case'!$B$8*(('Business Case'!F11*$C932*'Business Case'!F12*$B932)-('Business Case'!E11*$C932*'Business Case'!E12*$B932))-'Business Case'!F15*$F932</f>
        <v>718074183.533751</v>
      </c>
      <c r="M932" s="39" t="n">
        <f aca="false">(('Business Case'!G11*$C932*'Business Case'!G12*$B932)-'Business Case'!G11*$C932*'Business Case'!G13*$D932-'Business Case'!G14*$E932)-MAX(0,(('Business Case'!G11*$C932*'Business Case'!G12*$B932)-'Business Case'!G11*$C932*'Business Case'!G13*$D932-'Business Case'!G14*$E932))*'Business Case'!$B$7-'Business Case'!$B$8*(('Business Case'!G11*$C932*'Business Case'!G12*$B932)-('Business Case'!F11*$C932*'Business Case'!F12*$B932))-'Business Case'!G15*$F932+'Business Case'!$B$8*('Business Case'!G11*$C932*'Business Case'!G12*$B932)</f>
        <v>875633371.209977</v>
      </c>
      <c r="N932" s="39" t="n">
        <f aca="false">IF(COUNT('Business Case'!B11:G11)=0,"",H932+NPV(G932,I932:M932))</f>
        <v>-305056680.454367</v>
      </c>
      <c r="P932" s="40" t="n">
        <f aca="true">RAND()</f>
        <v>0.928475697372848</v>
      </c>
      <c r="Q932" s="40" t="n">
        <f aca="true">RAND()</f>
        <v>0.0851950238010509</v>
      </c>
      <c r="R932" s="40" t="n">
        <f aca="true">RAND()</f>
        <v>0.0407571939284247</v>
      </c>
      <c r="S932" s="40" t="n">
        <f aca="true">RAND()</f>
        <v>0.65831536096639</v>
      </c>
      <c r="T932" s="40" t="n">
        <f aca="true">RAND()</f>
        <v>0.24481742973391</v>
      </c>
      <c r="U932" s="40" t="n">
        <f aca="true">RAND()</f>
        <v>0.234965766627533</v>
      </c>
    </row>
    <row r="933" customFormat="false" ht="15" hidden="false" customHeight="false" outlineLevel="0" collapsed="false">
      <c r="A933" s="36" t="n">
        <v>853</v>
      </c>
      <c r="B933" s="37" t="n">
        <f aca="false">1+IF($G$6=$E$6,$F$6,IF(P933&lt;($F$6-$E$6)/($G$6-$E$6),$E$6+SQRT(P933*($G$6-$E$6)*($F$6-$E$6)),$G$6-SQRT((1-P933)*($G$6-$E$6)*($G$6-$F$6))))</f>
        <v>0.928854239700184</v>
      </c>
      <c r="C933" s="37" t="n">
        <f aca="false">1+IF($G$7=$E$7,$F$7,IF(Q933&lt;($F$7-$E$7)/($G$7-$E$7),$E$7+SQRT(Q933*($G$7-$E$7)*($F$7-$E$7)),$G$7-SQRT((1-Q933)*($G$7-$E$7)*($G$7-$F$7))))</f>
        <v>0.763155860354957</v>
      </c>
      <c r="D933" s="37" t="n">
        <f aca="false">1+IF($G$8=$E$8,$F$8,IF(R933&lt;($F$8-$E$8)/($G$8-$E$8),$E$8+SQRT(R933*($G$8-$E$8)*($F$8-$E$8)),$G$8-SQRT((1-R933)*($G$8-$E$8)*($G$8-$F$8))))</f>
        <v>1.00854568281512</v>
      </c>
      <c r="E933" s="37" t="n">
        <f aca="false">1+IF($G$9=$E$9,$F$9,IF(S933&lt;($F$9-$E$9)/($G$9-$E$9),$E$9+SQRT(S933*($G$9-$E$9)*($F$9-$E$9)),$G$9-SQRT((1-S933)*($G$9-$E$9)*($G$9-$F$9))))</f>
        <v>0.995316061330275</v>
      </c>
      <c r="F933" s="37" t="n">
        <f aca="false">1+IF($G$10=$E$10,$F$10,IF(T933&lt;($F$10-$E$10)/($G$10-$E$10),$E$10+SQRT(T933*($G$10-$E$10)*($F$10-$E$10)),$G$10-SQRT((1-T933)*($G$10-$E$10)*($G$10-$F$10))))</f>
        <v>1.18934285475865</v>
      </c>
      <c r="G933" s="38" t="n">
        <f aca="false">IF($G$11=$E$11,$F$11,IF(U933&lt;($F$11-$E$11)/($G$11-$E$11),$E$11+SQRT(U933*($G$11-$E$11)*($F$11-$E$11)),$G$11-SQRT((1-U933)*($G$11-$E$11)*($G$11-$F$11))))</f>
        <v>0.108783950680418</v>
      </c>
      <c r="H933" s="39" t="n">
        <f aca="false">(('Business Case'!B11*$C933*'Business Case'!B12*$B933)-'Business Case'!B11*$C933*'Business Case'!B13*$D933-'Business Case'!B14*$E933)-MAX(0,(('Business Case'!B11*$C933*'Business Case'!B12*$B933)-'Business Case'!B11*$C933*'Business Case'!B13*$D933-'Business Case'!B14*$E933))*'Business Case'!$B$7-'Business Case'!$B$8*('Business Case'!B11*$C933*'Business Case'!B12*$B933)-'Business Case'!B15*$F933</f>
        <v>-2378685709.51731</v>
      </c>
      <c r="I933" s="39" t="n">
        <f aca="false">(('Business Case'!C11*$C933*'Business Case'!C12*$B933)-'Business Case'!C11*$C933*'Business Case'!C13*$D933-'Business Case'!C14*$E933)-MAX(0,(('Business Case'!C11*$C933*'Business Case'!C12*$B933)-'Business Case'!C11*$C933*'Business Case'!C13*$D933-'Business Case'!C14*$E933))*'Business Case'!$B$7-'Business Case'!$B$8*(('Business Case'!C11*$C933*'Business Case'!C12*$B933)-('Business Case'!B11*$C933*'Business Case'!B12*$B933))-'Business Case'!C15*$F933</f>
        <v>-110621057.469826</v>
      </c>
      <c r="J933" s="39" t="n">
        <f aca="false">(('Business Case'!D11*$C933*'Business Case'!D12*$B933)-'Business Case'!D11*$C933*'Business Case'!D13*$D933-'Business Case'!D14*$E933)-MAX(0,(('Business Case'!D11*$C933*'Business Case'!D12*$B933)-'Business Case'!D11*$C933*'Business Case'!D13*$D933-'Business Case'!D14*$E933))*'Business Case'!$B$7-'Business Case'!$B$8*(('Business Case'!D11*$C933*'Business Case'!D12*$B933)-('Business Case'!C11*$C933*'Business Case'!C12*$B933))-'Business Case'!D15*$F933</f>
        <v>75973445.7033705</v>
      </c>
      <c r="K933" s="39" t="n">
        <f aca="false">(('Business Case'!E11*$C933*'Business Case'!E12*$B933)-'Business Case'!E11*$C933*'Business Case'!E13*$D933-'Business Case'!E14*$E933)-MAX(0,(('Business Case'!E11*$C933*'Business Case'!E12*$B933)-'Business Case'!E11*$C933*'Business Case'!E13*$D933-'Business Case'!E14*$E933))*'Business Case'!$B$7-'Business Case'!$B$8*(('Business Case'!E11*$C933*'Business Case'!E12*$B933)-('Business Case'!D11*$C933*'Business Case'!D12*$B933))-'Business Case'!E15*$F933</f>
        <v>322035091.6145</v>
      </c>
      <c r="L933" s="39" t="n">
        <f aca="false">(('Business Case'!F11*$C933*'Business Case'!F12*$B933)-'Business Case'!F11*$C933*'Business Case'!F13*$D933-'Business Case'!F14*$E933)-MAX(0,(('Business Case'!F11*$C933*'Business Case'!F12*$B933)-'Business Case'!F11*$C933*'Business Case'!F13*$D933-'Business Case'!F14*$E933))*'Business Case'!$B$7-'Business Case'!$B$8*(('Business Case'!F11*$C933*'Business Case'!F12*$B933)-('Business Case'!E11*$C933*'Business Case'!E12*$B933))-'Business Case'!F15*$F933</f>
        <v>408731480.16956</v>
      </c>
      <c r="M933" s="39" t="n">
        <f aca="false">(('Business Case'!G11*$C933*'Business Case'!G12*$B933)-'Business Case'!G11*$C933*'Business Case'!G13*$D933-'Business Case'!G14*$E933)-MAX(0,(('Business Case'!G11*$C933*'Business Case'!G12*$B933)-'Business Case'!G11*$C933*'Business Case'!G13*$D933-'Business Case'!G14*$E933))*'Business Case'!$B$7-'Business Case'!$B$8*(('Business Case'!G11*$C933*'Business Case'!G12*$B933)-('Business Case'!F11*$C933*'Business Case'!F12*$B933))-'Business Case'!G15*$F933+'Business Case'!$B$8*('Business Case'!G11*$C933*'Business Case'!G12*$B933)</f>
        <v>543471694.738197</v>
      </c>
      <c r="N933" s="39" t="n">
        <f aca="false">IF(COUNT('Business Case'!B11:G11)=0,"",H933+NPV(G933,I933:M933))</f>
        <v>-1585687953.12798</v>
      </c>
      <c r="P933" s="40" t="n">
        <f aca="true">RAND()</f>
        <v>0.0555044765783791</v>
      </c>
      <c r="Q933" s="40" t="n">
        <f aca="true">RAND()</f>
        <v>0.0295456496087026</v>
      </c>
      <c r="R933" s="40" t="n">
        <f aca="true">RAND()</f>
        <v>0.442407191216451</v>
      </c>
      <c r="S933" s="40" t="n">
        <f aca="true">RAND()</f>
        <v>0.363406061900666</v>
      </c>
      <c r="T933" s="40" t="n">
        <f aca="true">RAND()</f>
        <v>0.950942809748935</v>
      </c>
      <c r="U933" s="40" t="n">
        <f aca="true">RAND()</f>
        <v>0.699919500846056</v>
      </c>
    </row>
    <row r="934" customFormat="false" ht="15" hidden="false" customHeight="false" outlineLevel="0" collapsed="false">
      <c r="A934" s="36" t="n">
        <v>854</v>
      </c>
      <c r="B934" s="37" t="n">
        <f aca="false">1+IF($G$6=$E$6,$F$6,IF(P934&lt;($F$6-$E$6)/($G$6-$E$6),$E$6+SQRT(P934*($G$6-$E$6)*($F$6-$E$6)),$G$6-SQRT((1-P934)*($G$6-$E$6)*($G$6-$F$6))))</f>
        <v>0.99676756169994</v>
      </c>
      <c r="C934" s="37" t="n">
        <f aca="false">1+IF($G$7=$E$7,$F$7,IF(Q934&lt;($F$7-$E$7)/($G$7-$E$7),$E$7+SQRT(Q934*($G$7-$E$7)*($F$7-$E$7)),$G$7-SQRT((1-Q934)*($G$7-$E$7)*($G$7-$F$7))))</f>
        <v>0.995634149298935</v>
      </c>
      <c r="D934" s="37" t="n">
        <f aca="false">1+IF($G$8=$E$8,$F$8,IF(R934&lt;($F$8-$E$8)/($G$8-$E$8),$E$8+SQRT(R934*($G$8-$E$8)*($F$8-$E$8)),$G$8-SQRT((1-R934)*($G$8-$E$8)*($G$8-$F$8))))</f>
        <v>1.05836957063568</v>
      </c>
      <c r="E934" s="37" t="n">
        <f aca="false">1+IF($G$9=$E$9,$F$9,IF(S934&lt;($F$9-$E$9)/($G$9-$E$9),$E$9+SQRT(S934*($G$9-$E$9)*($F$9-$E$9)),$G$9-SQRT((1-S934)*($G$9-$E$9)*($G$9-$F$9))))</f>
        <v>0.98513748244221</v>
      </c>
      <c r="F934" s="37" t="n">
        <f aca="false">1+IF($G$10=$E$10,$F$10,IF(T934&lt;($F$10-$E$10)/($G$10-$E$10),$E$10+SQRT(T934*($G$10-$E$10)*($F$10-$E$10)),$G$10-SQRT((1-T934)*($G$10-$E$10)*($G$10-$F$10))))</f>
        <v>1.06453750695465</v>
      </c>
      <c r="G934" s="38" t="n">
        <f aca="false">IF($G$11=$E$11,$F$11,IF(U934&lt;($F$11-$E$11)/($G$11-$E$11),$E$11+SQRT(U934*($G$11-$E$11)*($F$11-$E$11)),$G$11-SQRT((1-U934)*($G$11-$E$11)*($G$11-$F$11))))</f>
        <v>0.110512141413933</v>
      </c>
      <c r="H934" s="39" t="n">
        <f aca="false">(('Business Case'!B11*$C934*'Business Case'!B12*$B934)-'Business Case'!B11*$C934*'Business Case'!B13*$D934-'Business Case'!B14*$E934)-MAX(0,(('Business Case'!B11*$C934*'Business Case'!B12*$B934)-'Business Case'!B11*$C934*'Business Case'!B13*$D934-'Business Case'!B14*$E934))*'Business Case'!$B$7-'Business Case'!$B$8*('Business Case'!B11*$C934*'Business Case'!B12*$B934)-'Business Case'!B15*$F934</f>
        <v>-2129075013.9093</v>
      </c>
      <c r="I934" s="39" t="n">
        <f aca="false">(('Business Case'!C11*$C934*'Business Case'!C12*$B934)-'Business Case'!C11*$C934*'Business Case'!C13*$D934-'Business Case'!C14*$E934)-MAX(0,(('Business Case'!C11*$C934*'Business Case'!C12*$B934)-'Business Case'!C11*$C934*'Business Case'!C13*$D934-'Business Case'!C14*$E934))*'Business Case'!$B$7-'Business Case'!$B$8*(('Business Case'!C11*$C934*'Business Case'!C12*$B934)-('Business Case'!B11*$C934*'Business Case'!B12*$B934))-'Business Case'!C15*$F934</f>
        <v>-24562254.0106424</v>
      </c>
      <c r="J934" s="39" t="n">
        <f aca="false">(('Business Case'!D11*$C934*'Business Case'!D12*$B934)-'Business Case'!D11*$C934*'Business Case'!D13*$D934-'Business Case'!D14*$E934)-MAX(0,(('Business Case'!D11*$C934*'Business Case'!D12*$B934)-'Business Case'!D11*$C934*'Business Case'!D13*$D934-'Business Case'!D14*$E934))*'Business Case'!$B$7-'Business Case'!$B$8*(('Business Case'!D11*$C934*'Business Case'!D12*$B934)-('Business Case'!C11*$C934*'Business Case'!C12*$B934))-'Business Case'!D15*$F934</f>
        <v>248862628.959506</v>
      </c>
      <c r="K934" s="39" t="n">
        <f aca="false">(('Business Case'!E11*$C934*'Business Case'!E12*$B934)-'Business Case'!E11*$C934*'Business Case'!E13*$D934-'Business Case'!E14*$E934)-MAX(0,(('Business Case'!E11*$C934*'Business Case'!E12*$B934)-'Business Case'!E11*$C934*'Business Case'!E13*$D934-'Business Case'!E14*$E934))*'Business Case'!$B$7-'Business Case'!$B$8*(('Business Case'!E11*$C934*'Business Case'!E12*$B934)-('Business Case'!D11*$C934*'Business Case'!D12*$B934))-'Business Case'!E15*$F934</f>
        <v>575514387.277388</v>
      </c>
      <c r="L934" s="39" t="n">
        <f aca="false">(('Business Case'!F11*$C934*'Business Case'!F12*$B934)-'Business Case'!F11*$C934*'Business Case'!F13*$D934-'Business Case'!F14*$E934)-MAX(0,(('Business Case'!F11*$C934*'Business Case'!F12*$B934)-'Business Case'!F11*$C934*'Business Case'!F13*$D934-'Business Case'!F14*$E934))*'Business Case'!$B$7-'Business Case'!$B$8*(('Business Case'!F11*$C934*'Business Case'!F12*$B934)-('Business Case'!E11*$C934*'Business Case'!E12*$B934))-'Business Case'!F15*$F934</f>
        <v>700953905.7888</v>
      </c>
      <c r="M934" s="39" t="n">
        <f aca="false">(('Business Case'!G11*$C934*'Business Case'!G12*$B934)-'Business Case'!G11*$C934*'Business Case'!G13*$D934-'Business Case'!G14*$E934)-MAX(0,(('Business Case'!G11*$C934*'Business Case'!G12*$B934)-'Business Case'!G11*$C934*'Business Case'!G13*$D934-'Business Case'!G14*$E934))*'Business Case'!$B$7-'Business Case'!$B$8*(('Business Case'!G11*$C934*'Business Case'!G12*$B934)-('Business Case'!F11*$C934*'Business Case'!F12*$B934))-'Business Case'!G15*$F934+'Business Case'!$B$8*('Business Case'!G11*$C934*'Business Case'!G12*$B934)</f>
        <v>889592305.489627</v>
      </c>
      <c r="N934" s="39" t="n">
        <f aca="false">IF(COUNT('Business Case'!B11:G11)=0,"",H934+NPV(G934,I934:M934))</f>
        <v>-541565124.949373</v>
      </c>
      <c r="P934" s="40" t="n">
        <f aca="true">RAND()</f>
        <v>0.624264066490112</v>
      </c>
      <c r="Q934" s="40" t="n">
        <f aca="true">RAND()</f>
        <v>0.647404075790405</v>
      </c>
      <c r="R934" s="40" t="n">
        <f aca="true">RAND()</f>
        <v>0.88446049006281</v>
      </c>
      <c r="S934" s="40" t="n">
        <f aca="true">RAND()</f>
        <v>0.289935636663907</v>
      </c>
      <c r="T934" s="40" t="n">
        <f aca="true">RAND()</f>
        <v>0.541382182312049</v>
      </c>
      <c r="U934" s="40" t="n">
        <f aca="true">RAND()</f>
        <v>0.746815578486291</v>
      </c>
    </row>
    <row r="935" customFormat="false" ht="15" hidden="false" customHeight="false" outlineLevel="0" collapsed="false">
      <c r="A935" s="36" t="n">
        <v>855</v>
      </c>
      <c r="B935" s="37" t="n">
        <f aca="false">1+IF($G$6=$E$6,$F$6,IF(P935&lt;($F$6-$E$6)/($G$6-$E$6),$E$6+SQRT(P935*($G$6-$E$6)*($F$6-$E$6)),$G$6-SQRT((1-P935)*($G$6-$E$6)*($G$6-$F$6))))</f>
        <v>0.997322295578977</v>
      </c>
      <c r="C935" s="37" t="n">
        <f aca="false">1+IF($G$7=$E$7,$F$7,IF(Q935&lt;($F$7-$E$7)/($G$7-$E$7),$E$7+SQRT(Q935*($G$7-$E$7)*($F$7-$E$7)),$G$7-SQRT((1-Q935)*($G$7-$E$7)*($G$7-$F$7))))</f>
        <v>0.868184840985235</v>
      </c>
      <c r="D935" s="37" t="n">
        <f aca="false">1+IF($G$8=$E$8,$F$8,IF(R935&lt;($F$8-$E$8)/($G$8-$E$8),$E$8+SQRT(R935*($G$8-$E$8)*($F$8-$E$8)),$G$8-SQRT((1-R935)*($G$8-$E$8)*($G$8-$F$8))))</f>
        <v>1.04299900350224</v>
      </c>
      <c r="E935" s="37" t="n">
        <f aca="false">1+IF($G$9=$E$9,$F$9,IF(S935&lt;($F$9-$E$9)/($G$9-$E$9),$E$9+SQRT(S935*($G$9-$E$9)*($F$9-$E$9)),$G$9-SQRT((1-S935)*($G$9-$E$9)*($G$9-$F$9))))</f>
        <v>1.02499755117904</v>
      </c>
      <c r="F935" s="37" t="n">
        <f aca="false">1+IF($G$10=$E$10,$F$10,IF(T935&lt;($F$10-$E$10)/($G$10-$E$10),$E$10+SQRT(T935*($G$10-$E$10)*($F$10-$E$10)),$G$10-SQRT((1-T935)*($G$10-$E$10)*($G$10-$F$10))))</f>
        <v>1.03117165581743</v>
      </c>
      <c r="G935" s="38" t="n">
        <f aca="false">IF($G$11=$E$11,$F$11,IF(U935&lt;($F$11-$E$11)/($G$11-$E$11),$E$11+SQRT(U935*($G$11-$E$11)*($F$11-$E$11)),$G$11-SQRT((1-U935)*($G$11-$E$11)*($G$11-$F$11))))</f>
        <v>0.0974811737472498</v>
      </c>
      <c r="H935" s="39" t="n">
        <f aca="false">(('Business Case'!B11*$C935*'Business Case'!B12*$B935)-'Business Case'!B11*$C935*'Business Case'!B13*$D935-'Business Case'!B14*$E935)-MAX(0,(('Business Case'!B11*$C935*'Business Case'!B12*$B935)-'Business Case'!B11*$C935*'Business Case'!B13*$D935-'Business Case'!B14*$E935))*'Business Case'!$B$7-'Business Case'!$B$8*('Business Case'!B11*$C935*'Business Case'!B12*$B935)-'Business Case'!B15*$F935</f>
        <v>-2062343311.63485</v>
      </c>
      <c r="I935" s="39" t="n">
        <f aca="false">(('Business Case'!C11*$C935*'Business Case'!C12*$B935)-'Business Case'!C11*$C935*'Business Case'!C13*$D935-'Business Case'!C14*$E935)-MAX(0,(('Business Case'!C11*$C935*'Business Case'!C12*$B935)-'Business Case'!C11*$C935*'Business Case'!C13*$D935-'Business Case'!C14*$E935))*'Business Case'!$B$7-'Business Case'!$B$8*(('Business Case'!C11*$C935*'Business Case'!C12*$B935)-('Business Case'!B11*$C935*'Business Case'!B12*$B935))-'Business Case'!C15*$F935</f>
        <v>-48107954.0074565</v>
      </c>
      <c r="J935" s="39" t="n">
        <f aca="false">(('Business Case'!D11*$C935*'Business Case'!D12*$B935)-'Business Case'!D11*$C935*'Business Case'!D13*$D935-'Business Case'!D14*$E935)-MAX(0,(('Business Case'!D11*$C935*'Business Case'!D12*$B935)-'Business Case'!D11*$C935*'Business Case'!D13*$D935-'Business Case'!D14*$E935))*'Business Case'!$B$7-'Business Case'!$B$8*(('Business Case'!D11*$C935*'Business Case'!D12*$B935)-('Business Case'!C11*$C935*'Business Case'!C12*$B935))-'Business Case'!D15*$F935</f>
        <v>197542096.855823</v>
      </c>
      <c r="K935" s="39" t="n">
        <f aca="false">(('Business Case'!E11*$C935*'Business Case'!E12*$B935)-'Business Case'!E11*$C935*'Business Case'!E13*$D935-'Business Case'!E14*$E935)-MAX(0,(('Business Case'!E11*$C935*'Business Case'!E12*$B935)-'Business Case'!E11*$C935*'Business Case'!E13*$D935-'Business Case'!E14*$E935))*'Business Case'!$B$7-'Business Case'!$B$8*(('Business Case'!E11*$C935*'Business Case'!E12*$B935)-('Business Case'!D11*$C935*'Business Case'!D12*$B935))-'Business Case'!E15*$F935</f>
        <v>494750730.509975</v>
      </c>
      <c r="L935" s="39" t="n">
        <f aca="false">(('Business Case'!F11*$C935*'Business Case'!F12*$B935)-'Business Case'!F11*$C935*'Business Case'!F13*$D935-'Business Case'!F14*$E935)-MAX(0,(('Business Case'!F11*$C935*'Business Case'!F12*$B935)-'Business Case'!F11*$C935*'Business Case'!F13*$D935-'Business Case'!F14*$E935))*'Business Case'!$B$7-'Business Case'!$B$8*(('Business Case'!F11*$C935*'Business Case'!F12*$B935)-('Business Case'!E11*$C935*'Business Case'!E12*$B935))-'Business Case'!F15*$F935</f>
        <v>606558205.805291</v>
      </c>
      <c r="M935" s="39" t="n">
        <f aca="false">(('Business Case'!G11*$C935*'Business Case'!G12*$B935)-'Business Case'!G11*$C935*'Business Case'!G13*$D935-'Business Case'!G14*$E935)-MAX(0,(('Business Case'!G11*$C935*'Business Case'!G12*$B935)-'Business Case'!G11*$C935*'Business Case'!G13*$D935-'Business Case'!G14*$E935))*'Business Case'!$B$7-'Business Case'!$B$8*(('Business Case'!G11*$C935*'Business Case'!G12*$B935)-('Business Case'!F11*$C935*'Business Case'!F12*$B935))-'Business Case'!G15*$F935+'Business Case'!$B$8*('Business Case'!G11*$C935*'Business Case'!G12*$B935)</f>
        <v>771140893.346849</v>
      </c>
      <c r="N935" s="39" t="n">
        <f aca="false">IF(COUNT('Business Case'!B11:G11)=0,"",H935+NPV(G935,I935:M935))</f>
        <v>-665449611.050392</v>
      </c>
      <c r="P935" s="40" t="n">
        <f aca="true">RAND()</f>
        <v>0.631441947784113</v>
      </c>
      <c r="Q935" s="40" t="n">
        <f aca="true">RAND()</f>
        <v>0.209526968423917</v>
      </c>
      <c r="R935" s="40" t="n">
        <f aca="true">RAND()</f>
        <v>0.783392426550851</v>
      </c>
      <c r="S935" s="40" t="n">
        <f aca="true">RAND()</f>
        <v>0.583317007700366</v>
      </c>
      <c r="T935" s="40" t="n">
        <f aca="true">RAND()</f>
        <v>0.361522077097507</v>
      </c>
      <c r="U935" s="40" t="n">
        <f aca="true">RAND()</f>
        <v>0.305591435581536</v>
      </c>
    </row>
    <row r="936" customFormat="false" ht="15" hidden="false" customHeight="false" outlineLevel="0" collapsed="false">
      <c r="A936" s="36" t="n">
        <v>856</v>
      </c>
      <c r="B936" s="37" t="n">
        <f aca="false">1+IF($G$6=$E$6,$F$6,IF(P936&lt;($F$6-$E$6)/($G$6-$E$6),$E$6+SQRT(P936*($G$6-$E$6)*($F$6-$E$6)),$G$6-SQRT((1-P936)*($G$6-$E$6)*($G$6-$F$6))))</f>
        <v>0.942406991257662</v>
      </c>
      <c r="C936" s="37" t="n">
        <f aca="false">1+IF($G$7=$E$7,$F$7,IF(Q936&lt;($F$7-$E$7)/($G$7-$E$7),$E$7+SQRT(Q936*($G$7-$E$7)*($F$7-$E$7)),$G$7-SQRT((1-Q936)*($G$7-$E$7)*($G$7-$F$7))))</f>
        <v>1.07391040484377</v>
      </c>
      <c r="D936" s="37" t="n">
        <f aca="false">1+IF($G$8=$E$8,$F$8,IF(R936&lt;($F$8-$E$8)/($G$8-$E$8),$E$8+SQRT(R936*($G$8-$E$8)*($F$8-$E$8)),$G$8-SQRT((1-R936)*($G$8-$E$8)*($G$8-$F$8))))</f>
        <v>1.00800760829972</v>
      </c>
      <c r="E936" s="37" t="n">
        <f aca="false">1+IF($G$9=$E$9,$F$9,IF(S936&lt;($F$9-$E$9)/($G$9-$E$9),$E$9+SQRT(S936*($G$9-$E$9)*($F$9-$E$9)),$G$9-SQRT((1-S936)*($G$9-$E$9)*($G$9-$F$9))))</f>
        <v>0.997581039934438</v>
      </c>
      <c r="F936" s="37" t="n">
        <f aca="false">1+IF($G$10=$E$10,$F$10,IF(T936&lt;($F$10-$E$10)/($G$10-$E$10),$E$10+SQRT(T936*($G$10-$E$10)*($F$10-$E$10)),$G$10-SQRT((1-T936)*($G$10-$E$10)*($G$10-$F$10))))</f>
        <v>1.03031199648879</v>
      </c>
      <c r="G936" s="38" t="n">
        <f aca="false">IF($G$11=$E$11,$F$11,IF(U936&lt;($F$11-$E$11)/($G$11-$E$11),$E$11+SQRT(U936*($G$11-$E$11)*($F$11-$E$11)),$G$11-SQRT((1-U936)*($G$11-$E$11)*($G$11-$F$11))))</f>
        <v>0.115943528909872</v>
      </c>
      <c r="H936" s="39" t="n">
        <f aca="false">(('Business Case'!B11*$C936*'Business Case'!B12*$B936)-'Business Case'!B11*$C936*'Business Case'!B13*$D936-'Business Case'!B14*$E936)-MAX(0,(('Business Case'!B11*$C936*'Business Case'!B12*$B936)-'Business Case'!B11*$C936*'Business Case'!B13*$D936-'Business Case'!B14*$E936))*'Business Case'!$B$7-'Business Case'!$B$8*('Business Case'!B11*$C936*'Business Case'!B12*$B936)-'Business Case'!B15*$F936</f>
        <v>-2060623992.97758</v>
      </c>
      <c r="I936" s="39" t="n">
        <f aca="false">(('Business Case'!C11*$C936*'Business Case'!C12*$B936)-'Business Case'!C11*$C936*'Business Case'!C13*$D936-'Business Case'!C14*$E936)-MAX(0,(('Business Case'!C11*$C936*'Business Case'!C12*$B936)-'Business Case'!C11*$C936*'Business Case'!C13*$D936-'Business Case'!C14*$E936))*'Business Case'!$B$7-'Business Case'!$B$8*(('Business Case'!C11*$C936*'Business Case'!C12*$B936)-('Business Case'!B11*$C936*'Business Case'!B12*$B936))-'Business Case'!C15*$F936</f>
        <v>-22560335.7430651</v>
      </c>
      <c r="J936" s="39" t="n">
        <f aca="false">(('Business Case'!D11*$C936*'Business Case'!D12*$B936)-'Business Case'!D11*$C936*'Business Case'!D13*$D936-'Business Case'!D14*$E936)-MAX(0,(('Business Case'!D11*$C936*'Business Case'!D12*$B936)-'Business Case'!D11*$C936*'Business Case'!D13*$D936-'Business Case'!D14*$E936))*'Business Case'!$B$7-'Business Case'!$B$8*(('Business Case'!D11*$C936*'Business Case'!D12*$B936)-('Business Case'!C11*$C936*'Business Case'!C12*$B936))-'Business Case'!D15*$F936</f>
        <v>252231777.356139</v>
      </c>
      <c r="K936" s="39" t="n">
        <f aca="false">(('Business Case'!E11*$C936*'Business Case'!E12*$B936)-'Business Case'!E11*$C936*'Business Case'!E13*$D936-'Business Case'!E14*$E936)-MAX(0,(('Business Case'!E11*$C936*'Business Case'!E12*$B936)-'Business Case'!E11*$C936*'Business Case'!E13*$D936-'Business Case'!E14*$E936))*'Business Case'!$B$7-'Business Case'!$B$8*(('Business Case'!E11*$C936*'Business Case'!E12*$B936)-('Business Case'!D11*$C936*'Business Case'!D12*$B936))-'Business Case'!E15*$F936</f>
        <v>578539490.279782</v>
      </c>
      <c r="L936" s="39" t="n">
        <f aca="false">(('Business Case'!F11*$C936*'Business Case'!F12*$B936)-'Business Case'!F11*$C936*'Business Case'!F13*$D936-'Business Case'!F14*$E936)-MAX(0,(('Business Case'!F11*$C936*'Business Case'!F12*$B936)-'Business Case'!F11*$C936*'Business Case'!F13*$D936-'Business Case'!F14*$E936))*'Business Case'!$B$7-'Business Case'!$B$8*(('Business Case'!F11*$C936*'Business Case'!F12*$B936)-('Business Case'!E11*$C936*'Business Case'!E12*$B936))-'Business Case'!F15*$F936</f>
        <v>705113678.189326</v>
      </c>
      <c r="M936" s="39" t="n">
        <f aca="false">(('Business Case'!G11*$C936*'Business Case'!G12*$B936)-'Business Case'!G11*$C936*'Business Case'!G13*$D936-'Business Case'!G14*$E936)-MAX(0,(('Business Case'!G11*$C936*'Business Case'!G12*$B936)-'Business Case'!G11*$C936*'Business Case'!G13*$D936-'Business Case'!G14*$E936))*'Business Case'!$B$7-'Business Case'!$B$8*(('Business Case'!G11*$C936*'Business Case'!G12*$B936)-('Business Case'!F11*$C936*'Business Case'!F12*$B936))-'Business Case'!G15*$F936+'Business Case'!$B$8*('Business Case'!G11*$C936*'Business Case'!G12*$B936)</f>
        <v>897486171.009939</v>
      </c>
      <c r="N936" s="39" t="n">
        <f aca="false">IF(COUNT('Business Case'!B11:G11)=0,"",H936+NPV(G936,I936:M936))</f>
        <v>-488753526.86881</v>
      </c>
      <c r="P936" s="40" t="n">
        <f aca="true">RAND()</f>
        <v>0.119890193835164</v>
      </c>
      <c r="Q936" s="40" t="n">
        <f aca="true">RAND()</f>
        <v>0.914227755688322</v>
      </c>
      <c r="R936" s="40" t="n">
        <f aca="true">RAND()</f>
        <v>0.435826657950803</v>
      </c>
      <c r="S936" s="40" t="n">
        <f aca="true">RAND()</f>
        <v>0.380882374187454</v>
      </c>
      <c r="T936" s="40" t="n">
        <f aca="true">RAND()</f>
        <v>0.35649574817678</v>
      </c>
      <c r="U936" s="40" t="n">
        <f aca="true">RAND()</f>
        <v>0.868277080328256</v>
      </c>
    </row>
    <row r="937" customFormat="false" ht="15" hidden="false" customHeight="false" outlineLevel="0" collapsed="false">
      <c r="A937" s="36" t="n">
        <v>857</v>
      </c>
      <c r="B937" s="37" t="n">
        <f aca="false">1+IF($G$6=$E$6,$F$6,IF(P937&lt;($F$6-$E$6)/($G$6-$E$6),$E$6+SQRT(P937*($G$6-$E$6)*($F$6-$E$6)),$G$6-SQRT((1-P937)*($G$6-$E$6)*($G$6-$F$6))))</f>
        <v>0.980548245790733</v>
      </c>
      <c r="C937" s="37" t="n">
        <f aca="false">1+IF($G$7=$E$7,$F$7,IF(Q937&lt;($F$7-$E$7)/($G$7-$E$7),$E$7+SQRT(Q937*($G$7-$E$7)*($F$7-$E$7)),$G$7-SQRT((1-Q937)*($G$7-$E$7)*($G$7-$F$7))))</f>
        <v>0.942087668242644</v>
      </c>
      <c r="D937" s="37" t="n">
        <f aca="false">1+IF($G$8=$E$8,$F$8,IF(R937&lt;($F$8-$E$8)/($G$8-$E$8),$E$8+SQRT(R937*($G$8-$E$8)*($F$8-$E$8)),$G$8-SQRT((1-R937)*($G$8-$E$8)*($G$8-$F$8))))</f>
        <v>0.970841532893343</v>
      </c>
      <c r="E937" s="37" t="n">
        <f aca="false">1+IF($G$9=$E$9,$F$9,IF(S937&lt;($F$9-$E$9)/($G$9-$E$9),$E$9+SQRT(S937*($G$9-$E$9)*($F$9-$E$9)),$G$9-SQRT((1-S937)*($G$9-$E$9)*($G$9-$F$9))))</f>
        <v>1.00623666679476</v>
      </c>
      <c r="F937" s="37" t="n">
        <f aca="false">1+IF($G$10=$E$10,$F$10,IF(T937&lt;($F$10-$E$10)/($G$10-$E$10),$E$10+SQRT(T937*($G$10-$E$10)*($F$10-$E$10)),$G$10-SQRT((1-T937)*($G$10-$E$10)*($G$10-$F$10))))</f>
        <v>1.02415646034676</v>
      </c>
      <c r="G937" s="38" t="n">
        <f aca="false">IF($G$11=$E$11,$F$11,IF(U937&lt;($F$11-$E$11)/($G$11-$E$11),$E$11+SQRT(U937*($G$11-$E$11)*($F$11-$E$11)),$G$11-SQRT((1-U937)*($G$11-$E$11)*($G$11-$F$11))))</f>
        <v>0.123897518699237</v>
      </c>
      <c r="H937" s="39" t="n">
        <f aca="false">(('Business Case'!B11*$C937*'Business Case'!B12*$B937)-'Business Case'!B11*$C937*'Business Case'!B13*$D937-'Business Case'!B14*$E937)-MAX(0,(('Business Case'!B11*$C937*'Business Case'!B12*$B937)-'Business Case'!B11*$C937*'Business Case'!B13*$D937-'Business Case'!B14*$E937))*'Business Case'!$B$7-'Business Case'!$B$8*('Business Case'!B11*$C937*'Business Case'!B12*$B937)-'Business Case'!B15*$F937</f>
        <v>-2048312920.69353</v>
      </c>
      <c r="I937" s="39" t="n">
        <f aca="false">(('Business Case'!C11*$C937*'Business Case'!C12*$B937)-'Business Case'!C11*$C937*'Business Case'!C13*$D937-'Business Case'!C14*$E937)-MAX(0,(('Business Case'!C11*$C937*'Business Case'!C12*$B937)-'Business Case'!C11*$C937*'Business Case'!C13*$D937-'Business Case'!C14*$E937))*'Business Case'!$B$7-'Business Case'!$B$8*(('Business Case'!C11*$C937*'Business Case'!C12*$B937)-('Business Case'!B11*$C937*'Business Case'!B12*$B937))-'Business Case'!C15*$F937</f>
        <v>-4973580.92116125</v>
      </c>
      <c r="J937" s="39" t="n">
        <f aca="false">(('Business Case'!D11*$C937*'Business Case'!D12*$B937)-'Business Case'!D11*$C937*'Business Case'!D13*$D937-'Business Case'!D14*$E937)-MAX(0,(('Business Case'!D11*$C937*'Business Case'!D12*$B937)-'Business Case'!D11*$C937*'Business Case'!D13*$D937-'Business Case'!D14*$E937))*'Business Case'!$B$7-'Business Case'!$B$8*(('Business Case'!D11*$C937*'Business Case'!D12*$B937)-('Business Case'!C11*$C937*'Business Case'!C12*$B937))-'Business Case'!D15*$F937</f>
        <v>283443181.569665</v>
      </c>
      <c r="K937" s="39" t="n">
        <f aca="false">(('Business Case'!E11*$C937*'Business Case'!E12*$B937)-'Business Case'!E11*$C937*'Business Case'!E13*$D937-'Business Case'!E14*$E937)-MAX(0,(('Business Case'!E11*$C937*'Business Case'!E12*$B937)-'Business Case'!E11*$C937*'Business Case'!E13*$D937-'Business Case'!E14*$E937))*'Business Case'!$B$7-'Business Case'!$B$8*(('Business Case'!E11*$C937*'Business Case'!E12*$B937)-('Business Case'!D11*$C937*'Business Case'!D12*$B937))-'Business Case'!E15*$F937</f>
        <v>623067767.07783</v>
      </c>
      <c r="L937" s="39" t="n">
        <f aca="false">(('Business Case'!F11*$C937*'Business Case'!F12*$B937)-'Business Case'!F11*$C937*'Business Case'!F13*$D937-'Business Case'!F14*$E937)-MAX(0,(('Business Case'!F11*$C937*'Business Case'!F12*$B937)-'Business Case'!F11*$C937*'Business Case'!F13*$D937-'Business Case'!F14*$E937))*'Business Case'!$B$7-'Business Case'!$B$8*(('Business Case'!F11*$C937*'Business Case'!F12*$B937)-('Business Case'!E11*$C937*'Business Case'!E12*$B937))-'Business Case'!F15*$F937</f>
        <v>751131916.81417</v>
      </c>
      <c r="M937" s="39" t="n">
        <f aca="false">(('Business Case'!G11*$C937*'Business Case'!G12*$B937)-'Business Case'!G11*$C937*'Business Case'!G13*$D937-'Business Case'!G14*$E937)-MAX(0,(('Business Case'!G11*$C937*'Business Case'!G12*$B937)-'Business Case'!G11*$C937*'Business Case'!G13*$D937-'Business Case'!G14*$E937))*'Business Case'!$B$7-'Business Case'!$B$8*(('Business Case'!G11*$C937*'Business Case'!G12*$B937)-('Business Case'!F11*$C937*'Business Case'!F12*$B937))-'Business Case'!G15*$F937+'Business Case'!$B$8*('Business Case'!G11*$C937*'Business Case'!G12*$B937)</f>
        <v>926720675.797525</v>
      </c>
      <c r="N937" s="39" t="n">
        <f aca="false">IF(COUNT('Business Case'!B11:G11)=0,"",H937+NPV(G937,I937:M937))</f>
        <v>-401892013.46308</v>
      </c>
      <c r="P937" s="40" t="n">
        <f aca="true">RAND()</f>
        <v>0.432534659997623</v>
      </c>
      <c r="Q937" s="40" t="n">
        <f aca="true">RAND()</f>
        <v>0.434121771223409</v>
      </c>
      <c r="R937" s="40" t="n">
        <f aca="true">RAND()</f>
        <v>0.0579159324459075</v>
      </c>
      <c r="S937" s="40" t="n">
        <f aca="true">RAND()</f>
        <v>0.448856107352499</v>
      </c>
      <c r="T937" s="40" t="n">
        <f aca="true">RAND()</f>
        <v>0.319929274625289</v>
      </c>
      <c r="U937" s="40" t="n">
        <f aca="true">RAND()</f>
        <v>0.975173147982556</v>
      </c>
    </row>
    <row r="938" customFormat="false" ht="15" hidden="false" customHeight="false" outlineLevel="0" collapsed="false">
      <c r="A938" s="36" t="n">
        <v>858</v>
      </c>
      <c r="B938" s="37" t="n">
        <f aca="false">1+IF($G$6=$E$6,$F$6,IF(P938&lt;($F$6-$E$6)/($G$6-$E$6),$E$6+SQRT(P938*($G$6-$E$6)*($F$6-$E$6)),$G$6-SQRT((1-P938)*($G$6-$E$6)*($G$6-$F$6))))</f>
        <v>1.00241855020621</v>
      </c>
      <c r="C938" s="37" t="n">
        <f aca="false">1+IF($G$7=$E$7,$F$7,IF(Q938&lt;($F$7-$E$7)/($G$7-$E$7),$E$7+SQRT(Q938*($G$7-$E$7)*($F$7-$E$7)),$G$7-SQRT((1-Q938)*($G$7-$E$7)*($G$7-$F$7))))</f>
        <v>1.02401212139561</v>
      </c>
      <c r="D938" s="37" t="n">
        <f aca="false">1+IF($G$8=$E$8,$F$8,IF(R938&lt;($F$8-$E$8)/($G$8-$E$8),$E$8+SQRT(R938*($G$8-$E$8)*($F$8-$E$8)),$G$8-SQRT((1-R938)*($G$8-$E$8)*($G$8-$F$8))))</f>
        <v>1.0095790146767</v>
      </c>
      <c r="E938" s="37" t="n">
        <f aca="false">1+IF($G$9=$E$9,$F$9,IF(S938&lt;($F$9-$E$9)/($G$9-$E$9),$E$9+SQRT(S938*($G$9-$E$9)*($F$9-$E$9)),$G$9-SQRT((1-S938)*($G$9-$E$9)*($G$9-$F$9))))</f>
        <v>1.05234112483338</v>
      </c>
      <c r="F938" s="37" t="n">
        <f aca="false">1+IF($G$10=$E$10,$F$10,IF(T938&lt;($F$10-$E$10)/($G$10-$E$10),$E$10+SQRT(T938*($G$10-$E$10)*($F$10-$E$10)),$G$10-SQRT((1-T938)*($G$10-$E$10)*($G$10-$F$10))))</f>
        <v>0.99749342345834</v>
      </c>
      <c r="G938" s="38" t="n">
        <f aca="false">IF($G$11=$E$11,$F$11,IF(U938&lt;($F$11-$E$11)/($G$11-$E$11),$E$11+SQRT(U938*($G$11-$E$11)*($F$11-$E$11)),$G$11-SQRT((1-U938)*($G$11-$E$11)*($G$11-$F$11))))</f>
        <v>0.111894055235226</v>
      </c>
      <c r="H938" s="39" t="n">
        <f aca="false">(('Business Case'!B11*$C938*'Business Case'!B12*$B938)-'Business Case'!B11*$C938*'Business Case'!B13*$D938-'Business Case'!B14*$E938)-MAX(0,(('Business Case'!B11*$C938*'Business Case'!B12*$B938)-'Business Case'!B11*$C938*'Business Case'!B13*$D938-'Business Case'!B14*$E938))*'Business Case'!$B$7-'Business Case'!$B$8*('Business Case'!B11*$C938*'Business Case'!B12*$B938)-'Business Case'!B15*$F938</f>
        <v>-1994986846.91668</v>
      </c>
      <c r="I938" s="39" t="n">
        <f aca="false">(('Business Case'!C11*$C938*'Business Case'!C12*$B938)-'Business Case'!C11*$C938*'Business Case'!C13*$D938-'Business Case'!C14*$E938)-MAX(0,(('Business Case'!C11*$C938*'Business Case'!C12*$B938)-'Business Case'!C11*$C938*'Business Case'!C13*$D938-'Business Case'!C14*$E938))*'Business Case'!$B$7-'Business Case'!$B$8*(('Business Case'!C11*$C938*'Business Case'!C12*$B938)-('Business Case'!B11*$C938*'Business Case'!B12*$B938))-'Business Case'!C15*$F938</f>
        <v>8929041.00994344</v>
      </c>
      <c r="J938" s="39" t="n">
        <f aca="false">(('Business Case'!D11*$C938*'Business Case'!D12*$B938)-'Business Case'!D11*$C938*'Business Case'!D13*$D938-'Business Case'!D14*$E938)-MAX(0,(('Business Case'!D11*$C938*'Business Case'!D12*$B938)-'Business Case'!D11*$C938*'Business Case'!D13*$D938-'Business Case'!D14*$E938))*'Business Case'!$B$7-'Business Case'!$B$8*(('Business Case'!D11*$C938*'Business Case'!D12*$B938)-('Business Case'!C11*$C938*'Business Case'!C12*$B938))-'Business Case'!D15*$F938</f>
        <v>320463508.916042</v>
      </c>
      <c r="K938" s="39" t="n">
        <f aca="false">(('Business Case'!E11*$C938*'Business Case'!E12*$B938)-'Business Case'!E11*$C938*'Business Case'!E13*$D938-'Business Case'!E14*$E938)-MAX(0,(('Business Case'!E11*$C938*'Business Case'!E12*$B938)-'Business Case'!E11*$C938*'Business Case'!E13*$D938-'Business Case'!E14*$E938))*'Business Case'!$B$7-'Business Case'!$B$8*(('Business Case'!E11*$C938*'Business Case'!E12*$B938)-('Business Case'!D11*$C938*'Business Case'!D12*$B938))-'Business Case'!E15*$F938</f>
        <v>681872647.995057</v>
      </c>
      <c r="L938" s="39" t="n">
        <f aca="false">(('Business Case'!F11*$C938*'Business Case'!F12*$B938)-'Business Case'!F11*$C938*'Business Case'!F13*$D938-'Business Case'!F14*$E938)-MAX(0,(('Business Case'!F11*$C938*'Business Case'!F12*$B938)-'Business Case'!F11*$C938*'Business Case'!F13*$D938-'Business Case'!F14*$E938))*'Business Case'!$B$7-'Business Case'!$B$8*(('Business Case'!F11*$C938*'Business Case'!F12*$B938)-('Business Case'!E11*$C938*'Business Case'!E12*$B938))-'Business Case'!F15*$F938</f>
        <v>821192921.696433</v>
      </c>
      <c r="M938" s="39" t="n">
        <f aca="false">(('Business Case'!G11*$C938*'Business Case'!G12*$B938)-'Business Case'!G11*$C938*'Business Case'!G13*$D938-'Business Case'!G14*$E938)-MAX(0,(('Business Case'!G11*$C938*'Business Case'!G12*$B938)-'Business Case'!G11*$C938*'Business Case'!G13*$D938-'Business Case'!G14*$E938))*'Business Case'!$B$7-'Business Case'!$B$8*(('Business Case'!G11*$C938*'Business Case'!G12*$B938)-('Business Case'!F11*$C938*'Business Case'!F12*$B938))-'Business Case'!G15*$F938+'Business Case'!$B$8*('Business Case'!G11*$C938*'Business Case'!G12*$B938)</f>
        <v>1016307902.55949</v>
      </c>
      <c r="N938" s="39" t="n">
        <f aca="false">IF(COUNT('Business Case'!B11:G11)=0,"",H938+NPV(G938,I938:M938))</f>
        <v>-96432058.3265796</v>
      </c>
      <c r="P938" s="40" t="n">
        <f aca="true">RAND()</f>
        <v>0.698134084736107</v>
      </c>
      <c r="Q938" s="40" t="n">
        <f aca="true">RAND()</f>
        <v>0.764845251033557</v>
      </c>
      <c r="R938" s="40" t="n">
        <f aca="true">RAND()</f>
        <v>0.454936360877617</v>
      </c>
      <c r="S938" s="40" t="n">
        <f aca="true">RAND()</f>
        <v>0.745673176031733</v>
      </c>
      <c r="T938" s="40" t="n">
        <f aca="true">RAND()</f>
        <v>0.150375018119544</v>
      </c>
      <c r="U938" s="40" t="n">
        <f aca="true">RAND()</f>
        <v>0.781449842783297</v>
      </c>
    </row>
    <row r="939" customFormat="false" ht="15" hidden="false" customHeight="false" outlineLevel="0" collapsed="false">
      <c r="A939" s="36" t="n">
        <v>859</v>
      </c>
      <c r="B939" s="37" t="n">
        <f aca="false">1+IF($G$6=$E$6,$F$6,IF(P939&lt;($F$6-$E$6)/($G$6-$E$6),$E$6+SQRT(P939*($G$6-$E$6)*($F$6-$E$6)),$G$6-SQRT((1-P939)*($G$6-$E$6)*($G$6-$F$6))))</f>
        <v>0.984808591599574</v>
      </c>
      <c r="C939" s="37" t="n">
        <f aca="false">1+IF($G$7=$E$7,$F$7,IF(Q939&lt;($F$7-$E$7)/($G$7-$E$7),$E$7+SQRT(Q939*($G$7-$E$7)*($F$7-$E$7)),$G$7-SQRT((1-Q939)*($G$7-$E$7)*($G$7-$F$7))))</f>
        <v>0.991436119252126</v>
      </c>
      <c r="D939" s="37" t="n">
        <f aca="false">1+IF($G$8=$E$8,$F$8,IF(R939&lt;($F$8-$E$8)/($G$8-$E$8),$E$8+SQRT(R939*($G$8-$E$8)*($F$8-$E$8)),$G$8-SQRT((1-R939)*($G$8-$E$8)*($G$8-$F$8))))</f>
        <v>1.01548708694308</v>
      </c>
      <c r="E939" s="37" t="n">
        <f aca="false">1+IF($G$9=$E$9,$F$9,IF(S939&lt;($F$9-$E$9)/($G$9-$E$9),$E$9+SQRT(S939*($G$9-$E$9)*($F$9-$E$9)),$G$9-SQRT((1-S939)*($G$9-$E$9)*($G$9-$F$9))))</f>
        <v>0.994657179953678</v>
      </c>
      <c r="F939" s="37" t="n">
        <f aca="false">1+IF($G$10=$E$10,$F$10,IF(T939&lt;($F$10-$E$10)/($G$10-$E$10),$E$10+SQRT(T939*($G$10-$E$10)*($F$10-$E$10)),$G$10-SQRT((1-T939)*($G$10-$E$10)*($G$10-$F$10))))</f>
        <v>1.01577072432443</v>
      </c>
      <c r="G939" s="38" t="n">
        <f aca="false">IF($G$11=$E$11,$F$11,IF(U939&lt;($F$11-$E$11)/($G$11-$E$11),$E$11+SQRT(U939*($G$11-$E$11)*($F$11-$E$11)),$G$11-SQRT((1-U939)*($G$11-$E$11)*($G$11-$F$11))))</f>
        <v>0.0868094293539098</v>
      </c>
      <c r="H939" s="39" t="n">
        <f aca="false">(('Business Case'!B11*$C939*'Business Case'!B12*$B939)-'Business Case'!B11*$C939*'Business Case'!B13*$D939-'Business Case'!B14*$E939)-MAX(0,(('Business Case'!B11*$C939*'Business Case'!B12*$B939)-'Business Case'!B11*$C939*'Business Case'!B13*$D939-'Business Case'!B14*$E939))*'Business Case'!$B$7-'Business Case'!$B$8*('Business Case'!B11*$C939*'Business Case'!B12*$B939)-'Business Case'!B15*$F939</f>
        <v>-2031541448.64886</v>
      </c>
      <c r="I939" s="39" t="n">
        <f aca="false">(('Business Case'!C11*$C939*'Business Case'!C12*$B939)-'Business Case'!C11*$C939*'Business Case'!C13*$D939-'Business Case'!C14*$E939)-MAX(0,(('Business Case'!C11*$C939*'Business Case'!C12*$B939)-'Business Case'!C11*$C939*'Business Case'!C13*$D939-'Business Case'!C14*$E939))*'Business Case'!$B$7-'Business Case'!$B$8*(('Business Case'!C11*$C939*'Business Case'!C12*$B939)-('Business Case'!B11*$C939*'Business Case'!B12*$B939))-'Business Case'!C15*$F939</f>
        <v>-9307558.51783554</v>
      </c>
      <c r="J939" s="39" t="n">
        <f aca="false">(('Business Case'!D11*$C939*'Business Case'!D12*$B939)-'Business Case'!D11*$C939*'Business Case'!D13*$D939-'Business Case'!D14*$E939)-MAX(0,(('Business Case'!D11*$C939*'Business Case'!D12*$B939)-'Business Case'!D11*$C939*'Business Case'!D13*$D939-'Business Case'!D14*$E939))*'Business Case'!$B$7-'Business Case'!$B$8*(('Business Case'!D11*$C939*'Business Case'!D12*$B939)-('Business Case'!C11*$C939*'Business Case'!C12*$B939))-'Business Case'!D15*$F939</f>
        <v>275017476.446468</v>
      </c>
      <c r="K939" s="39" t="n">
        <f aca="false">(('Business Case'!E11*$C939*'Business Case'!E12*$B939)-'Business Case'!E11*$C939*'Business Case'!E13*$D939-'Business Case'!E14*$E939)-MAX(0,(('Business Case'!E11*$C939*'Business Case'!E12*$B939)-'Business Case'!E11*$C939*'Business Case'!E13*$D939-'Business Case'!E14*$E939))*'Business Case'!$B$7-'Business Case'!$B$8*(('Business Case'!E11*$C939*'Business Case'!E12*$B939)-('Business Case'!D11*$C939*'Business Case'!D12*$B939))-'Business Case'!E15*$F939</f>
        <v>610131047.626993</v>
      </c>
      <c r="L939" s="39" t="n">
        <f aca="false">(('Business Case'!F11*$C939*'Business Case'!F12*$B939)-'Business Case'!F11*$C939*'Business Case'!F13*$D939-'Business Case'!F14*$E939)-MAX(0,(('Business Case'!F11*$C939*'Business Case'!F12*$B939)-'Business Case'!F11*$C939*'Business Case'!F13*$D939-'Business Case'!F14*$E939))*'Business Case'!$B$7-'Business Case'!$B$8*(('Business Case'!F11*$C939*'Business Case'!F12*$B939)-('Business Case'!E11*$C939*'Business Case'!E12*$B939))-'Business Case'!F15*$F939</f>
        <v>738649572.655283</v>
      </c>
      <c r="M939" s="39" t="n">
        <f aca="false">(('Business Case'!G11*$C939*'Business Case'!G12*$B939)-'Business Case'!G11*$C939*'Business Case'!G13*$D939-'Business Case'!G14*$E939)-MAX(0,(('Business Case'!G11*$C939*'Business Case'!G12*$B939)-'Business Case'!G11*$C939*'Business Case'!G13*$D939-'Business Case'!G14*$E939))*'Business Case'!$B$7-'Business Case'!$B$8*(('Business Case'!G11*$C939*'Business Case'!G12*$B939)-('Business Case'!F11*$C939*'Business Case'!F12*$B939))-'Business Case'!G15*$F939+'Business Case'!$B$8*('Business Case'!G11*$C939*'Business Case'!G12*$B939)</f>
        <v>924238896.209654</v>
      </c>
      <c r="N939" s="39" t="n">
        <f aca="false">IF(COUNT('Business Case'!B11:G11)=0,"",H939+NPV(G939,I939:M939))</f>
        <v>-192962100.257916</v>
      </c>
      <c r="P939" s="40" t="n">
        <f aca="true">RAND()</f>
        <v>0.479499813940217</v>
      </c>
      <c r="Q939" s="40" t="n">
        <f aca="true">RAND()</f>
        <v>0.629148234109182</v>
      </c>
      <c r="R939" s="40" t="n">
        <f aca="true">RAND()</f>
        <v>0.523837835108863</v>
      </c>
      <c r="S939" s="40" t="n">
        <f aca="true">RAND()</f>
        <v>0.358399268671321</v>
      </c>
      <c r="T939" s="40" t="n">
        <f aca="true">RAND()</f>
        <v>0.268488618886648</v>
      </c>
      <c r="U939" s="40" t="n">
        <f aca="true">RAND()</f>
        <v>0.0463683281258889</v>
      </c>
    </row>
    <row r="940" customFormat="false" ht="15" hidden="false" customHeight="false" outlineLevel="0" collapsed="false">
      <c r="A940" s="36" t="n">
        <v>860</v>
      </c>
      <c r="B940" s="37" t="n">
        <f aca="false">1+IF($G$6=$E$6,$F$6,IF(P940&lt;($F$6-$E$6)/($G$6-$E$6),$E$6+SQRT(P940*($G$6-$E$6)*($F$6-$E$6)),$G$6-SQRT((1-P940)*($G$6-$E$6)*($G$6-$F$6))))</f>
        <v>0.916512339509181</v>
      </c>
      <c r="C940" s="37" t="n">
        <f aca="false">1+IF($G$7=$E$7,$F$7,IF(Q940&lt;($F$7-$E$7)/($G$7-$E$7),$E$7+SQRT(Q940*($G$7-$E$7)*($F$7-$E$7)),$G$7-SQRT((1-Q940)*($G$7-$E$7)*($G$7-$F$7))))</f>
        <v>1.05213894968924</v>
      </c>
      <c r="D940" s="37" t="n">
        <f aca="false">1+IF($G$8=$E$8,$F$8,IF(R940&lt;($F$8-$E$8)/($G$8-$E$8),$E$8+SQRT(R940*($G$8-$E$8)*($F$8-$E$8)),$G$8-SQRT((1-R940)*($G$8-$E$8)*($G$8-$F$8))))</f>
        <v>1.01240341410567</v>
      </c>
      <c r="E940" s="37" t="n">
        <f aca="false">1+IF($G$9=$E$9,$F$9,IF(S940&lt;($F$9-$E$9)/($G$9-$E$9),$E$9+SQRT(S940*($G$9-$E$9)*($F$9-$E$9)),$G$9-SQRT((1-S940)*($G$9-$E$9)*($G$9-$F$9))))</f>
        <v>0.968628388008045</v>
      </c>
      <c r="F940" s="37" t="n">
        <f aca="false">1+IF($G$10=$E$10,$F$10,IF(T940&lt;($F$10-$E$10)/($G$10-$E$10),$E$10+SQRT(T940*($G$10-$E$10)*($F$10-$E$10)),$G$10-SQRT((1-T940)*($G$10-$E$10)*($G$10-$F$10))))</f>
        <v>1.00370140159042</v>
      </c>
      <c r="G940" s="38" t="n">
        <f aca="false">IF($G$11=$E$11,$F$11,IF(U940&lt;($F$11-$E$11)/($G$11-$E$11),$E$11+SQRT(U940*($G$11-$E$11)*($F$11-$E$11)),$G$11-SQRT((1-U940)*($G$11-$E$11)*($G$11-$F$11))))</f>
        <v>0.105396804790282</v>
      </c>
      <c r="H940" s="39" t="n">
        <f aca="false">(('Business Case'!B11*$C940*'Business Case'!B12*$B940)-'Business Case'!B11*$C940*'Business Case'!B13*$D940-'Business Case'!B14*$E940)-MAX(0,(('Business Case'!B11*$C940*'Business Case'!B12*$B940)-'Business Case'!B11*$C940*'Business Case'!B13*$D940-'Business Case'!B14*$E940))*'Business Case'!$B$7-'Business Case'!$B$8*('Business Case'!B11*$C940*'Business Case'!B12*$B940)-'Business Case'!B15*$F940</f>
        <v>-2007402803.18084</v>
      </c>
      <c r="I940" s="39" t="n">
        <f aca="false">(('Business Case'!C11*$C940*'Business Case'!C12*$B940)-'Business Case'!C11*$C940*'Business Case'!C13*$D940-'Business Case'!C14*$E940)-MAX(0,(('Business Case'!C11*$C940*'Business Case'!C12*$B940)-'Business Case'!C11*$C940*'Business Case'!C13*$D940-'Business Case'!C14*$E940))*'Business Case'!$B$7-'Business Case'!$B$8*(('Business Case'!C11*$C940*'Business Case'!C12*$B940)-('Business Case'!B11*$C940*'Business Case'!B12*$B940))-'Business Case'!C15*$F940</f>
        <v>-43560146.4469204</v>
      </c>
      <c r="J940" s="39" t="n">
        <f aca="false">(('Business Case'!D11*$C940*'Business Case'!D12*$B940)-'Business Case'!D11*$C940*'Business Case'!D13*$D940-'Business Case'!D14*$E940)-MAX(0,(('Business Case'!D11*$C940*'Business Case'!D12*$B940)-'Business Case'!D11*$C940*'Business Case'!D13*$D940-'Business Case'!D14*$E940))*'Business Case'!$B$7-'Business Case'!$B$8*(('Business Case'!D11*$C940*'Business Case'!D12*$B940)-('Business Case'!C11*$C940*'Business Case'!C12*$B940))-'Business Case'!D15*$F940</f>
        <v>200978029.48106</v>
      </c>
      <c r="K940" s="39" t="n">
        <f aca="false">(('Business Case'!E11*$C940*'Business Case'!E12*$B940)-'Business Case'!E11*$C940*'Business Case'!E13*$D940-'Business Case'!E14*$E940)-MAX(0,(('Business Case'!E11*$C940*'Business Case'!E12*$B940)-'Business Case'!E11*$C940*'Business Case'!E13*$D940-'Business Case'!E14*$E940))*'Business Case'!$B$7-'Business Case'!$B$8*(('Business Case'!E11*$C940*'Business Case'!E12*$B940)-('Business Case'!D11*$C940*'Business Case'!D12*$B940))-'Business Case'!E15*$F940</f>
        <v>495701275.488561</v>
      </c>
      <c r="L940" s="39" t="n">
        <f aca="false">(('Business Case'!F11*$C940*'Business Case'!F12*$B940)-'Business Case'!F11*$C940*'Business Case'!F13*$D940-'Business Case'!F14*$E940)-MAX(0,(('Business Case'!F11*$C940*'Business Case'!F12*$B940)-'Business Case'!F11*$C940*'Business Case'!F13*$D940-'Business Case'!F14*$E940))*'Business Case'!$B$7-'Business Case'!$B$8*(('Business Case'!F11*$C940*'Business Case'!F12*$B940)-('Business Case'!E11*$C940*'Business Case'!E12*$B940))-'Business Case'!F15*$F940</f>
        <v>610540151.091965</v>
      </c>
      <c r="M940" s="39" t="n">
        <f aca="false">(('Business Case'!G11*$C940*'Business Case'!G12*$B940)-'Business Case'!G11*$C940*'Business Case'!G13*$D940-'Business Case'!G14*$E940)-MAX(0,(('Business Case'!G11*$C940*'Business Case'!G12*$B940)-'Business Case'!G11*$C940*'Business Case'!G13*$D940-'Business Case'!G14*$E940))*'Business Case'!$B$7-'Business Case'!$B$8*(('Business Case'!G11*$C940*'Business Case'!G12*$B940)-('Business Case'!F11*$C940*'Business Case'!F12*$B940))-'Business Case'!G15*$F940+'Business Case'!$B$8*('Business Case'!G11*$C940*'Business Case'!G12*$B940)</f>
        <v>793833977.709385</v>
      </c>
      <c r="N940" s="39" t="n">
        <f aca="false">IF(COUNT('Business Case'!B11:G11)=0,"",H940+NPV(G940,I940:M940))</f>
        <v>-625414719.717529</v>
      </c>
      <c r="P940" s="40" t="n">
        <f aca="true">RAND()</f>
        <v>0.0181771570710975</v>
      </c>
      <c r="Q940" s="40" t="n">
        <f aca="true">RAND()</f>
        <v>0.858121701215915</v>
      </c>
      <c r="R940" s="40" t="n">
        <f aca="true">RAND()</f>
        <v>0.488455875977092</v>
      </c>
      <c r="S940" s="40" t="n">
        <f aca="true">RAND()</f>
        <v>0.188394225623313</v>
      </c>
      <c r="T940" s="40" t="n">
        <f aca="true">RAND()</f>
        <v>0.191160005619697</v>
      </c>
      <c r="U940" s="40" t="n">
        <f aca="true">RAND()</f>
        <v>0.596455190315003</v>
      </c>
    </row>
    <row r="941" customFormat="false" ht="15" hidden="false" customHeight="false" outlineLevel="0" collapsed="false">
      <c r="A941" s="36" t="n">
        <v>861</v>
      </c>
      <c r="B941" s="37" t="n">
        <f aca="false">1+IF($G$6=$E$6,$F$6,IF(P941&lt;($F$6-$E$6)/($G$6-$E$6),$E$6+SQRT(P941*($G$6-$E$6)*($F$6-$E$6)),$G$6-SQRT((1-P941)*($G$6-$E$6)*($G$6-$F$6))))</f>
        <v>0.989807159314838</v>
      </c>
      <c r="C941" s="37" t="n">
        <f aca="false">1+IF($G$7=$E$7,$F$7,IF(Q941&lt;($F$7-$E$7)/($G$7-$E$7),$E$7+SQRT(Q941*($G$7-$E$7)*($F$7-$E$7)),$G$7-SQRT((1-Q941)*($G$7-$E$7)*($G$7-$F$7))))</f>
        <v>0.993408204055387</v>
      </c>
      <c r="D941" s="37" t="n">
        <f aca="false">1+IF($G$8=$E$8,$F$8,IF(R941&lt;($F$8-$E$8)/($G$8-$E$8),$E$8+SQRT(R941*($G$8-$E$8)*($F$8-$E$8)),$G$8-SQRT((1-R941)*($G$8-$E$8)*($G$8-$F$8))))</f>
        <v>1.07667688320147</v>
      </c>
      <c r="E941" s="37" t="n">
        <f aca="false">1+IF($G$9=$E$9,$F$9,IF(S941&lt;($F$9-$E$9)/($G$9-$E$9),$E$9+SQRT(S941*($G$9-$E$9)*($F$9-$E$9)),$G$9-SQRT((1-S941)*($G$9-$E$9)*($G$9-$F$9))))</f>
        <v>0.997401128293779</v>
      </c>
      <c r="F941" s="37" t="n">
        <f aca="false">1+IF($G$10=$E$10,$F$10,IF(T941&lt;($F$10-$E$10)/($G$10-$E$10),$E$10+SQRT(T941*($G$10-$E$10)*($F$10-$E$10)),$G$10-SQRT((1-T941)*($G$10-$E$10)*($G$10-$F$10))))</f>
        <v>1.23573612243449</v>
      </c>
      <c r="G941" s="38" t="n">
        <f aca="false">IF($G$11=$E$11,$F$11,IF(U941&lt;($F$11-$E$11)/($G$11-$E$11),$E$11+SQRT(U941*($G$11-$E$11)*($F$11-$E$11)),$G$11-SQRT((1-U941)*($G$11-$E$11)*($G$11-$F$11))))</f>
        <v>0.119220942037346</v>
      </c>
      <c r="H941" s="39" t="n">
        <f aca="false">(('Business Case'!B11*$C941*'Business Case'!B12*$B941)-'Business Case'!B11*$C941*'Business Case'!B13*$D941-'Business Case'!B14*$E941)-MAX(0,(('Business Case'!B11*$C941*'Business Case'!B12*$B941)-'Business Case'!B11*$C941*'Business Case'!B13*$D941-'Business Case'!B14*$E941))*'Business Case'!$B$7-'Business Case'!$B$8*('Business Case'!B11*$C941*'Business Case'!B12*$B941)-'Business Case'!B15*$F941</f>
        <v>-2471472244.86898</v>
      </c>
      <c r="I941" s="39" t="n">
        <f aca="false">(('Business Case'!C11*$C941*'Business Case'!C12*$B941)-'Business Case'!C11*$C941*'Business Case'!C13*$D941-'Business Case'!C14*$E941)-MAX(0,(('Business Case'!C11*$C941*'Business Case'!C12*$B941)-'Business Case'!C11*$C941*'Business Case'!C13*$D941-'Business Case'!C14*$E941))*'Business Case'!$B$7-'Business Case'!$B$8*(('Business Case'!C11*$C941*'Business Case'!C12*$B941)-('Business Case'!B11*$C941*'Business Case'!B12*$B941))-'Business Case'!C15*$F941</f>
        <v>-58537427.2294451</v>
      </c>
      <c r="J941" s="39" t="n">
        <f aca="false">(('Business Case'!D11*$C941*'Business Case'!D12*$B941)-'Business Case'!D11*$C941*'Business Case'!D13*$D941-'Business Case'!D14*$E941)-MAX(0,(('Business Case'!D11*$C941*'Business Case'!D12*$B941)-'Business Case'!D11*$C941*'Business Case'!D13*$D941-'Business Case'!D14*$E941))*'Business Case'!$B$7-'Business Case'!$B$8*(('Business Case'!D11*$C941*'Business Case'!D12*$B941)-('Business Case'!C11*$C941*'Business Case'!C12*$B941))-'Business Case'!D15*$F941</f>
        <v>199302565.749333</v>
      </c>
      <c r="K941" s="39" t="n">
        <f aca="false">(('Business Case'!E11*$C941*'Business Case'!E12*$B941)-'Business Case'!E11*$C941*'Business Case'!E13*$D941-'Business Case'!E14*$E941)-MAX(0,(('Business Case'!E11*$C941*'Business Case'!E12*$B941)-'Business Case'!E11*$C941*'Business Case'!E13*$D941-'Business Case'!E14*$E941))*'Business Case'!$B$7-'Business Case'!$B$8*(('Business Case'!E11*$C941*'Business Case'!E12*$B941)-('Business Case'!D11*$C941*'Business Case'!D12*$B941))-'Business Case'!E15*$F941</f>
        <v>518929364.849835</v>
      </c>
      <c r="L941" s="39" t="n">
        <f aca="false">(('Business Case'!F11*$C941*'Business Case'!F12*$B941)-'Business Case'!F11*$C941*'Business Case'!F13*$D941-'Business Case'!F14*$E941)-MAX(0,(('Business Case'!F11*$C941*'Business Case'!F12*$B941)-'Business Case'!F11*$C941*'Business Case'!F13*$D941-'Business Case'!F14*$E941))*'Business Case'!$B$7-'Business Case'!$B$8*(('Business Case'!F11*$C941*'Business Case'!F12*$B941)-('Business Case'!E11*$C941*'Business Case'!E12*$B941))-'Business Case'!F15*$F941</f>
        <v>638858274.190361</v>
      </c>
      <c r="M941" s="39" t="n">
        <f aca="false">(('Business Case'!G11*$C941*'Business Case'!G12*$B941)-'Business Case'!G11*$C941*'Business Case'!G13*$D941-'Business Case'!G14*$E941)-MAX(0,(('Business Case'!G11*$C941*'Business Case'!G12*$B941)-'Business Case'!G11*$C941*'Business Case'!G13*$D941-'Business Case'!G14*$E941))*'Business Case'!$B$7-'Business Case'!$B$8*(('Business Case'!G11*$C941*'Business Case'!G12*$B941)-('Business Case'!F11*$C941*'Business Case'!F12*$B941))-'Business Case'!G15*$F941+'Business Case'!$B$8*('Business Case'!G11*$C941*'Business Case'!G12*$B941)</f>
        <v>825760621.768823</v>
      </c>
      <c r="N941" s="39" t="n">
        <f aca="false">IF(COUNT('Business Case'!B11:G11)=0,"",H941+NPV(G941,I941:M941))</f>
        <v>-1117205238.0688</v>
      </c>
      <c r="P941" s="40" t="n">
        <f aca="true">RAND()</f>
        <v>0.537688390946717</v>
      </c>
      <c r="Q941" s="40" t="n">
        <f aca="true">RAND()</f>
        <v>0.637691660792651</v>
      </c>
      <c r="R941" s="40" t="n">
        <f aca="true">RAND()</f>
        <v>0.963735481520154</v>
      </c>
      <c r="S941" s="40" t="n">
        <f aca="true">RAND()</f>
        <v>0.37947919171605</v>
      </c>
      <c r="T941" s="40" t="n">
        <f aca="true">RAND()</f>
        <v>0.997287223957281</v>
      </c>
      <c r="U941" s="40" t="n">
        <f aca="true">RAND()</f>
        <v>0.922541272958491</v>
      </c>
    </row>
    <row r="942" customFormat="false" ht="15" hidden="false" customHeight="false" outlineLevel="0" collapsed="false">
      <c r="A942" s="36" t="n">
        <v>862</v>
      </c>
      <c r="B942" s="37" t="n">
        <f aca="false">1+IF($G$6=$E$6,$F$6,IF(P942&lt;($F$6-$E$6)/($G$6-$E$6),$E$6+SQRT(P942*($G$6-$E$6)*($F$6-$E$6)),$G$6-SQRT((1-P942)*($G$6-$E$6)*($G$6-$F$6))))</f>
        <v>1.00737508466797</v>
      </c>
      <c r="C942" s="37" t="n">
        <f aca="false">1+IF($G$7=$E$7,$F$7,IF(Q942&lt;($F$7-$E$7)/($G$7-$E$7),$E$7+SQRT(Q942*($G$7-$E$7)*($F$7-$E$7)),$G$7-SQRT((1-Q942)*($G$7-$E$7)*($G$7-$F$7))))</f>
        <v>0.914148806548105</v>
      </c>
      <c r="D942" s="37" t="n">
        <f aca="false">1+IF($G$8=$E$8,$F$8,IF(R942&lt;($F$8-$E$8)/($G$8-$E$8),$E$8+SQRT(R942*($G$8-$E$8)*($F$8-$E$8)),$G$8-SQRT((1-R942)*($G$8-$E$8)*($G$8-$F$8))))</f>
        <v>1.00337329466804</v>
      </c>
      <c r="E942" s="37" t="n">
        <f aca="false">1+IF($G$9=$E$9,$F$9,IF(S942&lt;($F$9-$E$9)/($G$9-$E$9),$E$9+SQRT(S942*($G$9-$E$9)*($F$9-$E$9)),$G$9-SQRT((1-S942)*($G$9-$E$9)*($G$9-$F$9))))</f>
        <v>0.994525047594843</v>
      </c>
      <c r="F942" s="37" t="n">
        <f aca="false">1+IF($G$10=$E$10,$F$10,IF(T942&lt;($F$10-$E$10)/($G$10-$E$10),$E$10+SQRT(T942*($G$10-$E$10)*($F$10-$E$10)),$G$10-SQRT((1-T942)*($G$10-$E$10)*($G$10-$F$10))))</f>
        <v>1.16331719016084</v>
      </c>
      <c r="G942" s="38" t="n">
        <f aca="false">IF($G$11=$E$11,$F$11,IF(U942&lt;($F$11-$E$11)/($G$11-$E$11),$E$11+SQRT(U942*($G$11-$E$11)*($F$11-$E$11)),$G$11-SQRT((1-U942)*($G$11-$E$11)*($G$11-$F$11))))</f>
        <v>0.0976070821275689</v>
      </c>
      <c r="H942" s="39" t="n">
        <f aca="false">(('Business Case'!B11*$C942*'Business Case'!B12*$B942)-'Business Case'!B11*$C942*'Business Case'!B13*$D942-'Business Case'!B14*$E942)-MAX(0,(('Business Case'!B11*$C942*'Business Case'!B12*$B942)-'Business Case'!B11*$C942*'Business Case'!B13*$D942-'Business Case'!B14*$E942))*'Business Case'!$B$7-'Business Case'!$B$8*('Business Case'!B11*$C942*'Business Case'!B12*$B942)-'Business Case'!B15*$F942</f>
        <v>-2326634380.32169</v>
      </c>
      <c r="I942" s="39" t="n">
        <f aca="false">(('Business Case'!C11*$C942*'Business Case'!C12*$B942)-'Business Case'!C11*$C942*'Business Case'!C13*$D942-'Business Case'!C14*$E942)-MAX(0,(('Business Case'!C11*$C942*'Business Case'!C12*$B942)-'Business Case'!C11*$C942*'Business Case'!C13*$D942-'Business Case'!C14*$E942))*'Business Case'!$B$7-'Business Case'!$B$8*(('Business Case'!C11*$C942*'Business Case'!C12*$B942)-('Business Case'!B11*$C942*'Business Case'!B12*$B942))-'Business Case'!C15*$F942</f>
        <v>-20766004.4736709</v>
      </c>
      <c r="J942" s="39" t="n">
        <f aca="false">(('Business Case'!D11*$C942*'Business Case'!D12*$B942)-'Business Case'!D11*$C942*'Business Case'!D13*$D942-'Business Case'!D14*$E942)-MAX(0,(('Business Case'!D11*$C942*'Business Case'!D12*$B942)-'Business Case'!D11*$C942*'Business Case'!D13*$D942-'Business Case'!D14*$E942))*'Business Case'!$B$7-'Business Case'!$B$8*(('Business Case'!D11*$C942*'Business Case'!D12*$B942)-('Business Case'!C11*$C942*'Business Case'!C12*$B942))-'Business Case'!D15*$F942</f>
        <v>263960147.352273</v>
      </c>
      <c r="K942" s="39" t="n">
        <f aca="false">(('Business Case'!E11*$C942*'Business Case'!E12*$B942)-'Business Case'!E11*$C942*'Business Case'!E13*$D942-'Business Case'!E14*$E942)-MAX(0,(('Business Case'!E11*$C942*'Business Case'!E12*$B942)-'Business Case'!E11*$C942*'Business Case'!E13*$D942-'Business Case'!E14*$E942))*'Business Case'!$B$7-'Business Case'!$B$8*(('Business Case'!E11*$C942*'Business Case'!E12*$B942)-('Business Case'!D11*$C942*'Business Case'!D12*$B942))-'Business Case'!E15*$F942</f>
        <v>606852158.686259</v>
      </c>
      <c r="L942" s="39" t="n">
        <f aca="false">(('Business Case'!F11*$C942*'Business Case'!F12*$B942)-'Business Case'!F11*$C942*'Business Case'!F13*$D942-'Business Case'!F14*$E942)-MAX(0,(('Business Case'!F11*$C942*'Business Case'!F12*$B942)-'Business Case'!F11*$C942*'Business Case'!F13*$D942-'Business Case'!F14*$E942))*'Business Case'!$B$7-'Business Case'!$B$8*(('Business Case'!F11*$C942*'Business Case'!F12*$B942)-('Business Case'!E11*$C942*'Business Case'!E12*$B942))-'Business Case'!F15*$F942</f>
        <v>733586859.638603</v>
      </c>
      <c r="M942" s="39" t="n">
        <f aca="false">(('Business Case'!G11*$C942*'Business Case'!G12*$B942)-'Business Case'!G11*$C942*'Business Case'!G13*$D942-'Business Case'!G14*$E942)-MAX(0,(('Business Case'!G11*$C942*'Business Case'!G12*$B942)-'Business Case'!G11*$C942*'Business Case'!G13*$D942-'Business Case'!G14*$E942))*'Business Case'!$B$7-'Business Case'!$B$8*(('Business Case'!G11*$C942*'Business Case'!G12*$B942)-('Business Case'!F11*$C942*'Business Case'!F12*$B942))-'Business Case'!G15*$F942+'Business Case'!$B$8*('Business Case'!G11*$C942*'Business Case'!G12*$B942)</f>
        <v>908629769.862263</v>
      </c>
      <c r="N942" s="39" t="n">
        <f aca="false">IF(COUNT('Business Case'!B11:G11)=0,"",H942+NPV(G942,I942:M942))</f>
        <v>-591729243.917501</v>
      </c>
      <c r="P942" s="40" t="n">
        <f aca="true">RAND()</f>
        <v>0.757748879058259</v>
      </c>
      <c r="Q942" s="40" t="n">
        <f aca="true">RAND()</f>
        <v>0.339701565525761</v>
      </c>
      <c r="R942" s="40" t="n">
        <f aca="true">RAND()</f>
        <v>0.37755198777943</v>
      </c>
      <c r="S942" s="40" t="n">
        <f aca="true">RAND()</f>
        <v>0.357399384912296</v>
      </c>
      <c r="T942" s="40" t="n">
        <f aca="true">RAND()</f>
        <v>0.899814539711848</v>
      </c>
      <c r="U942" s="40" t="n">
        <f aca="true">RAND()</f>
        <v>0.310009341046955</v>
      </c>
    </row>
    <row r="943" customFormat="false" ht="15" hidden="false" customHeight="false" outlineLevel="0" collapsed="false">
      <c r="A943" s="36" t="n">
        <v>863</v>
      </c>
      <c r="B943" s="37" t="n">
        <f aca="false">1+IF($G$6=$E$6,$F$6,IF(P943&lt;($F$6-$E$6)/($G$6-$E$6),$E$6+SQRT(P943*($G$6-$E$6)*($F$6-$E$6)),$G$6-SQRT((1-P943)*($G$6-$E$6)*($G$6-$F$6))))</f>
        <v>0.976802474693103</v>
      </c>
      <c r="C943" s="37" t="n">
        <f aca="false">1+IF($G$7=$E$7,$F$7,IF(Q943&lt;($F$7-$E$7)/($G$7-$E$7),$E$7+SQRT(Q943*($G$7-$E$7)*($F$7-$E$7)),$G$7-SQRT((1-Q943)*($G$7-$E$7)*($G$7-$F$7))))</f>
        <v>0.893811235339274</v>
      </c>
      <c r="D943" s="37" t="n">
        <f aca="false">1+IF($G$8=$E$8,$F$8,IF(R943&lt;($F$8-$E$8)/($G$8-$E$8),$E$8+SQRT(R943*($G$8-$E$8)*($F$8-$E$8)),$G$8-SQRT((1-R943)*($G$8-$E$8)*($G$8-$F$8))))</f>
        <v>1.0046807611113</v>
      </c>
      <c r="E943" s="37" t="n">
        <f aca="false">1+IF($G$9=$E$9,$F$9,IF(S943&lt;($F$9-$E$9)/($G$9-$E$9),$E$9+SQRT(S943*($G$9-$E$9)*($F$9-$E$9)),$G$9-SQRT((1-S943)*($G$9-$E$9)*($G$9-$F$9))))</f>
        <v>0.951819441780478</v>
      </c>
      <c r="F943" s="37" t="n">
        <f aca="false">1+IF($G$10=$E$10,$F$10,IF(T943&lt;($F$10-$E$10)/($G$10-$E$10),$E$10+SQRT(T943*($G$10-$E$10)*($F$10-$E$10)),$G$10-SQRT((1-T943)*($G$10-$E$10)*($G$10-$F$10))))</f>
        <v>1.06051887580454</v>
      </c>
      <c r="G943" s="38" t="n">
        <f aca="false">IF($G$11=$E$11,$F$11,IF(U943&lt;($F$11-$E$11)/($G$11-$E$11),$E$11+SQRT(U943*($G$11-$E$11)*($F$11-$E$11)),$G$11-SQRT((1-U943)*($G$11-$E$11)*($G$11-$F$11))))</f>
        <v>0.102072551117982</v>
      </c>
      <c r="H943" s="39" t="n">
        <f aca="false">(('Business Case'!B11*$C943*'Business Case'!B12*$B943)-'Business Case'!B11*$C943*'Business Case'!B13*$D943-'Business Case'!B14*$E943)-MAX(0,(('Business Case'!B11*$C943*'Business Case'!B12*$B943)-'Business Case'!B11*$C943*'Business Case'!B13*$D943-'Business Case'!B14*$E943))*'Business Case'!$B$7-'Business Case'!$B$8*('Business Case'!B11*$C943*'Business Case'!B12*$B943)-'Business Case'!B15*$F943</f>
        <v>-2121037751.60909</v>
      </c>
      <c r="I943" s="39" t="n">
        <f aca="false">(('Business Case'!C11*$C943*'Business Case'!C12*$B943)-'Business Case'!C11*$C943*'Business Case'!C13*$D943-'Business Case'!C14*$E943)-MAX(0,(('Business Case'!C11*$C943*'Business Case'!C12*$B943)-'Business Case'!C11*$C943*'Business Case'!C13*$D943-'Business Case'!C14*$E943))*'Business Case'!$B$7-'Business Case'!$B$8*(('Business Case'!C11*$C943*'Business Case'!C12*$B943)-('Business Case'!B11*$C943*'Business Case'!B12*$B943))-'Business Case'!C15*$F943</f>
        <v>-31249554.8741454</v>
      </c>
      <c r="J943" s="39" t="n">
        <f aca="false">(('Business Case'!D11*$C943*'Business Case'!D12*$B943)-'Business Case'!D11*$C943*'Business Case'!D13*$D943-'Business Case'!D14*$E943)-MAX(0,(('Business Case'!D11*$C943*'Business Case'!D12*$B943)-'Business Case'!D11*$C943*'Business Case'!D13*$D943-'Business Case'!D14*$E943))*'Business Case'!$B$7-'Business Case'!$B$8*(('Business Case'!D11*$C943*'Business Case'!D12*$B943)-('Business Case'!C11*$C943*'Business Case'!C12*$B943))-'Business Case'!D15*$F943</f>
        <v>224161815.511665</v>
      </c>
      <c r="K943" s="39" t="n">
        <f aca="false">(('Business Case'!E11*$C943*'Business Case'!E12*$B943)-'Business Case'!E11*$C943*'Business Case'!E13*$D943-'Business Case'!E14*$E943)-MAX(0,(('Business Case'!E11*$C943*'Business Case'!E12*$B943)-'Business Case'!E11*$C943*'Business Case'!E13*$D943-'Business Case'!E14*$E943))*'Business Case'!$B$7-'Business Case'!$B$8*(('Business Case'!E11*$C943*'Business Case'!E12*$B943)-('Business Case'!D11*$C943*'Business Case'!D12*$B943))-'Business Case'!E15*$F943</f>
        <v>532599129.687702</v>
      </c>
      <c r="L943" s="39" t="n">
        <f aca="false">(('Business Case'!F11*$C943*'Business Case'!F12*$B943)-'Business Case'!F11*$C943*'Business Case'!F13*$D943-'Business Case'!F14*$E943)-MAX(0,(('Business Case'!F11*$C943*'Business Case'!F12*$B943)-'Business Case'!F11*$C943*'Business Case'!F13*$D943-'Business Case'!F14*$E943))*'Business Case'!$B$7-'Business Case'!$B$8*(('Business Case'!F11*$C943*'Business Case'!F12*$B943)-('Business Case'!E11*$C943*'Business Case'!E12*$B943))-'Business Case'!F15*$F943</f>
        <v>647909795.188516</v>
      </c>
      <c r="M943" s="39" t="n">
        <f aca="false">(('Business Case'!G11*$C943*'Business Case'!G12*$B943)-'Business Case'!G11*$C943*'Business Case'!G13*$D943-'Business Case'!G14*$E943)-MAX(0,(('Business Case'!G11*$C943*'Business Case'!G12*$B943)-'Business Case'!G11*$C943*'Business Case'!G13*$D943-'Business Case'!G14*$E943))*'Business Case'!$B$7-'Business Case'!$B$8*(('Business Case'!G11*$C943*'Business Case'!G12*$B943)-('Business Case'!F11*$C943*'Business Case'!F12*$B943))-'Business Case'!G15*$F943+'Business Case'!$B$8*('Business Case'!G11*$C943*'Business Case'!G12*$B943)</f>
        <v>813864276.402345</v>
      </c>
      <c r="N943" s="39" t="n">
        <f aca="false">IF(COUNT('Business Case'!B11:G11)=0,"",H943+NPV(G943,I943:M943))</f>
        <v>-627111780.212111</v>
      </c>
      <c r="P943" s="40" t="n">
        <f aca="true">RAND()</f>
        <v>0.393241341265651</v>
      </c>
      <c r="Q943" s="40" t="n">
        <f aca="true">RAND()</f>
        <v>0.278242925509153</v>
      </c>
      <c r="R943" s="40" t="n">
        <f aca="true">RAND()</f>
        <v>0.394282846511959</v>
      </c>
      <c r="S943" s="40" t="n">
        <f aca="true">RAND()</f>
        <v>0.107410181857615</v>
      </c>
      <c r="T943" s="40" t="n">
        <f aca="true">RAND()</f>
        <v>0.521292047648353</v>
      </c>
      <c r="U943" s="40" t="n">
        <f aca="true">RAND()</f>
        <v>0.480038399294857</v>
      </c>
    </row>
    <row r="944" customFormat="false" ht="15" hidden="false" customHeight="false" outlineLevel="0" collapsed="false">
      <c r="A944" s="36" t="n">
        <v>864</v>
      </c>
      <c r="B944" s="37" t="n">
        <f aca="false">1+IF($G$6=$E$6,$F$6,IF(P944&lt;($F$6-$E$6)/($G$6-$E$6),$E$6+SQRT(P944*($G$6-$E$6)*($F$6-$E$6)),$G$6-SQRT((1-P944)*($G$6-$E$6)*($G$6-$F$6))))</f>
        <v>0.960019413095385</v>
      </c>
      <c r="C944" s="37" t="n">
        <f aca="false">1+IF($G$7=$E$7,$F$7,IF(Q944&lt;($F$7-$E$7)/($G$7-$E$7),$E$7+SQRT(Q944*($G$7-$E$7)*($F$7-$E$7)),$G$7-SQRT((1-Q944)*($G$7-$E$7)*($G$7-$F$7))))</f>
        <v>1.03092793783078</v>
      </c>
      <c r="D944" s="37" t="n">
        <f aca="false">1+IF($G$8=$E$8,$F$8,IF(R944&lt;($F$8-$E$8)/($G$8-$E$8),$E$8+SQRT(R944*($G$8-$E$8)*($F$8-$E$8)),$G$8-SQRT((1-R944)*($G$8-$E$8)*($G$8-$F$8))))</f>
        <v>1.08216655591404</v>
      </c>
      <c r="E944" s="37" t="n">
        <f aca="false">1+IF($G$9=$E$9,$F$9,IF(S944&lt;($F$9-$E$9)/($G$9-$E$9),$E$9+SQRT(S944*($G$9-$E$9)*($F$9-$E$9)),$G$9-SQRT((1-S944)*($G$9-$E$9)*($G$9-$F$9))))</f>
        <v>0.996177303207622</v>
      </c>
      <c r="F944" s="37" t="n">
        <f aca="false">1+IF($G$10=$E$10,$F$10,IF(T944&lt;($F$10-$E$10)/($G$10-$E$10),$E$10+SQRT(T944*($G$10-$E$10)*($F$10-$E$10)),$G$10-SQRT((1-T944)*($G$10-$E$10)*($G$10-$F$10))))</f>
        <v>1.13946518338101</v>
      </c>
      <c r="G944" s="38" t="n">
        <f aca="false">IF($G$11=$E$11,$F$11,IF(U944&lt;($F$11-$E$11)/($G$11-$E$11),$E$11+SQRT(U944*($G$11-$E$11)*($F$11-$E$11)),$G$11-SQRT((1-U944)*($G$11-$E$11)*($G$11-$F$11))))</f>
        <v>0.107287480701588</v>
      </c>
      <c r="H944" s="39" t="n">
        <f aca="false">(('Business Case'!B11*$C944*'Business Case'!B12*$B944)-'Business Case'!B11*$C944*'Business Case'!B13*$D944-'Business Case'!B14*$E944)-MAX(0,(('Business Case'!B11*$C944*'Business Case'!B12*$B944)-'Business Case'!B11*$C944*'Business Case'!B13*$D944-'Business Case'!B14*$E944))*'Business Case'!$B$7-'Business Case'!$B$8*('Business Case'!B11*$C944*'Business Case'!B12*$B944)-'Business Case'!B15*$F944</f>
        <v>-2278930366.76202</v>
      </c>
      <c r="I944" s="39" t="n">
        <f aca="false">(('Business Case'!C11*$C944*'Business Case'!C12*$B944)-'Business Case'!C11*$C944*'Business Case'!C13*$D944-'Business Case'!C14*$E944)-MAX(0,(('Business Case'!C11*$C944*'Business Case'!C12*$B944)-'Business Case'!C11*$C944*'Business Case'!C13*$D944-'Business Case'!C14*$E944))*'Business Case'!$B$7-'Business Case'!$B$8*(('Business Case'!C11*$C944*'Business Case'!C12*$B944)-('Business Case'!B11*$C944*'Business Case'!B12*$B944))-'Business Case'!C15*$F944</f>
        <v>-67381354.3114991</v>
      </c>
      <c r="J944" s="39" t="n">
        <f aca="false">(('Business Case'!D11*$C944*'Business Case'!D12*$B944)-'Business Case'!D11*$C944*'Business Case'!D13*$D944-'Business Case'!D14*$E944)-MAX(0,(('Business Case'!D11*$C944*'Business Case'!D12*$B944)-'Business Case'!D11*$C944*'Business Case'!D13*$D944-'Business Case'!D14*$E944))*'Business Case'!$B$7-'Business Case'!$B$8*(('Business Case'!D11*$C944*'Business Case'!D12*$B944)-('Business Case'!C11*$C944*'Business Case'!C12*$B944))-'Business Case'!D15*$F944</f>
        <v>172146831.856452</v>
      </c>
      <c r="K944" s="39" t="n">
        <f aca="false">(('Business Case'!E11*$C944*'Business Case'!E12*$B944)-'Business Case'!E11*$C944*'Business Case'!E13*$D944-'Business Case'!E14*$E944)-MAX(0,(('Business Case'!E11*$C944*'Business Case'!E12*$B944)-'Business Case'!E11*$C944*'Business Case'!E13*$D944-'Business Case'!E14*$E944))*'Business Case'!$B$7-'Business Case'!$B$8*(('Business Case'!E11*$C944*'Business Case'!E12*$B944)-('Business Case'!D11*$C944*'Business Case'!D12*$B944))-'Business Case'!E15*$F944</f>
        <v>468648277.193454</v>
      </c>
      <c r="L944" s="39" t="n">
        <f aca="false">(('Business Case'!F11*$C944*'Business Case'!F12*$B944)-'Business Case'!F11*$C944*'Business Case'!F13*$D944-'Business Case'!F14*$E944)-MAX(0,(('Business Case'!F11*$C944*'Business Case'!F12*$B944)-'Business Case'!F11*$C944*'Business Case'!F13*$D944-'Business Case'!F14*$E944))*'Business Case'!$B$7-'Business Case'!$B$8*(('Business Case'!F11*$C944*'Business Case'!F12*$B944)-('Business Case'!E11*$C944*'Business Case'!E12*$B944))-'Business Case'!F15*$F944</f>
        <v>582695412.332922</v>
      </c>
      <c r="M944" s="39" t="n">
        <f aca="false">(('Business Case'!G11*$C944*'Business Case'!G12*$B944)-'Business Case'!G11*$C944*'Business Case'!G13*$D944-'Business Case'!G14*$E944)-MAX(0,(('Business Case'!G11*$C944*'Business Case'!G12*$B944)-'Business Case'!G11*$C944*'Business Case'!G13*$D944-'Business Case'!G14*$E944))*'Business Case'!$B$7-'Business Case'!$B$8*(('Business Case'!G11*$C944*'Business Case'!G12*$B944)-('Business Case'!F11*$C944*'Business Case'!F12*$B944))-'Business Case'!G15*$F944+'Business Case'!$B$8*('Business Case'!G11*$C944*'Business Case'!G12*$B944)</f>
        <v>770819647.625416</v>
      </c>
      <c r="N944" s="39" t="n">
        <f aca="false">IF(COUNT('Business Case'!B11:G11)=0,"",H944+NPV(G944,I944:M944))</f>
        <v>-1003494330.70712</v>
      </c>
      <c r="P944" s="40" t="n">
        <f aca="true">RAND()</f>
        <v>0.24015532988763</v>
      </c>
      <c r="Q944" s="40" t="n">
        <f aca="true">RAND()</f>
        <v>0.789953244603991</v>
      </c>
      <c r="R944" s="40" t="n">
        <f aca="true">RAND()</f>
        <v>0.978797884802201</v>
      </c>
      <c r="S944" s="40" t="n">
        <f aca="true">RAND()</f>
        <v>0.370002946091637</v>
      </c>
      <c r="T944" s="40" t="n">
        <f aca="true">RAND()</f>
        <v>0.837094057533413</v>
      </c>
      <c r="U944" s="40" t="n">
        <f aca="true">RAND()</f>
        <v>0.656094311412847</v>
      </c>
    </row>
    <row r="945" customFormat="false" ht="15" hidden="false" customHeight="false" outlineLevel="0" collapsed="false">
      <c r="A945" s="36" t="n">
        <v>865</v>
      </c>
      <c r="B945" s="37" t="n">
        <f aca="false">1+IF($G$6=$E$6,$F$6,IF(P945&lt;($F$6-$E$6)/($G$6-$E$6),$E$6+SQRT(P945*($G$6-$E$6)*($F$6-$E$6)),$G$6-SQRT((1-P945)*($G$6-$E$6)*($G$6-$F$6))))</f>
        <v>0.923590722548063</v>
      </c>
      <c r="C945" s="37" t="n">
        <f aca="false">1+IF($G$7=$E$7,$F$7,IF(Q945&lt;($F$7-$E$7)/($G$7-$E$7),$E$7+SQRT(Q945*($G$7-$E$7)*($F$7-$E$7)),$G$7-SQRT((1-Q945)*($G$7-$E$7)*($G$7-$F$7))))</f>
        <v>0.979329320130015</v>
      </c>
      <c r="D945" s="37" t="n">
        <f aca="false">1+IF($G$8=$E$8,$F$8,IF(R945&lt;($F$8-$E$8)/($G$8-$E$8),$E$8+SQRT(R945*($G$8-$E$8)*($F$8-$E$8)),$G$8-SQRT((1-R945)*($G$8-$E$8)*($G$8-$F$8))))</f>
        <v>1.00539264721275</v>
      </c>
      <c r="E945" s="37" t="n">
        <f aca="false">1+IF($G$9=$E$9,$F$9,IF(S945&lt;($F$9-$E$9)/($G$9-$E$9),$E$9+SQRT(S945*($G$9-$E$9)*($F$9-$E$9)),$G$9-SQRT((1-S945)*($G$9-$E$9)*($G$9-$F$9))))</f>
        <v>1.04264275763282</v>
      </c>
      <c r="F945" s="37" t="n">
        <f aca="false">1+IF($G$10=$E$10,$F$10,IF(T945&lt;($F$10-$E$10)/($G$10-$E$10),$E$10+SQRT(T945*($G$10-$E$10)*($F$10-$E$10)),$G$10-SQRT((1-T945)*($G$10-$E$10)*($G$10-$F$10))))</f>
        <v>0.992821361286342</v>
      </c>
      <c r="G945" s="38" t="n">
        <f aca="false">IF($G$11=$E$11,$F$11,IF(U945&lt;($F$11-$E$11)/($G$11-$E$11),$E$11+SQRT(U945*($G$11-$E$11)*($F$11-$E$11)),$G$11-SQRT((1-U945)*($G$11-$E$11)*($G$11-$F$11))))</f>
        <v>0.104419307302002</v>
      </c>
      <c r="H945" s="39" t="n">
        <f aca="false">(('Business Case'!B11*$C945*'Business Case'!B12*$B945)-'Business Case'!B11*$C945*'Business Case'!B13*$D945-'Business Case'!B14*$E945)-MAX(0,(('Business Case'!B11*$C945*'Business Case'!B12*$B945)-'Business Case'!B11*$C945*'Business Case'!B13*$D945-'Business Case'!B14*$E945))*'Business Case'!$B$7-'Business Case'!$B$8*('Business Case'!B11*$C945*'Business Case'!B12*$B945)-'Business Case'!B15*$F945</f>
        <v>-1985642722.57268</v>
      </c>
      <c r="I945" s="39" t="n">
        <f aca="false">(('Business Case'!C11*$C945*'Business Case'!C12*$B945)-'Business Case'!C11*$C945*'Business Case'!C13*$D945-'Business Case'!C14*$E945)-MAX(0,(('Business Case'!C11*$C945*'Business Case'!C12*$B945)-'Business Case'!C11*$C945*'Business Case'!C13*$D945-'Business Case'!C14*$E945))*'Business Case'!$B$7-'Business Case'!$B$8*(('Business Case'!C11*$C945*'Business Case'!C12*$B945)-('Business Case'!B11*$C945*'Business Case'!B12*$B945))-'Business Case'!C15*$F945</f>
        <v>-57626801.4891494</v>
      </c>
      <c r="J945" s="39" t="n">
        <f aca="false">(('Business Case'!D11*$C945*'Business Case'!D12*$B945)-'Business Case'!D11*$C945*'Business Case'!D13*$D945-'Business Case'!D14*$E945)-MAX(0,(('Business Case'!D11*$C945*'Business Case'!D12*$B945)-'Business Case'!D11*$C945*'Business Case'!D13*$D945-'Business Case'!D14*$E945))*'Business Case'!$B$7-'Business Case'!$B$8*(('Business Case'!D11*$C945*'Business Case'!D12*$B945)-('Business Case'!C11*$C945*'Business Case'!C12*$B945))-'Business Case'!D15*$F945</f>
        <v>179181586.038172</v>
      </c>
      <c r="K945" s="39" t="n">
        <f aca="false">(('Business Case'!E11*$C945*'Business Case'!E12*$B945)-'Business Case'!E11*$C945*'Business Case'!E13*$D945-'Business Case'!E14*$E945)-MAX(0,(('Business Case'!E11*$C945*'Business Case'!E12*$B945)-'Business Case'!E11*$C945*'Business Case'!E13*$D945-'Business Case'!E14*$E945))*'Business Case'!$B$7-'Business Case'!$B$8*(('Business Case'!E11*$C945*'Business Case'!E12*$B945)-('Business Case'!D11*$C945*'Business Case'!D12*$B945))-'Business Case'!E15*$F945</f>
        <v>465631041.629809</v>
      </c>
      <c r="L945" s="39" t="n">
        <f aca="false">(('Business Case'!F11*$C945*'Business Case'!F12*$B945)-'Business Case'!F11*$C945*'Business Case'!F13*$D945-'Business Case'!F14*$E945)-MAX(0,(('Business Case'!F11*$C945*'Business Case'!F12*$B945)-'Business Case'!F11*$C945*'Business Case'!F13*$D945-'Business Case'!F14*$E945))*'Business Case'!$B$7-'Business Case'!$B$8*(('Business Case'!F11*$C945*'Business Case'!F12*$B945)-('Business Case'!E11*$C945*'Business Case'!E12*$B945))-'Business Case'!F15*$F945</f>
        <v>575826672.64055</v>
      </c>
      <c r="M945" s="39" t="n">
        <f aca="false">(('Business Case'!G11*$C945*'Business Case'!G12*$B945)-'Business Case'!G11*$C945*'Business Case'!G13*$D945-'Business Case'!G14*$E945)-MAX(0,(('Business Case'!G11*$C945*'Business Case'!G12*$B945)-'Business Case'!G11*$C945*'Business Case'!G13*$D945-'Business Case'!G14*$E945))*'Business Case'!$B$7-'Business Case'!$B$8*(('Business Case'!G11*$C945*'Business Case'!G12*$B945)-('Business Case'!F11*$C945*'Business Case'!F12*$B945))-'Business Case'!G15*$F945+'Business Case'!$B$8*('Business Case'!G11*$C945*'Business Case'!G12*$B945)</f>
        <v>747753932.732864</v>
      </c>
      <c r="N945" s="39" t="n">
        <f aca="false">IF(COUNT('Business Case'!B11:G11)=0,"",H945+NPV(G945,I945:M945))</f>
        <v>-703146154.135935</v>
      </c>
      <c r="P945" s="40" t="n">
        <f aca="true">RAND()</f>
        <v>0.0371014793559778</v>
      </c>
      <c r="Q945" s="40" t="n">
        <f aca="true">RAND()</f>
        <v>0.577961993217008</v>
      </c>
      <c r="R945" s="40" t="n">
        <f aca="true">RAND()</f>
        <v>0.403296586572556</v>
      </c>
      <c r="S945" s="40" t="n">
        <f aca="true">RAND()</f>
        <v>0.692651266968388</v>
      </c>
      <c r="T945" s="40" t="n">
        <f aca="true">RAND()</f>
        <v>0.122244598827692</v>
      </c>
      <c r="U945" s="40" t="n">
        <f aca="true">RAND()</f>
        <v>0.563752107393741</v>
      </c>
    </row>
    <row r="946" customFormat="false" ht="15" hidden="false" customHeight="false" outlineLevel="0" collapsed="false">
      <c r="A946" s="36" t="n">
        <v>866</v>
      </c>
      <c r="B946" s="37" t="n">
        <f aca="false">1+IF($G$6=$E$6,$F$6,IF(P946&lt;($F$6-$E$6)/($G$6-$E$6),$E$6+SQRT(P946*($G$6-$E$6)*($F$6-$E$6)),$G$6-SQRT((1-P946)*($G$6-$E$6)*($G$6-$F$6))))</f>
        <v>0.997409811841912</v>
      </c>
      <c r="C946" s="37" t="n">
        <f aca="false">1+IF($G$7=$E$7,$F$7,IF(Q946&lt;($F$7-$E$7)/($G$7-$E$7),$E$7+SQRT(Q946*($G$7-$E$7)*($F$7-$E$7)),$G$7-SQRT((1-Q946)*($G$7-$E$7)*($G$7-$F$7))))</f>
        <v>0.799228198590329</v>
      </c>
      <c r="D946" s="37" t="n">
        <f aca="false">1+IF($G$8=$E$8,$F$8,IF(R946&lt;($F$8-$E$8)/($G$8-$E$8),$E$8+SQRT(R946*($G$8-$E$8)*($F$8-$E$8)),$G$8-SQRT((1-R946)*($G$8-$E$8)*($G$8-$F$8))))</f>
        <v>0.99826819705306</v>
      </c>
      <c r="E946" s="37" t="n">
        <f aca="false">1+IF($G$9=$E$9,$F$9,IF(S946&lt;($F$9-$E$9)/($G$9-$E$9),$E$9+SQRT(S946*($G$9-$E$9)*($F$9-$E$9)),$G$9-SQRT((1-S946)*($G$9-$E$9)*($G$9-$F$9))))</f>
        <v>1.02739956847323</v>
      </c>
      <c r="F946" s="37" t="n">
        <f aca="false">1+IF($G$10=$E$10,$F$10,IF(T946&lt;($F$10-$E$10)/($G$10-$E$10),$E$10+SQRT(T946*($G$10-$E$10)*($F$10-$E$10)),$G$10-SQRT((1-T946)*($G$10-$E$10)*($G$10-$F$10))))</f>
        <v>1.00483858906887</v>
      </c>
      <c r="G946" s="38" t="n">
        <f aca="false">IF($G$11=$E$11,$F$11,IF(U946&lt;($F$11-$E$11)/($G$11-$E$11),$E$11+SQRT(U946*($G$11-$E$11)*($F$11-$E$11)),$G$11-SQRT((1-U946)*($G$11-$E$11)*($G$11-$F$11))))</f>
        <v>0.0943380510958712</v>
      </c>
      <c r="H946" s="39" t="n">
        <f aca="false">(('Business Case'!B11*$C946*'Business Case'!B12*$B946)-'Business Case'!B11*$C946*'Business Case'!B13*$D946-'Business Case'!B14*$E946)-MAX(0,(('Business Case'!B11*$C946*'Business Case'!B12*$B946)-'Business Case'!B11*$C946*'Business Case'!B13*$D946-'Business Case'!B14*$E946))*'Business Case'!$B$7-'Business Case'!$B$8*('Business Case'!B11*$C946*'Business Case'!B12*$B946)-'Business Case'!B15*$F946</f>
        <v>-2009677178.13773</v>
      </c>
      <c r="I946" s="39" t="n">
        <f aca="false">(('Business Case'!C11*$C946*'Business Case'!C12*$B946)-'Business Case'!C11*$C946*'Business Case'!C13*$D946-'Business Case'!C14*$E946)-MAX(0,(('Business Case'!C11*$C946*'Business Case'!C12*$B946)-'Business Case'!C11*$C946*'Business Case'!C13*$D946-'Business Case'!C14*$E946))*'Business Case'!$B$7-'Business Case'!$B$8*(('Business Case'!C11*$C946*'Business Case'!C12*$B946)-('Business Case'!B11*$C946*'Business Case'!B12*$B946))-'Business Case'!C15*$F946</f>
        <v>-43407262.700846</v>
      </c>
      <c r="J946" s="39" t="n">
        <f aca="false">(('Business Case'!D11*$C946*'Business Case'!D12*$B946)-'Business Case'!D11*$C946*'Business Case'!D13*$D946-'Business Case'!D14*$E946)-MAX(0,(('Business Case'!D11*$C946*'Business Case'!D12*$B946)-'Business Case'!D11*$C946*'Business Case'!D13*$D946-'Business Case'!D14*$E946))*'Business Case'!$B$7-'Business Case'!$B$8*(('Business Case'!D11*$C946*'Business Case'!D12*$B946)-('Business Case'!C11*$C946*'Business Case'!C12*$B946))-'Business Case'!D15*$F946</f>
        <v>201090225.307626</v>
      </c>
      <c r="K946" s="39" t="n">
        <f aca="false">(('Business Case'!E11*$C946*'Business Case'!E12*$B946)-'Business Case'!E11*$C946*'Business Case'!E13*$D946-'Business Case'!E14*$E946)-MAX(0,(('Business Case'!E11*$C946*'Business Case'!E12*$B946)-'Business Case'!E11*$C946*'Business Case'!E13*$D946-'Business Case'!E14*$E946))*'Business Case'!$B$7-'Business Case'!$B$8*(('Business Case'!E11*$C946*'Business Case'!E12*$B946)-('Business Case'!D11*$C946*'Business Case'!D12*$B946))-'Business Case'!E15*$F946</f>
        <v>495829642.769543</v>
      </c>
      <c r="L946" s="39" t="n">
        <f aca="false">(('Business Case'!F11*$C946*'Business Case'!F12*$B946)-'Business Case'!F11*$C946*'Business Case'!F13*$D946-'Business Case'!F14*$E946)-MAX(0,(('Business Case'!F11*$C946*'Business Case'!F12*$B946)-'Business Case'!F11*$C946*'Business Case'!F13*$D946-'Business Case'!F14*$E946))*'Business Case'!$B$7-'Business Case'!$B$8*(('Business Case'!F11*$C946*'Business Case'!F12*$B946)-('Business Case'!E11*$C946*'Business Case'!E12*$B946))-'Business Case'!F15*$F946</f>
        <v>604878587.549392</v>
      </c>
      <c r="M946" s="39" t="n">
        <f aca="false">(('Business Case'!G11*$C946*'Business Case'!G12*$B946)-'Business Case'!G11*$C946*'Business Case'!G13*$D946-'Business Case'!G14*$E946)-MAX(0,(('Business Case'!G11*$C946*'Business Case'!G12*$B946)-'Business Case'!G11*$C946*'Business Case'!G13*$D946-'Business Case'!G14*$E946))*'Business Case'!$B$7-'Business Case'!$B$8*(('Business Case'!G11*$C946*'Business Case'!G12*$B946)-('Business Case'!F11*$C946*'Business Case'!F12*$B946))-'Business Case'!G15*$F946+'Business Case'!$B$8*('Business Case'!G11*$C946*'Business Case'!G12*$B946)</f>
        <v>756402389.156365</v>
      </c>
      <c r="N946" s="39" t="n">
        <f aca="false">IF(COUNT('Business Case'!B11:G11)=0,"",H946+NPV(G946,I946:M946))</f>
        <v>-599392212.656876</v>
      </c>
      <c r="P946" s="40" t="n">
        <f aca="true">RAND()</f>
        <v>0.632578096205107</v>
      </c>
      <c r="Q946" s="40" t="n">
        <f aca="true">RAND()</f>
        <v>0.0729350770035682</v>
      </c>
      <c r="R946" s="40" t="n">
        <f aca="true">RAND()</f>
        <v>0.310642512900404</v>
      </c>
      <c r="S946" s="40" t="n">
        <f aca="true">RAND()</f>
        <v>0.599176911718677</v>
      </c>
      <c r="T946" s="40" t="n">
        <f aca="true">RAND()</f>
        <v>0.198611767870084</v>
      </c>
      <c r="U946" s="40" t="n">
        <f aca="true">RAND()</f>
        <v>0.205579709227812</v>
      </c>
    </row>
    <row r="947" customFormat="false" ht="15" hidden="false" customHeight="false" outlineLevel="0" collapsed="false">
      <c r="A947" s="36" t="n">
        <v>867</v>
      </c>
      <c r="B947" s="37" t="n">
        <f aca="false">1+IF($G$6=$E$6,$F$6,IF(P947&lt;($F$6-$E$6)/($G$6-$E$6),$E$6+SQRT(P947*($G$6-$E$6)*($F$6-$E$6)),$G$6-SQRT((1-P947)*($G$6-$E$6)*($G$6-$F$6))))</f>
        <v>0.973045778384829</v>
      </c>
      <c r="C947" s="37" t="n">
        <f aca="false">1+IF($G$7=$E$7,$F$7,IF(Q947&lt;($F$7-$E$7)/($G$7-$E$7),$E$7+SQRT(Q947*($G$7-$E$7)*($F$7-$E$7)),$G$7-SQRT((1-Q947)*($G$7-$E$7)*($G$7-$F$7))))</f>
        <v>0.854801900069156</v>
      </c>
      <c r="D947" s="37" t="n">
        <f aca="false">1+IF($G$8=$E$8,$F$8,IF(R947&lt;($F$8-$E$8)/($G$8-$E$8),$E$8+SQRT(R947*($G$8-$E$8)*($F$8-$E$8)),$G$8-SQRT((1-R947)*($G$8-$E$8)*($G$8-$F$8))))</f>
        <v>1.03002813676107</v>
      </c>
      <c r="E947" s="37" t="n">
        <f aca="false">1+IF($G$9=$E$9,$F$9,IF(S947&lt;($F$9-$E$9)/($G$9-$E$9),$E$9+SQRT(S947*($G$9-$E$9)*($F$9-$E$9)),$G$9-SQRT((1-S947)*($G$9-$E$9)*($G$9-$F$9))))</f>
        <v>0.991929001148084</v>
      </c>
      <c r="F947" s="37" t="n">
        <f aca="false">1+IF($G$10=$E$10,$F$10,IF(T947&lt;($F$10-$E$10)/($G$10-$E$10),$E$10+SQRT(T947*($G$10-$E$10)*($F$10-$E$10)),$G$10-SQRT((1-T947)*($G$10-$E$10)*($G$10-$F$10))))</f>
        <v>1.04989998059541</v>
      </c>
      <c r="G947" s="38" t="n">
        <f aca="false">IF($G$11=$E$11,$F$11,IF(U947&lt;($F$11-$E$11)/($G$11-$E$11),$E$11+SQRT(U947*($G$11-$E$11)*($F$11-$E$11)),$G$11-SQRT((1-U947)*($G$11-$E$11)*($G$11-$F$11))))</f>
        <v>0.109399797392224</v>
      </c>
      <c r="H947" s="39" t="n">
        <f aca="false">(('Business Case'!B11*$C947*'Business Case'!B12*$B947)-'Business Case'!B11*$C947*'Business Case'!B13*$D947-'Business Case'!B14*$E947)-MAX(0,(('Business Case'!B11*$C947*'Business Case'!B12*$B947)-'Business Case'!B11*$C947*'Business Case'!B13*$D947-'Business Case'!B14*$E947))*'Business Case'!$B$7-'Business Case'!$B$8*('Business Case'!B11*$C947*'Business Case'!B12*$B947)-'Business Case'!B15*$F947</f>
        <v>-2099799961.19081</v>
      </c>
      <c r="I947" s="39" t="n">
        <f aca="false">(('Business Case'!C11*$C947*'Business Case'!C12*$B947)-'Business Case'!C11*$C947*'Business Case'!C13*$D947-'Business Case'!C14*$E947)-MAX(0,(('Business Case'!C11*$C947*'Business Case'!C12*$B947)-'Business Case'!C11*$C947*'Business Case'!C13*$D947-'Business Case'!C14*$E947))*'Business Case'!$B$7-'Business Case'!$B$8*(('Business Case'!C11*$C947*'Business Case'!C12*$B947)-('Business Case'!B11*$C947*'Business Case'!B12*$B947))-'Business Case'!C15*$F947</f>
        <v>-58618561.4701595</v>
      </c>
      <c r="J947" s="39" t="n">
        <f aca="false">(('Business Case'!D11*$C947*'Business Case'!D12*$B947)-'Business Case'!D11*$C947*'Business Case'!D13*$D947-'Business Case'!D14*$E947)-MAX(0,(('Business Case'!D11*$C947*'Business Case'!D12*$B947)-'Business Case'!D11*$C947*'Business Case'!D13*$D947-'Business Case'!D14*$E947))*'Business Case'!$B$7-'Business Case'!$B$8*(('Business Case'!D11*$C947*'Business Case'!D12*$B947)-('Business Case'!C11*$C947*'Business Case'!C12*$B947))-'Business Case'!D15*$F947</f>
        <v>171923689.032961</v>
      </c>
      <c r="K947" s="39" t="n">
        <f aca="false">(('Business Case'!E11*$C947*'Business Case'!E12*$B947)-'Business Case'!E11*$C947*'Business Case'!E13*$D947-'Business Case'!E14*$E947)-MAX(0,(('Business Case'!E11*$C947*'Business Case'!E12*$B947)-'Business Case'!E11*$C947*'Business Case'!E13*$D947-'Business Case'!E14*$E947))*'Business Case'!$B$7-'Business Case'!$B$8*(('Business Case'!E11*$C947*'Business Case'!E12*$B947)-('Business Case'!D11*$C947*'Business Case'!D12*$B947))-'Business Case'!E15*$F947</f>
        <v>454960938.565852</v>
      </c>
      <c r="L947" s="39" t="n">
        <f aca="false">(('Business Case'!F11*$C947*'Business Case'!F12*$B947)-'Business Case'!F11*$C947*'Business Case'!F13*$D947-'Business Case'!F14*$E947)-MAX(0,(('Business Case'!F11*$C947*'Business Case'!F12*$B947)-'Business Case'!F11*$C947*'Business Case'!F13*$D947-'Business Case'!F14*$E947))*'Business Case'!$B$7-'Business Case'!$B$8*(('Business Case'!F11*$C947*'Business Case'!F12*$B947)-('Business Case'!E11*$C947*'Business Case'!E12*$B947))-'Business Case'!F15*$F947</f>
        <v>560554028.700546</v>
      </c>
      <c r="M947" s="39" t="n">
        <f aca="false">(('Business Case'!G11*$C947*'Business Case'!G12*$B947)-'Business Case'!G11*$C947*'Business Case'!G13*$D947-'Business Case'!G14*$E947)-MAX(0,(('Business Case'!G11*$C947*'Business Case'!G12*$B947)-'Business Case'!G11*$C947*'Business Case'!G13*$D947-'Business Case'!G14*$E947))*'Business Case'!$B$7-'Business Case'!$B$8*(('Business Case'!G11*$C947*'Business Case'!G12*$B947)-('Business Case'!F11*$C947*'Business Case'!F12*$B947))-'Business Case'!G15*$F947+'Business Case'!$B$8*('Business Case'!G11*$C947*'Business Case'!G12*$B947)</f>
        <v>718655231.852312</v>
      </c>
      <c r="N947" s="39" t="n">
        <f aca="false">IF(COUNT('Business Case'!B11:G11)=0,"",H947+NPV(G947,I947:M947))</f>
        <v>-882050291.300079</v>
      </c>
      <c r="P947" s="40" t="n">
        <f aca="true">RAND()</f>
        <v>0.35571238265637</v>
      </c>
      <c r="Q947" s="40" t="n">
        <f aca="true">RAND()</f>
        <v>0.177508357518673</v>
      </c>
      <c r="R947" s="40" t="n">
        <f aca="true">RAND()</f>
        <v>0.673595890324793</v>
      </c>
      <c r="S947" s="40" t="n">
        <f aca="true">RAND()</f>
        <v>0.338037650083379</v>
      </c>
      <c r="T947" s="40" t="n">
        <f aca="true">RAND()</f>
        <v>0.466133096457088</v>
      </c>
      <c r="U947" s="40" t="n">
        <f aca="true">RAND()</f>
        <v>0.717087768345721</v>
      </c>
    </row>
    <row r="948" customFormat="false" ht="15" hidden="false" customHeight="false" outlineLevel="0" collapsed="false">
      <c r="A948" s="36" t="n">
        <v>868</v>
      </c>
      <c r="B948" s="37" t="n">
        <f aca="false">1+IF($G$6=$E$6,$F$6,IF(P948&lt;($F$6-$E$6)/($G$6-$E$6),$E$6+SQRT(P948*($G$6-$E$6)*($F$6-$E$6)),$G$6-SQRT((1-P948)*($G$6-$E$6)*($G$6-$F$6))))</f>
        <v>0.978010042092474</v>
      </c>
      <c r="C948" s="37" t="n">
        <f aca="false">1+IF($G$7=$E$7,$F$7,IF(Q948&lt;($F$7-$E$7)/($G$7-$E$7),$E$7+SQRT(Q948*($G$7-$E$7)*($F$7-$E$7)),$G$7-SQRT((1-Q948)*($G$7-$E$7)*($G$7-$F$7))))</f>
        <v>1.12193469950145</v>
      </c>
      <c r="D948" s="37" t="n">
        <f aca="false">1+IF($G$8=$E$8,$F$8,IF(R948&lt;($F$8-$E$8)/($G$8-$E$8),$E$8+SQRT(R948*($G$8-$E$8)*($F$8-$E$8)),$G$8-SQRT((1-R948)*($G$8-$E$8)*($G$8-$F$8))))</f>
        <v>0.971195821759411</v>
      </c>
      <c r="E948" s="37" t="n">
        <f aca="false">1+IF($G$9=$E$9,$F$9,IF(S948&lt;($F$9-$E$9)/($G$9-$E$9),$E$9+SQRT(S948*($G$9-$E$9)*($F$9-$E$9)),$G$9-SQRT((1-S948)*($G$9-$E$9)*($G$9-$F$9))))</f>
        <v>0.976119440362107</v>
      </c>
      <c r="F948" s="37" t="n">
        <f aca="false">1+IF($G$10=$E$10,$F$10,IF(T948&lt;($F$10-$E$10)/($G$10-$E$10),$E$10+SQRT(T948*($G$10-$E$10)*($F$10-$E$10)),$G$10-SQRT((1-T948)*($G$10-$E$10)*($G$10-$F$10))))</f>
        <v>1.04600625717136</v>
      </c>
      <c r="G948" s="38" t="n">
        <f aca="false">IF($G$11=$E$11,$F$11,IF(U948&lt;($F$11-$E$11)/($G$11-$E$11),$E$11+SQRT(U948*($G$11-$E$11)*($F$11-$E$11)),$G$11-SQRT((1-U948)*($G$11-$E$11)*($G$11-$F$11))))</f>
        <v>0.101057714947774</v>
      </c>
      <c r="H948" s="39" t="n">
        <f aca="false">(('Business Case'!B11*$C948*'Business Case'!B12*$B948)-'Business Case'!B11*$C948*'Business Case'!B13*$D948-'Business Case'!B14*$E948)-MAX(0,(('Business Case'!B11*$C948*'Business Case'!B12*$B948)-'Business Case'!B11*$C948*'Business Case'!B13*$D948-'Business Case'!B14*$E948))*'Business Case'!$B$7-'Business Case'!$B$8*('Business Case'!B11*$C948*'Business Case'!B12*$B948)-'Business Case'!B15*$F948</f>
        <v>-2092012514.34273</v>
      </c>
      <c r="I948" s="39" t="n">
        <f aca="false">(('Business Case'!C11*$C948*'Business Case'!C12*$B948)-'Business Case'!C11*$C948*'Business Case'!C13*$D948-'Business Case'!C14*$E948)-MAX(0,(('Business Case'!C11*$C948*'Business Case'!C12*$B948)-'Business Case'!C11*$C948*'Business Case'!C13*$D948-'Business Case'!C14*$E948))*'Business Case'!$B$7-'Business Case'!$B$8*(('Business Case'!C11*$C948*'Business Case'!C12*$B948)-('Business Case'!B11*$C948*'Business Case'!B12*$B948))-'Business Case'!C15*$F948</f>
        <v>40653388.5644728</v>
      </c>
      <c r="J948" s="39" t="n">
        <f aca="false">(('Business Case'!D11*$C948*'Business Case'!D12*$B948)-'Business Case'!D11*$C948*'Business Case'!D13*$D948-'Business Case'!D14*$E948)-MAX(0,(('Business Case'!D11*$C948*'Business Case'!D12*$B948)-'Business Case'!D11*$C948*'Business Case'!D13*$D948-'Business Case'!D14*$E948))*'Business Case'!$B$7-'Business Case'!$B$8*(('Business Case'!D11*$C948*'Business Case'!D12*$B948)-('Business Case'!C11*$C948*'Business Case'!C12*$B948))-'Business Case'!D15*$F948</f>
        <v>381593722.060734</v>
      </c>
      <c r="K948" s="39" t="n">
        <f aca="false">(('Business Case'!E11*$C948*'Business Case'!E12*$B948)-'Business Case'!E11*$C948*'Business Case'!E13*$D948-'Business Case'!E14*$E948)-MAX(0,(('Business Case'!E11*$C948*'Business Case'!E12*$B948)-'Business Case'!E11*$C948*'Business Case'!E13*$D948-'Business Case'!E14*$E948))*'Business Case'!$B$7-'Business Case'!$B$8*(('Business Case'!E11*$C948*'Business Case'!E12*$B948)-('Business Case'!D11*$C948*'Business Case'!D12*$B948))-'Business Case'!E15*$F948</f>
        <v>774834368.415562</v>
      </c>
      <c r="L948" s="39" t="n">
        <f aca="false">(('Business Case'!F11*$C948*'Business Case'!F12*$B948)-'Business Case'!F11*$C948*'Business Case'!F13*$D948-'Business Case'!F14*$E948)-MAX(0,(('Business Case'!F11*$C948*'Business Case'!F12*$B948)-'Business Case'!F11*$C948*'Business Case'!F13*$D948-'Business Case'!F14*$E948))*'Business Case'!$B$7-'Business Case'!$B$8*(('Business Case'!F11*$C948*'Business Case'!F12*$B948)-('Business Case'!E11*$C948*'Business Case'!E12*$B948))-'Business Case'!F15*$F948</f>
        <v>926402569.444423</v>
      </c>
      <c r="M948" s="39" t="n">
        <f aca="false">(('Business Case'!G11*$C948*'Business Case'!G12*$B948)-'Business Case'!G11*$C948*'Business Case'!G13*$D948-'Business Case'!G14*$E948)-MAX(0,(('Business Case'!G11*$C948*'Business Case'!G12*$B948)-'Business Case'!G11*$C948*'Business Case'!G13*$D948-'Business Case'!G14*$E948))*'Business Case'!$B$7-'Business Case'!$B$8*(('Business Case'!G11*$C948*'Business Case'!G12*$B948)-('Business Case'!F11*$C948*'Business Case'!F12*$B948))-'Business Case'!G15*$F948+'Business Case'!$B$8*('Business Case'!G11*$C948*'Business Case'!G12*$B948)</f>
        <v>1134970397.02668</v>
      </c>
      <c r="N948" s="39" t="n">
        <f aca="false">IF(COUNT('Business Case'!B11:G11)=0,"",H948+NPV(G948,I948:M948))</f>
        <v>171805620.67497</v>
      </c>
      <c r="P948" s="40" t="n">
        <f aca="true">RAND()</f>
        <v>0.405704444484635</v>
      </c>
      <c r="Q948" s="40" t="n">
        <f aca="true">RAND()</f>
        <v>0.988330946784088</v>
      </c>
      <c r="R948" s="40" t="n">
        <f aca="true">RAND()</f>
        <v>0.0599017146742314</v>
      </c>
      <c r="S948" s="40" t="n">
        <f aca="true">RAND()</f>
        <v>0.231766768041612</v>
      </c>
      <c r="T948" s="40" t="n">
        <f aca="true">RAND()</f>
        <v>0.445154038490186</v>
      </c>
      <c r="U948" s="40" t="n">
        <f aca="true">RAND()</f>
        <v>0.441562757303814</v>
      </c>
    </row>
    <row r="949" customFormat="false" ht="15" hidden="false" customHeight="false" outlineLevel="0" collapsed="false">
      <c r="A949" s="36" t="n">
        <v>869</v>
      </c>
      <c r="B949" s="37" t="n">
        <f aca="false">1+IF($G$6=$E$6,$F$6,IF(P949&lt;($F$6-$E$6)/($G$6-$E$6),$E$6+SQRT(P949*($G$6-$E$6)*($F$6-$E$6)),$G$6-SQRT((1-P949)*($G$6-$E$6)*($G$6-$F$6))))</f>
        <v>0.97580249876881</v>
      </c>
      <c r="C949" s="37" t="n">
        <f aca="false">1+IF($G$7=$E$7,$F$7,IF(Q949&lt;($F$7-$E$7)/($G$7-$E$7),$E$7+SQRT(Q949*($G$7-$E$7)*($F$7-$E$7)),$G$7-SQRT((1-Q949)*($G$7-$E$7)*($G$7-$F$7))))</f>
        <v>0.94548782583298</v>
      </c>
      <c r="D949" s="37" t="n">
        <f aca="false">1+IF($G$8=$E$8,$F$8,IF(R949&lt;($F$8-$E$8)/($G$8-$E$8),$E$8+SQRT(R949*($G$8-$E$8)*($F$8-$E$8)),$G$8-SQRT((1-R949)*($G$8-$E$8)*($G$8-$F$8))))</f>
        <v>1.07306462045878</v>
      </c>
      <c r="E949" s="37" t="n">
        <f aca="false">1+IF($G$9=$E$9,$F$9,IF(S949&lt;($F$9-$E$9)/($G$9-$E$9),$E$9+SQRT(S949*($G$9-$E$9)*($F$9-$E$9)),$G$9-SQRT((1-S949)*($G$9-$E$9)*($G$9-$F$9))))</f>
        <v>1.06526548213667</v>
      </c>
      <c r="F949" s="37" t="n">
        <f aca="false">1+IF($G$10=$E$10,$F$10,IF(T949&lt;($F$10-$E$10)/($G$10-$E$10),$E$10+SQRT(T949*($G$10-$E$10)*($F$10-$E$10)),$G$10-SQRT((1-T949)*($G$10-$E$10)*($G$10-$F$10))))</f>
        <v>1.03459648454021</v>
      </c>
      <c r="G949" s="38" t="n">
        <f aca="false">IF($G$11=$E$11,$F$11,IF(U949&lt;($F$11-$E$11)/($G$11-$E$11),$E$11+SQRT(U949*($G$11-$E$11)*($F$11-$E$11)),$G$11-SQRT((1-U949)*($G$11-$E$11)*($G$11-$F$11))))</f>
        <v>0.107642343535622</v>
      </c>
      <c r="H949" s="39" t="n">
        <f aca="false">(('Business Case'!B11*$C949*'Business Case'!B12*$B949)-'Business Case'!B11*$C949*'Business Case'!B13*$D949-'Business Case'!B14*$E949)-MAX(0,(('Business Case'!B11*$C949*'Business Case'!B12*$B949)-'Business Case'!B11*$C949*'Business Case'!B13*$D949-'Business Case'!B14*$E949))*'Business Case'!$B$7-'Business Case'!$B$8*('Business Case'!B11*$C949*'Business Case'!B12*$B949)-'Business Case'!B15*$F949</f>
        <v>-2069192969.08042</v>
      </c>
      <c r="I949" s="39" t="n">
        <f aca="false">(('Business Case'!C11*$C949*'Business Case'!C12*$B949)-'Business Case'!C11*$C949*'Business Case'!C13*$D949-'Business Case'!C14*$E949)-MAX(0,(('Business Case'!C11*$C949*'Business Case'!C12*$B949)-'Business Case'!C11*$C949*'Business Case'!C13*$D949-'Business Case'!C14*$E949))*'Business Case'!$B$7-'Business Case'!$B$8*(('Business Case'!C11*$C949*'Business Case'!C12*$B949)-('Business Case'!B11*$C949*'Business Case'!B12*$B949))-'Business Case'!C15*$F949</f>
        <v>-66463394.2183054</v>
      </c>
      <c r="J949" s="39" t="n">
        <f aca="false">(('Business Case'!D11*$C949*'Business Case'!D12*$B949)-'Business Case'!D11*$C949*'Business Case'!D13*$D949-'Business Case'!D14*$E949)-MAX(0,(('Business Case'!D11*$C949*'Business Case'!D12*$B949)-'Business Case'!D11*$C949*'Business Case'!D13*$D949-'Business Case'!D14*$E949))*'Business Case'!$B$7-'Business Case'!$B$8*(('Business Case'!D11*$C949*'Business Case'!D12*$B949)-('Business Case'!C11*$C949*'Business Case'!C12*$B949))-'Business Case'!D15*$F949</f>
        <v>169841681.992136</v>
      </c>
      <c r="K949" s="39" t="n">
        <f aca="false">(('Business Case'!E11*$C949*'Business Case'!E12*$B949)-'Business Case'!E11*$C949*'Business Case'!E13*$D949-'Business Case'!E14*$E949)-MAX(0,(('Business Case'!E11*$C949*'Business Case'!E12*$B949)-'Business Case'!E11*$C949*'Business Case'!E13*$D949-'Business Case'!E14*$E949))*'Business Case'!$B$7-'Business Case'!$B$8*(('Business Case'!E11*$C949*'Business Case'!E12*$B949)-('Business Case'!D11*$C949*'Business Case'!D12*$B949))-'Business Case'!E15*$F949</f>
        <v>457876582.429588</v>
      </c>
      <c r="L949" s="39" t="n">
        <f aca="false">(('Business Case'!F11*$C949*'Business Case'!F12*$B949)-'Business Case'!F11*$C949*'Business Case'!F13*$D949-'Business Case'!F14*$E949)-MAX(0,(('Business Case'!F11*$C949*'Business Case'!F12*$B949)-'Business Case'!F11*$C949*'Business Case'!F13*$D949-'Business Case'!F14*$E949))*'Business Case'!$B$7-'Business Case'!$B$8*(('Business Case'!F11*$C949*'Business Case'!F12*$B949)-('Business Case'!E11*$C949*'Business Case'!E12*$B949))-'Business Case'!F15*$F949</f>
        <v>568530321.442997</v>
      </c>
      <c r="M949" s="39" t="n">
        <f aca="false">(('Business Case'!G11*$C949*'Business Case'!G12*$B949)-'Business Case'!G11*$C949*'Business Case'!G13*$D949-'Business Case'!G14*$E949)-MAX(0,(('Business Case'!G11*$C949*'Business Case'!G12*$B949)-'Business Case'!G11*$C949*'Business Case'!G13*$D949-'Business Case'!G14*$E949))*'Business Case'!$B$7-'Business Case'!$B$8*(('Business Case'!G11*$C949*'Business Case'!G12*$B949)-('Business Case'!F11*$C949*'Business Case'!F12*$B949))-'Business Case'!G15*$F949+'Business Case'!$B$8*('Business Case'!G11*$C949*'Business Case'!G12*$B949)</f>
        <v>743899912.964266</v>
      </c>
      <c r="N949" s="39" t="n">
        <f aca="false">IF(COUNT('Business Case'!B11:G11)=0,"",H949+NPV(G949,I949:M949))</f>
        <v>-829930555.80907</v>
      </c>
      <c r="P949" s="40" t="n">
        <f aca="true">RAND()</f>
        <v>0.38306792130636</v>
      </c>
      <c r="Q949" s="40" t="n">
        <f aca="true">RAND()</f>
        <v>0.446402019497805</v>
      </c>
      <c r="R949" s="40" t="n">
        <f aca="true">RAND()</f>
        <v>0.951632355264712</v>
      </c>
      <c r="S949" s="40" t="n">
        <f aca="true">RAND()</f>
        <v>0.808534972865832</v>
      </c>
      <c r="T949" s="40" t="n">
        <f aca="true">RAND()</f>
        <v>0.381351007034192</v>
      </c>
      <c r="U949" s="40" t="n">
        <f aca="true">RAND()</f>
        <v>0.666756798280566</v>
      </c>
    </row>
    <row r="950" customFormat="false" ht="15" hidden="false" customHeight="false" outlineLevel="0" collapsed="false">
      <c r="A950" s="36" t="n">
        <v>870</v>
      </c>
      <c r="B950" s="37" t="n">
        <f aca="false">1+IF($G$6=$E$6,$F$6,IF(P950&lt;($F$6-$E$6)/($G$6-$E$6),$E$6+SQRT(P950*($G$6-$E$6)*($F$6-$E$6)),$G$6-SQRT((1-P950)*($G$6-$E$6)*($G$6-$F$6))))</f>
        <v>1.00092724289741</v>
      </c>
      <c r="C950" s="37" t="n">
        <f aca="false">1+IF($G$7=$E$7,$F$7,IF(Q950&lt;($F$7-$E$7)/($G$7-$E$7),$E$7+SQRT(Q950*($G$7-$E$7)*($F$7-$E$7)),$G$7-SQRT((1-Q950)*($G$7-$E$7)*($G$7-$F$7))))</f>
        <v>0.90432348116685</v>
      </c>
      <c r="D950" s="37" t="n">
        <f aca="false">1+IF($G$8=$E$8,$F$8,IF(R950&lt;($F$8-$E$8)/($G$8-$E$8),$E$8+SQRT(R950*($G$8-$E$8)*($F$8-$E$8)),$G$8-SQRT((1-R950)*($G$8-$E$8)*($G$8-$F$8))))</f>
        <v>1.04542483438367</v>
      </c>
      <c r="E950" s="37" t="n">
        <f aca="false">1+IF($G$9=$E$9,$F$9,IF(S950&lt;($F$9-$E$9)/($G$9-$E$9),$E$9+SQRT(S950*($G$9-$E$9)*($F$9-$E$9)),$G$9-SQRT((1-S950)*($G$9-$E$9)*($G$9-$F$9))))</f>
        <v>1.03304363402757</v>
      </c>
      <c r="F950" s="37" t="n">
        <f aca="false">1+IF($G$10=$E$10,$F$10,IF(T950&lt;($F$10-$E$10)/($G$10-$E$10),$E$10+SQRT(T950*($G$10-$E$10)*($F$10-$E$10)),$G$10-SQRT((1-T950)*($G$10-$E$10)*($G$10-$F$10))))</f>
        <v>1.03775203078416</v>
      </c>
      <c r="G950" s="38" t="n">
        <f aca="false">IF($G$11=$E$11,$F$11,IF(U950&lt;($F$11-$E$11)/($G$11-$E$11),$E$11+SQRT(U950*($G$11-$E$11)*($F$11-$E$11)),$G$11-SQRT((1-U950)*($G$11-$E$11)*($G$11-$F$11))))</f>
        <v>0.0952372012882289</v>
      </c>
      <c r="H950" s="39" t="n">
        <f aca="false">(('Business Case'!B11*$C950*'Business Case'!B12*$B950)-'Business Case'!B11*$C950*'Business Case'!B13*$D950-'Business Case'!B14*$E950)-MAX(0,(('Business Case'!B11*$C950*'Business Case'!B12*$B950)-'Business Case'!B11*$C950*'Business Case'!B13*$D950-'Business Case'!B14*$E950))*'Business Case'!$B$7-'Business Case'!$B$8*('Business Case'!B11*$C950*'Business Case'!B12*$B950)-'Business Case'!B15*$F950</f>
        <v>-2075504061.56833</v>
      </c>
      <c r="I950" s="39" t="n">
        <f aca="false">(('Business Case'!C11*$C950*'Business Case'!C12*$B950)-'Business Case'!C11*$C950*'Business Case'!C13*$D950-'Business Case'!C14*$E950)-MAX(0,(('Business Case'!C11*$C950*'Business Case'!C12*$B950)-'Business Case'!C11*$C950*'Business Case'!C13*$D950-'Business Case'!C14*$E950))*'Business Case'!$B$7-'Business Case'!$B$8*(('Business Case'!C11*$C950*'Business Case'!C12*$B950)-('Business Case'!B11*$C950*'Business Case'!B12*$B950))-'Business Case'!C15*$F950</f>
        <v>-40175056.8769237</v>
      </c>
      <c r="J950" s="39" t="n">
        <f aca="false">(('Business Case'!D11*$C950*'Business Case'!D12*$B950)-'Business Case'!D11*$C950*'Business Case'!D13*$D950-'Business Case'!D14*$E950)-MAX(0,(('Business Case'!D11*$C950*'Business Case'!D12*$B950)-'Business Case'!D11*$C950*'Business Case'!D13*$D950-'Business Case'!D14*$E950))*'Business Case'!$B$7-'Business Case'!$B$8*(('Business Case'!D11*$C950*'Business Case'!D12*$B950)-('Business Case'!C11*$C950*'Business Case'!C12*$B950))-'Business Case'!D15*$F950</f>
        <v>217247492.613869</v>
      </c>
      <c r="K950" s="39" t="n">
        <f aca="false">(('Business Case'!E11*$C950*'Business Case'!E12*$B950)-'Business Case'!E11*$C950*'Business Case'!E13*$D950-'Business Case'!E14*$E950)-MAX(0,(('Business Case'!E11*$C950*'Business Case'!E12*$B950)-'Business Case'!E11*$C950*'Business Case'!E13*$D950-'Business Case'!E14*$E950))*'Business Case'!$B$7-'Business Case'!$B$8*(('Business Case'!E11*$C950*'Business Case'!E12*$B950)-('Business Case'!D11*$C950*'Business Case'!D12*$B950))-'Business Case'!E15*$F950</f>
        <v>526557643.64387</v>
      </c>
      <c r="L950" s="39" t="n">
        <f aca="false">(('Business Case'!F11*$C950*'Business Case'!F12*$B950)-'Business Case'!F11*$C950*'Business Case'!F13*$D950-'Business Case'!F14*$E950)-MAX(0,(('Business Case'!F11*$C950*'Business Case'!F12*$B950)-'Business Case'!F11*$C950*'Business Case'!F13*$D950-'Business Case'!F14*$E950))*'Business Case'!$B$7-'Business Case'!$B$8*(('Business Case'!F11*$C950*'Business Case'!F12*$B950)-('Business Case'!E11*$C950*'Business Case'!E12*$B950))-'Business Case'!F15*$F950</f>
        <v>643647559.161187</v>
      </c>
      <c r="M950" s="39" t="n">
        <f aca="false">(('Business Case'!G11*$C950*'Business Case'!G12*$B950)-'Business Case'!G11*$C950*'Business Case'!G13*$D950-'Business Case'!G14*$E950)-MAX(0,(('Business Case'!G11*$C950*'Business Case'!G12*$B950)-'Business Case'!G11*$C950*'Business Case'!G13*$D950-'Business Case'!G14*$E950))*'Business Case'!$B$7-'Business Case'!$B$8*(('Business Case'!G11*$C950*'Business Case'!G12*$B950)-('Business Case'!F11*$C950*'Business Case'!F12*$B950))-'Business Case'!G15*$F950+'Business Case'!$B$8*('Business Case'!G11*$C950*'Business Case'!G12*$B950)</f>
        <v>815700753.773311</v>
      </c>
      <c r="N950" s="39" t="n">
        <f aca="false">IF(COUNT('Business Case'!B11:G11)=0,"",H950+NPV(G950,I950:M950))</f>
        <v>-565371403.280483</v>
      </c>
      <c r="P950" s="40" t="n">
        <f aca="true">RAND()</f>
        <v>0.678915268046729</v>
      </c>
      <c r="Q950" s="40" t="n">
        <f aca="true">RAND()</f>
        <v>0.309245073749185</v>
      </c>
      <c r="R950" s="40" t="n">
        <f aca="true">RAND()</f>
        <v>0.801436753196706</v>
      </c>
      <c r="S950" s="40" t="n">
        <f aca="true">RAND()</f>
        <v>0.635232225560643</v>
      </c>
      <c r="T950" s="40" t="n">
        <f aca="true">RAND()</f>
        <v>0.399343994183377</v>
      </c>
      <c r="U950" s="40" t="n">
        <f aca="true">RAND()</f>
        <v>0.232172303098003</v>
      </c>
    </row>
    <row r="951" customFormat="false" ht="15" hidden="false" customHeight="false" outlineLevel="0" collapsed="false">
      <c r="A951" s="36" t="n">
        <v>871</v>
      </c>
      <c r="B951" s="37" t="n">
        <f aca="false">1+IF($G$6=$E$6,$F$6,IF(P951&lt;($F$6-$E$6)/($G$6-$E$6),$E$6+SQRT(P951*($G$6-$E$6)*($F$6-$E$6)),$G$6-SQRT((1-P951)*($G$6-$E$6)*($G$6-$F$6))))</f>
        <v>0.956307246863204</v>
      </c>
      <c r="C951" s="37" t="n">
        <f aca="false">1+IF($G$7=$E$7,$F$7,IF(Q951&lt;($F$7-$E$7)/($G$7-$E$7),$E$7+SQRT(Q951*($G$7-$E$7)*($F$7-$E$7)),$G$7-SQRT((1-Q951)*($G$7-$E$7)*($G$7-$F$7))))</f>
        <v>0.908642212380364</v>
      </c>
      <c r="D951" s="37" t="n">
        <f aca="false">1+IF($G$8=$E$8,$F$8,IF(R951&lt;($F$8-$E$8)/($G$8-$E$8),$E$8+SQRT(R951*($G$8-$E$8)*($F$8-$E$8)),$G$8-SQRT((1-R951)*($G$8-$E$8)*($G$8-$F$8))))</f>
        <v>0.990465887247625</v>
      </c>
      <c r="E951" s="37" t="n">
        <f aca="false">1+IF($G$9=$E$9,$F$9,IF(S951&lt;($F$9-$E$9)/($G$9-$E$9),$E$9+SQRT(S951*($G$9-$E$9)*($F$9-$E$9)),$G$9-SQRT((1-S951)*($G$9-$E$9)*($G$9-$F$9))))</f>
        <v>0.997942757247481</v>
      </c>
      <c r="F951" s="37" t="n">
        <f aca="false">1+IF($G$10=$E$10,$F$10,IF(T951&lt;($F$10-$E$10)/($G$10-$E$10),$E$10+SQRT(T951*($G$10-$E$10)*($F$10-$E$10)),$G$10-SQRT((1-T951)*($G$10-$E$10)*($G$10-$F$10))))</f>
        <v>1.00306624116009</v>
      </c>
      <c r="G951" s="38" t="n">
        <f aca="false">IF($G$11=$E$11,$F$11,IF(U951&lt;($F$11-$E$11)/($G$11-$E$11),$E$11+SQRT(U951*($G$11-$E$11)*($F$11-$E$11)),$G$11-SQRT((1-U951)*($G$11-$E$11)*($G$11-$F$11))))</f>
        <v>0.11168886328802</v>
      </c>
      <c r="H951" s="39" t="n">
        <f aca="false">(('Business Case'!B11*$C951*'Business Case'!B12*$B951)-'Business Case'!B11*$C951*'Business Case'!B13*$D951-'Business Case'!B14*$E951)-MAX(0,(('Business Case'!B11*$C951*'Business Case'!B12*$B951)-'Business Case'!B11*$C951*'Business Case'!B13*$D951-'Business Case'!B14*$E951))*'Business Case'!$B$7-'Business Case'!$B$8*('Business Case'!B11*$C951*'Business Case'!B12*$B951)-'Business Case'!B15*$F951</f>
        <v>-2006132482.32018</v>
      </c>
      <c r="I951" s="39" t="n">
        <f aca="false">(('Business Case'!C11*$C951*'Business Case'!C12*$B951)-'Business Case'!C11*$C951*'Business Case'!C13*$D951-'Business Case'!C14*$E951)-MAX(0,(('Business Case'!C11*$C951*'Business Case'!C12*$B951)-'Business Case'!C11*$C951*'Business Case'!C13*$D951-'Business Case'!C14*$E951))*'Business Case'!$B$7-'Business Case'!$B$8*(('Business Case'!C11*$C951*'Business Case'!C12*$B951)-('Business Case'!B11*$C951*'Business Case'!B12*$B951))-'Business Case'!C15*$F951</f>
        <v>-36251949.8120919</v>
      </c>
      <c r="J951" s="39" t="n">
        <f aca="false">(('Business Case'!D11*$C951*'Business Case'!D12*$B951)-'Business Case'!D11*$C951*'Business Case'!D13*$D951-'Business Case'!D14*$E951)-MAX(0,(('Business Case'!D11*$C951*'Business Case'!D12*$B951)-'Business Case'!D11*$C951*'Business Case'!D13*$D951-'Business Case'!D14*$E951))*'Business Case'!$B$7-'Business Case'!$B$8*(('Business Case'!D11*$C951*'Business Case'!D12*$B951)-('Business Case'!C11*$C951*'Business Case'!C12*$B951))-'Business Case'!D15*$F951</f>
        <v>214756092.881485</v>
      </c>
      <c r="K951" s="39" t="n">
        <f aca="false">(('Business Case'!E11*$C951*'Business Case'!E12*$B951)-'Business Case'!E11*$C951*'Business Case'!E13*$D951-'Business Case'!E14*$E951)-MAX(0,(('Business Case'!E11*$C951*'Business Case'!E12*$B951)-'Business Case'!E11*$C951*'Business Case'!E13*$D951-'Business Case'!E14*$E951))*'Business Case'!$B$7-'Business Case'!$B$8*(('Business Case'!E11*$C951*'Business Case'!E12*$B951)-('Business Case'!D11*$C951*'Business Case'!D12*$B951))-'Business Case'!E15*$F951</f>
        <v>515917447.633065</v>
      </c>
      <c r="L951" s="39" t="n">
        <f aca="false">(('Business Case'!F11*$C951*'Business Case'!F12*$B951)-'Business Case'!F11*$C951*'Business Case'!F13*$D951-'Business Case'!F14*$E951)-MAX(0,(('Business Case'!F11*$C951*'Business Case'!F12*$B951)-'Business Case'!F11*$C951*'Business Case'!F13*$D951-'Business Case'!F14*$E951))*'Business Case'!$B$7-'Business Case'!$B$8*(('Business Case'!F11*$C951*'Business Case'!F12*$B951)-('Business Case'!E11*$C951*'Business Case'!E12*$B951))-'Business Case'!F15*$F951</f>
        <v>629617400.736969</v>
      </c>
      <c r="M951" s="39" t="n">
        <f aca="false">(('Business Case'!G11*$C951*'Business Case'!G12*$B951)-'Business Case'!G11*$C951*'Business Case'!G13*$D951-'Business Case'!G14*$E951)-MAX(0,(('Business Case'!G11*$C951*'Business Case'!G12*$B951)-'Business Case'!G11*$C951*'Business Case'!G13*$D951-'Business Case'!G14*$E951))*'Business Case'!$B$7-'Business Case'!$B$8*(('Business Case'!G11*$C951*'Business Case'!G12*$B951)-('Business Case'!F11*$C951*'Business Case'!F12*$B951))-'Business Case'!G15*$F951+'Business Case'!$B$8*('Business Case'!G11*$C951*'Business Case'!G12*$B951)</f>
        <v>794785731.203549</v>
      </c>
      <c r="N951" s="39" t="n">
        <f aca="false">IF(COUNT('Business Case'!B11:G11)=0,"",H951+NPV(G951,I951:M951))</f>
        <v>-609124207.318273</v>
      </c>
      <c r="P951" s="40" t="n">
        <f aca="true">RAND()</f>
        <v>0.211367069954249</v>
      </c>
      <c r="Q951" s="40" t="n">
        <f aca="true">RAND()</f>
        <v>0.322456094718316</v>
      </c>
      <c r="R951" s="40" t="n">
        <f aca="true">RAND()</f>
        <v>0.218331737431669</v>
      </c>
      <c r="S951" s="40" t="n">
        <f aca="true">RAND()</f>
        <v>0.383711347889562</v>
      </c>
      <c r="T951" s="40" t="n">
        <f aca="true">RAND()</f>
        <v>0.186982916602587</v>
      </c>
      <c r="U951" s="40" t="n">
        <f aca="true">RAND()</f>
        <v>0.776468181543458</v>
      </c>
    </row>
    <row r="952" customFormat="false" ht="15" hidden="false" customHeight="false" outlineLevel="0" collapsed="false">
      <c r="A952" s="36" t="n">
        <v>872</v>
      </c>
      <c r="B952" s="37" t="n">
        <f aca="false">1+IF($G$6=$E$6,$F$6,IF(P952&lt;($F$6-$E$6)/($G$6-$E$6),$E$6+SQRT(P952*($G$6-$E$6)*($F$6-$E$6)),$G$6-SQRT((1-P952)*($G$6-$E$6)*($G$6-$F$6))))</f>
        <v>0.968332775327982</v>
      </c>
      <c r="C952" s="37" t="n">
        <f aca="false">1+IF($G$7=$E$7,$F$7,IF(Q952&lt;($F$7-$E$7)/($G$7-$E$7),$E$7+SQRT(Q952*($G$7-$E$7)*($F$7-$E$7)),$G$7-SQRT((1-Q952)*($G$7-$E$7)*($G$7-$F$7))))</f>
        <v>0.987431180148704</v>
      </c>
      <c r="D952" s="37" t="n">
        <f aca="false">1+IF($G$8=$E$8,$F$8,IF(R952&lt;($F$8-$E$8)/($G$8-$E$8),$E$8+SQRT(R952*($G$8-$E$8)*($F$8-$E$8)),$G$8-SQRT((1-R952)*($G$8-$E$8)*($G$8-$F$8))))</f>
        <v>1.06790586342222</v>
      </c>
      <c r="E952" s="37" t="n">
        <f aca="false">1+IF($G$9=$E$9,$F$9,IF(S952&lt;($F$9-$E$9)/($G$9-$E$9),$E$9+SQRT(S952*($G$9-$E$9)*($F$9-$E$9)),$G$9-SQRT((1-S952)*($G$9-$E$9)*($G$9-$F$9))))</f>
        <v>1.07317205831231</v>
      </c>
      <c r="F952" s="37" t="n">
        <f aca="false">1+IF($G$10=$E$10,$F$10,IF(T952&lt;($F$10-$E$10)/($G$10-$E$10),$E$10+SQRT(T952*($G$10-$E$10)*($F$10-$E$10)),$G$10-SQRT((1-T952)*($G$10-$E$10)*($G$10-$F$10))))</f>
        <v>1.18708532911422</v>
      </c>
      <c r="G952" s="38" t="n">
        <f aca="false">IF($G$11=$E$11,$F$11,IF(U952&lt;($F$11-$E$11)/($G$11-$E$11),$E$11+SQRT(U952*($G$11-$E$11)*($F$11-$E$11)),$G$11-SQRT((1-U952)*($G$11-$E$11)*($G$11-$F$11))))</f>
        <v>0.0962174050698301</v>
      </c>
      <c r="H952" s="39" t="n">
        <f aca="false">(('Business Case'!B11*$C952*'Business Case'!B12*$B952)-'Business Case'!B11*$C952*'Business Case'!B13*$D952-'Business Case'!B14*$E952)-MAX(0,(('Business Case'!B11*$C952*'Business Case'!B12*$B952)-'Business Case'!B11*$C952*'Business Case'!B13*$D952-'Business Case'!B14*$E952))*'Business Case'!$B$7-'Business Case'!$B$8*('Business Case'!B11*$C952*'Business Case'!B12*$B952)-'Business Case'!B15*$F952</f>
        <v>-2374170658.22844</v>
      </c>
      <c r="I952" s="39" t="n">
        <f aca="false">(('Business Case'!C11*$C952*'Business Case'!C12*$B952)-'Business Case'!C11*$C952*'Business Case'!C13*$D952-'Business Case'!C14*$E952)-MAX(0,(('Business Case'!C11*$C952*'Business Case'!C12*$B952)-'Business Case'!C11*$C952*'Business Case'!C13*$D952-'Business Case'!C14*$E952))*'Business Case'!$B$7-'Business Case'!$B$8*(('Business Case'!C11*$C952*'Business Case'!C12*$B952)-('Business Case'!B11*$C952*'Business Case'!B12*$B952))-'Business Case'!C15*$F952</f>
        <v>-77526752.4927836</v>
      </c>
      <c r="J952" s="39" t="n">
        <f aca="false">(('Business Case'!D11*$C952*'Business Case'!D12*$B952)-'Business Case'!D11*$C952*'Business Case'!D13*$D952-'Business Case'!D14*$E952)-MAX(0,(('Business Case'!D11*$C952*'Business Case'!D12*$B952)-'Business Case'!D11*$C952*'Business Case'!D13*$D952-'Business Case'!D14*$E952))*'Business Case'!$B$7-'Business Case'!$B$8*(('Business Case'!D11*$C952*'Business Case'!D12*$B952)-('Business Case'!C11*$C952*'Business Case'!C12*$B952))-'Business Case'!D15*$F952</f>
        <v>165827531.408023</v>
      </c>
      <c r="K952" s="39" t="n">
        <f aca="false">(('Business Case'!E11*$C952*'Business Case'!E12*$B952)-'Business Case'!E11*$C952*'Business Case'!E13*$D952-'Business Case'!E14*$E952)-MAX(0,(('Business Case'!E11*$C952*'Business Case'!E12*$B952)-'Business Case'!E11*$C952*'Business Case'!E13*$D952-'Business Case'!E14*$E952))*'Business Case'!$B$7-'Business Case'!$B$8*(('Business Case'!E11*$C952*'Business Case'!E12*$B952)-('Business Case'!D11*$C952*'Business Case'!D12*$B952))-'Business Case'!E15*$F952</f>
        <v>468536081.76454</v>
      </c>
      <c r="L952" s="39" t="n">
        <f aca="false">(('Business Case'!F11*$C952*'Business Case'!F12*$B952)-'Business Case'!F11*$C952*'Business Case'!F13*$D952-'Business Case'!F14*$E952)-MAX(0,(('Business Case'!F11*$C952*'Business Case'!F12*$B952)-'Business Case'!F11*$C952*'Business Case'!F13*$D952-'Business Case'!F14*$E952))*'Business Case'!$B$7-'Business Case'!$B$8*(('Business Case'!F11*$C952*'Business Case'!F12*$B952)-('Business Case'!E11*$C952*'Business Case'!E12*$B952))-'Business Case'!F15*$F952</f>
        <v>582699134.258247</v>
      </c>
      <c r="M952" s="39" t="n">
        <f aca="false">(('Business Case'!G11*$C952*'Business Case'!G12*$B952)-'Business Case'!G11*$C952*'Business Case'!G13*$D952-'Business Case'!G14*$E952)-MAX(0,(('Business Case'!G11*$C952*'Business Case'!G12*$B952)-'Business Case'!G11*$C952*'Business Case'!G13*$D952-'Business Case'!G14*$E952))*'Business Case'!$B$7-'Business Case'!$B$8*(('Business Case'!G11*$C952*'Business Case'!G12*$B952)-('Business Case'!F11*$C952*'Business Case'!F12*$B952))-'Business Case'!G15*$F952+'Business Case'!$B$8*('Business Case'!G11*$C952*'Business Case'!G12*$B952)</f>
        <v>764446402.488824</v>
      </c>
      <c r="N952" s="39" t="n">
        <f aca="false">IF(COUNT('Business Case'!B11:G11)=0,"",H952+NPV(G952,I952:M952))</f>
        <v>-1064802913.61863</v>
      </c>
      <c r="P952" s="40" t="n">
        <f aca="true">RAND()</f>
        <v>0.311291212268295</v>
      </c>
      <c r="Q952" s="40" t="n">
        <f aca="true">RAND()</f>
        <v>0.611975432012419</v>
      </c>
      <c r="R952" s="40" t="n">
        <f aca="true">RAND()</f>
        <v>0.931331093155123</v>
      </c>
      <c r="S952" s="40" t="n">
        <f aca="true">RAND()</f>
        <v>0.842599130027539</v>
      </c>
      <c r="T952" s="40" t="n">
        <f aca="true">RAND()</f>
        <v>0.947223255831121</v>
      </c>
      <c r="U952" s="40" t="n">
        <f aca="true">RAND()</f>
        <v>0.263004227198952</v>
      </c>
    </row>
    <row r="953" customFormat="false" ht="15" hidden="false" customHeight="false" outlineLevel="0" collapsed="false">
      <c r="A953" s="36" t="n">
        <v>873</v>
      </c>
      <c r="B953" s="37" t="n">
        <f aca="false">1+IF($G$6=$E$6,$F$6,IF(P953&lt;($F$6-$E$6)/($G$6-$E$6),$E$6+SQRT(P953*($G$6-$E$6)*($F$6-$E$6)),$G$6-SQRT((1-P953)*($G$6-$E$6)*($G$6-$F$6))))</f>
        <v>0.963717363404137</v>
      </c>
      <c r="C953" s="37" t="n">
        <f aca="false">1+IF($G$7=$E$7,$F$7,IF(Q953&lt;($F$7-$E$7)/($G$7-$E$7),$E$7+SQRT(Q953*($G$7-$E$7)*($F$7-$E$7)),$G$7-SQRT((1-Q953)*($G$7-$E$7)*($G$7-$F$7))))</f>
        <v>0.834907775404755</v>
      </c>
      <c r="D953" s="37" t="n">
        <f aca="false">1+IF($G$8=$E$8,$F$8,IF(R953&lt;($F$8-$E$8)/($G$8-$E$8),$E$8+SQRT(R953*($G$8-$E$8)*($F$8-$E$8)),$G$8-SQRT((1-R953)*($G$8-$E$8)*($G$8-$F$8))))</f>
        <v>1.01093465787718</v>
      </c>
      <c r="E953" s="37" t="n">
        <f aca="false">1+IF($G$9=$E$9,$F$9,IF(S953&lt;($F$9-$E$9)/($G$9-$E$9),$E$9+SQRT(S953*($G$9-$E$9)*($F$9-$E$9)),$G$9-SQRT((1-S953)*($G$9-$E$9)*($G$9-$F$9))))</f>
        <v>1.03445796420666</v>
      </c>
      <c r="F953" s="37" t="n">
        <f aca="false">1+IF($G$10=$E$10,$F$10,IF(T953&lt;($F$10-$E$10)/($G$10-$E$10),$E$10+SQRT(T953*($G$10-$E$10)*($F$10-$E$10)),$G$10-SQRT((1-T953)*($G$10-$E$10)*($G$10-$F$10))))</f>
        <v>0.985765445465104</v>
      </c>
      <c r="G953" s="38" t="n">
        <f aca="false">IF($G$11=$E$11,$F$11,IF(U953&lt;($F$11-$E$11)/($G$11-$E$11),$E$11+SQRT(U953*($G$11-$E$11)*($F$11-$E$11)),$G$11-SQRT((1-U953)*($G$11-$E$11)*($G$11-$F$11))))</f>
        <v>0.115416074750207</v>
      </c>
      <c r="H953" s="39" t="n">
        <f aca="false">(('Business Case'!B11*$C953*'Business Case'!B12*$B953)-'Business Case'!B11*$C953*'Business Case'!B13*$D953-'Business Case'!B14*$E953)-MAX(0,(('Business Case'!B11*$C953*'Business Case'!B12*$B953)-'Business Case'!B11*$C953*'Business Case'!B13*$D953-'Business Case'!B14*$E953))*'Business Case'!$B$7-'Business Case'!$B$8*('Business Case'!B11*$C953*'Business Case'!B12*$B953)-'Business Case'!B15*$F953</f>
        <v>-1971530890.93021</v>
      </c>
      <c r="I953" s="39" t="n">
        <f aca="false">(('Business Case'!C11*$C953*'Business Case'!C12*$B953)-'Business Case'!C11*$C953*'Business Case'!C13*$D953-'Business Case'!C14*$E953)-MAX(0,(('Business Case'!C11*$C953*'Business Case'!C12*$B953)-'Business Case'!C11*$C953*'Business Case'!C13*$D953-'Business Case'!C14*$E953))*'Business Case'!$B$7-'Business Case'!$B$8*(('Business Case'!C11*$C953*'Business Case'!C12*$B953)-('Business Case'!B11*$C953*'Business Case'!B12*$B953))-'Business Case'!C15*$F953</f>
        <v>-60429525.9527204</v>
      </c>
      <c r="J953" s="39" t="n">
        <f aca="false">(('Business Case'!D11*$C953*'Business Case'!D12*$B953)-'Business Case'!D11*$C953*'Business Case'!D13*$D953-'Business Case'!D14*$E953)-MAX(0,(('Business Case'!D11*$C953*'Business Case'!D12*$B953)-'Business Case'!D11*$C953*'Business Case'!D13*$D953-'Business Case'!D14*$E953))*'Business Case'!$B$7-'Business Case'!$B$8*(('Business Case'!D11*$C953*'Business Case'!D12*$B953)-('Business Case'!C11*$C953*'Business Case'!C12*$B953))-'Business Case'!D15*$F953</f>
        <v>166528662.971989</v>
      </c>
      <c r="K953" s="39" t="n">
        <f aca="false">(('Business Case'!E11*$C953*'Business Case'!E12*$B953)-'Business Case'!E11*$C953*'Business Case'!E13*$D953-'Business Case'!E14*$E953)-MAX(0,(('Business Case'!E11*$C953*'Business Case'!E12*$B953)-'Business Case'!E11*$C953*'Business Case'!E13*$D953-'Business Case'!E14*$E953))*'Business Case'!$B$7-'Business Case'!$B$8*(('Business Case'!E11*$C953*'Business Case'!E12*$B953)-('Business Case'!D11*$C953*'Business Case'!D12*$B953))-'Business Case'!E15*$F953</f>
        <v>442775124.169954</v>
      </c>
      <c r="L953" s="39" t="n">
        <f aca="false">(('Business Case'!F11*$C953*'Business Case'!F12*$B953)-'Business Case'!F11*$C953*'Business Case'!F13*$D953-'Business Case'!F14*$E953)-MAX(0,(('Business Case'!F11*$C953*'Business Case'!F12*$B953)-'Business Case'!F11*$C953*'Business Case'!F13*$D953-'Business Case'!F14*$E953))*'Business Case'!$B$7-'Business Case'!$B$8*(('Business Case'!F11*$C953*'Business Case'!F12*$B953)-('Business Case'!E11*$C953*'Business Case'!E12*$B953))-'Business Case'!F15*$F953</f>
        <v>546235352.358678</v>
      </c>
      <c r="M953" s="39" t="n">
        <f aca="false">(('Business Case'!G11*$C953*'Business Case'!G12*$B953)-'Business Case'!G11*$C953*'Business Case'!G13*$D953-'Business Case'!G14*$E953)-MAX(0,(('Business Case'!G11*$C953*'Business Case'!G12*$B953)-'Business Case'!G11*$C953*'Business Case'!G13*$D953-'Business Case'!G14*$E953))*'Business Case'!$B$7-'Business Case'!$B$8*(('Business Case'!G11*$C953*'Business Case'!G12*$B953)-('Business Case'!F11*$C953*'Business Case'!F12*$B953))-'Business Case'!G15*$F953+'Business Case'!$B$8*('Business Case'!G11*$C953*'Business Case'!G12*$B953)</f>
        <v>699176594.368028</v>
      </c>
      <c r="N953" s="39" t="n">
        <f aca="false">IF(COUNT('Business Case'!B11:G11)=0,"",H953+NPV(G953,I953:M953))</f>
        <v>-814963311.613907</v>
      </c>
      <c r="P953" s="40" t="n">
        <f aca="true">RAND()</f>
        <v>0.270660159944994</v>
      </c>
      <c r="Q953" s="40" t="n">
        <f aca="true">RAND()</f>
        <v>0.134815613812294</v>
      </c>
      <c r="R953" s="40" t="n">
        <f aca="true">RAND()</f>
        <v>0.471157655503016</v>
      </c>
      <c r="S953" s="40" t="n">
        <f aca="true">RAND()</f>
        <v>0.644001012392834</v>
      </c>
      <c r="T953" s="40" t="n">
        <f aca="true">RAND()</f>
        <v>0.0852778059544904</v>
      </c>
      <c r="U953" s="40" t="n">
        <f aca="true">RAND()</f>
        <v>0.858206082872305</v>
      </c>
    </row>
    <row r="954" customFormat="false" ht="15" hidden="false" customHeight="false" outlineLevel="0" collapsed="false">
      <c r="A954" s="36" t="n">
        <v>874</v>
      </c>
      <c r="B954" s="37" t="n">
        <f aca="false">1+IF($G$6=$E$6,$F$6,IF(P954&lt;($F$6-$E$6)/($G$6-$E$6),$E$6+SQRT(P954*($G$6-$E$6)*($F$6-$E$6)),$G$6-SQRT((1-P954)*($G$6-$E$6)*($G$6-$F$6))))</f>
        <v>0.985245311887864</v>
      </c>
      <c r="C954" s="37" t="n">
        <f aca="false">1+IF($G$7=$E$7,$F$7,IF(Q954&lt;($F$7-$E$7)/($G$7-$E$7),$E$7+SQRT(Q954*($G$7-$E$7)*($F$7-$E$7)),$G$7-SQRT((1-Q954)*($G$7-$E$7)*($G$7-$F$7))))</f>
        <v>1.02377982712043</v>
      </c>
      <c r="D954" s="37" t="n">
        <f aca="false">1+IF($G$8=$E$8,$F$8,IF(R954&lt;($F$8-$E$8)/($G$8-$E$8),$E$8+SQRT(R954*($G$8-$E$8)*($F$8-$E$8)),$G$8-SQRT((1-R954)*($G$8-$E$8)*($G$8-$F$8))))</f>
        <v>0.973698818920465</v>
      </c>
      <c r="E954" s="37" t="n">
        <f aca="false">1+IF($G$9=$E$9,$F$9,IF(S954&lt;($F$9-$E$9)/($G$9-$E$9),$E$9+SQRT(S954*($G$9-$E$9)*($F$9-$E$9)),$G$9-SQRT((1-S954)*($G$9-$E$9)*($G$9-$F$9))))</f>
        <v>0.920377949096435</v>
      </c>
      <c r="F954" s="37" t="n">
        <f aca="false">1+IF($G$10=$E$10,$F$10,IF(T954&lt;($F$10-$E$10)/($G$10-$E$10),$E$10+SQRT(T954*($G$10-$E$10)*($F$10-$E$10)),$G$10-SQRT((1-T954)*($G$10-$E$10)*($G$10-$F$10))))</f>
        <v>1.03520144985169</v>
      </c>
      <c r="G954" s="38" t="n">
        <f aca="false">IF($G$11=$E$11,$F$11,IF(U954&lt;($F$11-$E$11)/($G$11-$E$11),$E$11+SQRT(U954*($G$11-$E$11)*($F$11-$E$11)),$G$11-SQRT((1-U954)*($G$11-$E$11)*($G$11-$F$11))))</f>
        <v>0.100823529877876</v>
      </c>
      <c r="H954" s="39" t="n">
        <f aca="false">(('Business Case'!B11*$C954*'Business Case'!B12*$B954)-'Business Case'!B11*$C954*'Business Case'!B13*$D954-'Business Case'!B14*$E954)-MAX(0,(('Business Case'!B11*$C954*'Business Case'!B12*$B954)-'Business Case'!B11*$C954*'Business Case'!B13*$D954-'Business Case'!B14*$E954))*'Business Case'!$B$7-'Business Case'!$B$8*('Business Case'!B11*$C954*'Business Case'!B12*$B954)-'Business Case'!B15*$F954</f>
        <v>-2070402899.70337</v>
      </c>
      <c r="I954" s="39" t="n">
        <f aca="false">(('Business Case'!C11*$C954*'Business Case'!C12*$B954)-'Business Case'!C11*$C954*'Business Case'!C13*$D954-'Business Case'!C14*$E954)-MAX(0,(('Business Case'!C11*$C954*'Business Case'!C12*$B954)-'Business Case'!C11*$C954*'Business Case'!C13*$D954-'Business Case'!C14*$E954))*'Business Case'!$B$7-'Business Case'!$B$8*(('Business Case'!C11*$C954*'Business Case'!C12*$B954)-('Business Case'!B11*$C954*'Business Case'!B12*$B954))-'Business Case'!C15*$F954</f>
        <v>29180197.5720313</v>
      </c>
      <c r="J954" s="39" t="n">
        <f aca="false">(('Business Case'!D11*$C954*'Business Case'!D12*$B954)-'Business Case'!D11*$C954*'Business Case'!D13*$D954-'Business Case'!D14*$E954)-MAX(0,(('Business Case'!D11*$C954*'Business Case'!D12*$B954)-'Business Case'!D11*$C954*'Business Case'!D13*$D954-'Business Case'!D14*$E954))*'Business Case'!$B$7-'Business Case'!$B$8*(('Business Case'!D11*$C954*'Business Case'!D12*$B954)-('Business Case'!C11*$C954*'Business Case'!C12*$B954))-'Business Case'!D15*$F954</f>
        <v>345047958.910672</v>
      </c>
      <c r="K954" s="39" t="n">
        <f aca="false">(('Business Case'!E11*$C954*'Business Case'!E12*$B954)-'Business Case'!E11*$C954*'Business Case'!E13*$D954-'Business Case'!E14*$E954)-MAX(0,(('Business Case'!E11*$C954*'Business Case'!E12*$B954)-'Business Case'!E11*$C954*'Business Case'!E13*$D954-'Business Case'!E14*$E954))*'Business Case'!$B$7-'Business Case'!$B$8*(('Business Case'!E11*$C954*'Business Case'!E12*$B954)-('Business Case'!D11*$C954*'Business Case'!D12*$B954))-'Business Case'!E15*$F954</f>
        <v>712675792.741897</v>
      </c>
      <c r="L954" s="39" t="n">
        <f aca="false">(('Business Case'!F11*$C954*'Business Case'!F12*$B954)-'Business Case'!F11*$C954*'Business Case'!F13*$D954-'Business Case'!F14*$E954)-MAX(0,(('Business Case'!F11*$C954*'Business Case'!F12*$B954)-'Business Case'!F11*$C954*'Business Case'!F13*$D954-'Business Case'!F14*$E954))*'Business Case'!$B$7-'Business Case'!$B$8*(('Business Case'!F11*$C954*'Business Case'!F12*$B954)-('Business Case'!E11*$C954*'Business Case'!E12*$B954))-'Business Case'!F15*$F954</f>
        <v>852824829.468063</v>
      </c>
      <c r="M954" s="39" t="n">
        <f aca="false">(('Business Case'!G11*$C954*'Business Case'!G12*$B954)-'Business Case'!G11*$C954*'Business Case'!G13*$D954-'Business Case'!G14*$E954)-MAX(0,(('Business Case'!G11*$C954*'Business Case'!G12*$B954)-'Business Case'!G11*$C954*'Business Case'!G13*$D954-'Business Case'!G14*$E954))*'Business Case'!$B$7-'Business Case'!$B$8*(('Business Case'!G11*$C954*'Business Case'!G12*$B954)-('Business Case'!F11*$C954*'Business Case'!F12*$B954))-'Business Case'!G15*$F954+'Business Case'!$B$8*('Business Case'!G11*$C954*'Business Case'!G12*$B954)</f>
        <v>1044553635.67446</v>
      </c>
      <c r="N954" s="39" t="n">
        <f aca="false">IF(COUNT('Business Case'!B11:G11)=0,"",H954+NPV(G954,I954:M954))</f>
        <v>1997815.39717078</v>
      </c>
      <c r="P954" s="40" t="n">
        <f aca="true">RAND()</f>
        <v>0.484450879923951</v>
      </c>
      <c r="Q954" s="40" t="n">
        <f aca="true">RAND()</f>
        <v>0.763977303085196</v>
      </c>
      <c r="R954" s="40" t="n">
        <f aca="true">RAND()</f>
        <v>0.0748845357633305</v>
      </c>
      <c r="S954" s="40" t="n">
        <f aca="true">RAND()</f>
        <v>0.0166104323750764</v>
      </c>
      <c r="T954" s="40" t="n">
        <f aca="true">RAND()</f>
        <v>0.384821104722425</v>
      </c>
      <c r="U954" s="40" t="n">
        <f aca="true">RAND()</f>
        <v>0.432489060808526</v>
      </c>
    </row>
    <row r="955" customFormat="false" ht="15" hidden="false" customHeight="false" outlineLevel="0" collapsed="false">
      <c r="A955" s="36" t="n">
        <v>875</v>
      </c>
      <c r="B955" s="37" t="n">
        <f aca="false">1+IF($G$6=$E$6,$F$6,IF(P955&lt;($F$6-$E$6)/($G$6-$E$6),$E$6+SQRT(P955*($G$6-$E$6)*($F$6-$E$6)),$G$6-SQRT((1-P955)*($G$6-$E$6)*($G$6-$F$6))))</f>
        <v>0.989960451476651</v>
      </c>
      <c r="C955" s="37" t="n">
        <f aca="false">1+IF($G$7=$E$7,$F$7,IF(Q955&lt;($F$7-$E$7)/($G$7-$E$7),$E$7+SQRT(Q955*($G$7-$E$7)*($F$7-$E$7)),$G$7-SQRT((1-Q955)*($G$7-$E$7)*($G$7-$F$7))))</f>
        <v>0.838728051331199</v>
      </c>
      <c r="D955" s="37" t="n">
        <f aca="false">1+IF($G$8=$E$8,$F$8,IF(R955&lt;($F$8-$E$8)/($G$8-$E$8),$E$8+SQRT(R955*($G$8-$E$8)*($F$8-$E$8)),$G$8-SQRT((1-R955)*($G$8-$E$8)*($G$8-$F$8))))</f>
        <v>0.973898439225163</v>
      </c>
      <c r="E955" s="37" t="n">
        <f aca="false">1+IF($G$9=$E$9,$F$9,IF(S955&lt;($F$9-$E$9)/($G$9-$E$9),$E$9+SQRT(S955*($G$9-$E$9)*($F$9-$E$9)),$G$9-SQRT((1-S955)*($G$9-$E$9)*($G$9-$F$9))))</f>
        <v>0.92065782033555</v>
      </c>
      <c r="F955" s="37" t="n">
        <f aca="false">1+IF($G$10=$E$10,$F$10,IF(T955&lt;($F$10-$E$10)/($G$10-$E$10),$E$10+SQRT(T955*($G$10-$E$10)*($F$10-$E$10)),$G$10-SQRT((1-T955)*($G$10-$E$10)*($G$10-$F$10))))</f>
        <v>1.05364955840699</v>
      </c>
      <c r="G955" s="38" t="n">
        <f aca="false">IF($G$11=$E$11,$F$11,IF(U955&lt;($F$11-$E$11)/($G$11-$E$11),$E$11+SQRT(U955*($G$11-$E$11)*($F$11-$E$11)),$G$11-SQRT((1-U955)*($G$11-$E$11)*($G$11-$F$11))))</f>
        <v>0.107117207277453</v>
      </c>
      <c r="H955" s="39" t="n">
        <f aca="false">(('Business Case'!B11*$C955*'Business Case'!B12*$B955)-'Business Case'!B11*$C955*'Business Case'!B13*$D955-'Business Case'!B14*$E955)-MAX(0,(('Business Case'!B11*$C955*'Business Case'!B12*$B955)-'Business Case'!B11*$C955*'Business Case'!B13*$D955-'Business Case'!B14*$E955))*'Business Case'!$B$7-'Business Case'!$B$8*('Business Case'!B11*$C955*'Business Case'!B12*$B955)-'Business Case'!B15*$F955</f>
        <v>-2107299116.81398</v>
      </c>
      <c r="I955" s="39" t="n">
        <f aca="false">(('Business Case'!C11*$C955*'Business Case'!C12*$B955)-'Business Case'!C11*$C955*'Business Case'!C13*$D955-'Business Case'!C14*$E955)-MAX(0,(('Business Case'!C11*$C955*'Business Case'!C12*$B955)-'Business Case'!C11*$C955*'Business Case'!C13*$D955-'Business Case'!C14*$E955))*'Business Case'!$B$7-'Business Case'!$B$8*(('Business Case'!C11*$C955*'Business Case'!C12*$B955)-('Business Case'!B11*$C955*'Business Case'!B12*$B955))-'Business Case'!C15*$F955</f>
        <v>-17398591.5207106</v>
      </c>
      <c r="J955" s="39" t="n">
        <f aca="false">(('Business Case'!D11*$C955*'Business Case'!D12*$B955)-'Business Case'!D11*$C955*'Business Case'!D13*$D955-'Business Case'!D14*$E955)-MAX(0,(('Business Case'!D11*$C955*'Business Case'!D12*$B955)-'Business Case'!D11*$C955*'Business Case'!D13*$D955-'Business Case'!D14*$E955))*'Business Case'!$B$7-'Business Case'!$B$8*(('Business Case'!D11*$C955*'Business Case'!D12*$B955)-('Business Case'!C11*$C955*'Business Case'!C12*$B955))-'Business Case'!D15*$F955</f>
        <v>244528460.853757</v>
      </c>
      <c r="K955" s="39" t="n">
        <f aca="false">(('Business Case'!E11*$C955*'Business Case'!E12*$B955)-'Business Case'!E11*$C955*'Business Case'!E13*$D955-'Business Case'!E14*$E955)-MAX(0,(('Business Case'!E11*$C955*'Business Case'!E12*$B955)-'Business Case'!E11*$C955*'Business Case'!E13*$D955-'Business Case'!E14*$E955))*'Business Case'!$B$7-'Business Case'!$B$8*(('Business Case'!E11*$C955*'Business Case'!E12*$B955)-('Business Case'!D11*$C955*'Business Case'!D12*$B955))-'Business Case'!E15*$F955</f>
        <v>559137991.148574</v>
      </c>
      <c r="L955" s="39" t="n">
        <f aca="false">(('Business Case'!F11*$C955*'Business Case'!F12*$B955)-'Business Case'!F11*$C955*'Business Case'!F13*$D955-'Business Case'!F14*$E955)-MAX(0,(('Business Case'!F11*$C955*'Business Case'!F12*$B955)-'Business Case'!F11*$C955*'Business Case'!F13*$D955-'Business Case'!F14*$E955))*'Business Case'!$B$7-'Business Case'!$B$8*(('Business Case'!F11*$C955*'Business Case'!F12*$B955)-('Business Case'!E11*$C955*'Business Case'!E12*$B955))-'Business Case'!F15*$F955</f>
        <v>675142439.27524</v>
      </c>
      <c r="M955" s="39" t="n">
        <f aca="false">(('Business Case'!G11*$C955*'Business Case'!G12*$B955)-'Business Case'!G11*$C955*'Business Case'!G13*$D955-'Business Case'!G14*$E955)-MAX(0,(('Business Case'!G11*$C955*'Business Case'!G12*$B955)-'Business Case'!G11*$C955*'Business Case'!G13*$D955-'Business Case'!G14*$E955))*'Business Case'!$B$7-'Business Case'!$B$8*(('Business Case'!G11*$C955*'Business Case'!G12*$B955)-('Business Case'!F11*$C955*'Business Case'!F12*$B955))-'Business Case'!G15*$F955+'Business Case'!$B$8*('Business Case'!G11*$C955*'Business Case'!G12*$B955)</f>
        <v>832967307.952042</v>
      </c>
      <c r="N955" s="39" t="n">
        <f aca="false">IF(COUNT('Business Case'!B11:G11)=0,"",H955+NPV(G955,I955:M955))</f>
        <v>-561293290.761943</v>
      </c>
      <c r="P955" s="40" t="n">
        <f aca="true">RAND()</f>
        <v>0.539525521992196</v>
      </c>
      <c r="Q955" s="40" t="n">
        <f aca="true">RAND()</f>
        <v>0.14255905352705</v>
      </c>
      <c r="R955" s="40" t="n">
        <f aca="true">RAND()</f>
        <v>0.0761513863198428</v>
      </c>
      <c r="S955" s="40" t="n">
        <f aca="true">RAND()</f>
        <v>0.0170698216406338</v>
      </c>
      <c r="T955" s="40" t="n">
        <f aca="true">RAND()</f>
        <v>0.48595338781639</v>
      </c>
      <c r="U955" s="40" t="n">
        <f aca="true">RAND()</f>
        <v>0.650918531477967</v>
      </c>
    </row>
    <row r="956" customFormat="false" ht="15" hidden="false" customHeight="false" outlineLevel="0" collapsed="false">
      <c r="A956" s="36" t="n">
        <v>876</v>
      </c>
      <c r="B956" s="37" t="n">
        <f aca="false">1+IF($G$6=$E$6,$F$6,IF(P956&lt;($F$6-$E$6)/($G$6-$E$6),$E$6+SQRT(P956*($G$6-$E$6)*($F$6-$E$6)),$G$6-SQRT((1-P956)*($G$6-$E$6)*($G$6-$F$6))))</f>
        <v>1.00712954972857</v>
      </c>
      <c r="C956" s="37" t="n">
        <f aca="false">1+IF($G$7=$E$7,$F$7,IF(Q956&lt;($F$7-$E$7)/($G$7-$E$7),$E$7+SQRT(Q956*($G$7-$E$7)*($F$7-$E$7)),$G$7-SQRT((1-Q956)*($G$7-$E$7)*($G$7-$F$7))))</f>
        <v>0.980211636622955</v>
      </c>
      <c r="D956" s="37" t="n">
        <f aca="false">1+IF($G$8=$E$8,$F$8,IF(R956&lt;($F$8-$E$8)/($G$8-$E$8),$E$8+SQRT(R956*($G$8-$E$8)*($F$8-$E$8)),$G$8-SQRT((1-R956)*($G$8-$E$8)*($G$8-$F$8))))</f>
        <v>1.01528128769563</v>
      </c>
      <c r="E956" s="37" t="n">
        <f aca="false">1+IF($G$9=$E$9,$F$9,IF(S956&lt;($F$9-$E$9)/($G$9-$E$9),$E$9+SQRT(S956*($G$9-$E$9)*($F$9-$E$9)),$G$9-SQRT((1-S956)*($G$9-$E$9)*($G$9-$F$9))))</f>
        <v>0.995610420168319</v>
      </c>
      <c r="F956" s="37" t="n">
        <f aca="false">1+IF($G$10=$E$10,$F$10,IF(T956&lt;($F$10-$E$10)/($G$10-$E$10),$E$10+SQRT(T956*($G$10-$E$10)*($F$10-$E$10)),$G$10-SQRT((1-T956)*($G$10-$E$10)*($G$10-$F$10))))</f>
        <v>1.13460298746147</v>
      </c>
      <c r="G956" s="38" t="n">
        <f aca="false">IF($G$11=$E$11,$F$11,IF(U956&lt;($F$11-$E$11)/($G$11-$E$11),$E$11+SQRT(U956*($G$11-$E$11)*($F$11-$E$11)),$G$11-SQRT((1-U956)*($G$11-$E$11)*($G$11-$F$11))))</f>
        <v>0.111168615161966</v>
      </c>
      <c r="H956" s="39" t="n">
        <f aca="false">(('Business Case'!B11*$C956*'Business Case'!B12*$B956)-'Business Case'!B11*$C956*'Business Case'!B13*$D956-'Business Case'!B14*$E956)-MAX(0,(('Business Case'!B11*$C956*'Business Case'!B12*$B956)-'Business Case'!B11*$C956*'Business Case'!B13*$D956-'Business Case'!B14*$E956))*'Business Case'!$B$7-'Business Case'!$B$8*('Business Case'!B11*$C956*'Business Case'!B12*$B956)-'Business Case'!B15*$F956</f>
        <v>-2269205974.92294</v>
      </c>
      <c r="I956" s="39" t="n">
        <f aca="false">(('Business Case'!C11*$C956*'Business Case'!C12*$B956)-'Business Case'!C11*$C956*'Business Case'!C13*$D956-'Business Case'!C14*$E956)-MAX(0,(('Business Case'!C11*$C956*'Business Case'!C12*$B956)-'Business Case'!C11*$C956*'Business Case'!C13*$D956-'Business Case'!C14*$E956))*'Business Case'!$B$7-'Business Case'!$B$8*(('Business Case'!C11*$C956*'Business Case'!C12*$B956)-('Business Case'!B11*$C956*'Business Case'!B12*$B956))-'Business Case'!C15*$F956</f>
        <v>-7082527.59641688</v>
      </c>
      <c r="J956" s="39" t="n">
        <f aca="false">(('Business Case'!D11*$C956*'Business Case'!D12*$B956)-'Business Case'!D11*$C956*'Business Case'!D13*$D956-'Business Case'!D14*$E956)-MAX(0,(('Business Case'!D11*$C956*'Business Case'!D12*$B956)-'Business Case'!D11*$C956*'Business Case'!D13*$D956-'Business Case'!D14*$E956))*'Business Case'!$B$7-'Business Case'!$B$8*(('Business Case'!D11*$C956*'Business Case'!D12*$B956)-('Business Case'!C11*$C956*'Business Case'!C12*$B956))-'Business Case'!D15*$F956</f>
        <v>292047498.704572</v>
      </c>
      <c r="K956" s="39" t="n">
        <f aca="false">(('Business Case'!E11*$C956*'Business Case'!E12*$B956)-'Business Case'!E11*$C956*'Business Case'!E13*$D956-'Business Case'!E14*$E956)-MAX(0,(('Business Case'!E11*$C956*'Business Case'!E12*$B956)-'Business Case'!E11*$C956*'Business Case'!E13*$D956-'Business Case'!E14*$E956))*'Business Case'!$B$7-'Business Case'!$B$8*(('Business Case'!E11*$C956*'Business Case'!E12*$B956)-('Business Case'!D11*$C956*'Business Case'!D12*$B956))-'Business Case'!E15*$F956</f>
        <v>647907674.378633</v>
      </c>
      <c r="L956" s="39" t="n">
        <f aca="false">(('Business Case'!F11*$C956*'Business Case'!F12*$B956)-'Business Case'!F11*$C956*'Business Case'!F13*$D956-'Business Case'!F14*$E956)-MAX(0,(('Business Case'!F11*$C956*'Business Case'!F12*$B956)-'Business Case'!F11*$C956*'Business Case'!F13*$D956-'Business Case'!F14*$E956))*'Business Case'!$B$7-'Business Case'!$B$8*(('Business Case'!F11*$C956*'Business Case'!F12*$B956)-('Business Case'!E11*$C956*'Business Case'!E12*$B956))-'Business Case'!F15*$F956</f>
        <v>781735318.747845</v>
      </c>
      <c r="M956" s="39" t="n">
        <f aca="false">(('Business Case'!G11*$C956*'Business Case'!G12*$B956)-'Business Case'!G11*$C956*'Business Case'!G13*$D956-'Business Case'!G14*$E956)-MAX(0,(('Business Case'!G11*$C956*'Business Case'!G12*$B956)-'Business Case'!G11*$C956*'Business Case'!G13*$D956-'Business Case'!G14*$E956))*'Business Case'!$B$7-'Business Case'!$B$8*(('Business Case'!G11*$C956*'Business Case'!G12*$B956)-('Business Case'!F11*$C956*'Business Case'!F12*$B956))-'Business Case'!G15*$F956+'Business Case'!$B$8*('Business Case'!G11*$C956*'Business Case'!G12*$B956)</f>
        <v>969382314.560031</v>
      </c>
      <c r="N956" s="39" t="n">
        <f aca="false">IF(COUNT('Business Case'!B11:G11)=0,"",H956+NPV(G956,I956:M956))</f>
        <v>-481741717.368759</v>
      </c>
      <c r="P956" s="40" t="n">
        <f aca="true">RAND()</f>
        <v>0.754949932469926</v>
      </c>
      <c r="Q956" s="40" t="n">
        <f aca="true">RAND()</f>
        <v>0.581618972584554</v>
      </c>
      <c r="R956" s="40" t="n">
        <f aca="true">RAND()</f>
        <v>0.521515985699266</v>
      </c>
      <c r="S956" s="40" t="n">
        <f aca="true">RAND()</f>
        <v>0.365654097790502</v>
      </c>
      <c r="T956" s="40" t="n">
        <f aca="true">RAND()</f>
        <v>0.822447059962432</v>
      </c>
      <c r="U956" s="40" t="n">
        <f aca="true">RAND()</f>
        <v>0.763585963387912</v>
      </c>
    </row>
    <row r="957" customFormat="false" ht="15" hidden="false" customHeight="false" outlineLevel="0" collapsed="false">
      <c r="A957" s="36" t="n">
        <v>877</v>
      </c>
      <c r="B957" s="37" t="n">
        <f aca="false">1+IF($G$6=$E$6,$F$6,IF(P957&lt;($F$6-$E$6)/($G$6-$E$6),$E$6+SQRT(P957*($G$6-$E$6)*($F$6-$E$6)),$G$6-SQRT((1-P957)*($G$6-$E$6)*($G$6-$F$6))))</f>
        <v>0.991674479526984</v>
      </c>
      <c r="C957" s="37" t="n">
        <f aca="false">1+IF($G$7=$E$7,$F$7,IF(Q957&lt;($F$7-$E$7)/($G$7-$E$7),$E$7+SQRT(Q957*($G$7-$E$7)*($F$7-$E$7)),$G$7-SQRT((1-Q957)*($G$7-$E$7)*($G$7-$F$7))))</f>
        <v>1.00089223123395</v>
      </c>
      <c r="D957" s="37" t="n">
        <f aca="false">1+IF($G$8=$E$8,$F$8,IF(R957&lt;($F$8-$E$8)/($G$8-$E$8),$E$8+SQRT(R957*($G$8-$E$8)*($F$8-$E$8)),$G$8-SQRT((1-R957)*($G$8-$E$8)*($G$8-$F$8))))</f>
        <v>0.991817136691408</v>
      </c>
      <c r="E957" s="37" t="n">
        <f aca="false">1+IF($G$9=$E$9,$F$9,IF(S957&lt;($F$9-$E$9)/($G$9-$E$9),$E$9+SQRT(S957*($G$9-$E$9)*($F$9-$E$9)),$G$9-SQRT((1-S957)*($G$9-$E$9)*($G$9-$F$9))))</f>
        <v>1.09936141041932</v>
      </c>
      <c r="F957" s="37" t="n">
        <f aca="false">1+IF($G$10=$E$10,$F$10,IF(T957&lt;($F$10-$E$10)/($G$10-$E$10),$E$10+SQRT(T957*($G$10-$E$10)*($F$10-$E$10)),$G$10-SQRT((1-T957)*($G$10-$E$10)*($G$10-$F$10))))</f>
        <v>1.0578019549602</v>
      </c>
      <c r="G957" s="38" t="n">
        <f aca="false">IF($G$11=$E$11,$F$11,IF(U957&lt;($F$11-$E$11)/($G$11-$E$11),$E$11+SQRT(U957*($G$11-$E$11)*($F$11-$E$11)),$G$11-SQRT((1-U957)*($G$11-$E$11)*($G$11-$F$11))))</f>
        <v>0.124150085245199</v>
      </c>
      <c r="H957" s="39" t="n">
        <f aca="false">(('Business Case'!B11*$C957*'Business Case'!B12*$B957)-'Business Case'!B11*$C957*'Business Case'!B13*$D957-'Business Case'!B14*$E957)-MAX(0,(('Business Case'!B11*$C957*'Business Case'!B12*$B957)-'Business Case'!B11*$C957*'Business Case'!B13*$D957-'Business Case'!B14*$E957))*'Business Case'!$B$7-'Business Case'!$B$8*('Business Case'!B11*$C957*'Business Case'!B12*$B957)-'Business Case'!B15*$F957</f>
        <v>-2115603909.9204</v>
      </c>
      <c r="I957" s="39" t="n">
        <f aca="false">(('Business Case'!C11*$C957*'Business Case'!C12*$B957)-'Business Case'!C11*$C957*'Business Case'!C13*$D957-'Business Case'!C14*$E957)-MAX(0,(('Business Case'!C11*$C957*'Business Case'!C12*$B957)-'Business Case'!C11*$C957*'Business Case'!C13*$D957-'Business Case'!C14*$E957))*'Business Case'!$B$7-'Business Case'!$B$8*(('Business Case'!C11*$C957*'Business Case'!C12*$B957)-('Business Case'!B11*$C957*'Business Case'!B12*$B957))-'Business Case'!C15*$F957</f>
        <v>-8770186.74569222</v>
      </c>
      <c r="J957" s="39" t="n">
        <f aca="false">(('Business Case'!D11*$C957*'Business Case'!D12*$B957)-'Business Case'!D11*$C957*'Business Case'!D13*$D957-'Business Case'!D14*$E957)-MAX(0,(('Business Case'!D11*$C957*'Business Case'!D12*$B957)-'Business Case'!D11*$C957*'Business Case'!D13*$D957-'Business Case'!D14*$E957))*'Business Case'!$B$7-'Business Case'!$B$8*(('Business Case'!D11*$C957*'Business Case'!D12*$B957)-('Business Case'!C11*$C957*'Business Case'!C12*$B957))-'Business Case'!D15*$F957</f>
        <v>296023287.769587</v>
      </c>
      <c r="K957" s="39" t="n">
        <f aca="false">(('Business Case'!E11*$C957*'Business Case'!E12*$B957)-'Business Case'!E11*$C957*'Business Case'!E13*$D957-'Business Case'!E14*$E957)-MAX(0,(('Business Case'!E11*$C957*'Business Case'!E12*$B957)-'Business Case'!E11*$C957*'Business Case'!E13*$D957-'Business Case'!E14*$E957))*'Business Case'!$B$7-'Business Case'!$B$8*(('Business Case'!E11*$C957*'Business Case'!E12*$B957)-('Business Case'!D11*$C957*'Business Case'!D12*$B957))-'Business Case'!E15*$F957</f>
        <v>653706860.032877</v>
      </c>
      <c r="L957" s="39" t="n">
        <f aca="false">(('Business Case'!F11*$C957*'Business Case'!F12*$B957)-'Business Case'!F11*$C957*'Business Case'!F13*$D957-'Business Case'!F14*$E957)-MAX(0,(('Business Case'!F11*$C957*'Business Case'!F12*$B957)-'Business Case'!F11*$C957*'Business Case'!F13*$D957-'Business Case'!F14*$E957))*'Business Case'!$B$7-'Business Case'!$B$8*(('Business Case'!F11*$C957*'Business Case'!F12*$B957)-('Business Case'!E11*$C957*'Business Case'!E12*$B957))-'Business Case'!F15*$F957</f>
        <v>789607533.67352</v>
      </c>
      <c r="M957" s="39" t="n">
        <f aca="false">(('Business Case'!G11*$C957*'Business Case'!G12*$B957)-'Business Case'!G11*$C957*'Business Case'!G13*$D957-'Business Case'!G14*$E957)-MAX(0,(('Business Case'!G11*$C957*'Business Case'!G12*$B957)-'Business Case'!G11*$C957*'Business Case'!G13*$D957-'Business Case'!G14*$E957))*'Business Case'!$B$7-'Business Case'!$B$8*(('Business Case'!G11*$C957*'Business Case'!G12*$B957)-('Business Case'!F11*$C957*'Business Case'!F12*$B957))-'Business Case'!G15*$F957+'Business Case'!$B$8*('Business Case'!G11*$C957*'Business Case'!G12*$B957)</f>
        <v>978273202.085708</v>
      </c>
      <c r="N957" s="39" t="n">
        <f aca="false">IF(COUNT('Business Case'!B11:G11)=0,"",H957+NPV(G957,I957:M957))</f>
        <v>-389627422.411178</v>
      </c>
      <c r="P957" s="40" t="n">
        <f aca="true">RAND()</f>
        <v>0.560280679769555</v>
      </c>
      <c r="Q957" s="40" t="n">
        <f aca="true">RAND()</f>
        <v>0.67062034509053</v>
      </c>
      <c r="R957" s="40" t="n">
        <f aca="true">RAND()</f>
        <v>0.233156389475714</v>
      </c>
      <c r="S957" s="40" t="n">
        <f aca="true">RAND()</f>
        <v>0.931619553207451</v>
      </c>
      <c r="T957" s="40" t="n">
        <f aca="true">RAND()</f>
        <v>0.507465486438389</v>
      </c>
      <c r="U957" s="40" t="n">
        <f aca="true">RAND()</f>
        <v>0.977185664907707</v>
      </c>
    </row>
    <row r="958" customFormat="false" ht="15" hidden="false" customHeight="false" outlineLevel="0" collapsed="false">
      <c r="A958" s="36" t="n">
        <v>878</v>
      </c>
      <c r="B958" s="37" t="n">
        <f aca="false">1+IF($G$6=$E$6,$F$6,IF(P958&lt;($F$6-$E$6)/($G$6-$E$6),$E$6+SQRT(P958*($G$6-$E$6)*($F$6-$E$6)),$G$6-SQRT((1-P958)*($G$6-$E$6)*($G$6-$F$6))))</f>
        <v>1.02238277513755</v>
      </c>
      <c r="C958" s="37" t="n">
        <f aca="false">1+IF($G$7=$E$7,$F$7,IF(Q958&lt;($F$7-$E$7)/($G$7-$E$7),$E$7+SQRT(Q958*($G$7-$E$7)*($F$7-$E$7)),$G$7-SQRT((1-Q958)*($G$7-$E$7)*($G$7-$F$7))))</f>
        <v>1.05112744773488</v>
      </c>
      <c r="D958" s="37" t="n">
        <f aca="false">1+IF($G$8=$E$8,$F$8,IF(R958&lt;($F$8-$E$8)/($G$8-$E$8),$E$8+SQRT(R958*($G$8-$E$8)*($F$8-$E$8)),$G$8-SQRT((1-R958)*($G$8-$E$8)*($G$8-$F$8))))</f>
        <v>1.05029425930077</v>
      </c>
      <c r="E958" s="37" t="n">
        <f aca="false">1+IF($G$9=$E$9,$F$9,IF(S958&lt;($F$9-$E$9)/($G$9-$E$9),$E$9+SQRT(S958*($G$9-$E$9)*($F$9-$E$9)),$G$9-SQRT((1-S958)*($G$9-$E$9)*($G$9-$F$9))))</f>
        <v>0.999739067704965</v>
      </c>
      <c r="F958" s="37" t="n">
        <f aca="false">1+IF($G$10=$E$10,$F$10,IF(T958&lt;($F$10-$E$10)/($G$10-$E$10),$E$10+SQRT(T958*($G$10-$E$10)*($F$10-$E$10)),$G$10-SQRT((1-T958)*($G$10-$E$10)*($G$10-$F$10))))</f>
        <v>1.0318228833784</v>
      </c>
      <c r="G958" s="38" t="n">
        <f aca="false">IF($G$11=$E$11,$F$11,IF(U958&lt;($F$11-$E$11)/($G$11-$E$11),$E$11+SQRT(U958*($G$11-$E$11)*($F$11-$E$11)),$G$11-SQRT((1-U958)*($G$11-$E$11)*($G$11-$F$11))))</f>
        <v>0.096118592843721</v>
      </c>
      <c r="H958" s="39" t="n">
        <f aca="false">(('Business Case'!B11*$C958*'Business Case'!B12*$B958)-'Business Case'!B11*$C958*'Business Case'!B13*$D958-'Business Case'!B14*$E958)-MAX(0,(('Business Case'!B11*$C958*'Business Case'!B12*$B958)-'Business Case'!B11*$C958*'Business Case'!B13*$D958-'Business Case'!B14*$E958))*'Business Case'!$B$7-'Business Case'!$B$8*('Business Case'!B11*$C958*'Business Case'!B12*$B958)-'Business Case'!B15*$F958</f>
        <v>-2063645766.75681</v>
      </c>
      <c r="I958" s="39" t="n">
        <f aca="false">(('Business Case'!C11*$C958*'Business Case'!C12*$B958)-'Business Case'!C11*$C958*'Business Case'!C13*$D958-'Business Case'!C14*$E958)-MAX(0,(('Business Case'!C11*$C958*'Business Case'!C12*$B958)-'Business Case'!C11*$C958*'Business Case'!C13*$D958-'Business Case'!C14*$E958))*'Business Case'!$B$7-'Business Case'!$B$8*(('Business Case'!C11*$C958*'Business Case'!C12*$B958)-('Business Case'!B11*$C958*'Business Case'!B12*$B958))-'Business Case'!C15*$F958</f>
        <v>14008051.9149407</v>
      </c>
      <c r="J958" s="39" t="n">
        <f aca="false">(('Business Case'!D11*$C958*'Business Case'!D12*$B958)-'Business Case'!D11*$C958*'Business Case'!D13*$D958-'Business Case'!D14*$E958)-MAX(0,(('Business Case'!D11*$C958*'Business Case'!D12*$B958)-'Business Case'!D11*$C958*'Business Case'!D13*$D958-'Business Case'!D14*$E958))*'Business Case'!$B$7-'Business Case'!$B$8*(('Business Case'!D11*$C958*'Business Case'!D12*$B958)-('Business Case'!C11*$C958*'Business Case'!C12*$B958))-'Business Case'!D15*$F958</f>
        <v>329071381.90584</v>
      </c>
      <c r="K958" s="39" t="n">
        <f aca="false">(('Business Case'!E11*$C958*'Business Case'!E12*$B958)-'Business Case'!E11*$C958*'Business Case'!E13*$D958-'Business Case'!E14*$E958)-MAX(0,(('Business Case'!E11*$C958*'Business Case'!E12*$B958)-'Business Case'!E11*$C958*'Business Case'!E13*$D958-'Business Case'!E14*$E958))*'Business Case'!$B$7-'Business Case'!$B$8*(('Business Case'!E11*$C958*'Business Case'!E12*$B958)-('Business Case'!D11*$C958*'Business Case'!D12*$B958))-'Business Case'!E15*$F958</f>
        <v>695725856.065661</v>
      </c>
      <c r="L958" s="39" t="n">
        <f aca="false">(('Business Case'!F11*$C958*'Business Case'!F12*$B958)-'Business Case'!F11*$C958*'Business Case'!F13*$D958-'Business Case'!F14*$E958)-MAX(0,(('Business Case'!F11*$C958*'Business Case'!F12*$B958)-'Business Case'!F11*$C958*'Business Case'!F13*$D958-'Business Case'!F14*$E958))*'Business Case'!$B$7-'Business Case'!$B$8*(('Business Case'!F11*$C958*'Business Case'!F12*$B958)-('Business Case'!E11*$C958*'Business Case'!E12*$B958))-'Business Case'!F15*$F958</f>
        <v>837887028.936275</v>
      </c>
      <c r="M958" s="39" t="n">
        <f aca="false">(('Business Case'!G11*$C958*'Business Case'!G12*$B958)-'Business Case'!G11*$C958*'Business Case'!G13*$D958-'Business Case'!G14*$E958)-MAX(0,(('Business Case'!G11*$C958*'Business Case'!G12*$B958)-'Business Case'!G11*$C958*'Business Case'!G13*$D958-'Business Case'!G14*$E958))*'Business Case'!$B$7-'Business Case'!$B$8*(('Business Case'!G11*$C958*'Business Case'!G12*$B958)-('Business Case'!F11*$C958*'Business Case'!F12*$B958))-'Business Case'!G15*$F958+'Business Case'!$B$8*('Business Case'!G11*$C958*'Business Case'!G12*$B958)</f>
        <v>1042157374.74134</v>
      </c>
      <c r="N958" s="39" t="n">
        <f aca="false">IF(COUNT('Business Case'!B11:G11)=0,"",H958+NPV(G958,I958:M958))</f>
        <v>-9621726.177562</v>
      </c>
      <c r="P958" s="40" t="n">
        <f aca="true">RAND()</f>
        <v>0.898305185452942</v>
      </c>
      <c r="Q958" s="40" t="n">
        <f aca="true">RAND()</f>
        <v>0.855173606053053</v>
      </c>
      <c r="R958" s="40" t="n">
        <f aca="true">RAND()</f>
        <v>0.835289289436074</v>
      </c>
      <c r="S958" s="40" t="n">
        <f aca="true">RAND()</f>
        <v>0.39791526506622</v>
      </c>
      <c r="T958" s="40" t="n">
        <f aca="true">RAND()</f>
        <v>0.365316610435818</v>
      </c>
      <c r="U958" s="40" t="n">
        <f aca="true">RAND()</f>
        <v>0.259809035261653</v>
      </c>
    </row>
    <row r="959" customFormat="false" ht="15" hidden="false" customHeight="false" outlineLevel="0" collapsed="false">
      <c r="A959" s="36" t="n">
        <v>879</v>
      </c>
      <c r="B959" s="37" t="n">
        <f aca="false">1+IF($G$6=$E$6,$F$6,IF(P959&lt;($F$6-$E$6)/($G$6-$E$6),$E$6+SQRT(P959*($G$6-$E$6)*($F$6-$E$6)),$G$6-SQRT((1-P959)*($G$6-$E$6)*($G$6-$F$6))))</f>
        <v>0.937352932776456</v>
      </c>
      <c r="C959" s="37" t="n">
        <f aca="false">1+IF($G$7=$E$7,$F$7,IF(Q959&lt;($F$7-$E$7)/($G$7-$E$7),$E$7+SQRT(Q959*($G$7-$E$7)*($F$7-$E$7)),$G$7-SQRT((1-Q959)*($G$7-$E$7)*($G$7-$F$7))))</f>
        <v>0.948605058183282</v>
      </c>
      <c r="D959" s="37" t="n">
        <f aca="false">1+IF($G$8=$E$8,$F$8,IF(R959&lt;($F$8-$E$8)/($G$8-$E$8),$E$8+SQRT(R959*($G$8-$E$8)*($F$8-$E$8)),$G$8-SQRT((1-R959)*($G$8-$E$8)*($G$8-$F$8))))</f>
        <v>0.999931683828445</v>
      </c>
      <c r="E959" s="37" t="n">
        <f aca="false">1+IF($G$9=$E$9,$F$9,IF(S959&lt;($F$9-$E$9)/($G$9-$E$9),$E$9+SQRT(S959*($G$9-$E$9)*($F$9-$E$9)),$G$9-SQRT((1-S959)*($G$9-$E$9)*($G$9-$F$9))))</f>
        <v>1.06819637664447</v>
      </c>
      <c r="F959" s="37" t="n">
        <f aca="false">1+IF($G$10=$E$10,$F$10,IF(T959&lt;($F$10-$E$10)/($G$10-$E$10),$E$10+SQRT(T959*($G$10-$E$10)*($F$10-$E$10)),$G$10-SQRT((1-T959)*($G$10-$E$10)*($G$10-$F$10))))</f>
        <v>1.02877039996394</v>
      </c>
      <c r="G959" s="38" t="n">
        <f aca="false">IF($G$11=$E$11,$F$11,IF(U959&lt;($F$11-$E$11)/($G$11-$E$11),$E$11+SQRT(U959*($G$11-$E$11)*($F$11-$E$11)),$G$11-SQRT((1-U959)*($G$11-$E$11)*($G$11-$F$11))))</f>
        <v>0.0966801580887104</v>
      </c>
      <c r="H959" s="39" t="n">
        <f aca="false">(('Business Case'!B11*$C959*'Business Case'!B12*$B959)-'Business Case'!B11*$C959*'Business Case'!B13*$D959-'Business Case'!B14*$E959)-MAX(0,(('Business Case'!B11*$C959*'Business Case'!B12*$B959)-'Business Case'!B11*$C959*'Business Case'!B13*$D959-'Business Case'!B14*$E959))*'Business Case'!$B$7-'Business Case'!$B$8*('Business Case'!B11*$C959*'Business Case'!B12*$B959)-'Business Case'!B15*$F959</f>
        <v>-2057540799.92789</v>
      </c>
      <c r="I959" s="39" t="n">
        <f aca="false">(('Business Case'!C11*$C959*'Business Case'!C12*$B959)-'Business Case'!C11*$C959*'Business Case'!C13*$D959-'Business Case'!C14*$E959)-MAX(0,(('Business Case'!C11*$C959*'Business Case'!C12*$B959)-'Business Case'!C11*$C959*'Business Case'!C13*$D959-'Business Case'!C14*$E959))*'Business Case'!$B$7-'Business Case'!$B$8*(('Business Case'!C11*$C959*'Business Case'!C12*$B959)-('Business Case'!B11*$C959*'Business Case'!B12*$B959))-'Business Case'!C15*$F959</f>
        <v>-58145680.4292588</v>
      </c>
      <c r="J959" s="39" t="n">
        <f aca="false">(('Business Case'!D11*$C959*'Business Case'!D12*$B959)-'Business Case'!D11*$C959*'Business Case'!D13*$D959-'Business Case'!D14*$E959)-MAX(0,(('Business Case'!D11*$C959*'Business Case'!D12*$B959)-'Business Case'!D11*$C959*'Business Case'!D13*$D959-'Business Case'!D14*$E959))*'Business Case'!$B$7-'Business Case'!$B$8*(('Business Case'!D11*$C959*'Business Case'!D12*$B959)-('Business Case'!C11*$C959*'Business Case'!C12*$B959))-'Business Case'!D15*$F959</f>
        <v>184578177.59279</v>
      </c>
      <c r="K959" s="39" t="n">
        <f aca="false">(('Business Case'!E11*$C959*'Business Case'!E12*$B959)-'Business Case'!E11*$C959*'Business Case'!E13*$D959-'Business Case'!E14*$E959)-MAX(0,(('Business Case'!E11*$C959*'Business Case'!E12*$B959)-'Business Case'!E11*$C959*'Business Case'!E13*$D959-'Business Case'!E14*$E959))*'Business Case'!$B$7-'Business Case'!$B$8*(('Business Case'!E11*$C959*'Business Case'!E12*$B959)-('Business Case'!D11*$C959*'Business Case'!D12*$B959))-'Business Case'!E15*$F959</f>
        <v>478740555.613037</v>
      </c>
      <c r="L959" s="39" t="n">
        <f aca="false">(('Business Case'!F11*$C959*'Business Case'!F12*$B959)-'Business Case'!F11*$C959*'Business Case'!F13*$D959-'Business Case'!F14*$E959)-MAX(0,(('Business Case'!F11*$C959*'Business Case'!F12*$B959)-'Business Case'!F11*$C959*'Business Case'!F13*$D959-'Business Case'!F14*$E959))*'Business Case'!$B$7-'Business Case'!$B$8*(('Business Case'!F11*$C959*'Business Case'!F12*$B959)-('Business Case'!E11*$C959*'Business Case'!E12*$B959))-'Business Case'!F15*$F959</f>
        <v>590378490.7511</v>
      </c>
      <c r="M959" s="39" t="n">
        <f aca="false">(('Business Case'!G11*$C959*'Business Case'!G12*$B959)-'Business Case'!G11*$C959*'Business Case'!G13*$D959-'Business Case'!G14*$E959)-MAX(0,(('Business Case'!G11*$C959*'Business Case'!G12*$B959)-'Business Case'!G11*$C959*'Business Case'!G13*$D959-'Business Case'!G14*$E959))*'Business Case'!$B$7-'Business Case'!$B$8*(('Business Case'!G11*$C959*'Business Case'!G12*$B959)-('Business Case'!F11*$C959*'Business Case'!F12*$B959))-'Business Case'!G15*$F959+'Business Case'!$B$8*('Business Case'!G11*$C959*'Business Case'!G12*$B959)</f>
        <v>759393394.303356</v>
      </c>
      <c r="N959" s="39" t="n">
        <f aca="false">IF(COUNT('Business Case'!B11:G11)=0,"",H959+NPV(G959,I959:M959))</f>
        <v>-707285226.785013</v>
      </c>
      <c r="P959" s="40" t="n">
        <f aca="true">RAND()</f>
        <v>0.0930161058001621</v>
      </c>
      <c r="Q959" s="40" t="n">
        <f aca="true">RAND()</f>
        <v>0.457810925587504</v>
      </c>
      <c r="R959" s="40" t="n">
        <f aca="true">RAND()</f>
        <v>0.332423073325839</v>
      </c>
      <c r="S959" s="40" t="n">
        <f aca="true">RAND()</f>
        <v>0.821551125490845</v>
      </c>
      <c r="T959" s="40" t="n">
        <f aca="true">RAND()</f>
        <v>0.347432854238485</v>
      </c>
      <c r="U959" s="40" t="n">
        <f aca="true">RAND()</f>
        <v>0.278227673864372</v>
      </c>
    </row>
    <row r="960" customFormat="false" ht="15" hidden="false" customHeight="false" outlineLevel="0" collapsed="false">
      <c r="A960" s="36" t="n">
        <v>880</v>
      </c>
      <c r="B960" s="37" t="n">
        <f aca="false">1+IF($G$6=$E$6,$F$6,IF(P960&lt;($F$6-$E$6)/($G$6-$E$6),$E$6+SQRT(P960*($G$6-$E$6)*($F$6-$E$6)),$G$6-SQRT((1-P960)*($G$6-$E$6)*($G$6-$F$6))))</f>
        <v>0.972534344930948</v>
      </c>
      <c r="C960" s="37" t="n">
        <f aca="false">1+IF($G$7=$E$7,$F$7,IF(Q960&lt;($F$7-$E$7)/($G$7-$E$7),$E$7+SQRT(Q960*($G$7-$E$7)*($F$7-$E$7)),$G$7-SQRT((1-Q960)*($G$7-$E$7)*($G$7-$F$7))))</f>
        <v>1.03893737539053</v>
      </c>
      <c r="D960" s="37" t="n">
        <f aca="false">1+IF($G$8=$E$8,$F$8,IF(R960&lt;($F$8-$E$8)/($G$8-$E$8),$E$8+SQRT(R960*($G$8-$E$8)*($F$8-$E$8)),$G$8-SQRT((1-R960)*($G$8-$E$8)*($G$8-$F$8))))</f>
        <v>1.02693637087917</v>
      </c>
      <c r="E960" s="37" t="n">
        <f aca="false">1+IF($G$9=$E$9,$F$9,IF(S960&lt;($F$9-$E$9)/($G$9-$E$9),$E$9+SQRT(S960*($G$9-$E$9)*($F$9-$E$9)),$G$9-SQRT((1-S960)*($G$9-$E$9)*($G$9-$F$9))))</f>
        <v>1.10333130852021</v>
      </c>
      <c r="F960" s="37" t="n">
        <f aca="false">1+IF($G$10=$E$10,$F$10,IF(T960&lt;($F$10-$E$10)/($G$10-$E$10),$E$10+SQRT(T960*($G$10-$E$10)*($F$10-$E$10)),$G$10-SQRT((1-T960)*($G$10-$E$10)*($G$10-$F$10))))</f>
        <v>0.977099307890634</v>
      </c>
      <c r="G960" s="38" t="n">
        <f aca="false">IF($G$11=$E$11,$F$11,IF(U960&lt;($F$11-$E$11)/($G$11-$E$11),$E$11+SQRT(U960*($G$11-$E$11)*($F$11-$E$11)),$G$11-SQRT((1-U960)*($G$11-$E$11)*($G$11-$F$11))))</f>
        <v>0.115139470496802</v>
      </c>
      <c r="H960" s="39" t="n">
        <f aca="false">(('Business Case'!B11*$C960*'Business Case'!B12*$B960)-'Business Case'!B11*$C960*'Business Case'!B13*$D960-'Business Case'!B14*$E960)-MAX(0,(('Business Case'!B11*$C960*'Business Case'!B12*$B960)-'Business Case'!B11*$C960*'Business Case'!B13*$D960-'Business Case'!B14*$E960))*'Business Case'!$B$7-'Business Case'!$B$8*('Business Case'!B11*$C960*'Business Case'!B12*$B960)-'Business Case'!B15*$F960</f>
        <v>-1954198615.78127</v>
      </c>
      <c r="I960" s="39" t="n">
        <f aca="false">(('Business Case'!C11*$C960*'Business Case'!C12*$B960)-'Business Case'!C11*$C960*'Business Case'!C13*$D960-'Business Case'!C14*$E960)-MAX(0,(('Business Case'!C11*$C960*'Business Case'!C12*$B960)-'Business Case'!C11*$C960*'Business Case'!C13*$D960-'Business Case'!C14*$E960))*'Business Case'!$B$7-'Business Case'!$B$8*(('Business Case'!C11*$C960*'Business Case'!C12*$B960)-('Business Case'!B11*$C960*'Business Case'!B12*$B960))-'Business Case'!C15*$F960</f>
        <v>-25569686.9805131</v>
      </c>
      <c r="J960" s="39" t="n">
        <f aca="false">(('Business Case'!D11*$C960*'Business Case'!D12*$B960)-'Business Case'!D11*$C960*'Business Case'!D13*$D960-'Business Case'!D14*$E960)-MAX(0,(('Business Case'!D11*$C960*'Business Case'!D12*$B960)-'Business Case'!D11*$C960*'Business Case'!D13*$D960-'Business Case'!D14*$E960))*'Business Case'!$B$7-'Business Case'!$B$8*(('Business Case'!D11*$C960*'Business Case'!D12*$B960)-('Business Case'!C11*$C960*'Business Case'!C12*$B960))-'Business Case'!D15*$F960</f>
        <v>255843523.084428</v>
      </c>
      <c r="K960" s="39" t="n">
        <f aca="false">(('Business Case'!E11*$C960*'Business Case'!E12*$B960)-'Business Case'!E11*$C960*'Business Case'!E13*$D960-'Business Case'!E14*$E960)-MAX(0,(('Business Case'!E11*$C960*'Business Case'!E12*$B960)-'Business Case'!E11*$C960*'Business Case'!E13*$D960-'Business Case'!E14*$E960))*'Business Case'!$B$7-'Business Case'!$B$8*(('Business Case'!E11*$C960*'Business Case'!E12*$B960)-('Business Case'!D11*$C960*'Business Case'!D12*$B960))-'Business Case'!E15*$F960</f>
        <v>586111698.543901</v>
      </c>
      <c r="L960" s="39" t="n">
        <f aca="false">(('Business Case'!F11*$C960*'Business Case'!F12*$B960)-'Business Case'!F11*$C960*'Business Case'!F13*$D960-'Business Case'!F14*$E960)-MAX(0,(('Business Case'!F11*$C960*'Business Case'!F12*$B960)-'Business Case'!F11*$C960*'Business Case'!F13*$D960-'Business Case'!F14*$E960))*'Business Case'!$B$7-'Business Case'!$B$8*(('Business Case'!F11*$C960*'Business Case'!F12*$B960)-('Business Case'!E11*$C960*'Business Case'!E12*$B960))-'Business Case'!F15*$F960</f>
        <v>714835604.68876</v>
      </c>
      <c r="M960" s="39" t="n">
        <f aca="false">(('Business Case'!G11*$C960*'Business Case'!G12*$B960)-'Business Case'!G11*$C960*'Business Case'!G13*$D960-'Business Case'!G14*$E960)-MAX(0,(('Business Case'!G11*$C960*'Business Case'!G12*$B960)-'Business Case'!G11*$C960*'Business Case'!G13*$D960-'Business Case'!G14*$E960))*'Business Case'!$B$7-'Business Case'!$B$8*(('Business Case'!G11*$C960*'Business Case'!G12*$B960)-('Business Case'!F11*$C960*'Business Case'!F12*$B960))-'Business Case'!G15*$F960+'Business Case'!$B$8*('Business Case'!G11*$C960*'Business Case'!G12*$B960)</f>
        <v>906892870.033088</v>
      </c>
      <c r="N960" s="39" t="n">
        <f aca="false">IF(COUNT('Business Case'!B11:G11)=0,"",H960+NPV(G960,I960:M960))</f>
        <v>-360556205.532288</v>
      </c>
      <c r="P960" s="40" t="n">
        <f aca="true">RAND()</f>
        <v>0.350748746304117</v>
      </c>
      <c r="Q960" s="40" t="n">
        <f aca="true">RAND()</f>
        <v>0.817260643183061</v>
      </c>
      <c r="R960" s="40" t="n">
        <f aca="true">RAND()</f>
        <v>0.644113739979624</v>
      </c>
      <c r="S960" s="40" t="n">
        <f aca="true">RAND()</f>
        <v>0.941920886281715</v>
      </c>
      <c r="T960" s="40" t="n">
        <f aca="true">RAND()</f>
        <v>0.0489581658767568</v>
      </c>
      <c r="U960" s="40" t="n">
        <f aca="true">RAND()</f>
        <v>0.852776441923061</v>
      </c>
    </row>
    <row r="961" customFormat="false" ht="15" hidden="false" customHeight="false" outlineLevel="0" collapsed="false">
      <c r="A961" s="36" t="n">
        <v>881</v>
      </c>
      <c r="B961" s="37" t="n">
        <f aca="false">1+IF($G$6=$E$6,$F$6,IF(P961&lt;($F$6-$E$6)/($G$6-$E$6),$E$6+SQRT(P961*($G$6-$E$6)*($F$6-$E$6)),$G$6-SQRT((1-P961)*($G$6-$E$6)*($G$6-$F$6))))</f>
        <v>0.981975198864239</v>
      </c>
      <c r="C961" s="37" t="n">
        <f aca="false">1+IF($G$7=$E$7,$F$7,IF(Q961&lt;($F$7-$E$7)/($G$7-$E$7),$E$7+SQRT(Q961*($G$7-$E$7)*($F$7-$E$7)),$G$7-SQRT((1-Q961)*($G$7-$E$7)*($G$7-$F$7))))</f>
        <v>1.0101227638538</v>
      </c>
      <c r="D961" s="37" t="n">
        <f aca="false">1+IF($G$8=$E$8,$F$8,IF(R961&lt;($F$8-$E$8)/($G$8-$E$8),$E$8+SQRT(R961*($G$8-$E$8)*($F$8-$E$8)),$G$8-SQRT((1-R961)*($G$8-$E$8)*($G$8-$F$8))))</f>
        <v>0.989972989900629</v>
      </c>
      <c r="E961" s="37" t="n">
        <f aca="false">1+IF($G$9=$E$9,$F$9,IF(S961&lt;($F$9-$E$9)/($G$9-$E$9),$E$9+SQRT(S961*($G$9-$E$9)*($F$9-$E$9)),$G$9-SQRT((1-S961)*($G$9-$E$9)*($G$9-$F$9))))</f>
        <v>1.08743051129908</v>
      </c>
      <c r="F961" s="37" t="n">
        <f aca="false">1+IF($G$10=$E$10,$F$10,IF(T961&lt;($F$10-$E$10)/($G$10-$E$10),$E$10+SQRT(T961*($G$10-$E$10)*($F$10-$E$10)),$G$10-SQRT((1-T961)*($G$10-$E$10)*($G$10-$F$10))))</f>
        <v>1.02037676593019</v>
      </c>
      <c r="G961" s="38" t="n">
        <f aca="false">IF($G$11=$E$11,$F$11,IF(U961&lt;($F$11-$E$11)/($G$11-$E$11),$E$11+SQRT(U961*($G$11-$E$11)*($F$11-$E$11)),$G$11-SQRT((1-U961)*($G$11-$E$11)*($G$11-$F$11))))</f>
        <v>0.109460253717898</v>
      </c>
      <c r="H961" s="39" t="n">
        <f aca="false">(('Business Case'!B11*$C961*'Business Case'!B12*$B961)-'Business Case'!B11*$C961*'Business Case'!B13*$D961-'Business Case'!B14*$E961)-MAX(0,(('Business Case'!B11*$C961*'Business Case'!B12*$B961)-'Business Case'!B11*$C961*'Business Case'!B13*$D961-'Business Case'!B14*$E961))*'Business Case'!$B$7-'Business Case'!$B$8*('Business Case'!B11*$C961*'Business Case'!B12*$B961)-'Business Case'!B15*$F961</f>
        <v>-2040753531.86037</v>
      </c>
      <c r="I961" s="39" t="n">
        <f aca="false">(('Business Case'!C11*$C961*'Business Case'!C12*$B961)-'Business Case'!C11*$C961*'Business Case'!C13*$D961-'Business Case'!C14*$E961)-MAX(0,(('Business Case'!C11*$C961*'Business Case'!C12*$B961)-'Business Case'!C11*$C961*'Business Case'!C13*$D961-'Business Case'!C14*$E961))*'Business Case'!$B$7-'Business Case'!$B$8*(('Business Case'!C11*$C961*'Business Case'!C12*$B961)-('Business Case'!B11*$C961*'Business Case'!B12*$B961))-'Business Case'!C15*$F961</f>
        <v>-7558038.77800567</v>
      </c>
      <c r="J961" s="39" t="n">
        <f aca="false">(('Business Case'!D11*$C961*'Business Case'!D12*$B961)-'Business Case'!D11*$C961*'Business Case'!D13*$D961-'Business Case'!D14*$E961)-MAX(0,(('Business Case'!D11*$C961*'Business Case'!D12*$B961)-'Business Case'!D11*$C961*'Business Case'!D13*$D961-'Business Case'!D14*$E961))*'Business Case'!$B$7-'Business Case'!$B$8*(('Business Case'!D11*$C961*'Business Case'!D12*$B961)-('Business Case'!C11*$C961*'Business Case'!C12*$B961))-'Business Case'!D15*$F961</f>
        <v>292975117.362887</v>
      </c>
      <c r="K961" s="39" t="n">
        <f aca="false">(('Business Case'!E11*$C961*'Business Case'!E12*$B961)-'Business Case'!E11*$C961*'Business Case'!E13*$D961-'Business Case'!E14*$E961)-MAX(0,(('Business Case'!E11*$C961*'Business Case'!E12*$B961)-'Business Case'!E11*$C961*'Business Case'!E13*$D961-'Business Case'!E14*$E961))*'Business Case'!$B$7-'Business Case'!$B$8*(('Business Case'!E11*$C961*'Business Case'!E12*$B961)-('Business Case'!D11*$C961*'Business Case'!D12*$B961))-'Business Case'!E15*$F961</f>
        <v>644527111.800289</v>
      </c>
      <c r="L961" s="39" t="n">
        <f aca="false">(('Business Case'!F11*$C961*'Business Case'!F12*$B961)-'Business Case'!F11*$C961*'Business Case'!F13*$D961-'Business Case'!F14*$E961)-MAX(0,(('Business Case'!F11*$C961*'Business Case'!F12*$B961)-'Business Case'!F11*$C961*'Business Case'!F13*$D961-'Business Case'!F14*$E961))*'Business Case'!$B$7-'Business Case'!$B$8*(('Business Case'!F11*$C961*'Business Case'!F12*$B961)-('Business Case'!E11*$C961*'Business Case'!E12*$B961))-'Business Case'!F15*$F961</f>
        <v>778985430.26002</v>
      </c>
      <c r="M961" s="39" t="n">
        <f aca="false">(('Business Case'!G11*$C961*'Business Case'!G12*$B961)-'Business Case'!G11*$C961*'Business Case'!G13*$D961-'Business Case'!G14*$E961)-MAX(0,(('Business Case'!G11*$C961*'Business Case'!G12*$B961)-'Business Case'!G11*$C961*'Business Case'!G13*$D961-'Business Case'!G14*$E961))*'Business Case'!$B$7-'Business Case'!$B$8*(('Business Case'!G11*$C961*'Business Case'!G12*$B961)-('Business Case'!F11*$C961*'Business Case'!F12*$B961))-'Business Case'!G15*$F961+'Business Case'!$B$8*('Business Case'!G11*$C961*'Business Case'!G12*$B961)</f>
        <v>967528728.863573</v>
      </c>
      <c r="N961" s="39" t="n">
        <f aca="false">IF(COUNT('Business Case'!B11:G11)=0,"",H961+NPV(G961,I961:M961))</f>
        <v>-247868102.09294</v>
      </c>
      <c r="P961" s="40" t="n">
        <f aca="true">RAND()</f>
        <v>0.447995548588769</v>
      </c>
      <c r="Q961" s="40" t="n">
        <f aca="true">RAND()</f>
        <v>0.710138649008895</v>
      </c>
      <c r="R961" s="40" t="n">
        <f aca="true">RAND()</f>
        <v>0.213045322879441</v>
      </c>
      <c r="S961" s="40" t="n">
        <f aca="true">RAND()</f>
        <v>0.89560157556547</v>
      </c>
      <c r="T961" s="40" t="n">
        <f aca="true">RAND()</f>
        <v>0.296975605004259</v>
      </c>
      <c r="U961" s="40" t="n">
        <f aca="true">RAND()</f>
        <v>0.718745881777916</v>
      </c>
    </row>
    <row r="962" customFormat="false" ht="15" hidden="false" customHeight="false" outlineLevel="0" collapsed="false">
      <c r="A962" s="36" t="n">
        <v>882</v>
      </c>
      <c r="B962" s="37" t="n">
        <f aca="false">1+IF($G$6=$E$6,$F$6,IF(P962&lt;($F$6-$E$6)/($G$6-$E$6),$E$6+SQRT(P962*($G$6-$E$6)*($F$6-$E$6)),$G$6-SQRT((1-P962)*($G$6-$E$6)*($G$6-$F$6))))</f>
        <v>0.946157732981288</v>
      </c>
      <c r="C962" s="37" t="n">
        <f aca="false">1+IF($G$7=$E$7,$F$7,IF(Q962&lt;($F$7-$E$7)/($G$7-$E$7),$E$7+SQRT(Q962*($G$7-$E$7)*($F$7-$E$7)),$G$7-SQRT((1-Q962)*($G$7-$E$7)*($G$7-$F$7))))</f>
        <v>1.02896332420467</v>
      </c>
      <c r="D962" s="37" t="n">
        <f aca="false">1+IF($G$8=$E$8,$F$8,IF(R962&lt;($F$8-$E$8)/($G$8-$E$8),$E$8+SQRT(R962*($G$8-$E$8)*($F$8-$E$8)),$G$8-SQRT((1-R962)*($G$8-$E$8)*($G$8-$F$8))))</f>
        <v>1.01838052243213</v>
      </c>
      <c r="E962" s="37" t="n">
        <f aca="false">1+IF($G$9=$E$9,$F$9,IF(S962&lt;($F$9-$E$9)/($G$9-$E$9),$E$9+SQRT(S962*($G$9-$E$9)*($F$9-$E$9)),$G$9-SQRT((1-S962)*($G$9-$E$9)*($G$9-$F$9))))</f>
        <v>1.08041367838067</v>
      </c>
      <c r="F962" s="37" t="n">
        <f aca="false">1+IF($G$10=$E$10,$F$10,IF(T962&lt;($F$10-$E$10)/($G$10-$E$10),$E$10+SQRT(T962*($G$10-$E$10)*($F$10-$E$10)),$G$10-SQRT((1-T962)*($G$10-$E$10)*($G$10-$F$10))))</f>
        <v>0.9898540115453</v>
      </c>
      <c r="G962" s="38" t="n">
        <f aca="false">IF($G$11=$E$11,$F$11,IF(U962&lt;($F$11-$E$11)/($G$11-$E$11),$E$11+SQRT(U962*($G$11-$E$11)*($F$11-$E$11)),$G$11-SQRT((1-U962)*($G$11-$E$11)*($G$11-$F$11))))</f>
        <v>0.105714549238671</v>
      </c>
      <c r="H962" s="39" t="n">
        <f aca="false">(('Business Case'!B11*$C962*'Business Case'!B12*$B962)-'Business Case'!B11*$C962*'Business Case'!B13*$D962-'Business Case'!B14*$E962)-MAX(0,(('Business Case'!B11*$C962*'Business Case'!B12*$B962)-'Business Case'!B11*$C962*'Business Case'!B13*$D962-'Business Case'!B14*$E962))*'Business Case'!$B$7-'Business Case'!$B$8*('Business Case'!B11*$C962*'Business Case'!B12*$B962)-'Business Case'!B15*$F962</f>
        <v>-1979708023.0906</v>
      </c>
      <c r="I962" s="39" t="n">
        <f aca="false">(('Business Case'!C11*$C962*'Business Case'!C12*$B962)-'Business Case'!C11*$C962*'Business Case'!C13*$D962-'Business Case'!C14*$E962)-MAX(0,(('Business Case'!C11*$C962*'Business Case'!C12*$B962)-'Business Case'!C11*$C962*'Business Case'!C13*$D962-'Business Case'!C14*$E962))*'Business Case'!$B$7-'Business Case'!$B$8*(('Business Case'!C11*$C962*'Business Case'!C12*$B962)-('Business Case'!B11*$C962*'Business Case'!B12*$B962))-'Business Case'!C15*$F962</f>
        <v>-42101396.2392092</v>
      </c>
      <c r="J962" s="39" t="n">
        <f aca="false">(('Business Case'!D11*$C962*'Business Case'!D12*$B962)-'Business Case'!D11*$C962*'Business Case'!D13*$D962-'Business Case'!D14*$E962)-MAX(0,(('Business Case'!D11*$C962*'Business Case'!D12*$B962)-'Business Case'!D11*$C962*'Business Case'!D13*$D962-'Business Case'!D14*$E962))*'Business Case'!$B$7-'Business Case'!$B$8*(('Business Case'!D11*$C962*'Business Case'!D12*$B962)-('Business Case'!C11*$C962*'Business Case'!C12*$B962))-'Business Case'!D15*$F962</f>
        <v>218886867.404679</v>
      </c>
      <c r="K962" s="39" t="n">
        <f aca="false">(('Business Case'!E11*$C962*'Business Case'!E12*$B962)-'Business Case'!E11*$C962*'Business Case'!E13*$D962-'Business Case'!E14*$E962)-MAX(0,(('Business Case'!E11*$C962*'Business Case'!E12*$B962)-'Business Case'!E11*$C962*'Business Case'!E13*$D962-'Business Case'!E14*$E962))*'Business Case'!$B$7-'Business Case'!$B$8*(('Business Case'!E11*$C962*'Business Case'!E12*$B962)-('Business Case'!D11*$C962*'Business Case'!D12*$B962))-'Business Case'!E15*$F962</f>
        <v>529367831.625831</v>
      </c>
      <c r="L962" s="39" t="n">
        <f aca="false">(('Business Case'!F11*$C962*'Business Case'!F12*$B962)-'Business Case'!F11*$C962*'Business Case'!F13*$D962-'Business Case'!F14*$E962)-MAX(0,(('Business Case'!F11*$C962*'Business Case'!F12*$B962)-'Business Case'!F11*$C962*'Business Case'!F13*$D962-'Business Case'!F14*$E962))*'Business Case'!$B$7-'Business Case'!$B$8*(('Business Case'!F11*$C962*'Business Case'!F12*$B962)-('Business Case'!E11*$C962*'Business Case'!E12*$B962))-'Business Case'!F15*$F962</f>
        <v>650010208.615685</v>
      </c>
      <c r="M962" s="39" t="n">
        <f aca="false">(('Business Case'!G11*$C962*'Business Case'!G12*$B962)-'Business Case'!G11*$C962*'Business Case'!G13*$D962-'Business Case'!G14*$E962)-MAX(0,(('Business Case'!G11*$C962*'Business Case'!G12*$B962)-'Business Case'!G11*$C962*'Business Case'!G13*$D962-'Business Case'!G14*$E962))*'Business Case'!$B$7-'Business Case'!$B$8*(('Business Case'!G11*$C962*'Business Case'!G12*$B962)-('Business Case'!F11*$C962*'Business Case'!F12*$B962))-'Business Case'!G15*$F962+'Business Case'!$B$8*('Business Case'!G11*$C962*'Business Case'!G12*$B962)</f>
        <v>835064798.712749</v>
      </c>
      <c r="N962" s="39" t="n">
        <f aca="false">IF(COUNT('Business Case'!B11:G11)=0,"",H962+NPV(G962,I962:M962))</f>
        <v>-507056645.320345</v>
      </c>
      <c r="P962" s="40" t="n">
        <f aca="true">RAND()</f>
        <v>0.142035754264793</v>
      </c>
      <c r="Q962" s="40" t="n">
        <f aca="true">RAND()</f>
        <v>0.782964786850602</v>
      </c>
      <c r="R962" s="40" t="n">
        <f aca="true">RAND()</f>
        <v>0.555884058769833</v>
      </c>
      <c r="S962" s="40" t="n">
        <f aca="true">RAND()</f>
        <v>0.870873169159771</v>
      </c>
      <c r="T962" s="40" t="n">
        <f aca="true">RAND()</f>
        <v>0.105889482416862</v>
      </c>
      <c r="U962" s="40" t="n">
        <f aca="true">RAND()</f>
        <v>0.606811254212699</v>
      </c>
    </row>
    <row r="963" customFormat="false" ht="15" hidden="false" customHeight="false" outlineLevel="0" collapsed="false">
      <c r="A963" s="36" t="n">
        <v>883</v>
      </c>
      <c r="B963" s="37" t="n">
        <f aca="false">1+IF($G$6=$E$6,$F$6,IF(P963&lt;($F$6-$E$6)/($G$6-$E$6),$E$6+SQRT(P963*($G$6-$E$6)*($F$6-$E$6)),$G$6-SQRT((1-P963)*($G$6-$E$6)*($G$6-$F$6))))</f>
        <v>0.965231720458222</v>
      </c>
      <c r="C963" s="37" t="n">
        <f aca="false">1+IF($G$7=$E$7,$F$7,IF(Q963&lt;($F$7-$E$7)/($G$7-$E$7),$E$7+SQRT(Q963*($G$7-$E$7)*($F$7-$E$7)),$G$7-SQRT((1-Q963)*($G$7-$E$7)*($G$7-$F$7))))</f>
        <v>0.936288837778765</v>
      </c>
      <c r="D963" s="37" t="n">
        <f aca="false">1+IF($G$8=$E$8,$F$8,IF(R963&lt;($F$8-$E$8)/($G$8-$E$8),$E$8+SQRT(R963*($G$8-$E$8)*($F$8-$E$8)),$G$8-SQRT((1-R963)*($G$8-$E$8)*($G$8-$F$8))))</f>
        <v>0.984655976150997</v>
      </c>
      <c r="E963" s="37" t="n">
        <f aca="false">1+IF($G$9=$E$9,$F$9,IF(S963&lt;($F$9-$E$9)/($G$9-$E$9),$E$9+SQRT(S963*($G$9-$E$9)*($F$9-$E$9)),$G$9-SQRT((1-S963)*($G$9-$E$9)*($G$9-$F$9))))</f>
        <v>1.02503893215129</v>
      </c>
      <c r="F963" s="37" t="n">
        <f aca="false">1+IF($G$10=$E$10,$F$10,IF(T963&lt;($F$10-$E$10)/($G$10-$E$10),$E$10+SQRT(T963*($G$10-$E$10)*($F$10-$E$10)),$G$10-SQRT((1-T963)*($G$10-$E$10)*($G$10-$F$10))))</f>
        <v>1.14537126922126</v>
      </c>
      <c r="G963" s="38" t="n">
        <f aca="false">IF($G$11=$E$11,$F$11,IF(U963&lt;($F$11-$E$11)/($G$11-$E$11),$E$11+SQRT(U963*($G$11-$E$11)*($F$11-$E$11)),$G$11-SQRT((1-U963)*($G$11-$E$11)*($G$11-$F$11))))</f>
        <v>0.0984713856155261</v>
      </c>
      <c r="H963" s="39" t="n">
        <f aca="false">(('Business Case'!B11*$C963*'Business Case'!B12*$B963)-'Business Case'!B11*$C963*'Business Case'!B13*$D963-'Business Case'!B14*$E963)-MAX(0,(('Business Case'!B11*$C963*'Business Case'!B12*$B963)-'Business Case'!B11*$C963*'Business Case'!B13*$D963-'Business Case'!B14*$E963))*'Business Case'!$B$7-'Business Case'!$B$8*('Business Case'!B11*$C963*'Business Case'!B12*$B963)-'Business Case'!B15*$F963</f>
        <v>-2290742538.44252</v>
      </c>
      <c r="I963" s="39" t="n">
        <f aca="false">(('Business Case'!C11*$C963*'Business Case'!C12*$B963)-'Business Case'!C11*$C963*'Business Case'!C13*$D963-'Business Case'!C14*$E963)-MAX(0,(('Business Case'!C11*$C963*'Business Case'!C12*$B963)-'Business Case'!C11*$C963*'Business Case'!C13*$D963-'Business Case'!C14*$E963))*'Business Case'!$B$7-'Business Case'!$B$8*(('Business Case'!C11*$C963*'Business Case'!C12*$B963)-('Business Case'!B11*$C963*'Business Case'!B12*$B963))-'Business Case'!C15*$F963</f>
        <v>-38873240.1996558</v>
      </c>
      <c r="J963" s="39" t="n">
        <f aca="false">(('Business Case'!D11*$C963*'Business Case'!D12*$B963)-'Business Case'!D11*$C963*'Business Case'!D13*$D963-'Business Case'!D14*$E963)-MAX(0,(('Business Case'!D11*$C963*'Business Case'!D12*$B963)-'Business Case'!D11*$C963*'Business Case'!D13*$D963-'Business Case'!D14*$E963))*'Business Case'!$B$7-'Business Case'!$B$8*(('Business Case'!D11*$C963*'Business Case'!D12*$B963)-('Business Case'!C11*$C963*'Business Case'!C12*$B963))-'Business Case'!D15*$F963</f>
        <v>229400840.623232</v>
      </c>
      <c r="K963" s="39" t="n">
        <f aca="false">(('Business Case'!E11*$C963*'Business Case'!E12*$B963)-'Business Case'!E11*$C963*'Business Case'!E13*$D963-'Business Case'!E14*$E963)-MAX(0,(('Business Case'!E11*$C963*'Business Case'!E12*$B963)-'Business Case'!E11*$C963*'Business Case'!E13*$D963-'Business Case'!E14*$E963))*'Business Case'!$B$7-'Business Case'!$B$8*(('Business Case'!E11*$C963*'Business Case'!E12*$B963)-('Business Case'!D11*$C963*'Business Case'!D12*$B963))-'Business Case'!E15*$F963</f>
        <v>554943484.907183</v>
      </c>
      <c r="L963" s="39" t="n">
        <f aca="false">(('Business Case'!F11*$C963*'Business Case'!F12*$B963)-'Business Case'!F11*$C963*'Business Case'!F13*$D963-'Business Case'!F14*$E963)-MAX(0,(('Business Case'!F11*$C963*'Business Case'!F12*$B963)-'Business Case'!F11*$C963*'Business Case'!F13*$D963-'Business Case'!F14*$E963))*'Business Case'!$B$7-'Business Case'!$B$8*(('Business Case'!F11*$C963*'Business Case'!F12*$B963)-('Business Case'!E11*$C963*'Business Case'!E12*$B963))-'Business Case'!F15*$F963</f>
        <v>675601283.813815</v>
      </c>
      <c r="M963" s="39" t="n">
        <f aca="false">(('Business Case'!G11*$C963*'Business Case'!G12*$B963)-'Business Case'!G11*$C963*'Business Case'!G13*$D963-'Business Case'!G14*$E963)-MAX(0,(('Business Case'!G11*$C963*'Business Case'!G12*$B963)-'Business Case'!G11*$C963*'Business Case'!G13*$D963-'Business Case'!G14*$E963))*'Business Case'!$B$7-'Business Case'!$B$8*(('Business Case'!G11*$C963*'Business Case'!G12*$B963)-('Business Case'!F11*$C963*'Business Case'!F12*$B963))-'Business Case'!G15*$F963+'Business Case'!$B$8*('Business Case'!G11*$C963*'Business Case'!G12*$B963)</f>
        <v>847383362.958328</v>
      </c>
      <c r="N963" s="39" t="n">
        <f aca="false">IF(COUNT('Business Case'!B11:G11)=0,"",H963+NPV(G963,I963:M963))</f>
        <v>-723486989.899941</v>
      </c>
      <c r="P963" s="40" t="n">
        <f aca="true">RAND()</f>
        <v>0.283678490262644</v>
      </c>
      <c r="Q963" s="40" t="n">
        <f aca="true">RAND()</f>
        <v>0.413573443398812</v>
      </c>
      <c r="R963" s="40" t="n">
        <f aca="true">RAND()</f>
        <v>0.160138224397129</v>
      </c>
      <c r="S963" s="40" t="n">
        <f aca="true">RAND()</f>
        <v>0.583592840589603</v>
      </c>
      <c r="T963" s="40" t="n">
        <f aca="true">RAND()</f>
        <v>0.854037715941735</v>
      </c>
      <c r="U963" s="40" t="n">
        <f aca="true">RAND()</f>
        <v>0.341192086557466</v>
      </c>
    </row>
    <row r="964" customFormat="false" ht="15" hidden="false" customHeight="false" outlineLevel="0" collapsed="false">
      <c r="A964" s="36" t="n">
        <v>884</v>
      </c>
      <c r="B964" s="37" t="n">
        <f aca="false">1+IF($G$6=$E$6,$F$6,IF(P964&lt;($F$6-$E$6)/($G$6-$E$6),$E$6+SQRT(P964*($G$6-$E$6)*($F$6-$E$6)),$G$6-SQRT((1-P964)*($G$6-$E$6)*($G$6-$F$6))))</f>
        <v>0.965031813816148</v>
      </c>
      <c r="C964" s="37" t="n">
        <f aca="false">1+IF($G$7=$E$7,$F$7,IF(Q964&lt;($F$7-$E$7)/($G$7-$E$7),$E$7+SQRT(Q964*($G$7-$E$7)*($F$7-$E$7)),$G$7-SQRT((1-Q964)*($G$7-$E$7)*($G$7-$F$7))))</f>
        <v>0.821568426461214</v>
      </c>
      <c r="D964" s="37" t="n">
        <f aca="false">1+IF($G$8=$E$8,$F$8,IF(R964&lt;($F$8-$E$8)/($G$8-$E$8),$E$8+SQRT(R964*($G$8-$E$8)*($F$8-$E$8)),$G$8-SQRT((1-R964)*($G$8-$E$8)*($G$8-$F$8))))</f>
        <v>1.02980563980279</v>
      </c>
      <c r="E964" s="37" t="n">
        <f aca="false">1+IF($G$9=$E$9,$F$9,IF(S964&lt;($F$9-$E$9)/($G$9-$E$9),$E$9+SQRT(S964*($G$9-$E$9)*($F$9-$E$9)),$G$9-SQRT((1-S964)*($G$9-$E$9)*($G$9-$F$9))))</f>
        <v>1.04527385207777</v>
      </c>
      <c r="F964" s="37" t="n">
        <f aca="false">1+IF($G$10=$E$10,$F$10,IF(T964&lt;($F$10-$E$10)/($G$10-$E$10),$E$10+SQRT(T964*($G$10-$E$10)*($F$10-$E$10)),$G$10-SQRT((1-T964)*($G$10-$E$10)*($G$10-$F$10))))</f>
        <v>1.01778460125976</v>
      </c>
      <c r="G964" s="38" t="n">
        <f aca="false">IF($G$11=$E$11,$F$11,IF(U964&lt;($F$11-$E$11)/($G$11-$E$11),$E$11+SQRT(U964*($G$11-$E$11)*($F$11-$E$11)),$G$11-SQRT((1-U964)*($G$11-$E$11)*($G$11-$F$11))))</f>
        <v>0.122584114888811</v>
      </c>
      <c r="H964" s="39" t="n">
        <f aca="false">(('Business Case'!B11*$C964*'Business Case'!B12*$B964)-'Business Case'!B11*$C964*'Business Case'!B13*$D964-'Business Case'!B14*$E964)-MAX(0,(('Business Case'!B11*$C964*'Business Case'!B12*$B964)-'Business Case'!B11*$C964*'Business Case'!B13*$D964-'Business Case'!B14*$E964))*'Business Case'!$B$7-'Business Case'!$B$8*('Business Case'!B11*$C964*'Business Case'!B12*$B964)-'Business Case'!B15*$F964</f>
        <v>-2035569202.51952</v>
      </c>
      <c r="I964" s="39" t="n">
        <f aca="false">(('Business Case'!C11*$C964*'Business Case'!C12*$B964)-'Business Case'!C11*$C964*'Business Case'!C13*$D964-'Business Case'!C14*$E964)-MAX(0,(('Business Case'!C11*$C964*'Business Case'!C12*$B964)-'Business Case'!C11*$C964*'Business Case'!C13*$D964-'Business Case'!C14*$E964))*'Business Case'!$B$7-'Business Case'!$B$8*(('Business Case'!C11*$C964*'Business Case'!C12*$B964)-('Business Case'!B11*$C964*'Business Case'!B12*$B964))-'Business Case'!C15*$F964</f>
        <v>-75237321.79942</v>
      </c>
      <c r="J964" s="39" t="n">
        <f aca="false">(('Business Case'!D11*$C964*'Business Case'!D12*$B964)-'Business Case'!D11*$C964*'Business Case'!D13*$D964-'Business Case'!D14*$E964)-MAX(0,(('Business Case'!D11*$C964*'Business Case'!D12*$B964)-'Business Case'!D11*$C964*'Business Case'!D13*$D964-'Business Case'!D14*$E964))*'Business Case'!$B$7-'Business Case'!$B$8*(('Business Case'!D11*$C964*'Business Case'!D12*$B964)-('Business Case'!C11*$C964*'Business Case'!C12*$B964))-'Business Case'!D15*$F964</f>
        <v>141042566.721213</v>
      </c>
      <c r="K964" s="39" t="n">
        <f aca="false">(('Business Case'!E11*$C964*'Business Case'!E12*$B964)-'Business Case'!E11*$C964*'Business Case'!E13*$D964-'Business Case'!E14*$E964)-MAX(0,(('Business Case'!E11*$C964*'Business Case'!E12*$B964)-'Business Case'!E11*$C964*'Business Case'!E13*$D964-'Business Case'!E14*$E964))*'Business Case'!$B$7-'Business Case'!$B$8*(('Business Case'!E11*$C964*'Business Case'!E12*$B964)-('Business Case'!D11*$C964*'Business Case'!D12*$B964))-'Business Case'!E15*$F964</f>
        <v>408211685.304834</v>
      </c>
      <c r="L964" s="39" t="n">
        <f aca="false">(('Business Case'!F11*$C964*'Business Case'!F12*$B964)-'Business Case'!F11*$C964*'Business Case'!F13*$D964-'Business Case'!F14*$E964)-MAX(0,(('Business Case'!F11*$C964*'Business Case'!F12*$B964)-'Business Case'!F11*$C964*'Business Case'!F13*$D964-'Business Case'!F14*$E964))*'Business Case'!$B$7-'Business Case'!$B$8*(('Business Case'!F11*$C964*'Business Case'!F12*$B964)-('Business Case'!E11*$C964*'Business Case'!E12*$B964))-'Business Case'!F15*$F964</f>
        <v>507705520.430791</v>
      </c>
      <c r="M964" s="39" t="n">
        <f aca="false">(('Business Case'!G11*$C964*'Business Case'!G12*$B964)-'Business Case'!G11*$C964*'Business Case'!G13*$D964-'Business Case'!G14*$E964)-MAX(0,(('Business Case'!G11*$C964*'Business Case'!G12*$B964)-'Business Case'!G11*$C964*'Business Case'!G13*$D964-'Business Case'!G14*$E964))*'Business Case'!$B$7-'Business Case'!$B$8*(('Business Case'!G11*$C964*'Business Case'!G12*$B964)-('Business Case'!F11*$C964*'Business Case'!F12*$B964))-'Business Case'!G15*$F964+'Business Case'!$B$8*('Business Case'!G11*$C964*'Business Case'!G12*$B964)</f>
        <v>658408484.669062</v>
      </c>
      <c r="N964" s="39" t="n">
        <f aca="false">IF(COUNT('Business Case'!B11:G11)=0,"",H964+NPV(G964,I964:M964))</f>
        <v>-1013100674.8499</v>
      </c>
      <c r="P964" s="40" t="n">
        <f aca="true">RAND()</f>
        <v>0.281942453881212</v>
      </c>
      <c r="Q964" s="40" t="n">
        <f aca="true">RAND()</f>
        <v>0.109473202313005</v>
      </c>
      <c r="R964" s="40" t="n">
        <f aca="true">RAND()</f>
        <v>0.67151678643361</v>
      </c>
      <c r="S964" s="40" t="n">
        <f aca="true">RAND()</f>
        <v>0.70753157176987</v>
      </c>
      <c r="T964" s="40" t="n">
        <f aca="true">RAND()</f>
        <v>0.281013447838805</v>
      </c>
      <c r="U964" s="40" t="n">
        <f aca="true">RAND()</f>
        <v>0.963336432011762</v>
      </c>
    </row>
    <row r="965" customFormat="false" ht="15" hidden="false" customHeight="false" outlineLevel="0" collapsed="false">
      <c r="A965" s="36" t="n">
        <v>885</v>
      </c>
      <c r="B965" s="37" t="n">
        <f aca="false">1+IF($G$6=$E$6,$F$6,IF(P965&lt;($F$6-$E$6)/($G$6-$E$6),$E$6+SQRT(P965*($G$6-$E$6)*($F$6-$E$6)),$G$6-SQRT((1-P965)*($G$6-$E$6)*($G$6-$F$6))))</f>
        <v>0.997070020959027</v>
      </c>
      <c r="C965" s="37" t="n">
        <f aca="false">1+IF($G$7=$E$7,$F$7,IF(Q965&lt;($F$7-$E$7)/($G$7-$E$7),$E$7+SQRT(Q965*($G$7-$E$7)*($F$7-$E$7)),$G$7-SQRT((1-Q965)*($G$7-$E$7)*($G$7-$F$7))))</f>
        <v>0.845095098900101</v>
      </c>
      <c r="D965" s="37" t="n">
        <f aca="false">1+IF($G$8=$E$8,$F$8,IF(R965&lt;($F$8-$E$8)/($G$8-$E$8),$E$8+SQRT(R965*($G$8-$E$8)*($F$8-$E$8)),$G$8-SQRT((1-R965)*($G$8-$E$8)*($G$8-$F$8))))</f>
        <v>1.04082227603557</v>
      </c>
      <c r="E965" s="37" t="n">
        <f aca="false">1+IF($G$9=$E$9,$F$9,IF(S965&lt;($F$9-$E$9)/($G$9-$E$9),$E$9+SQRT(S965*($G$9-$E$9)*($F$9-$E$9)),$G$9-SQRT((1-S965)*($G$9-$E$9)*($G$9-$F$9))))</f>
        <v>1.00161718954892</v>
      </c>
      <c r="F965" s="37" t="n">
        <f aca="false">1+IF($G$10=$E$10,$F$10,IF(T965&lt;($F$10-$E$10)/($G$10-$E$10),$E$10+SQRT(T965*($G$10-$E$10)*($F$10-$E$10)),$G$10-SQRT((1-T965)*($G$10-$E$10)*($G$10-$F$10))))</f>
        <v>1.01593038900836</v>
      </c>
      <c r="G965" s="38" t="n">
        <f aca="false">IF($G$11=$E$11,$F$11,IF(U965&lt;($F$11-$E$11)/($G$11-$E$11),$E$11+SQRT(U965*($G$11-$E$11)*($F$11-$E$11)),$G$11-SQRT((1-U965)*($G$11-$E$11)*($G$11-$F$11))))</f>
        <v>0.0941305126814943</v>
      </c>
      <c r="H965" s="39" t="n">
        <f aca="false">(('Business Case'!B11*$C965*'Business Case'!B12*$B965)-'Business Case'!B11*$C965*'Business Case'!B13*$D965-'Business Case'!B14*$E965)-MAX(0,(('Business Case'!B11*$C965*'Business Case'!B12*$B965)-'Business Case'!B11*$C965*'Business Case'!B13*$D965-'Business Case'!B14*$E965))*'Business Case'!$B$7-'Business Case'!$B$8*('Business Case'!B11*$C965*'Business Case'!B12*$B965)-'Business Case'!B15*$F965</f>
        <v>-2031860778.01672</v>
      </c>
      <c r="I965" s="39" t="n">
        <f aca="false">(('Business Case'!C11*$C965*'Business Case'!C12*$B965)-'Business Case'!C11*$C965*'Business Case'!C13*$D965-'Business Case'!C14*$E965)-MAX(0,(('Business Case'!C11*$C965*'Business Case'!C12*$B965)-'Business Case'!C11*$C965*'Business Case'!C13*$D965-'Business Case'!C14*$E965))*'Business Case'!$B$7-'Business Case'!$B$8*(('Business Case'!C11*$C965*'Business Case'!C12*$B965)-('Business Case'!B11*$C965*'Business Case'!B12*$B965))-'Business Case'!C15*$F965</f>
        <v>-47820412.1735827</v>
      </c>
      <c r="J965" s="39" t="n">
        <f aca="false">(('Business Case'!D11*$C965*'Business Case'!D12*$B965)-'Business Case'!D11*$C965*'Business Case'!D13*$D965-'Business Case'!D14*$E965)-MAX(0,(('Business Case'!D11*$C965*'Business Case'!D12*$B965)-'Business Case'!D11*$C965*'Business Case'!D13*$D965-'Business Case'!D14*$E965))*'Business Case'!$B$7-'Business Case'!$B$8*(('Business Case'!D11*$C965*'Business Case'!D12*$B965)-('Business Case'!C11*$C965*'Business Case'!C12*$B965))-'Business Case'!D15*$F965</f>
        <v>192063547.244032</v>
      </c>
      <c r="K965" s="39" t="n">
        <f aca="false">(('Business Case'!E11*$C965*'Business Case'!E12*$B965)-'Business Case'!E11*$C965*'Business Case'!E13*$D965-'Business Case'!E14*$E965)-MAX(0,(('Business Case'!E11*$C965*'Business Case'!E12*$B965)-'Business Case'!E11*$C965*'Business Case'!E13*$D965-'Business Case'!E14*$E965))*'Business Case'!$B$7-'Business Case'!$B$8*(('Business Case'!E11*$C965*'Business Case'!E12*$B965)-('Business Case'!D11*$C965*'Business Case'!D12*$B965))-'Business Case'!E15*$F965</f>
        <v>482744026.112065</v>
      </c>
      <c r="L965" s="39" t="n">
        <f aca="false">(('Business Case'!F11*$C965*'Business Case'!F12*$B965)-'Business Case'!F11*$C965*'Business Case'!F13*$D965-'Business Case'!F14*$E965)-MAX(0,(('Business Case'!F11*$C965*'Business Case'!F12*$B965)-'Business Case'!F11*$C965*'Business Case'!F13*$D965-'Business Case'!F14*$E965))*'Business Case'!$B$7-'Business Case'!$B$8*(('Business Case'!F11*$C965*'Business Case'!F12*$B965)-('Business Case'!E11*$C965*'Business Case'!E12*$B965))-'Business Case'!F15*$F965</f>
        <v>591826258.142273</v>
      </c>
      <c r="M965" s="39" t="n">
        <f aca="false">(('Business Case'!G11*$C965*'Business Case'!G12*$B965)-'Business Case'!G11*$C965*'Business Case'!G13*$D965-'Business Case'!G14*$E965)-MAX(0,(('Business Case'!G11*$C965*'Business Case'!G12*$B965)-'Business Case'!G11*$C965*'Business Case'!G13*$D965-'Business Case'!G14*$E965))*'Business Case'!$B$7-'Business Case'!$B$8*(('Business Case'!G11*$C965*'Business Case'!G12*$B965)-('Business Case'!F11*$C965*'Business Case'!F12*$B965))-'Business Case'!G15*$F965+'Business Case'!$B$8*('Business Case'!G11*$C965*'Business Case'!G12*$B965)</f>
        <v>751991275.376122</v>
      </c>
      <c r="N965" s="39" t="n">
        <f aca="false">IF(COUNT('Business Case'!B11:G11)=0,"",H965+NPV(G965,I965:M965))</f>
        <v>-654012204.344727</v>
      </c>
      <c r="P965" s="40" t="n">
        <f aca="true">RAND()</f>
        <v>0.628172597932402</v>
      </c>
      <c r="Q965" s="40" t="n">
        <f aca="true">RAND()</f>
        <v>0.155945094257999</v>
      </c>
      <c r="R965" s="40" t="n">
        <f aca="true">RAND()</f>
        <v>0.766533132426018</v>
      </c>
      <c r="S965" s="40" t="n">
        <f aca="true">RAND()</f>
        <v>0.412867775003734</v>
      </c>
      <c r="T965" s="40" t="n">
        <f aca="true">RAND()</f>
        <v>0.269485562802964</v>
      </c>
      <c r="U965" s="40" t="n">
        <f aca="true">RAND()</f>
        <v>0.199671388641872</v>
      </c>
    </row>
    <row r="966" customFormat="false" ht="15" hidden="false" customHeight="false" outlineLevel="0" collapsed="false">
      <c r="A966" s="36" t="n">
        <v>886</v>
      </c>
      <c r="B966" s="37" t="n">
        <f aca="false">1+IF($G$6=$E$6,$F$6,IF(P966&lt;($F$6-$E$6)/($G$6-$E$6),$E$6+SQRT(P966*($G$6-$E$6)*($F$6-$E$6)),$G$6-SQRT((1-P966)*($G$6-$E$6)*($G$6-$F$6))))</f>
        <v>0.974375148440119</v>
      </c>
      <c r="C966" s="37" t="n">
        <f aca="false">1+IF($G$7=$E$7,$F$7,IF(Q966&lt;($F$7-$E$7)/($G$7-$E$7),$E$7+SQRT(Q966*($G$7-$E$7)*($F$7-$E$7)),$G$7-SQRT((1-Q966)*($G$7-$E$7)*($G$7-$F$7))))</f>
        <v>1.05407790555485</v>
      </c>
      <c r="D966" s="37" t="n">
        <f aca="false">1+IF($G$8=$E$8,$F$8,IF(R966&lt;($F$8-$E$8)/($G$8-$E$8),$E$8+SQRT(R966*($G$8-$E$8)*($F$8-$E$8)),$G$8-SQRT((1-R966)*($G$8-$E$8)*($G$8-$F$8))))</f>
        <v>1.01291086813949</v>
      </c>
      <c r="E966" s="37" t="n">
        <f aca="false">1+IF($G$9=$E$9,$F$9,IF(S966&lt;($F$9-$E$9)/($G$9-$E$9),$E$9+SQRT(S966*($G$9-$E$9)*($F$9-$E$9)),$G$9-SQRT((1-S966)*($G$9-$E$9)*($G$9-$F$9))))</f>
        <v>0.998226635931475</v>
      </c>
      <c r="F966" s="37" t="n">
        <f aca="false">1+IF($G$10=$E$10,$F$10,IF(T966&lt;($F$10-$E$10)/($G$10-$E$10),$E$10+SQRT(T966*($G$10-$E$10)*($F$10-$E$10)),$G$10-SQRT((1-T966)*($G$10-$E$10)*($G$10-$F$10))))</f>
        <v>1.03982796719118</v>
      </c>
      <c r="G966" s="38" t="n">
        <f aca="false">IF($G$11=$E$11,$F$11,IF(U966&lt;($F$11-$E$11)/($G$11-$E$11),$E$11+SQRT(U966*($G$11-$E$11)*($F$11-$E$11)),$G$11-SQRT((1-U966)*($G$11-$E$11)*($G$11-$F$11))))</f>
        <v>0.109995060714679</v>
      </c>
      <c r="H966" s="39" t="n">
        <f aca="false">(('Business Case'!B11*$C966*'Business Case'!B12*$B966)-'Business Case'!B11*$C966*'Business Case'!B13*$D966-'Business Case'!B14*$E966)-MAX(0,(('Business Case'!B11*$C966*'Business Case'!B12*$B966)-'Business Case'!B11*$C966*'Business Case'!B13*$D966-'Business Case'!B14*$E966))*'Business Case'!$B$7-'Business Case'!$B$8*('Business Case'!B11*$C966*'Business Case'!B12*$B966)-'Business Case'!B15*$F966</f>
        <v>-2079655934.38236</v>
      </c>
      <c r="I966" s="39" t="n">
        <f aca="false">(('Business Case'!C11*$C966*'Business Case'!C12*$B966)-'Business Case'!C11*$C966*'Business Case'!C13*$D966-'Business Case'!C14*$E966)-MAX(0,(('Business Case'!C11*$C966*'Business Case'!C12*$B966)-'Business Case'!C11*$C966*'Business Case'!C13*$D966-'Business Case'!C14*$E966))*'Business Case'!$B$7-'Business Case'!$B$8*(('Business Case'!C11*$C966*'Business Case'!C12*$B966)-('Business Case'!B11*$C966*'Business Case'!B12*$B966))-'Business Case'!C15*$F966</f>
        <v>-4502025.4358438</v>
      </c>
      <c r="J966" s="39" t="n">
        <f aca="false">(('Business Case'!D11*$C966*'Business Case'!D12*$B966)-'Business Case'!D11*$C966*'Business Case'!D13*$D966-'Business Case'!D14*$E966)-MAX(0,(('Business Case'!D11*$C966*'Business Case'!D12*$B966)-'Business Case'!D11*$C966*'Business Case'!D13*$D966-'Business Case'!D14*$E966))*'Business Case'!$B$7-'Business Case'!$B$8*(('Business Case'!D11*$C966*'Business Case'!D12*$B966)-('Business Case'!C11*$C966*'Business Case'!C12*$B966))-'Business Case'!D15*$F966</f>
        <v>290169743.122383</v>
      </c>
      <c r="K966" s="39" t="n">
        <f aca="false">(('Business Case'!E11*$C966*'Business Case'!E12*$B966)-'Business Case'!E11*$C966*'Business Case'!E13*$D966-'Business Case'!E14*$E966)-MAX(0,(('Business Case'!E11*$C966*'Business Case'!E12*$B966)-'Business Case'!E11*$C966*'Business Case'!E13*$D966-'Business Case'!E14*$E966))*'Business Case'!$B$7-'Business Case'!$B$8*(('Business Case'!E11*$C966*'Business Case'!E12*$B966)-('Business Case'!D11*$C966*'Business Case'!D12*$B966))-'Business Case'!E15*$F966</f>
        <v>636832910.040169</v>
      </c>
      <c r="L966" s="39" t="n">
        <f aca="false">(('Business Case'!F11*$C966*'Business Case'!F12*$B966)-'Business Case'!F11*$C966*'Business Case'!F13*$D966-'Business Case'!F14*$E966)-MAX(0,(('Business Case'!F11*$C966*'Business Case'!F12*$B966)-'Business Case'!F11*$C966*'Business Case'!F13*$D966-'Business Case'!F14*$E966))*'Business Case'!$B$7-'Business Case'!$B$8*(('Business Case'!F11*$C966*'Business Case'!F12*$B966)-('Business Case'!E11*$C966*'Business Case'!E12*$B966))-'Business Case'!F15*$F966</f>
        <v>770552279.323243</v>
      </c>
      <c r="M966" s="39" t="n">
        <f aca="false">(('Business Case'!G11*$C966*'Business Case'!G12*$B966)-'Business Case'!G11*$C966*'Business Case'!G13*$D966-'Business Case'!G14*$E966)-MAX(0,(('Business Case'!G11*$C966*'Business Case'!G12*$B966)-'Business Case'!G11*$C966*'Business Case'!G13*$D966-'Business Case'!G14*$E966))*'Business Case'!$B$7-'Business Case'!$B$8*(('Business Case'!G11*$C966*'Business Case'!G12*$B966)-('Business Case'!F11*$C966*'Business Case'!F12*$B966))-'Business Case'!G15*$F966+'Business Case'!$B$8*('Business Case'!G11*$C966*'Business Case'!G12*$B966)</f>
        <v>965777234.690066</v>
      </c>
      <c r="N966" s="39" t="n">
        <f aca="false">IF(COUNT('Business Case'!B11:G11)=0,"",H966+NPV(G966,I966:M966))</f>
        <v>-301798288.074083</v>
      </c>
      <c r="P966" s="40" t="n">
        <f aca="true">RAND()</f>
        <v>0.36877751369932</v>
      </c>
      <c r="Q966" s="40" t="n">
        <f aca="true">RAND()</f>
        <v>0.863688174774168</v>
      </c>
      <c r="R966" s="40" t="n">
        <f aca="true">RAND()</f>
        <v>0.494365540785568</v>
      </c>
      <c r="S966" s="40" t="n">
        <f aca="true">RAND()</f>
        <v>0.38593888025658</v>
      </c>
      <c r="T966" s="40" t="n">
        <f aca="true">RAND()</f>
        <v>0.411036221666765</v>
      </c>
      <c r="U966" s="40" t="n">
        <f aca="true">RAND()</f>
        <v>0.733201602793734</v>
      </c>
    </row>
    <row r="967" customFormat="false" ht="15" hidden="false" customHeight="false" outlineLevel="0" collapsed="false">
      <c r="A967" s="36" t="n">
        <v>887</v>
      </c>
      <c r="B967" s="37" t="n">
        <f aca="false">1+IF($G$6=$E$6,$F$6,IF(P967&lt;($F$6-$E$6)/($G$6-$E$6),$E$6+SQRT(P967*($G$6-$E$6)*($F$6-$E$6)),$G$6-SQRT((1-P967)*($G$6-$E$6)*($G$6-$F$6))))</f>
        <v>0.915289181939401</v>
      </c>
      <c r="C967" s="37" t="n">
        <f aca="false">1+IF($G$7=$E$7,$F$7,IF(Q967&lt;($F$7-$E$7)/($G$7-$E$7),$E$7+SQRT(Q967*($G$7-$E$7)*($F$7-$E$7)),$G$7-SQRT((1-Q967)*($G$7-$E$7)*($G$7-$F$7))))</f>
        <v>0.867035791200566</v>
      </c>
      <c r="D967" s="37" t="n">
        <f aca="false">1+IF($G$8=$E$8,$F$8,IF(R967&lt;($F$8-$E$8)/($G$8-$E$8),$E$8+SQRT(R967*($G$8-$E$8)*($F$8-$E$8)),$G$8-SQRT((1-R967)*($G$8-$E$8)*($G$8-$F$8))))</f>
        <v>1.05722474184871</v>
      </c>
      <c r="E967" s="37" t="n">
        <f aca="false">1+IF($G$9=$E$9,$F$9,IF(S967&lt;($F$9-$E$9)/($G$9-$E$9),$E$9+SQRT(S967*($G$9-$E$9)*($F$9-$E$9)),$G$9-SQRT((1-S967)*($G$9-$E$9)*($G$9-$F$9))))</f>
        <v>1.07625786986178</v>
      </c>
      <c r="F967" s="37" t="n">
        <f aca="false">1+IF($G$10=$E$10,$F$10,IF(T967&lt;($F$10-$E$10)/($G$10-$E$10),$E$10+SQRT(T967*($G$10-$E$10)*($F$10-$E$10)),$G$10-SQRT((1-T967)*($G$10-$E$10)*($G$10-$F$10))))</f>
        <v>1.00324247205065</v>
      </c>
      <c r="G967" s="38" t="n">
        <f aca="false">IF($G$11=$E$11,$F$11,IF(U967&lt;($F$11-$E$11)/($G$11-$E$11),$E$11+SQRT(U967*($G$11-$E$11)*($F$11-$E$11)),$G$11-SQRT((1-U967)*($G$11-$E$11)*($G$11-$F$11))))</f>
        <v>0.0849625510379341</v>
      </c>
      <c r="H967" s="39" t="n">
        <f aca="false">(('Business Case'!B11*$C967*'Business Case'!B12*$B967)-'Business Case'!B11*$C967*'Business Case'!B13*$D967-'Business Case'!B14*$E967)-MAX(0,(('Business Case'!B11*$C967*'Business Case'!B12*$B967)-'Business Case'!B11*$C967*'Business Case'!B13*$D967-'Business Case'!B14*$E967))*'Business Case'!$B$7-'Business Case'!$B$8*('Business Case'!B11*$C967*'Business Case'!B12*$B967)-'Business Case'!B15*$F967</f>
        <v>-2006484944.10131</v>
      </c>
      <c r="I967" s="39" t="n">
        <f aca="false">(('Business Case'!C11*$C967*'Business Case'!C12*$B967)-'Business Case'!C11*$C967*'Business Case'!C13*$D967-'Business Case'!C14*$E967)-MAX(0,(('Business Case'!C11*$C967*'Business Case'!C12*$B967)-'Business Case'!C11*$C967*'Business Case'!C13*$D967-'Business Case'!C14*$E967))*'Business Case'!$B$7-'Business Case'!$B$8*(('Business Case'!C11*$C967*'Business Case'!C12*$B967)-('Business Case'!B11*$C967*'Business Case'!B12*$B967))-'Business Case'!C15*$F967</f>
        <v>-113753972.995119</v>
      </c>
      <c r="J967" s="39" t="n">
        <f aca="false">(('Business Case'!D11*$C967*'Business Case'!D12*$B967)-'Business Case'!D11*$C967*'Business Case'!D13*$D967-'Business Case'!D14*$E967)-MAX(0,(('Business Case'!D11*$C967*'Business Case'!D12*$B967)-'Business Case'!D11*$C967*'Business Case'!D13*$D967-'Business Case'!D14*$E967))*'Business Case'!$B$7-'Business Case'!$B$8*(('Business Case'!D11*$C967*'Business Case'!D12*$B967)-('Business Case'!C11*$C967*'Business Case'!C12*$B967))-'Business Case'!D15*$F967</f>
        <v>66999797.1144527</v>
      </c>
      <c r="K967" s="39" t="n">
        <f aca="false">(('Business Case'!E11*$C967*'Business Case'!E12*$B967)-'Business Case'!E11*$C967*'Business Case'!E13*$D967-'Business Case'!E14*$E967)-MAX(0,(('Business Case'!E11*$C967*'Business Case'!E12*$B967)-'Business Case'!E11*$C967*'Business Case'!E13*$D967-'Business Case'!E14*$E967))*'Business Case'!$B$7-'Business Case'!$B$8*(('Business Case'!E11*$C967*'Business Case'!E12*$B967)-('Business Case'!D11*$C967*'Business Case'!D12*$B967))-'Business Case'!E15*$F967</f>
        <v>297915690.826557</v>
      </c>
      <c r="L967" s="39" t="n">
        <f aca="false">(('Business Case'!F11*$C967*'Business Case'!F12*$B967)-'Business Case'!F11*$C967*'Business Case'!F13*$D967-'Business Case'!F14*$E967)-MAX(0,(('Business Case'!F11*$C967*'Business Case'!F12*$B967)-'Business Case'!F11*$C967*'Business Case'!F13*$D967-'Business Case'!F14*$E967))*'Business Case'!$B$7-'Business Case'!$B$8*(('Business Case'!F11*$C967*'Business Case'!F12*$B967)-('Business Case'!E11*$C967*'Business Case'!E12*$B967))-'Business Case'!F15*$F967</f>
        <v>385593365.399936</v>
      </c>
      <c r="M967" s="39" t="n">
        <f aca="false">(('Business Case'!G11*$C967*'Business Case'!G12*$B967)-'Business Case'!G11*$C967*'Business Case'!G13*$D967-'Business Case'!G14*$E967)-MAX(0,(('Business Case'!G11*$C967*'Business Case'!G12*$B967)-'Business Case'!G11*$C967*'Business Case'!G13*$D967-'Business Case'!G14*$E967))*'Business Case'!$B$7-'Business Case'!$B$8*(('Business Case'!G11*$C967*'Business Case'!G12*$B967)-('Business Case'!F11*$C967*'Business Case'!F12*$B967))-'Business Case'!G15*$F967+'Business Case'!$B$8*('Business Case'!G11*$C967*'Business Case'!G12*$B967)</f>
        <v>536438663.685967</v>
      </c>
      <c r="N967" s="39" t="n">
        <f aca="false">IF(COUNT('Business Case'!B11:G11)=0,"",H967+NPV(G967,I967:M967))</f>
        <v>-1186058588.5873</v>
      </c>
      <c r="P967" s="40" t="n">
        <f aca="true">RAND()</f>
        <v>0.0155839389584076</v>
      </c>
      <c r="Q967" s="40" t="n">
        <f aca="true">RAND()</f>
        <v>0.20667374475555</v>
      </c>
      <c r="R967" s="40" t="n">
        <f aca="true">RAND()</f>
        <v>0.87801848600605</v>
      </c>
      <c r="S967" s="40" t="n">
        <f aca="true">RAND()</f>
        <v>0.854989286471401</v>
      </c>
      <c r="T967" s="40" t="n">
        <f aca="true">RAND()</f>
        <v>0.188142965337696</v>
      </c>
      <c r="U967" s="40" t="n">
        <f aca="true">RAND()</f>
        <v>0.0246269128041005</v>
      </c>
    </row>
    <row r="968" customFormat="false" ht="15" hidden="false" customHeight="false" outlineLevel="0" collapsed="false">
      <c r="A968" s="36" t="n">
        <v>888</v>
      </c>
      <c r="B968" s="37" t="n">
        <f aca="false">1+IF($G$6=$E$6,$F$6,IF(P968&lt;($F$6-$E$6)/($G$6-$E$6),$E$6+SQRT(P968*($G$6-$E$6)*($F$6-$E$6)),$G$6-SQRT((1-P968)*($G$6-$E$6)*($G$6-$F$6))))</f>
        <v>0.97969056956671</v>
      </c>
      <c r="C968" s="37" t="n">
        <f aca="false">1+IF($G$7=$E$7,$F$7,IF(Q968&lt;($F$7-$E$7)/($G$7-$E$7),$E$7+SQRT(Q968*($G$7-$E$7)*($F$7-$E$7)),$G$7-SQRT((1-Q968)*($G$7-$E$7)*($G$7-$F$7))))</f>
        <v>1.07529950047943</v>
      </c>
      <c r="D968" s="37" t="n">
        <f aca="false">1+IF($G$8=$E$8,$F$8,IF(R968&lt;($F$8-$E$8)/($G$8-$E$8),$E$8+SQRT(R968*($G$8-$E$8)*($F$8-$E$8)),$G$8-SQRT((1-R968)*($G$8-$E$8)*($G$8-$F$8))))</f>
        <v>0.984025889005284</v>
      </c>
      <c r="E968" s="37" t="n">
        <f aca="false">1+IF($G$9=$E$9,$F$9,IF(S968&lt;($F$9-$E$9)/($G$9-$E$9),$E$9+SQRT(S968*($G$9-$E$9)*($F$9-$E$9)),$G$9-SQRT((1-S968)*($G$9-$E$9)*($G$9-$F$9))))</f>
        <v>0.94320086617115</v>
      </c>
      <c r="F968" s="37" t="n">
        <f aca="false">1+IF($G$10=$E$10,$F$10,IF(T968&lt;($F$10-$E$10)/($G$10-$E$10),$E$10+SQRT(T968*($G$10-$E$10)*($F$10-$E$10)),$G$10-SQRT((1-T968)*($G$10-$E$10)*($G$10-$F$10))))</f>
        <v>1.02752791804157</v>
      </c>
      <c r="G968" s="38" t="n">
        <f aca="false">IF($G$11=$E$11,$F$11,IF(U968&lt;($F$11-$E$11)/($G$11-$E$11),$E$11+SQRT(U968*($G$11-$E$11)*($F$11-$E$11)),$G$11-SQRT((1-U968)*($G$11-$E$11)*($G$11-$F$11))))</f>
        <v>0.115023115782598</v>
      </c>
      <c r="H968" s="39" t="n">
        <f aca="false">(('Business Case'!B11*$C968*'Business Case'!B12*$B968)-'Business Case'!B11*$C968*'Business Case'!B13*$D968-'Business Case'!B14*$E968)-MAX(0,(('Business Case'!B11*$C968*'Business Case'!B12*$B968)-'Business Case'!B11*$C968*'Business Case'!B13*$D968-'Business Case'!B14*$E968))*'Business Case'!$B$7-'Business Case'!$B$8*('Business Case'!B11*$C968*'Business Case'!B12*$B968)-'Business Case'!B15*$F968</f>
        <v>-2055055836.08315</v>
      </c>
      <c r="I968" s="39" t="n">
        <f aca="false">(('Business Case'!C11*$C968*'Business Case'!C12*$B968)-'Business Case'!C11*$C968*'Business Case'!C13*$D968-'Business Case'!C14*$E968)-MAX(0,(('Business Case'!C11*$C968*'Business Case'!C12*$B968)-'Business Case'!C11*$C968*'Business Case'!C13*$D968-'Business Case'!C14*$E968))*'Business Case'!$B$7-'Business Case'!$B$8*(('Business Case'!C11*$C968*'Business Case'!C12*$B968)-('Business Case'!B11*$C968*'Business Case'!B12*$B968))-'Business Case'!C15*$F968</f>
        <v>29698772.0360264</v>
      </c>
      <c r="J968" s="39" t="n">
        <f aca="false">(('Business Case'!D11*$C968*'Business Case'!D12*$B968)-'Business Case'!D11*$C968*'Business Case'!D13*$D968-'Business Case'!D14*$E968)-MAX(0,(('Business Case'!D11*$C968*'Business Case'!D12*$B968)-'Business Case'!D11*$C968*'Business Case'!D13*$D968-'Business Case'!D14*$E968))*'Business Case'!$B$7-'Business Case'!$B$8*(('Business Case'!D11*$C968*'Business Case'!D12*$B968)-('Business Case'!C11*$C968*'Business Case'!C12*$B968))-'Business Case'!D15*$F968</f>
        <v>350884905.885069</v>
      </c>
      <c r="K968" s="39" t="n">
        <f aca="false">(('Business Case'!E11*$C968*'Business Case'!E12*$B968)-'Business Case'!E11*$C968*'Business Case'!E13*$D968-'Business Case'!E14*$E968)-MAX(0,(('Business Case'!E11*$C968*'Business Case'!E12*$B968)-'Business Case'!E11*$C968*'Business Case'!E13*$D968-'Business Case'!E14*$E968))*'Business Case'!$B$7-'Business Case'!$B$8*(('Business Case'!E11*$C968*'Business Case'!E12*$B968)-('Business Case'!D11*$C968*'Business Case'!D12*$B968))-'Business Case'!E15*$F968</f>
        <v>723447435.63619</v>
      </c>
      <c r="L968" s="39" t="n">
        <f aca="false">(('Business Case'!F11*$C968*'Business Case'!F12*$B968)-'Business Case'!F11*$C968*'Business Case'!F13*$D968-'Business Case'!F14*$E968)-MAX(0,(('Business Case'!F11*$C968*'Business Case'!F12*$B968)-'Business Case'!F11*$C968*'Business Case'!F13*$D968-'Business Case'!F14*$E968))*'Business Case'!$B$7-'Business Case'!$B$8*(('Business Case'!F11*$C968*'Business Case'!F12*$B968)-('Business Case'!E11*$C968*'Business Case'!E12*$B968))-'Business Case'!F15*$F968</f>
        <v>866917084.812084</v>
      </c>
      <c r="M968" s="39" t="n">
        <f aca="false">(('Business Case'!G11*$C968*'Business Case'!G12*$B968)-'Business Case'!G11*$C968*'Business Case'!G13*$D968-'Business Case'!G14*$E968)-MAX(0,(('Business Case'!G11*$C968*'Business Case'!G12*$B968)-'Business Case'!G11*$C968*'Business Case'!G13*$D968-'Business Case'!G14*$E968))*'Business Case'!$B$7-'Business Case'!$B$8*(('Business Case'!G11*$C968*'Business Case'!G12*$B968)-('Business Case'!F11*$C968*'Business Case'!F12*$B968))-'Business Case'!G15*$F968+'Business Case'!$B$8*('Business Case'!G11*$C968*'Business Case'!G12*$B968)</f>
        <v>1067158909.88959</v>
      </c>
      <c r="N968" s="39" t="n">
        <f aca="false">IF(COUNT('Business Case'!B11:G11)=0,"",H968+NPV(G968,I968:M968))</f>
        <v>-44319370.876513</v>
      </c>
      <c r="P968" s="40" t="n">
        <f aca="true">RAND()</f>
        <v>0.423372458524442</v>
      </c>
      <c r="Q968" s="40" t="n">
        <f aca="true">RAND()</f>
        <v>0.91733089439077</v>
      </c>
      <c r="R968" s="40" t="n">
        <f aca="true">RAND()</f>
        <v>0.154368149679984</v>
      </c>
      <c r="S968" s="40" t="n">
        <f aca="true">RAND()</f>
        <v>0.0746525935175046</v>
      </c>
      <c r="T968" s="40" t="n">
        <f aca="true">RAND()</f>
        <v>0.340082303321116</v>
      </c>
      <c r="U968" s="40" t="n">
        <f aca="true">RAND()</f>
        <v>0.850461959425697</v>
      </c>
    </row>
    <row r="969" customFormat="false" ht="15" hidden="false" customHeight="false" outlineLevel="0" collapsed="false">
      <c r="A969" s="36" t="n">
        <v>889</v>
      </c>
      <c r="B969" s="37" t="n">
        <f aca="false">1+IF($G$6=$E$6,$F$6,IF(P969&lt;($F$6-$E$6)/($G$6-$E$6),$E$6+SQRT(P969*($G$6-$E$6)*($F$6-$E$6)),$G$6-SQRT((1-P969)*($G$6-$E$6)*($G$6-$F$6))))</f>
        <v>1.01788817347237</v>
      </c>
      <c r="C969" s="37" t="n">
        <f aca="false">1+IF($G$7=$E$7,$F$7,IF(Q969&lt;($F$7-$E$7)/($G$7-$E$7),$E$7+SQRT(Q969*($G$7-$E$7)*($F$7-$E$7)),$G$7-SQRT((1-Q969)*($G$7-$E$7)*($G$7-$F$7))))</f>
        <v>1.07733298332972</v>
      </c>
      <c r="D969" s="37" t="n">
        <f aca="false">1+IF($G$8=$E$8,$F$8,IF(R969&lt;($F$8-$E$8)/($G$8-$E$8),$E$8+SQRT(R969*($G$8-$E$8)*($F$8-$E$8)),$G$8-SQRT((1-R969)*($G$8-$E$8)*($G$8-$F$8))))</f>
        <v>0.980884430417822</v>
      </c>
      <c r="E969" s="37" t="n">
        <f aca="false">1+IF($G$9=$E$9,$F$9,IF(S969&lt;($F$9-$E$9)/($G$9-$E$9),$E$9+SQRT(S969*($G$9-$E$9)*($F$9-$E$9)),$G$9-SQRT((1-S969)*($G$9-$E$9)*($G$9-$F$9))))</f>
        <v>1.0178658005424</v>
      </c>
      <c r="F969" s="37" t="n">
        <f aca="false">1+IF($G$10=$E$10,$F$10,IF(T969&lt;($F$10-$E$10)/($G$10-$E$10),$E$10+SQRT(T969*($G$10-$E$10)*($F$10-$E$10)),$G$10-SQRT((1-T969)*($G$10-$E$10)*($G$10-$F$10))))</f>
        <v>1.06394531877507</v>
      </c>
      <c r="G969" s="38" t="n">
        <f aca="false">IF($G$11=$E$11,$F$11,IF(U969&lt;($F$11-$E$11)/($G$11-$E$11),$E$11+SQRT(U969*($G$11-$E$11)*($F$11-$E$11)),$G$11-SQRT((1-U969)*($G$11-$E$11)*($G$11-$F$11))))</f>
        <v>0.0980990201762485</v>
      </c>
      <c r="H969" s="39" t="n">
        <f aca="false">(('Business Case'!B11*$C969*'Business Case'!B12*$B969)-'Business Case'!B11*$C969*'Business Case'!B13*$D969-'Business Case'!B14*$E969)-MAX(0,(('Business Case'!B11*$C969*'Business Case'!B12*$B969)-'Business Case'!B11*$C969*'Business Case'!B13*$D969-'Business Case'!B14*$E969))*'Business Case'!$B$7-'Business Case'!$B$8*('Business Case'!B11*$C969*'Business Case'!B12*$B969)-'Business Case'!B15*$F969</f>
        <v>-2127890637.55014</v>
      </c>
      <c r="I969" s="39" t="n">
        <f aca="false">(('Business Case'!C11*$C969*'Business Case'!C12*$B969)-'Business Case'!C11*$C969*'Business Case'!C13*$D969-'Business Case'!C14*$E969)-MAX(0,(('Business Case'!C11*$C969*'Business Case'!C12*$B969)-'Business Case'!C11*$C969*'Business Case'!C13*$D969-'Business Case'!C14*$E969))*'Business Case'!$B$7-'Business Case'!$B$8*(('Business Case'!C11*$C969*'Business Case'!C12*$B969)-('Business Case'!B11*$C969*'Business Case'!B12*$B969))-'Business Case'!C15*$F969</f>
        <v>49249111.5152711</v>
      </c>
      <c r="J969" s="39" t="n">
        <f aca="false">(('Business Case'!D11*$C969*'Business Case'!D12*$B969)-'Business Case'!D11*$C969*'Business Case'!D13*$D969-'Business Case'!D14*$E969)-MAX(0,(('Business Case'!D11*$C969*'Business Case'!D12*$B969)-'Business Case'!D11*$C969*'Business Case'!D13*$D969-'Business Case'!D14*$E969))*'Business Case'!$B$7-'Business Case'!$B$8*(('Business Case'!D11*$C969*'Business Case'!D12*$B969)-('Business Case'!C11*$C969*'Business Case'!C12*$B969))-'Business Case'!D15*$F969</f>
        <v>406481249.161156</v>
      </c>
      <c r="K969" s="39" t="n">
        <f aca="false">(('Business Case'!E11*$C969*'Business Case'!E12*$B969)-'Business Case'!E11*$C969*'Business Case'!E13*$D969-'Business Case'!E14*$E969)-MAX(0,(('Business Case'!E11*$C969*'Business Case'!E12*$B969)-'Business Case'!E11*$C969*'Business Case'!E13*$D969-'Business Case'!E14*$E969))*'Business Case'!$B$7-'Business Case'!$B$8*(('Business Case'!E11*$C969*'Business Case'!E12*$B969)-('Business Case'!D11*$C969*'Business Case'!D12*$B969))-'Business Case'!E15*$F969</f>
        <v>816910652.745794</v>
      </c>
      <c r="L969" s="39" t="n">
        <f aca="false">(('Business Case'!F11*$C969*'Business Case'!F12*$B969)-'Business Case'!F11*$C969*'Business Case'!F13*$D969-'Business Case'!F14*$E969)-MAX(0,(('Business Case'!F11*$C969*'Business Case'!F12*$B969)-'Business Case'!F11*$C969*'Business Case'!F13*$D969-'Business Case'!F14*$E969))*'Business Case'!$B$7-'Business Case'!$B$8*(('Business Case'!F11*$C969*'Business Case'!F12*$B969)-('Business Case'!E11*$C969*'Business Case'!E12*$B969))-'Business Case'!F15*$F969</f>
        <v>973886683.57174</v>
      </c>
      <c r="M969" s="39" t="n">
        <f aca="false">(('Business Case'!G11*$C969*'Business Case'!G12*$B969)-'Business Case'!G11*$C969*'Business Case'!G13*$D969-'Business Case'!G14*$E969)-MAX(0,(('Business Case'!G11*$C969*'Business Case'!G12*$B969)-'Business Case'!G11*$C969*'Business Case'!G13*$D969-'Business Case'!G14*$E969))*'Business Case'!$B$7-'Business Case'!$B$8*(('Business Case'!G11*$C969*'Business Case'!G12*$B969)-('Business Case'!F11*$C969*'Business Case'!F12*$B969))-'Business Case'!G15*$F969+'Business Case'!$B$8*('Business Case'!G11*$C969*'Business Case'!G12*$B969)</f>
        <v>1182329267.43032</v>
      </c>
      <c r="N969" s="39" t="n">
        <f aca="false">IF(COUNT('Business Case'!B11:G11)=0,"",H969+NPV(G969,I969:M969))</f>
        <v>281313709.40933</v>
      </c>
      <c r="P969" s="40" t="n">
        <f aca="true">RAND()</f>
        <v>0.862510746274548</v>
      </c>
      <c r="Q969" s="40" t="n">
        <f aca="true">RAND()</f>
        <v>0.921770439825791</v>
      </c>
      <c r="R969" s="40" t="n">
        <f aca="true">RAND()</f>
        <v>0.12717973896444</v>
      </c>
      <c r="S969" s="40" t="n">
        <f aca="true">RAND()</f>
        <v>0.534414755565303</v>
      </c>
      <c r="T969" s="40" t="n">
        <f aca="true">RAND()</f>
        <v>0.538448741257199</v>
      </c>
      <c r="U969" s="40" t="n">
        <f aca="true">RAND()</f>
        <v>0.327574531340251</v>
      </c>
    </row>
    <row r="970" customFormat="false" ht="15" hidden="false" customHeight="false" outlineLevel="0" collapsed="false">
      <c r="A970" s="36" t="n">
        <v>890</v>
      </c>
      <c r="B970" s="37" t="n">
        <f aca="false">1+IF($G$6=$E$6,$F$6,IF(P970&lt;($F$6-$E$6)/($G$6-$E$6),$E$6+SQRT(P970*($G$6-$E$6)*($F$6-$E$6)),$G$6-SQRT((1-P970)*($G$6-$E$6)*($G$6-$F$6))))</f>
        <v>0.924148101649093</v>
      </c>
      <c r="C970" s="37" t="n">
        <f aca="false">1+IF($G$7=$E$7,$F$7,IF(Q970&lt;($F$7-$E$7)/($G$7-$E$7),$E$7+SQRT(Q970*($G$7-$E$7)*($F$7-$E$7)),$G$7-SQRT((1-Q970)*($G$7-$E$7)*($G$7-$F$7))))</f>
        <v>1.08556517595556</v>
      </c>
      <c r="D970" s="37" t="n">
        <f aca="false">1+IF($G$8=$E$8,$F$8,IF(R970&lt;($F$8-$E$8)/($G$8-$E$8),$E$8+SQRT(R970*($G$8-$E$8)*($F$8-$E$8)),$G$8-SQRT((1-R970)*($G$8-$E$8)*($G$8-$F$8))))</f>
        <v>1.0399192773717</v>
      </c>
      <c r="E970" s="37" t="n">
        <f aca="false">1+IF($G$9=$E$9,$F$9,IF(S970&lt;($F$9-$E$9)/($G$9-$E$9),$E$9+SQRT(S970*($G$9-$E$9)*($F$9-$E$9)),$G$9-SQRT((1-S970)*($G$9-$E$9)*($G$9-$F$9))))</f>
        <v>1.05387456203653</v>
      </c>
      <c r="F970" s="37" t="n">
        <f aca="false">1+IF($G$10=$E$10,$F$10,IF(T970&lt;($F$10-$E$10)/($G$10-$E$10),$E$10+SQRT(T970*($G$10-$E$10)*($F$10-$E$10)),$G$10-SQRT((1-T970)*($G$10-$E$10)*($G$10-$F$10))))</f>
        <v>1.06598219271589</v>
      </c>
      <c r="G970" s="38" t="n">
        <f aca="false">IF($G$11=$E$11,$F$11,IF(U970&lt;($F$11-$E$11)/($G$11-$E$11),$E$11+SQRT(U970*($G$11-$E$11)*($F$11-$E$11)),$G$11-SQRT((1-U970)*($G$11-$E$11)*($G$11-$F$11))))</f>
        <v>0.106459323371388</v>
      </c>
      <c r="H970" s="39" t="n">
        <f aca="false">(('Business Case'!B11*$C970*'Business Case'!B12*$B970)-'Business Case'!B11*$C970*'Business Case'!B13*$D970-'Business Case'!B14*$E970)-MAX(0,(('Business Case'!B11*$C970*'Business Case'!B12*$B970)-'Business Case'!B11*$C970*'Business Case'!B13*$D970-'Business Case'!B14*$E970))*'Business Case'!$B$7-'Business Case'!$B$8*('Business Case'!B11*$C970*'Business Case'!B12*$B970)-'Business Case'!B15*$F970</f>
        <v>-2131964385.43178</v>
      </c>
      <c r="I970" s="39" t="n">
        <f aca="false">(('Business Case'!C11*$C970*'Business Case'!C12*$B970)-'Business Case'!C11*$C970*'Business Case'!C13*$D970-'Business Case'!C14*$E970)-MAX(0,(('Business Case'!C11*$C970*'Business Case'!C12*$B970)-'Business Case'!C11*$C970*'Business Case'!C13*$D970-'Business Case'!C14*$E970))*'Business Case'!$B$7-'Business Case'!$B$8*(('Business Case'!C11*$C970*'Business Case'!C12*$B970)-('Business Case'!B11*$C970*'Business Case'!B12*$B970))-'Business Case'!C15*$F970</f>
        <v>-64660962.3717857</v>
      </c>
      <c r="J970" s="39" t="n">
        <f aca="false">(('Business Case'!D11*$C970*'Business Case'!D12*$B970)-'Business Case'!D11*$C970*'Business Case'!D13*$D970-'Business Case'!D14*$E970)-MAX(0,(('Business Case'!D11*$C970*'Business Case'!D12*$B970)-'Business Case'!D11*$C970*'Business Case'!D13*$D970-'Business Case'!D14*$E970))*'Business Case'!$B$7-'Business Case'!$B$8*(('Business Case'!D11*$C970*'Business Case'!D12*$B970)-('Business Case'!C11*$C970*'Business Case'!C12*$B970))-'Business Case'!D15*$F970</f>
        <v>179144337.392095</v>
      </c>
      <c r="K970" s="39" t="n">
        <f aca="false">(('Business Case'!E11*$C970*'Business Case'!E12*$B970)-'Business Case'!E11*$C970*'Business Case'!E13*$D970-'Business Case'!E14*$E970)-MAX(0,(('Business Case'!E11*$C970*'Business Case'!E12*$B970)-'Business Case'!E11*$C970*'Business Case'!E13*$D970-'Business Case'!E14*$E970))*'Business Case'!$B$7-'Business Case'!$B$8*(('Business Case'!E11*$C970*'Business Case'!E12*$B970)-('Business Case'!D11*$C970*'Business Case'!D12*$B970))-'Business Case'!E15*$F970</f>
        <v>476248746.791771</v>
      </c>
      <c r="L970" s="39" t="n">
        <f aca="false">(('Business Case'!F11*$C970*'Business Case'!F12*$B970)-'Business Case'!F11*$C970*'Business Case'!F13*$D970-'Business Case'!F14*$E970)-MAX(0,(('Business Case'!F11*$C970*'Business Case'!F12*$B970)-'Business Case'!F11*$C970*'Business Case'!F13*$D970-'Business Case'!F14*$E970))*'Business Case'!$B$7-'Business Case'!$B$8*(('Business Case'!F11*$C970*'Business Case'!F12*$B970)-('Business Case'!E11*$C970*'Business Case'!E12*$B970))-'Business Case'!F15*$F970</f>
        <v>592188566.808054</v>
      </c>
      <c r="M970" s="39" t="n">
        <f aca="false">(('Business Case'!G11*$C970*'Business Case'!G12*$B970)-'Business Case'!G11*$C970*'Business Case'!G13*$D970-'Business Case'!G14*$E970)-MAX(0,(('Business Case'!G11*$C970*'Business Case'!G12*$B970)-'Business Case'!G11*$C970*'Business Case'!G13*$D970-'Business Case'!G14*$E970))*'Business Case'!$B$7-'Business Case'!$B$8*(('Business Case'!G11*$C970*'Business Case'!G12*$B970)-('Business Case'!F11*$C970*'Business Case'!F12*$B970))-'Business Case'!G15*$F970+'Business Case'!$B$8*('Business Case'!G11*$C970*'Business Case'!G12*$B970)</f>
        <v>782881193.997161</v>
      </c>
      <c r="N970" s="39" t="n">
        <f aca="false">IF(COUNT('Business Case'!B11:G11)=0,"",H970+NPV(G970,I970:M970))</f>
        <v>-825298198.246407</v>
      </c>
      <c r="P970" s="40" t="n">
        <f aca="true">RAND()</f>
        <v>0.0388753875503288</v>
      </c>
      <c r="Q970" s="40" t="n">
        <f aca="true">RAND()</f>
        <v>0.938491162227581</v>
      </c>
      <c r="R970" s="40" t="n">
        <f aca="true">RAND()</f>
        <v>0.759353784564116</v>
      </c>
      <c r="S970" s="40" t="n">
        <f aca="true">RAND()</f>
        <v>0.753597338035474</v>
      </c>
      <c r="T970" s="40" t="n">
        <f aca="true">RAND()</f>
        <v>0.548499288031301</v>
      </c>
      <c r="U970" s="40" t="n">
        <f aca="true">RAND()</f>
        <v>0.630557695911427</v>
      </c>
    </row>
    <row r="971" customFormat="false" ht="15" hidden="false" customHeight="false" outlineLevel="0" collapsed="false">
      <c r="A971" s="36" t="n">
        <v>891</v>
      </c>
      <c r="B971" s="37" t="n">
        <f aca="false">1+IF($G$6=$E$6,$F$6,IF(P971&lt;($F$6-$E$6)/($G$6-$E$6),$E$6+SQRT(P971*($G$6-$E$6)*($F$6-$E$6)),$G$6-SQRT((1-P971)*($G$6-$E$6)*($G$6-$F$6))))</f>
        <v>0.922411695883163</v>
      </c>
      <c r="C971" s="37" t="n">
        <f aca="false">1+IF($G$7=$E$7,$F$7,IF(Q971&lt;($F$7-$E$7)/($G$7-$E$7),$E$7+SQRT(Q971*($G$7-$E$7)*($F$7-$E$7)),$G$7-SQRT((1-Q971)*($G$7-$E$7)*($G$7-$F$7))))</f>
        <v>0.959442477866073</v>
      </c>
      <c r="D971" s="37" t="n">
        <f aca="false">1+IF($G$8=$E$8,$F$8,IF(R971&lt;($F$8-$E$8)/($G$8-$E$8),$E$8+SQRT(R971*($G$8-$E$8)*($F$8-$E$8)),$G$8-SQRT((1-R971)*($G$8-$E$8)*($G$8-$F$8))))</f>
        <v>1.08097166688785</v>
      </c>
      <c r="E971" s="37" t="n">
        <f aca="false">1+IF($G$9=$E$9,$F$9,IF(S971&lt;($F$9-$E$9)/($G$9-$E$9),$E$9+SQRT(S971*($G$9-$E$9)*($F$9-$E$9)),$G$9-SQRT((1-S971)*($G$9-$E$9)*($G$9-$F$9))))</f>
        <v>0.973007130122438</v>
      </c>
      <c r="F971" s="37" t="n">
        <f aca="false">1+IF($G$10=$E$10,$F$10,IF(T971&lt;($F$10-$E$10)/($G$10-$E$10),$E$10+SQRT(T971*($G$10-$E$10)*($F$10-$E$10)),$G$10-SQRT((1-T971)*($G$10-$E$10)*($G$10-$F$10))))</f>
        <v>1.09091838999216</v>
      </c>
      <c r="G971" s="38" t="n">
        <f aca="false">IF($G$11=$E$11,$F$11,IF(U971&lt;($F$11-$E$11)/($G$11-$E$11),$E$11+SQRT(U971*($G$11-$E$11)*($F$11-$E$11)),$G$11-SQRT((1-U971)*($G$11-$E$11)*($G$11-$F$11))))</f>
        <v>0.0998097452736751</v>
      </c>
      <c r="H971" s="39" t="n">
        <f aca="false">(('Business Case'!B11*$C971*'Business Case'!B12*$B971)-'Business Case'!B11*$C971*'Business Case'!B13*$D971-'Business Case'!B14*$E971)-MAX(0,(('Business Case'!B11*$C971*'Business Case'!B12*$B971)-'Business Case'!B11*$C971*'Business Case'!B13*$D971-'Business Case'!B14*$E971))*'Business Case'!$B$7-'Business Case'!$B$8*('Business Case'!B11*$C971*'Business Case'!B12*$B971)-'Business Case'!B15*$F971</f>
        <v>-2181836779.98432</v>
      </c>
      <c r="I971" s="39" t="n">
        <f aca="false">(('Business Case'!C11*$C971*'Business Case'!C12*$B971)-'Business Case'!C11*$C971*'Business Case'!C13*$D971-'Business Case'!C14*$E971)-MAX(0,(('Business Case'!C11*$C971*'Business Case'!C12*$B971)-'Business Case'!C11*$C971*'Business Case'!C13*$D971-'Business Case'!C14*$E971))*'Business Case'!$B$7-'Business Case'!$B$8*(('Business Case'!C11*$C971*'Business Case'!C12*$B971)-('Business Case'!B11*$C971*'Business Case'!B12*$B971))-'Business Case'!C15*$F971</f>
        <v>-99380052.4683736</v>
      </c>
      <c r="J971" s="39" t="n">
        <f aca="false">(('Business Case'!D11*$C971*'Business Case'!D12*$B971)-'Business Case'!D11*$C971*'Business Case'!D13*$D971-'Business Case'!D14*$E971)-MAX(0,(('Business Case'!D11*$C971*'Business Case'!D12*$B971)-'Business Case'!D11*$C971*'Business Case'!D13*$D971-'Business Case'!D14*$E971))*'Business Case'!$B$7-'Business Case'!$B$8*(('Business Case'!D11*$C971*'Business Case'!D12*$B971)-('Business Case'!C11*$C971*'Business Case'!C12*$B971))-'Business Case'!D15*$F971</f>
        <v>94571797.8935427</v>
      </c>
      <c r="K971" s="39" t="n">
        <f aca="false">(('Business Case'!E11*$C971*'Business Case'!E12*$B971)-'Business Case'!E11*$C971*'Business Case'!E13*$D971-'Business Case'!E14*$E971)-MAX(0,(('Business Case'!E11*$C971*'Business Case'!E12*$B971)-'Business Case'!E11*$C971*'Business Case'!E13*$D971-'Business Case'!E14*$E971))*'Business Case'!$B$7-'Business Case'!$B$8*(('Business Case'!E11*$C971*'Business Case'!E12*$B971)-('Business Case'!D11*$C971*'Business Case'!D12*$B971))-'Business Case'!E15*$F971</f>
        <v>343069567.755067</v>
      </c>
      <c r="L971" s="39" t="n">
        <f aca="false">(('Business Case'!F11*$C971*'Business Case'!F12*$B971)-'Business Case'!F11*$C971*'Business Case'!F13*$D971-'Business Case'!F14*$E971)-MAX(0,(('Business Case'!F11*$C971*'Business Case'!F12*$B971)-'Business Case'!F11*$C971*'Business Case'!F13*$D971-'Business Case'!F14*$E971))*'Business Case'!$B$7-'Business Case'!$B$8*(('Business Case'!F11*$C971*'Business Case'!F12*$B971)-('Business Case'!E11*$C971*'Business Case'!E12*$B971))-'Business Case'!F15*$F971</f>
        <v>438305817.827481</v>
      </c>
      <c r="M971" s="39" t="n">
        <f aca="false">(('Business Case'!G11*$C971*'Business Case'!G12*$B971)-'Business Case'!G11*$C971*'Business Case'!G13*$D971-'Business Case'!G14*$E971)-MAX(0,(('Business Case'!G11*$C971*'Business Case'!G12*$B971)-'Business Case'!G11*$C971*'Business Case'!G13*$D971-'Business Case'!G14*$E971))*'Business Case'!$B$7-'Business Case'!$B$8*(('Business Case'!G11*$C971*'Business Case'!G12*$B971)-('Business Case'!F11*$C971*'Business Case'!F12*$B971))-'Business Case'!G15*$F971+'Business Case'!$B$8*('Business Case'!G11*$C971*'Business Case'!G12*$B971)</f>
        <v>606526800.89558</v>
      </c>
      <c r="N971" s="39" t="n">
        <f aca="false">IF(COUNT('Business Case'!B11:G11)=0,"",H971+NPV(G971,I971:M971))</f>
        <v>-1259618070.96025</v>
      </c>
      <c r="P971" s="40" t="n">
        <f aca="true">RAND()</f>
        <v>0.0334856074906264</v>
      </c>
      <c r="Q971" s="40" t="n">
        <f aca="true">RAND()</f>
        <v>0.498595550528058</v>
      </c>
      <c r="R971" s="40" t="n">
        <f aca="true">RAND()</f>
        <v>0.975861502598195</v>
      </c>
      <c r="S971" s="40" t="n">
        <f aca="true">RAND()</f>
        <v>0.213201641948581</v>
      </c>
      <c r="T971" s="40" t="n">
        <f aca="true">RAND()</f>
        <v>0.662573884764179</v>
      </c>
      <c r="U971" s="40" t="n">
        <f aca="true">RAND()</f>
        <v>0.392426007807892</v>
      </c>
    </row>
    <row r="972" customFormat="false" ht="15" hidden="false" customHeight="false" outlineLevel="0" collapsed="false">
      <c r="A972" s="36" t="n">
        <v>892</v>
      </c>
      <c r="B972" s="37" t="n">
        <f aca="false">1+IF($G$6=$E$6,$F$6,IF(P972&lt;($F$6-$E$6)/($G$6-$E$6),$E$6+SQRT(P972*($G$6-$E$6)*($F$6-$E$6)),$G$6-SQRT((1-P972)*($G$6-$E$6)*($G$6-$F$6))))</f>
        <v>0.999267924698042</v>
      </c>
      <c r="C972" s="37" t="n">
        <f aca="false">1+IF($G$7=$E$7,$F$7,IF(Q972&lt;($F$7-$E$7)/($G$7-$E$7),$E$7+SQRT(Q972*($G$7-$E$7)*($F$7-$E$7)),$G$7-SQRT((1-Q972)*($G$7-$E$7)*($G$7-$F$7))))</f>
        <v>0.899408349503118</v>
      </c>
      <c r="D972" s="37" t="n">
        <f aca="false">1+IF($G$8=$E$8,$F$8,IF(R972&lt;($F$8-$E$8)/($G$8-$E$8),$E$8+SQRT(R972*($G$8-$E$8)*($F$8-$E$8)),$G$8-SQRT((1-R972)*($G$8-$E$8)*($G$8-$F$8))))</f>
        <v>1.04697695240684</v>
      </c>
      <c r="E972" s="37" t="n">
        <f aca="false">1+IF($G$9=$E$9,$F$9,IF(S972&lt;($F$9-$E$9)/($G$9-$E$9),$E$9+SQRT(S972*($G$9-$E$9)*($F$9-$E$9)),$G$9-SQRT((1-S972)*($G$9-$E$9)*($G$9-$F$9))))</f>
        <v>1.00321913974542</v>
      </c>
      <c r="F972" s="37" t="n">
        <f aca="false">1+IF($G$10=$E$10,$F$10,IF(T972&lt;($F$10-$E$10)/($G$10-$E$10),$E$10+SQRT(T972*($G$10-$E$10)*($F$10-$E$10)),$G$10-SQRT((1-T972)*($G$10-$E$10)*($G$10-$F$10))))</f>
        <v>1.08968899107175</v>
      </c>
      <c r="G972" s="38" t="n">
        <f aca="false">IF($G$11=$E$11,$F$11,IF(U972&lt;($F$11-$E$11)/($G$11-$E$11),$E$11+SQRT(U972*($G$11-$E$11)*($F$11-$E$11)),$G$11-SQRT((1-U972)*($G$11-$E$11)*($G$11-$F$11))))</f>
        <v>0.10324835998709</v>
      </c>
      <c r="H972" s="39" t="n">
        <f aca="false">(('Business Case'!B11*$C972*'Business Case'!B12*$B972)-'Business Case'!B11*$C972*'Business Case'!B13*$D972-'Business Case'!B14*$E972)-MAX(0,(('Business Case'!B11*$C972*'Business Case'!B12*$B972)-'Business Case'!B11*$C972*'Business Case'!B13*$D972-'Business Case'!B14*$E972))*'Business Case'!$B$7-'Business Case'!$B$8*('Business Case'!B11*$C972*'Business Case'!B12*$B972)-'Business Case'!B15*$F972</f>
        <v>-2179377982.1435</v>
      </c>
      <c r="I972" s="39" t="n">
        <f aca="false">(('Business Case'!C11*$C972*'Business Case'!C12*$B972)-'Business Case'!C11*$C972*'Business Case'!C13*$D972-'Business Case'!C14*$E972)-MAX(0,(('Business Case'!C11*$C972*'Business Case'!C12*$B972)-'Business Case'!C11*$C972*'Business Case'!C13*$D972-'Business Case'!C14*$E972))*'Business Case'!$B$7-'Business Case'!$B$8*(('Business Case'!C11*$C972*'Business Case'!C12*$B972)-('Business Case'!B11*$C972*'Business Case'!B12*$B972))-'Business Case'!C15*$F972</f>
        <v>-44131457.4317694</v>
      </c>
      <c r="J972" s="39" t="n">
        <f aca="false">(('Business Case'!D11*$C972*'Business Case'!D12*$B972)-'Business Case'!D11*$C972*'Business Case'!D13*$D972-'Business Case'!D14*$E972)-MAX(0,(('Business Case'!D11*$C972*'Business Case'!D12*$B972)-'Business Case'!D11*$C972*'Business Case'!D13*$D972-'Business Case'!D14*$E972))*'Business Case'!$B$7-'Business Case'!$B$8*(('Business Case'!D11*$C972*'Business Case'!D12*$B972)-('Business Case'!C11*$C972*'Business Case'!C12*$B972))-'Business Case'!D15*$F972</f>
        <v>209954941.501987</v>
      </c>
      <c r="K972" s="39" t="n">
        <f aca="false">(('Business Case'!E11*$C972*'Business Case'!E12*$B972)-'Business Case'!E11*$C972*'Business Case'!E13*$D972-'Business Case'!E14*$E972)-MAX(0,(('Business Case'!E11*$C972*'Business Case'!E12*$B972)-'Business Case'!E11*$C972*'Business Case'!E13*$D972-'Business Case'!E14*$E972))*'Business Case'!$B$7-'Business Case'!$B$8*(('Business Case'!E11*$C972*'Business Case'!E12*$B972)-('Business Case'!D11*$C972*'Business Case'!D12*$B972))-'Business Case'!E15*$F972</f>
        <v>518525789.989332</v>
      </c>
      <c r="L972" s="39" t="n">
        <f aca="false">(('Business Case'!F11*$C972*'Business Case'!F12*$B972)-'Business Case'!F11*$C972*'Business Case'!F13*$D972-'Business Case'!F14*$E972)-MAX(0,(('Business Case'!F11*$C972*'Business Case'!F12*$B972)-'Business Case'!F11*$C972*'Business Case'!F13*$D972-'Business Case'!F14*$E972))*'Business Case'!$B$7-'Business Case'!$B$8*(('Business Case'!F11*$C972*'Business Case'!F12*$B972)-('Business Case'!E11*$C972*'Business Case'!E12*$B972))-'Business Case'!F15*$F972</f>
        <v>634282053.358287</v>
      </c>
      <c r="M972" s="39" t="n">
        <f aca="false">(('Business Case'!G11*$C972*'Business Case'!G12*$B972)-'Business Case'!G11*$C972*'Business Case'!G13*$D972-'Business Case'!G14*$E972)-MAX(0,(('Business Case'!G11*$C972*'Business Case'!G12*$B972)-'Business Case'!G11*$C972*'Business Case'!G13*$D972-'Business Case'!G14*$E972))*'Business Case'!$B$7-'Business Case'!$B$8*(('Business Case'!G11*$C972*'Business Case'!G12*$B972)-('Business Case'!F11*$C972*'Business Case'!F12*$B972))-'Business Case'!G15*$F972+'Business Case'!$B$8*('Business Case'!G11*$C972*'Business Case'!G12*$B972)</f>
        <v>805116437.175649</v>
      </c>
      <c r="N972" s="39" t="n">
        <f aca="false">IF(COUNT('Business Case'!B11:G11)=0,"",H972+NPV(G972,I972:M972))</f>
        <v>-739997151.571743</v>
      </c>
      <c r="P972" s="40" t="n">
        <f aca="true">RAND()</f>
        <v>0.656941391590402</v>
      </c>
      <c r="Q972" s="40" t="n">
        <f aca="true">RAND()</f>
        <v>0.294545850752279</v>
      </c>
      <c r="R972" s="40" t="n">
        <f aca="true">RAND()</f>
        <v>0.812570428262258</v>
      </c>
      <c r="S972" s="40" t="n">
        <f aca="true">RAND()</f>
        <v>0.42547677501131</v>
      </c>
      <c r="T972" s="40" t="n">
        <f aca="true">RAND()</f>
        <v>0.657338405552077</v>
      </c>
      <c r="U972" s="40" t="n">
        <f aca="true">RAND()</f>
        <v>0.522899837746461</v>
      </c>
    </row>
    <row r="973" customFormat="false" ht="15" hidden="false" customHeight="false" outlineLevel="0" collapsed="false">
      <c r="A973" s="36" t="n">
        <v>893</v>
      </c>
      <c r="B973" s="37" t="n">
        <f aca="false">1+IF($G$6=$E$6,$F$6,IF(P973&lt;($F$6-$E$6)/($G$6-$E$6),$E$6+SQRT(P973*($G$6-$E$6)*($F$6-$E$6)),$G$6-SQRT((1-P973)*($G$6-$E$6)*($G$6-$F$6))))</f>
        <v>0.996212186059437</v>
      </c>
      <c r="C973" s="37" t="n">
        <f aca="false">1+IF($G$7=$E$7,$F$7,IF(Q973&lt;($F$7-$E$7)/($G$7-$E$7),$E$7+SQRT(Q973*($G$7-$E$7)*($F$7-$E$7)),$G$7-SQRT((1-Q973)*($G$7-$E$7)*($G$7-$F$7))))</f>
        <v>0.745577211390307</v>
      </c>
      <c r="D973" s="37" t="n">
        <f aca="false">1+IF($G$8=$E$8,$F$8,IF(R973&lt;($F$8-$E$8)/($G$8-$E$8),$E$8+SQRT(R973*($G$8-$E$8)*($F$8-$E$8)),$G$8-SQRT((1-R973)*($G$8-$E$8)*($G$8-$F$8))))</f>
        <v>1.03459338142428</v>
      </c>
      <c r="E973" s="37" t="n">
        <f aca="false">1+IF($G$9=$E$9,$F$9,IF(S973&lt;($F$9-$E$9)/($G$9-$E$9),$E$9+SQRT(S973*($G$9-$E$9)*($F$9-$E$9)),$G$9-SQRT((1-S973)*($G$9-$E$9)*($G$9-$F$9))))</f>
        <v>0.995140250024994</v>
      </c>
      <c r="F973" s="37" t="n">
        <f aca="false">1+IF($G$10=$E$10,$F$10,IF(T973&lt;($F$10-$E$10)/($G$10-$E$10),$E$10+SQRT(T973*($G$10-$E$10)*($F$10-$E$10)),$G$10-SQRT((1-T973)*($G$10-$E$10)*($G$10-$F$10))))</f>
        <v>1.06642980319097</v>
      </c>
      <c r="G973" s="38" t="n">
        <f aca="false">IF($G$11=$E$11,$F$11,IF(U973&lt;($F$11-$E$11)/($G$11-$E$11),$E$11+SQRT(U973*($G$11-$E$11)*($F$11-$E$11)),$G$11-SQRT((1-U973)*($G$11-$E$11)*($G$11-$F$11))))</f>
        <v>0.0937672800425209</v>
      </c>
      <c r="H973" s="39" t="n">
        <f aca="false">(('Business Case'!B11*$C973*'Business Case'!B12*$B973)-'Business Case'!B11*$C973*'Business Case'!B13*$D973-'Business Case'!B14*$E973)-MAX(0,(('Business Case'!B11*$C973*'Business Case'!B12*$B973)-'Business Case'!B11*$C973*'Business Case'!B13*$D973-'Business Case'!B14*$E973))*'Business Case'!$B$7-'Business Case'!$B$8*('Business Case'!B11*$C973*'Business Case'!B12*$B973)-'Business Case'!B15*$F973</f>
        <v>-2132859606.38194</v>
      </c>
      <c r="I973" s="39" t="n">
        <f aca="false">(('Business Case'!C11*$C973*'Business Case'!C12*$B973)-'Business Case'!C11*$C973*'Business Case'!C13*$D973-'Business Case'!C14*$E973)-MAX(0,(('Business Case'!C11*$C973*'Business Case'!C12*$B973)-'Business Case'!C11*$C973*'Business Case'!C13*$D973-'Business Case'!C14*$E973))*'Business Case'!$B$7-'Business Case'!$B$8*(('Business Case'!C11*$C973*'Business Case'!C12*$B973)-('Business Case'!B11*$C973*'Business Case'!B12*$B973))-'Business Case'!C15*$F973</f>
        <v>-73167320.2260552</v>
      </c>
      <c r="J973" s="39" t="n">
        <f aca="false">(('Business Case'!D11*$C973*'Business Case'!D12*$B973)-'Business Case'!D11*$C973*'Business Case'!D13*$D973-'Business Case'!D14*$E973)-MAX(0,(('Business Case'!D11*$C973*'Business Case'!D12*$B973)-'Business Case'!D11*$C973*'Business Case'!D13*$D973-'Business Case'!D14*$E973))*'Business Case'!$B$7-'Business Case'!$B$8*(('Business Case'!D11*$C973*'Business Case'!D12*$B973)-('Business Case'!C11*$C973*'Business Case'!C12*$B973))-'Business Case'!D15*$F973</f>
        <v>140321604.312992</v>
      </c>
      <c r="K973" s="39" t="n">
        <f aca="false">(('Business Case'!E11*$C973*'Business Case'!E12*$B973)-'Business Case'!E11*$C973*'Business Case'!E13*$D973-'Business Case'!E14*$E973)-MAX(0,(('Business Case'!E11*$C973*'Business Case'!E12*$B973)-'Business Case'!E11*$C973*'Business Case'!E13*$D973-'Business Case'!E14*$E973))*'Business Case'!$B$7-'Business Case'!$B$8*(('Business Case'!E11*$C973*'Business Case'!E12*$B973)-('Business Case'!D11*$C973*'Business Case'!D12*$B973))-'Business Case'!E15*$F973</f>
        <v>407132019.011587</v>
      </c>
      <c r="L973" s="39" t="n">
        <f aca="false">(('Business Case'!F11*$C973*'Business Case'!F12*$B973)-'Business Case'!F11*$C973*'Business Case'!F13*$D973-'Business Case'!F14*$E973)-MAX(0,(('Business Case'!F11*$C973*'Business Case'!F12*$B973)-'Business Case'!F11*$C973*'Business Case'!F13*$D973-'Business Case'!F14*$E973))*'Business Case'!$B$7-'Business Case'!$B$8*(('Business Case'!F11*$C973*'Business Case'!F12*$B973)-('Business Case'!E11*$C973*'Business Case'!E12*$B973))-'Business Case'!F15*$F973</f>
        <v>503964541.11957</v>
      </c>
      <c r="M973" s="39" t="n">
        <f aca="false">(('Business Case'!G11*$C973*'Business Case'!G12*$B973)-'Business Case'!G11*$C973*'Business Case'!G13*$D973-'Business Case'!G14*$E973)-MAX(0,(('Business Case'!G11*$C973*'Business Case'!G12*$B973)-'Business Case'!G11*$C973*'Business Case'!G13*$D973-'Business Case'!G14*$E973))*'Business Case'!$B$7-'Business Case'!$B$8*(('Business Case'!G11*$C973*'Business Case'!G12*$B973)-('Business Case'!F11*$C973*'Business Case'!F12*$B973))-'Business Case'!G15*$F973+'Business Case'!$B$8*('Business Case'!G11*$C973*'Business Case'!G12*$B973)</f>
        <v>645147051.058556</v>
      </c>
      <c r="N973" s="39" t="n">
        <f aca="false">IF(COUNT('Business Case'!B11:G11)=0,"",H973+NPV(G973,I973:M973))</f>
        <v>-1007059744.2177</v>
      </c>
      <c r="P973" s="40" t="n">
        <f aca="true">RAND()</f>
        <v>0.617118983089042</v>
      </c>
      <c r="Q973" s="40" t="n">
        <f aca="true">RAND()</f>
        <v>0.0153872755416052</v>
      </c>
      <c r="R973" s="40" t="n">
        <f aca="true">RAND()</f>
        <v>0.714798283099338</v>
      </c>
      <c r="S973" s="40" t="n">
        <f aca="true">RAND()</f>
        <v>0.362066686992736</v>
      </c>
      <c r="T973" s="40" t="n">
        <f aca="true">RAND()</f>
        <v>0.550693104579928</v>
      </c>
      <c r="U973" s="40" t="n">
        <f aca="true">RAND()</f>
        <v>0.189537999769195</v>
      </c>
    </row>
    <row r="974" customFormat="false" ht="15" hidden="false" customHeight="false" outlineLevel="0" collapsed="false">
      <c r="A974" s="36" t="n">
        <v>894</v>
      </c>
      <c r="B974" s="37" t="n">
        <f aca="false">1+IF($G$6=$E$6,$F$6,IF(P974&lt;($F$6-$E$6)/($G$6-$E$6),$E$6+SQRT(P974*($G$6-$E$6)*($F$6-$E$6)),$G$6-SQRT((1-P974)*($G$6-$E$6)*($G$6-$F$6))))</f>
        <v>1.00069266110932</v>
      </c>
      <c r="C974" s="37" t="n">
        <f aca="false">1+IF($G$7=$E$7,$F$7,IF(Q974&lt;($F$7-$E$7)/($G$7-$E$7),$E$7+SQRT(Q974*($G$7-$E$7)*($F$7-$E$7)),$G$7-SQRT((1-Q974)*($G$7-$E$7)*($G$7-$F$7))))</f>
        <v>0.774027634349117</v>
      </c>
      <c r="D974" s="37" t="n">
        <f aca="false">1+IF($G$8=$E$8,$F$8,IF(R974&lt;($F$8-$E$8)/($G$8-$E$8),$E$8+SQRT(R974*($G$8-$E$8)*($F$8-$E$8)),$G$8-SQRT((1-R974)*($G$8-$E$8)*($G$8-$F$8))))</f>
        <v>1.01315361005757</v>
      </c>
      <c r="E974" s="37" t="n">
        <f aca="false">1+IF($G$9=$E$9,$F$9,IF(S974&lt;($F$9-$E$9)/($G$9-$E$9),$E$9+SQRT(S974*($G$9-$E$9)*($F$9-$E$9)),$G$9-SQRT((1-S974)*($G$9-$E$9)*($G$9-$F$9))))</f>
        <v>0.941099126893435</v>
      </c>
      <c r="F974" s="37" t="n">
        <f aca="false">1+IF($G$10=$E$10,$F$10,IF(T974&lt;($F$10-$E$10)/($G$10-$E$10),$E$10+SQRT(T974*($G$10-$E$10)*($F$10-$E$10)),$G$10-SQRT((1-T974)*($G$10-$E$10)*($G$10-$F$10))))</f>
        <v>1.2341661099533</v>
      </c>
      <c r="G974" s="38" t="n">
        <f aca="false">IF($G$11=$E$11,$F$11,IF(U974&lt;($F$11-$E$11)/($G$11-$E$11),$E$11+SQRT(U974*($G$11-$E$11)*($F$11-$E$11)),$G$11-SQRT((1-U974)*($G$11-$E$11)*($G$11-$F$11))))</f>
        <v>0.0923306273714608</v>
      </c>
      <c r="H974" s="39" t="n">
        <f aca="false">(('Business Case'!B11*$C974*'Business Case'!B12*$B974)-'Business Case'!B11*$C974*'Business Case'!B13*$D974-'Business Case'!B14*$E974)-MAX(0,(('Business Case'!B11*$C974*'Business Case'!B12*$B974)-'Business Case'!B11*$C974*'Business Case'!B13*$D974-'Business Case'!B14*$E974))*'Business Case'!$B$7-'Business Case'!$B$8*('Business Case'!B11*$C974*'Business Case'!B12*$B974)-'Business Case'!B15*$F974</f>
        <v>-2468332219.9066</v>
      </c>
      <c r="I974" s="39" t="n">
        <f aca="false">(('Business Case'!C11*$C974*'Business Case'!C12*$B974)-'Business Case'!C11*$C974*'Business Case'!C13*$D974-'Business Case'!C14*$E974)-MAX(0,(('Business Case'!C11*$C974*'Business Case'!C12*$B974)-'Business Case'!C11*$C974*'Business Case'!C13*$D974-'Business Case'!C14*$E974))*'Business Case'!$B$7-'Business Case'!$B$8*(('Business Case'!C11*$C974*'Business Case'!C12*$B974)-('Business Case'!B11*$C974*'Business Case'!B12*$B974))-'Business Case'!C15*$F974</f>
        <v>-64423010.0137643</v>
      </c>
      <c r="J974" s="39" t="n">
        <f aca="false">(('Business Case'!D11*$C974*'Business Case'!D12*$B974)-'Business Case'!D11*$C974*'Business Case'!D13*$D974-'Business Case'!D14*$E974)-MAX(0,(('Business Case'!D11*$C974*'Business Case'!D12*$B974)-'Business Case'!D11*$C974*'Business Case'!D13*$D974-'Business Case'!D14*$E974))*'Business Case'!$B$7-'Business Case'!$B$8*(('Business Case'!D11*$C974*'Business Case'!D12*$B974)-('Business Case'!C11*$C974*'Business Case'!C12*$B974))-'Business Case'!D15*$F974</f>
        <v>168548272.814164</v>
      </c>
      <c r="K974" s="39" t="n">
        <f aca="false">(('Business Case'!E11*$C974*'Business Case'!E12*$B974)-'Business Case'!E11*$C974*'Business Case'!E13*$D974-'Business Case'!E14*$E974)-MAX(0,(('Business Case'!E11*$C974*'Business Case'!E12*$B974)-'Business Case'!E11*$C974*'Business Case'!E13*$D974-'Business Case'!E14*$E974))*'Business Case'!$B$7-'Business Case'!$B$8*(('Business Case'!E11*$C974*'Business Case'!E12*$B974)-('Business Case'!D11*$C974*'Business Case'!D12*$B974))-'Business Case'!E15*$F974</f>
        <v>463227861.139758</v>
      </c>
      <c r="L974" s="39" t="n">
        <f aca="false">(('Business Case'!F11*$C974*'Business Case'!F12*$B974)-'Business Case'!F11*$C974*'Business Case'!F13*$D974-'Business Case'!F14*$E974)-MAX(0,(('Business Case'!F11*$C974*'Business Case'!F12*$B974)-'Business Case'!F11*$C974*'Business Case'!F13*$D974-'Business Case'!F14*$E974))*'Business Case'!$B$7-'Business Case'!$B$8*(('Business Case'!F11*$C974*'Business Case'!F12*$B974)-('Business Case'!E11*$C974*'Business Case'!E12*$B974))-'Business Case'!F15*$F974</f>
        <v>567653879.417145</v>
      </c>
      <c r="M974" s="39" t="n">
        <f aca="false">(('Business Case'!G11*$C974*'Business Case'!G12*$B974)-'Business Case'!G11*$C974*'Business Case'!G13*$D974-'Business Case'!G14*$E974)-MAX(0,(('Business Case'!G11*$C974*'Business Case'!G12*$B974)-'Business Case'!G11*$C974*'Business Case'!G13*$D974-'Business Case'!G14*$E974))*'Business Case'!$B$7-'Business Case'!$B$8*(('Business Case'!G11*$C974*'Business Case'!G12*$B974)-('Business Case'!F11*$C974*'Business Case'!F12*$B974))-'Business Case'!G15*$F974+'Business Case'!$B$8*('Business Case'!G11*$C974*'Business Case'!G12*$B974)</f>
        <v>714882961.424904</v>
      </c>
      <c r="N974" s="39" t="n">
        <f aca="false">IF(COUNT('Business Case'!B11:G11)=0,"",H974+NPV(G974,I974:M974))</f>
        <v>-1172230087.2074</v>
      </c>
      <c r="P974" s="40" t="n">
        <f aca="true">RAND()</f>
        <v>0.675838177535909</v>
      </c>
      <c r="Q974" s="40" t="n">
        <f aca="true">RAND()</f>
        <v>0.0405932640542707</v>
      </c>
      <c r="R974" s="40" t="n">
        <f aca="true">RAND()</f>
        <v>0.497180303597865</v>
      </c>
      <c r="S974" s="40" t="n">
        <f aca="true">RAND()</f>
        <v>0.0675655292561072</v>
      </c>
      <c r="T974" s="40" t="n">
        <f aca="true">RAND()</f>
        <v>0.996657172346521</v>
      </c>
      <c r="U974" s="40" t="n">
        <f aca="true">RAND()</f>
        <v>0.152044371373819</v>
      </c>
    </row>
    <row r="975" customFormat="false" ht="15" hidden="false" customHeight="false" outlineLevel="0" collapsed="false">
      <c r="A975" s="36" t="n">
        <v>895</v>
      </c>
      <c r="B975" s="37" t="n">
        <f aca="false">1+IF($G$6=$E$6,$F$6,IF(P975&lt;($F$6-$E$6)/($G$6-$E$6),$E$6+SQRT(P975*($G$6-$E$6)*($F$6-$E$6)),$G$6-SQRT((1-P975)*($G$6-$E$6)*($G$6-$F$6))))</f>
        <v>0.953277171576361</v>
      </c>
      <c r="C975" s="37" t="n">
        <f aca="false">1+IF($G$7=$E$7,$F$7,IF(Q975&lt;($F$7-$E$7)/($G$7-$E$7),$E$7+SQRT(Q975*($G$7-$E$7)*($F$7-$E$7)),$G$7-SQRT((1-Q975)*($G$7-$E$7)*($G$7-$F$7))))</f>
        <v>0.937830682135944</v>
      </c>
      <c r="D975" s="37" t="n">
        <f aca="false">1+IF($G$8=$E$8,$F$8,IF(R975&lt;($F$8-$E$8)/($G$8-$E$8),$E$8+SQRT(R975*($G$8-$E$8)*($F$8-$E$8)),$G$8-SQRT((1-R975)*($G$8-$E$8)*($G$8-$F$8))))</f>
        <v>1.00693251010663</v>
      </c>
      <c r="E975" s="37" t="n">
        <f aca="false">1+IF($G$9=$E$9,$F$9,IF(S975&lt;($F$9-$E$9)/($G$9-$E$9),$E$9+SQRT(S975*($G$9-$E$9)*($F$9-$E$9)),$G$9-SQRT((1-S975)*($G$9-$E$9)*($G$9-$F$9))))</f>
        <v>1.01948506860074</v>
      </c>
      <c r="F975" s="37" t="n">
        <f aca="false">1+IF($G$10=$E$10,$F$10,IF(T975&lt;($F$10-$E$10)/($G$10-$E$10),$E$10+SQRT(T975*($G$10-$E$10)*($F$10-$E$10)),$G$10-SQRT((1-T975)*($G$10-$E$10)*($G$10-$F$10))))</f>
        <v>1.00106477869031</v>
      </c>
      <c r="G975" s="38" t="n">
        <f aca="false">IF($G$11=$E$11,$F$11,IF(U975&lt;($F$11-$E$11)/($G$11-$E$11),$E$11+SQRT(U975*($G$11-$E$11)*($F$11-$E$11)),$G$11-SQRT((1-U975)*($G$11-$E$11)*($G$11-$F$11))))</f>
        <v>0.109144786256808</v>
      </c>
      <c r="H975" s="39" t="n">
        <f aca="false">(('Business Case'!B11*$C975*'Business Case'!B12*$B975)-'Business Case'!B11*$C975*'Business Case'!B13*$D975-'Business Case'!B14*$E975)-MAX(0,(('Business Case'!B11*$C975*'Business Case'!B12*$B975)-'Business Case'!B11*$C975*'Business Case'!B13*$D975-'Business Case'!B14*$E975))*'Business Case'!$B$7-'Business Case'!$B$8*('Business Case'!B11*$C975*'Business Case'!B12*$B975)-'Business Case'!B15*$F975</f>
        <v>-2002129557.38063</v>
      </c>
      <c r="I975" s="39" t="n">
        <f aca="false">(('Business Case'!C11*$C975*'Business Case'!C12*$B975)-'Business Case'!C11*$C975*'Business Case'!C13*$D975-'Business Case'!C14*$E975)-MAX(0,(('Business Case'!C11*$C975*'Business Case'!C12*$B975)-'Business Case'!C11*$C975*'Business Case'!C13*$D975-'Business Case'!C14*$E975))*'Business Case'!$B$7-'Business Case'!$B$8*(('Business Case'!C11*$C975*'Business Case'!C12*$B975)-('Business Case'!B11*$C975*'Business Case'!B12*$B975))-'Business Case'!C15*$F975</f>
        <v>-42584736.0476595</v>
      </c>
      <c r="J975" s="39" t="n">
        <f aca="false">(('Business Case'!D11*$C975*'Business Case'!D12*$B975)-'Business Case'!D11*$C975*'Business Case'!D13*$D975-'Business Case'!D14*$E975)-MAX(0,(('Business Case'!D11*$C975*'Business Case'!D12*$B975)-'Business Case'!D11*$C975*'Business Case'!D13*$D975-'Business Case'!D14*$E975))*'Business Case'!$B$7-'Business Case'!$B$8*(('Business Case'!D11*$C975*'Business Case'!D12*$B975)-('Business Case'!C11*$C975*'Business Case'!C12*$B975))-'Business Case'!D15*$F975</f>
        <v>206253394.680296</v>
      </c>
      <c r="K975" s="39" t="n">
        <f aca="false">(('Business Case'!E11*$C975*'Business Case'!E12*$B975)-'Business Case'!E11*$C975*'Business Case'!E13*$D975-'Business Case'!E14*$E975)-MAX(0,(('Business Case'!E11*$C975*'Business Case'!E12*$B975)-'Business Case'!E11*$C975*'Business Case'!E13*$D975-'Business Case'!E14*$E975))*'Business Case'!$B$7-'Business Case'!$B$8*(('Business Case'!E11*$C975*'Business Case'!E12*$B975)-('Business Case'!D11*$C975*'Business Case'!D12*$B975))-'Business Case'!E15*$F975</f>
        <v>505144764.342767</v>
      </c>
      <c r="L975" s="39" t="n">
        <f aca="false">(('Business Case'!F11*$C975*'Business Case'!F12*$B975)-'Business Case'!F11*$C975*'Business Case'!F13*$D975-'Business Case'!F14*$E975)-MAX(0,(('Business Case'!F11*$C975*'Business Case'!F12*$B975)-'Business Case'!F11*$C975*'Business Case'!F13*$D975-'Business Case'!F14*$E975))*'Business Case'!$B$7-'Business Case'!$B$8*(('Business Case'!F11*$C975*'Business Case'!F12*$B975)-('Business Case'!E11*$C975*'Business Case'!E12*$B975))-'Business Case'!F15*$F975</f>
        <v>618987882.686459</v>
      </c>
      <c r="M975" s="39" t="n">
        <f aca="false">(('Business Case'!G11*$C975*'Business Case'!G12*$B975)-'Business Case'!G11*$C975*'Business Case'!G13*$D975-'Business Case'!G14*$E975)-MAX(0,(('Business Case'!G11*$C975*'Business Case'!G12*$B975)-'Business Case'!G11*$C975*'Business Case'!G13*$D975-'Business Case'!G14*$E975))*'Business Case'!$B$7-'Business Case'!$B$8*(('Business Case'!G11*$C975*'Business Case'!G12*$B975)-('Business Case'!F11*$C975*'Business Case'!F12*$B975))-'Business Case'!G15*$F975+'Business Case'!$B$8*('Business Case'!G11*$C975*'Business Case'!G12*$B975)</f>
        <v>788921793.908841</v>
      </c>
      <c r="N975" s="39" t="n">
        <f aca="false">IF(COUNT('Business Case'!B11:G11)=0,"",H975+NPV(G975,I975:M975))</f>
        <v>-623653096.578406</v>
      </c>
      <c r="P975" s="40" t="n">
        <f aca="true">RAND()</f>
        <v>0.189230467411801</v>
      </c>
      <c r="Q975" s="40" t="n">
        <f aca="true">RAND()</f>
        <v>0.418988395298138</v>
      </c>
      <c r="R975" s="40" t="n">
        <f aca="true">RAND()</f>
        <v>0.422562821663206</v>
      </c>
      <c r="S975" s="40" t="n">
        <f aca="true">RAND()</f>
        <v>0.545756071515894</v>
      </c>
      <c r="T975" s="40" t="n">
        <f aca="true">RAND()</f>
        <v>0.173750074553298</v>
      </c>
      <c r="U975" s="40" t="n">
        <f aca="true">RAND()</f>
        <v>0.710040039817171</v>
      </c>
    </row>
    <row r="976" customFormat="false" ht="15" hidden="false" customHeight="false" outlineLevel="0" collapsed="false">
      <c r="A976" s="36" t="n">
        <v>896</v>
      </c>
      <c r="B976" s="37" t="n">
        <f aca="false">1+IF($G$6=$E$6,$F$6,IF(P976&lt;($F$6-$E$6)/($G$6-$E$6),$E$6+SQRT(P976*($G$6-$E$6)*($F$6-$E$6)),$G$6-SQRT((1-P976)*($G$6-$E$6)*($G$6-$F$6))))</f>
        <v>0.974049079729236</v>
      </c>
      <c r="C976" s="37" t="n">
        <f aca="false">1+IF($G$7=$E$7,$F$7,IF(Q976&lt;($F$7-$E$7)/($G$7-$E$7),$E$7+SQRT(Q976*($G$7-$E$7)*($F$7-$E$7)),$G$7-SQRT((1-Q976)*($G$7-$E$7)*($G$7-$F$7))))</f>
        <v>0.772075261751067</v>
      </c>
      <c r="D976" s="37" t="n">
        <f aca="false">1+IF($G$8=$E$8,$F$8,IF(R976&lt;($F$8-$E$8)/($G$8-$E$8),$E$8+SQRT(R976*($G$8-$E$8)*($F$8-$E$8)),$G$8-SQRT((1-R976)*($G$8-$E$8)*($G$8-$F$8))))</f>
        <v>1.00570947053281</v>
      </c>
      <c r="E976" s="37" t="n">
        <f aca="false">1+IF($G$9=$E$9,$F$9,IF(S976&lt;($F$9-$E$9)/($G$9-$E$9),$E$9+SQRT(S976*($G$9-$E$9)*($F$9-$E$9)),$G$9-SQRT((1-S976)*($G$9-$E$9)*($G$9-$F$9))))</f>
        <v>1.02254405190882</v>
      </c>
      <c r="F976" s="37" t="n">
        <f aca="false">1+IF($G$10=$E$10,$F$10,IF(T976&lt;($F$10-$E$10)/($G$10-$E$10),$E$10+SQRT(T976*($G$10-$E$10)*($F$10-$E$10)),$G$10-SQRT((1-T976)*($G$10-$E$10)*($G$10-$F$10))))</f>
        <v>0.985998998452453</v>
      </c>
      <c r="G976" s="38" t="n">
        <f aca="false">IF($G$11=$E$11,$F$11,IF(U976&lt;($F$11-$E$11)/($G$11-$E$11),$E$11+SQRT(U976*($G$11-$E$11)*($F$11-$E$11)),$G$11-SQRT((1-U976)*($G$11-$E$11)*($G$11-$F$11))))</f>
        <v>0.0941836178270295</v>
      </c>
      <c r="H976" s="39" t="n">
        <f aca="false">(('Business Case'!B11*$C976*'Business Case'!B12*$B976)-'Business Case'!B11*$C976*'Business Case'!B13*$D976-'Business Case'!B14*$E976)-MAX(0,(('Business Case'!B11*$C976*'Business Case'!B12*$B976)-'Business Case'!B11*$C976*'Business Case'!B13*$D976-'Business Case'!B14*$E976))*'Business Case'!$B$7-'Business Case'!$B$8*('Business Case'!B11*$C976*'Business Case'!B12*$B976)-'Business Case'!B15*$F976</f>
        <v>-1971997996.90491</v>
      </c>
      <c r="I976" s="39" t="n">
        <f aca="false">(('Business Case'!C11*$C976*'Business Case'!C12*$B976)-'Business Case'!C11*$C976*'Business Case'!C13*$D976-'Business Case'!C14*$E976)-MAX(0,(('Business Case'!C11*$C976*'Business Case'!C12*$B976)-'Business Case'!C11*$C976*'Business Case'!C13*$D976-'Business Case'!C14*$E976))*'Business Case'!$B$7-'Business Case'!$B$8*(('Business Case'!C11*$C976*'Business Case'!C12*$B976)-('Business Case'!B11*$C976*'Business Case'!B12*$B976))-'Business Case'!C15*$F976</f>
        <v>-64514509.4345548</v>
      </c>
      <c r="J976" s="39" t="n">
        <f aca="false">(('Business Case'!D11*$C976*'Business Case'!D12*$B976)-'Business Case'!D11*$C976*'Business Case'!D13*$D976-'Business Case'!D14*$E976)-MAX(0,(('Business Case'!D11*$C976*'Business Case'!D12*$B976)-'Business Case'!D11*$C976*'Business Case'!D13*$D976-'Business Case'!D14*$E976))*'Business Case'!$B$7-'Business Case'!$B$8*(('Business Case'!D11*$C976*'Business Case'!D12*$B976)-('Business Case'!C11*$C976*'Business Case'!C12*$B976))-'Business Case'!D15*$F976</f>
        <v>153962357.191757</v>
      </c>
      <c r="K976" s="39" t="n">
        <f aca="false">(('Business Case'!E11*$C976*'Business Case'!E12*$B976)-'Business Case'!E11*$C976*'Business Case'!E13*$D976-'Business Case'!E14*$E976)-MAX(0,(('Business Case'!E11*$C976*'Business Case'!E12*$B976)-'Business Case'!E11*$C976*'Business Case'!E13*$D976-'Business Case'!E14*$E976))*'Business Case'!$B$7-'Business Case'!$B$8*(('Business Case'!E11*$C976*'Business Case'!E12*$B976)-('Business Case'!D11*$C976*'Business Case'!D12*$B976))-'Business Case'!E15*$F976</f>
        <v>421739173.740692</v>
      </c>
      <c r="L976" s="39" t="n">
        <f aca="false">(('Business Case'!F11*$C976*'Business Case'!F12*$B976)-'Business Case'!F11*$C976*'Business Case'!F13*$D976-'Business Case'!F14*$E976)-MAX(0,(('Business Case'!F11*$C976*'Business Case'!F12*$B976)-'Business Case'!F11*$C976*'Business Case'!F13*$D976-'Business Case'!F14*$E976))*'Business Case'!$B$7-'Business Case'!$B$8*(('Business Case'!F11*$C976*'Business Case'!F12*$B976)-('Business Case'!E11*$C976*'Business Case'!E12*$B976))-'Business Case'!F15*$F976</f>
        <v>520555270.63892</v>
      </c>
      <c r="M976" s="39" t="n">
        <f aca="false">(('Business Case'!G11*$C976*'Business Case'!G12*$B976)-'Business Case'!G11*$C976*'Business Case'!G13*$D976-'Business Case'!G14*$E976)-MAX(0,(('Business Case'!G11*$C976*'Business Case'!G12*$B976)-'Business Case'!G11*$C976*'Business Case'!G13*$D976-'Business Case'!G14*$E976))*'Business Case'!$B$7-'Business Case'!$B$8*(('Business Case'!G11*$C976*'Business Case'!G12*$B976)-('Business Case'!F11*$C976*'Business Case'!F12*$B976))-'Business Case'!G15*$F976+'Business Case'!$B$8*('Business Case'!G11*$C976*'Business Case'!G12*$B976)</f>
        <v>663502881.430939</v>
      </c>
      <c r="N976" s="39" t="n">
        <f aca="false">IF(COUNT('Business Case'!B11:G11)=0,"",H976+NPV(G976,I976:M976))</f>
        <v>-794205774.287628</v>
      </c>
      <c r="P976" s="40" t="n">
        <f aca="true">RAND()</f>
        <v>0.365551080583118</v>
      </c>
      <c r="Q976" s="40" t="n">
        <f aca="true">RAND()</f>
        <v>0.0384803211591469</v>
      </c>
      <c r="R976" s="40" t="n">
        <f aca="true">RAND()</f>
        <v>0.407286403519821</v>
      </c>
      <c r="S976" s="40" t="n">
        <f aca="true">RAND()</f>
        <v>0.566799501231431</v>
      </c>
      <c r="T976" s="40" t="n">
        <f aca="true">RAND()</f>
        <v>0.0863951926386464</v>
      </c>
      <c r="U976" s="40" t="n">
        <f aca="true">RAND()</f>
        <v>0.20117501466323</v>
      </c>
    </row>
    <row r="977" customFormat="false" ht="15" hidden="false" customHeight="false" outlineLevel="0" collapsed="false">
      <c r="A977" s="36" t="n">
        <v>897</v>
      </c>
      <c r="B977" s="37" t="n">
        <f aca="false">1+IF($G$6=$E$6,$F$6,IF(P977&lt;($F$6-$E$6)/($G$6-$E$6),$E$6+SQRT(P977*($G$6-$E$6)*($F$6-$E$6)),$G$6-SQRT((1-P977)*($G$6-$E$6)*($G$6-$F$6))))</f>
        <v>0.931595831833382</v>
      </c>
      <c r="C977" s="37" t="n">
        <f aca="false">1+IF($G$7=$E$7,$F$7,IF(Q977&lt;($F$7-$E$7)/($G$7-$E$7),$E$7+SQRT(Q977*($G$7-$E$7)*($F$7-$E$7)),$G$7-SQRT((1-Q977)*($G$7-$E$7)*($G$7-$F$7))))</f>
        <v>0.967783766846926</v>
      </c>
      <c r="D977" s="37" t="n">
        <f aca="false">1+IF($G$8=$E$8,$F$8,IF(R977&lt;($F$8-$E$8)/($G$8-$E$8),$E$8+SQRT(R977*($G$8-$E$8)*($F$8-$E$8)),$G$8-SQRT((1-R977)*($G$8-$E$8)*($G$8-$F$8))))</f>
        <v>0.978963675647221</v>
      </c>
      <c r="E977" s="37" t="n">
        <f aca="false">1+IF($G$9=$E$9,$F$9,IF(S977&lt;($F$9-$E$9)/($G$9-$E$9),$E$9+SQRT(S977*($G$9-$E$9)*($F$9-$E$9)),$G$9-SQRT((1-S977)*($G$9-$E$9)*($G$9-$F$9))))</f>
        <v>1.00329346723392</v>
      </c>
      <c r="F977" s="37" t="n">
        <f aca="false">1+IF($G$10=$E$10,$F$10,IF(T977&lt;($F$10-$E$10)/($G$10-$E$10),$E$10+SQRT(T977*($G$10-$E$10)*($F$10-$E$10)),$G$10-SQRT((1-T977)*($G$10-$E$10)*($G$10-$F$10))))</f>
        <v>0.996071726097528</v>
      </c>
      <c r="G977" s="38" t="n">
        <f aca="false">IF($G$11=$E$11,$F$11,IF(U977&lt;($F$11-$E$11)/($G$11-$E$11),$E$11+SQRT(U977*($G$11-$E$11)*($F$11-$E$11)),$G$11-SQRT((1-U977)*($G$11-$E$11)*($G$11-$F$11))))</f>
        <v>0.114409875807057</v>
      </c>
      <c r="H977" s="39" t="n">
        <f aca="false">(('Business Case'!B11*$C977*'Business Case'!B12*$B977)-'Business Case'!B11*$C977*'Business Case'!B13*$D977-'Business Case'!B14*$E977)-MAX(0,(('Business Case'!B11*$C977*'Business Case'!B12*$B977)-'Business Case'!B11*$C977*'Business Case'!B13*$D977-'Business Case'!B14*$E977))*'Business Case'!$B$7-'Business Case'!$B$8*('Business Case'!B11*$C977*'Business Case'!B12*$B977)-'Business Case'!B15*$F977</f>
        <v>-1992143452.19506</v>
      </c>
      <c r="I977" s="39" t="n">
        <f aca="false">(('Business Case'!C11*$C977*'Business Case'!C12*$B977)-'Business Case'!C11*$C977*'Business Case'!C13*$D977-'Business Case'!C14*$E977)-MAX(0,(('Business Case'!C11*$C977*'Business Case'!C12*$B977)-'Business Case'!C11*$C977*'Business Case'!C13*$D977-'Business Case'!C14*$E977))*'Business Case'!$B$7-'Business Case'!$B$8*(('Business Case'!C11*$C977*'Business Case'!C12*$B977)-('Business Case'!B11*$C977*'Business Case'!B12*$B977))-'Business Case'!C15*$F977</f>
        <v>-35557811.9834638</v>
      </c>
      <c r="J977" s="39" t="n">
        <f aca="false">(('Business Case'!D11*$C977*'Business Case'!D12*$B977)-'Business Case'!D11*$C977*'Business Case'!D13*$D977-'Business Case'!D14*$E977)-MAX(0,(('Business Case'!D11*$C977*'Business Case'!D12*$B977)-'Business Case'!D11*$C977*'Business Case'!D13*$D977-'Business Case'!D14*$E977))*'Business Case'!$B$7-'Business Case'!$B$8*(('Business Case'!D11*$C977*'Business Case'!D12*$B977)-('Business Case'!C11*$C977*'Business Case'!C12*$B977))-'Business Case'!D15*$F977</f>
        <v>217897959.16391</v>
      </c>
      <c r="K977" s="39" t="n">
        <f aca="false">(('Business Case'!E11*$C977*'Business Case'!E12*$B977)-'Business Case'!E11*$C977*'Business Case'!E13*$D977-'Business Case'!E14*$E977)-MAX(0,(('Business Case'!E11*$C977*'Business Case'!E12*$B977)-'Business Case'!E11*$C977*'Business Case'!E13*$D977-'Business Case'!E14*$E977))*'Business Case'!$B$7-'Business Case'!$B$8*(('Business Case'!E11*$C977*'Business Case'!E12*$B977)-('Business Case'!D11*$C977*'Business Case'!D12*$B977))-'Business Case'!E15*$F977</f>
        <v>521157316.616161</v>
      </c>
      <c r="L977" s="39" t="n">
        <f aca="false">(('Business Case'!F11*$C977*'Business Case'!F12*$B977)-'Business Case'!F11*$C977*'Business Case'!F13*$D977-'Business Case'!F14*$E977)-MAX(0,(('Business Case'!F11*$C977*'Business Case'!F12*$B977)-'Business Case'!F11*$C977*'Business Case'!F13*$D977-'Business Case'!F14*$E977))*'Business Case'!$B$7-'Business Case'!$B$8*(('Business Case'!F11*$C977*'Business Case'!F12*$B977)-('Business Case'!E11*$C977*'Business Case'!E12*$B977))-'Business Case'!F15*$F977</f>
        <v>636801293.318901</v>
      </c>
      <c r="M977" s="39" t="n">
        <f aca="false">(('Business Case'!G11*$C977*'Business Case'!G12*$B977)-'Business Case'!G11*$C977*'Business Case'!G13*$D977-'Business Case'!G14*$E977)-MAX(0,(('Business Case'!G11*$C977*'Business Case'!G12*$B977)-'Business Case'!G11*$C977*'Business Case'!G13*$D977-'Business Case'!G14*$E977))*'Business Case'!$B$7-'Business Case'!$B$8*(('Business Case'!G11*$C977*'Business Case'!G12*$B977)-('Business Case'!F11*$C977*'Business Case'!F12*$B977))-'Business Case'!G15*$F977+'Business Case'!$B$8*('Business Case'!G11*$C977*'Business Case'!G12*$B977)</f>
        <v>808174251.413781</v>
      </c>
      <c r="N977" s="39" t="n">
        <f aca="false">IF(COUNT('Business Case'!B11:G11)=0,"",H977+NPV(G977,I977:M977))</f>
        <v>-588959239.220044</v>
      </c>
      <c r="P977" s="40" t="n">
        <f aca="true">RAND()</f>
        <v>0.0665531059495551</v>
      </c>
      <c r="Q977" s="40" t="n">
        <f aca="true">RAND()</f>
        <v>0.531171450272065</v>
      </c>
      <c r="R977" s="40" t="n">
        <f aca="true">RAND()</f>
        <v>0.111852600932988</v>
      </c>
      <c r="S977" s="40" t="n">
        <f aca="true">RAND()</f>
        <v>0.426058486500128</v>
      </c>
      <c r="T977" s="40" t="n">
        <f aca="true">RAND()</f>
        <v>0.141506929707041</v>
      </c>
      <c r="U977" s="40" t="n">
        <f aca="true">RAND()</f>
        <v>0.837965351765749</v>
      </c>
    </row>
    <row r="978" customFormat="false" ht="15" hidden="false" customHeight="false" outlineLevel="0" collapsed="false">
      <c r="A978" s="36" t="n">
        <v>898</v>
      </c>
      <c r="B978" s="37" t="n">
        <f aca="false">1+IF($G$6=$E$6,$F$6,IF(P978&lt;($F$6-$E$6)/($G$6-$E$6),$E$6+SQRT(P978*($G$6-$E$6)*($F$6-$E$6)),$G$6-SQRT((1-P978)*($G$6-$E$6)*($G$6-$F$6))))</f>
        <v>0.929830175429896</v>
      </c>
      <c r="C978" s="37" t="n">
        <f aca="false">1+IF($G$7=$E$7,$F$7,IF(Q978&lt;($F$7-$E$7)/($G$7-$E$7),$E$7+SQRT(Q978*($G$7-$E$7)*($F$7-$E$7)),$G$7-SQRT((1-Q978)*($G$7-$E$7)*($G$7-$F$7))))</f>
        <v>1.05006239102839</v>
      </c>
      <c r="D978" s="37" t="n">
        <f aca="false">1+IF($G$8=$E$8,$F$8,IF(R978&lt;($F$8-$E$8)/($G$8-$E$8),$E$8+SQRT(R978*($G$8-$E$8)*($F$8-$E$8)),$G$8-SQRT((1-R978)*($G$8-$E$8)*($G$8-$F$8))))</f>
        <v>0.991669204647613</v>
      </c>
      <c r="E978" s="37" t="n">
        <f aca="false">1+IF($G$9=$E$9,$F$9,IF(S978&lt;($F$9-$E$9)/($G$9-$E$9),$E$9+SQRT(S978*($G$9-$E$9)*($F$9-$E$9)),$G$9-SQRT((1-S978)*($G$9-$E$9)*($G$9-$F$9))))</f>
        <v>0.989747048581089</v>
      </c>
      <c r="F978" s="37" t="n">
        <f aca="false">1+IF($G$10=$E$10,$F$10,IF(T978&lt;($F$10-$E$10)/($G$10-$E$10),$E$10+SQRT(T978*($G$10-$E$10)*($F$10-$E$10)),$G$10-SQRT((1-T978)*($G$10-$E$10)*($G$10-$F$10))))</f>
        <v>1.02723567224267</v>
      </c>
      <c r="G978" s="38" t="n">
        <f aca="false">IF($G$11=$E$11,$F$11,IF(U978&lt;($F$11-$E$11)/($G$11-$E$11),$E$11+SQRT(U978*($G$11-$E$11)*($F$11-$E$11)),$G$11-SQRT((1-U978)*($G$11-$E$11)*($G$11-$F$11))))</f>
        <v>0.114335213408025</v>
      </c>
      <c r="H978" s="39" t="n">
        <f aca="false">(('Business Case'!B11*$C978*'Business Case'!B12*$B978)-'Business Case'!B11*$C978*'Business Case'!B13*$D978-'Business Case'!B14*$E978)-MAX(0,(('Business Case'!B11*$C978*'Business Case'!B12*$B978)-'Business Case'!B11*$C978*'Business Case'!B13*$D978-'Business Case'!B14*$E978))*'Business Case'!$B$7-'Business Case'!$B$8*('Business Case'!B11*$C978*'Business Case'!B12*$B978)-'Business Case'!B15*$F978</f>
        <v>-2054471344.48533</v>
      </c>
      <c r="I978" s="39" t="n">
        <f aca="false">(('Business Case'!C11*$C978*'Business Case'!C12*$B978)-'Business Case'!C11*$C978*'Business Case'!C13*$D978-'Business Case'!C14*$E978)-MAX(0,(('Business Case'!C11*$C978*'Business Case'!C12*$B978)-'Business Case'!C11*$C978*'Business Case'!C13*$D978-'Business Case'!C14*$E978))*'Business Case'!$B$7-'Business Case'!$B$8*(('Business Case'!C11*$C978*'Business Case'!C12*$B978)-('Business Case'!B11*$C978*'Business Case'!B12*$B978))-'Business Case'!C15*$F978</f>
        <v>-27425586.9841314</v>
      </c>
      <c r="J978" s="39" t="n">
        <f aca="false">(('Business Case'!D11*$C978*'Business Case'!D12*$B978)-'Business Case'!D11*$C978*'Business Case'!D13*$D978-'Business Case'!D14*$E978)-MAX(0,(('Business Case'!D11*$C978*'Business Case'!D12*$B978)-'Business Case'!D11*$C978*'Business Case'!D13*$D978-'Business Case'!D14*$E978))*'Business Case'!$B$7-'Business Case'!$B$8*(('Business Case'!D11*$C978*'Business Case'!D12*$B978)-('Business Case'!C11*$C978*'Business Case'!C12*$B978))-'Business Case'!D15*$F978</f>
        <v>239229947.070311</v>
      </c>
      <c r="K978" s="39" t="n">
        <f aca="false">(('Business Case'!E11*$C978*'Business Case'!E12*$B978)-'Business Case'!E11*$C978*'Business Case'!E13*$D978-'Business Case'!E14*$E978)-MAX(0,(('Business Case'!E11*$C978*'Business Case'!E12*$B978)-'Business Case'!E11*$C978*'Business Case'!E13*$D978-'Business Case'!E14*$E978))*'Business Case'!$B$7-'Business Case'!$B$8*(('Business Case'!E11*$C978*'Business Case'!E12*$B978)-('Business Case'!D11*$C978*'Business Case'!D12*$B978))-'Business Case'!E15*$F978</f>
        <v>557247264.736886</v>
      </c>
      <c r="L978" s="39" t="n">
        <f aca="false">(('Business Case'!F11*$C978*'Business Case'!F12*$B978)-'Business Case'!F11*$C978*'Business Case'!F13*$D978-'Business Case'!F14*$E978)-MAX(0,(('Business Case'!F11*$C978*'Business Case'!F12*$B978)-'Business Case'!F11*$C978*'Business Case'!F13*$D978-'Business Case'!F14*$E978))*'Business Case'!$B$7-'Business Case'!$B$8*(('Business Case'!F11*$C978*'Business Case'!F12*$B978)-('Business Case'!E11*$C978*'Business Case'!E12*$B978))-'Business Case'!F15*$F978</f>
        <v>679876125.092417</v>
      </c>
      <c r="M978" s="39" t="n">
        <f aca="false">(('Business Case'!G11*$C978*'Business Case'!G12*$B978)-'Business Case'!G11*$C978*'Business Case'!G13*$D978-'Business Case'!G14*$E978)-MAX(0,(('Business Case'!G11*$C978*'Business Case'!G12*$B978)-'Business Case'!G11*$C978*'Business Case'!G13*$D978-'Business Case'!G14*$E978))*'Business Case'!$B$7-'Business Case'!$B$8*(('Business Case'!G11*$C978*'Business Case'!G12*$B978)-('Business Case'!F11*$C978*'Business Case'!F12*$B978))-'Business Case'!G15*$F978+'Business Case'!$B$8*('Business Case'!G11*$C978*'Business Case'!G12*$B978)</f>
        <v>865466377.948028</v>
      </c>
      <c r="N978" s="39" t="n">
        <f aca="false">IF(COUNT('Business Case'!B11:G11)=0,"",H978+NPV(G978,I978:M978))</f>
        <v>-539083507.188515</v>
      </c>
      <c r="P978" s="40" t="n">
        <f aca="true">RAND()</f>
        <v>0.0593226244118903</v>
      </c>
      <c r="Q978" s="40" t="n">
        <f aca="true">RAND()</f>
        <v>0.852036656489436</v>
      </c>
      <c r="R978" s="40" t="n">
        <f aca="true">RAND()</f>
        <v>0.231509682128626</v>
      </c>
      <c r="S978" s="40" t="n">
        <f aca="true">RAND()</f>
        <v>0.322181309160657</v>
      </c>
      <c r="T978" s="40" t="n">
        <f aca="true">RAND()</f>
        <v>0.338347390384316</v>
      </c>
      <c r="U978" s="40" t="n">
        <f aca="true">RAND()</f>
        <v>0.836409640685253</v>
      </c>
    </row>
    <row r="979" customFormat="false" ht="15" hidden="false" customHeight="false" outlineLevel="0" collapsed="false">
      <c r="A979" s="36" t="n">
        <v>899</v>
      </c>
      <c r="B979" s="37" t="n">
        <f aca="false">1+IF($G$6=$E$6,$F$6,IF(P979&lt;($F$6-$E$6)/($G$6-$E$6),$E$6+SQRT(P979*($G$6-$E$6)*($F$6-$E$6)),$G$6-SQRT((1-P979)*($G$6-$E$6)*($G$6-$F$6))))</f>
        <v>1.02141243283117</v>
      </c>
      <c r="C979" s="37" t="n">
        <f aca="false">1+IF($G$7=$E$7,$F$7,IF(Q979&lt;($F$7-$E$7)/($G$7-$E$7),$E$7+SQRT(Q979*($G$7-$E$7)*($F$7-$E$7)),$G$7-SQRT((1-Q979)*($G$7-$E$7)*($G$7-$F$7))))</f>
        <v>0.895111752745863</v>
      </c>
      <c r="D979" s="37" t="n">
        <f aca="false">1+IF($G$8=$E$8,$F$8,IF(R979&lt;($F$8-$E$8)/($G$8-$E$8),$E$8+SQRT(R979*($G$8-$E$8)*($F$8-$E$8)),$G$8-SQRT((1-R979)*($G$8-$E$8)*($G$8-$F$8))))</f>
        <v>0.980886770054941</v>
      </c>
      <c r="E979" s="37" t="n">
        <f aca="false">1+IF($G$9=$E$9,$F$9,IF(S979&lt;($F$9-$E$9)/($G$9-$E$9),$E$9+SQRT(S979*($G$9-$E$9)*($F$9-$E$9)),$G$9-SQRT((1-S979)*($G$9-$E$9)*($G$9-$F$9))))</f>
        <v>0.949185657247807</v>
      </c>
      <c r="F979" s="37" t="n">
        <f aca="false">1+IF($G$10=$E$10,$F$10,IF(T979&lt;($F$10-$E$10)/($G$10-$E$10),$E$10+SQRT(T979*($G$10-$E$10)*($F$10-$E$10)),$G$10-SQRT((1-T979)*($G$10-$E$10)*($G$10-$F$10))))</f>
        <v>0.980683370807216</v>
      </c>
      <c r="G979" s="38" t="n">
        <f aca="false">IF($G$11=$E$11,$F$11,IF(U979&lt;($F$11-$E$11)/($G$11-$E$11),$E$11+SQRT(U979*($G$11-$E$11)*($F$11-$E$11)),$G$11-SQRT((1-U979)*($G$11-$E$11)*($G$11-$F$11))))</f>
        <v>0.0925624823319115</v>
      </c>
      <c r="H979" s="39" t="n">
        <f aca="false">(('Business Case'!B11*$C979*'Business Case'!B12*$B979)-'Business Case'!B11*$C979*'Business Case'!B13*$D979-'Business Case'!B14*$E979)-MAX(0,(('Business Case'!B11*$C979*'Business Case'!B12*$B979)-'Business Case'!B11*$C979*'Business Case'!B13*$D979-'Business Case'!B14*$E979))*'Business Case'!$B$7-'Business Case'!$B$8*('Business Case'!B11*$C979*'Business Case'!B12*$B979)-'Business Case'!B15*$F979</f>
        <v>-1961366741.61443</v>
      </c>
      <c r="I979" s="39" t="n">
        <f aca="false">(('Business Case'!C11*$C979*'Business Case'!C12*$B979)-'Business Case'!C11*$C979*'Business Case'!C13*$D979-'Business Case'!C14*$E979)-MAX(0,(('Business Case'!C11*$C979*'Business Case'!C12*$B979)-'Business Case'!C11*$C979*'Business Case'!C13*$D979-'Business Case'!C14*$E979))*'Business Case'!$B$7-'Business Case'!$B$8*(('Business Case'!C11*$C979*'Business Case'!C12*$B979)-('Business Case'!B11*$C979*'Business Case'!B12*$B979))-'Business Case'!C15*$F979</f>
        <v>18953573.3860583</v>
      </c>
      <c r="J979" s="39" t="n">
        <f aca="false">(('Business Case'!D11*$C979*'Business Case'!D12*$B979)-'Business Case'!D11*$C979*'Business Case'!D13*$D979-'Business Case'!D14*$E979)-MAX(0,(('Business Case'!D11*$C979*'Business Case'!D12*$B979)-'Business Case'!D11*$C979*'Business Case'!D13*$D979-'Business Case'!D14*$E979))*'Business Case'!$B$7-'Business Case'!$B$8*(('Business Case'!D11*$C979*'Business Case'!D12*$B979)-('Business Case'!C11*$C979*'Business Case'!C12*$B979))-'Business Case'!D15*$F979</f>
        <v>318345869.987244</v>
      </c>
      <c r="K979" s="39" t="n">
        <f aca="false">(('Business Case'!E11*$C979*'Business Case'!E12*$B979)-'Business Case'!E11*$C979*'Business Case'!E13*$D979-'Business Case'!E14*$E979)-MAX(0,(('Business Case'!E11*$C979*'Business Case'!E12*$B979)-'Business Case'!E11*$C979*'Business Case'!E13*$D979-'Business Case'!E14*$E979))*'Business Case'!$B$7-'Business Case'!$B$8*(('Business Case'!E11*$C979*'Business Case'!E12*$B979)-('Business Case'!D11*$C979*'Business Case'!D12*$B979))-'Business Case'!E15*$F979</f>
        <v>666772335.12879</v>
      </c>
      <c r="L979" s="39" t="n">
        <f aca="false">(('Business Case'!F11*$C979*'Business Case'!F12*$B979)-'Business Case'!F11*$C979*'Business Case'!F13*$D979-'Business Case'!F14*$E979)-MAX(0,(('Business Case'!F11*$C979*'Business Case'!F12*$B979)-'Business Case'!F11*$C979*'Business Case'!F13*$D979-'Business Case'!F14*$E979))*'Business Case'!$B$7-'Business Case'!$B$8*(('Business Case'!F11*$C979*'Business Case'!F12*$B979)-('Business Case'!E11*$C979*'Business Case'!E12*$B979))-'Business Case'!F15*$F979</f>
        <v>798167224.445031</v>
      </c>
      <c r="M979" s="39" t="n">
        <f aca="false">(('Business Case'!G11*$C979*'Business Case'!G12*$B979)-'Business Case'!G11*$C979*'Business Case'!G13*$D979-'Business Case'!G14*$E979)-MAX(0,(('Business Case'!G11*$C979*'Business Case'!G12*$B979)-'Business Case'!G11*$C979*'Business Case'!G13*$D979-'Business Case'!G14*$E979))*'Business Case'!$B$7-'Business Case'!$B$8*(('Business Case'!G11*$C979*'Business Case'!G12*$B979)-('Business Case'!F11*$C979*'Business Case'!F12*$B979))-'Business Case'!G15*$F979+'Business Case'!$B$8*('Business Case'!G11*$C979*'Business Case'!G12*$B979)</f>
        <v>971953238.582179</v>
      </c>
      <c r="N979" s="39" t="n">
        <f aca="false">IF(COUNT('Business Case'!B11:G11)=0,"",H979+NPV(G979,I979:M979))</f>
        <v>18412726.661865</v>
      </c>
      <c r="P979" s="40" t="n">
        <f aca="true">RAND()</f>
        <v>0.891033467115695</v>
      </c>
      <c r="Q979" s="40" t="n">
        <f aca="true">RAND()</f>
        <v>0.281989600441205</v>
      </c>
      <c r="R979" s="40" t="n">
        <f aca="true">RAND()</f>
        <v>0.127199008590241</v>
      </c>
      <c r="S979" s="40" t="n">
        <f aca="true">RAND()</f>
        <v>0.0967691551559507</v>
      </c>
      <c r="T979" s="40" t="n">
        <f aca="true">RAND()</f>
        <v>0.0627646162728745</v>
      </c>
      <c r="U979" s="40" t="n">
        <f aca="true">RAND()</f>
        <v>0.157815962339589</v>
      </c>
    </row>
    <row r="980" customFormat="false" ht="15" hidden="false" customHeight="false" outlineLevel="0" collapsed="false">
      <c r="A980" s="36" t="n">
        <v>900</v>
      </c>
      <c r="B980" s="37" t="n">
        <f aca="false">1+IF($G$6=$E$6,$F$6,IF(P980&lt;($F$6-$E$6)/($G$6-$E$6),$E$6+SQRT(P980*($G$6-$E$6)*($F$6-$E$6)),$G$6-SQRT((1-P980)*($G$6-$E$6)*($G$6-$F$6))))</f>
        <v>0.955608733737271</v>
      </c>
      <c r="C980" s="37" t="n">
        <f aca="false">1+IF($G$7=$E$7,$F$7,IF(Q980&lt;($F$7-$E$7)/($G$7-$E$7),$E$7+SQRT(Q980*($G$7-$E$7)*($F$7-$E$7)),$G$7-SQRT((1-Q980)*($G$7-$E$7)*($G$7-$F$7))))</f>
        <v>1.07863770207546</v>
      </c>
      <c r="D980" s="37" t="n">
        <f aca="false">1+IF($G$8=$E$8,$F$8,IF(R980&lt;($F$8-$E$8)/($G$8-$E$8),$E$8+SQRT(R980*($G$8-$E$8)*($F$8-$E$8)),$G$8-SQRT((1-R980)*($G$8-$E$8)*($G$8-$F$8))))</f>
        <v>0.970902338230589</v>
      </c>
      <c r="E980" s="37" t="n">
        <f aca="false">1+IF($G$9=$E$9,$F$9,IF(S980&lt;($F$9-$E$9)/($G$9-$E$9),$E$9+SQRT(S980*($G$9-$E$9)*($F$9-$E$9)),$G$9-SQRT((1-S980)*($G$9-$E$9)*($G$9-$F$9))))</f>
        <v>1.06951075381855</v>
      </c>
      <c r="F980" s="37" t="n">
        <f aca="false">1+IF($G$10=$E$10,$F$10,IF(T980&lt;($F$10-$E$10)/($G$10-$E$10),$E$10+SQRT(T980*($G$10-$E$10)*($F$10-$E$10)),$G$10-SQRT((1-T980)*($G$10-$E$10)*($G$10-$F$10))))</f>
        <v>1.12877421813472</v>
      </c>
      <c r="G980" s="38" t="n">
        <f aca="false">IF($G$11=$E$11,$F$11,IF(U980&lt;($F$11-$E$11)/($G$11-$E$11),$E$11+SQRT(U980*($G$11-$E$11)*($F$11-$E$11)),$G$11-SQRT((1-U980)*($G$11-$E$11)*($G$11-$F$11))))</f>
        <v>0.108596061222464</v>
      </c>
      <c r="H980" s="39" t="n">
        <f aca="false">(('Business Case'!B11*$C980*'Business Case'!B12*$B980)-'Business Case'!B11*$C980*'Business Case'!B13*$D980-'Business Case'!B14*$E980)-MAX(0,(('Business Case'!B11*$C980*'Business Case'!B12*$B980)-'Business Case'!B11*$C980*'Business Case'!B13*$D980-'Business Case'!B14*$E980))*'Business Case'!$B$7-'Business Case'!$B$8*('Business Case'!B11*$C980*'Business Case'!B12*$B980)-'Business Case'!B15*$F980</f>
        <v>-2257548436.26943</v>
      </c>
      <c r="I980" s="39" t="n">
        <f aca="false">(('Business Case'!C11*$C980*'Business Case'!C12*$B980)-'Business Case'!C11*$C980*'Business Case'!C13*$D980-'Business Case'!C14*$E980)-MAX(0,(('Business Case'!C11*$C980*'Business Case'!C12*$B980)-'Business Case'!C11*$C980*'Business Case'!C13*$D980-'Business Case'!C14*$E980))*'Business Case'!$B$7-'Business Case'!$B$8*(('Business Case'!C11*$C980*'Business Case'!C12*$B980)-('Business Case'!B11*$C980*'Business Case'!B12*$B980))-'Business Case'!C15*$F980</f>
        <v>-10242339.6567376</v>
      </c>
      <c r="J980" s="39" t="n">
        <f aca="false">(('Business Case'!D11*$C980*'Business Case'!D12*$B980)-'Business Case'!D11*$C980*'Business Case'!D13*$D980-'Business Case'!D14*$E980)-MAX(0,(('Business Case'!D11*$C980*'Business Case'!D12*$B980)-'Business Case'!D11*$C980*'Business Case'!D13*$D980-'Business Case'!D14*$E980))*'Business Case'!$B$7-'Business Case'!$B$8*(('Business Case'!D11*$C980*'Business Case'!D12*$B980)-('Business Case'!C11*$C980*'Business Case'!C12*$B980))-'Business Case'!D15*$F980</f>
        <v>297911542.444975</v>
      </c>
      <c r="K980" s="39" t="n">
        <f aca="false">(('Business Case'!E11*$C980*'Business Case'!E12*$B980)-'Business Case'!E11*$C980*'Business Case'!E13*$D980-'Business Case'!E14*$E980)-MAX(0,(('Business Case'!E11*$C980*'Business Case'!E12*$B980)-'Business Case'!E11*$C980*'Business Case'!E13*$D980-'Business Case'!E14*$E980))*'Business Case'!$B$7-'Business Case'!$B$8*(('Business Case'!E11*$C980*'Business Case'!E12*$B980)-('Business Case'!D11*$C980*'Business Case'!D12*$B980))-'Business Case'!E15*$F980</f>
        <v>662504135.453423</v>
      </c>
      <c r="L980" s="39" t="n">
        <f aca="false">(('Business Case'!F11*$C980*'Business Case'!F12*$B980)-'Business Case'!F11*$C980*'Business Case'!F13*$D980-'Business Case'!F14*$E980)-MAX(0,(('Business Case'!F11*$C980*'Business Case'!F12*$B980)-'Business Case'!F11*$C980*'Business Case'!F13*$D980-'Business Case'!F14*$E980))*'Business Case'!$B$7-'Business Case'!$B$8*(('Business Case'!F11*$C980*'Business Case'!F12*$B980)-('Business Case'!E11*$C980*'Business Case'!E12*$B980))-'Business Case'!F15*$F980</f>
        <v>800845009.988648</v>
      </c>
      <c r="M980" s="39" t="n">
        <f aca="false">(('Business Case'!G11*$C980*'Business Case'!G12*$B980)-'Business Case'!G11*$C980*'Business Case'!G13*$D980-'Business Case'!G14*$E980)-MAX(0,(('Business Case'!G11*$C980*'Business Case'!G12*$B980)-'Business Case'!G11*$C980*'Business Case'!G13*$D980-'Business Case'!G14*$E980))*'Business Case'!$B$7-'Business Case'!$B$8*(('Business Case'!G11*$C980*'Business Case'!G12*$B980)-('Business Case'!F11*$C980*'Business Case'!F12*$B980))-'Business Case'!G15*$F980+'Business Case'!$B$8*('Business Case'!G11*$C980*'Business Case'!G12*$B980)</f>
        <v>996771036.079244</v>
      </c>
      <c r="N980" s="39" t="n">
        <f aca="false">IF(COUNT('Business Case'!B11:G11)=0,"",H980+NPV(G980,I980:M980))</f>
        <v>-412613839.386866</v>
      </c>
      <c r="P980" s="40" t="n">
        <f aca="true">RAND()</f>
        <v>0.206155417857513</v>
      </c>
      <c r="Q980" s="40" t="n">
        <f aca="true">RAND()</f>
        <v>0.92455440644339</v>
      </c>
      <c r="R980" s="40" t="n">
        <f aca="true">RAND()</f>
        <v>0.0582543658007942</v>
      </c>
      <c r="S980" s="40" t="n">
        <f aca="true">RAND()</f>
        <v>0.827239499977103</v>
      </c>
      <c r="T980" s="40" t="n">
        <f aca="true">RAND()</f>
        <v>0.804057464148676</v>
      </c>
      <c r="U980" s="40" t="n">
        <f aca="true">RAND()</f>
        <v>0.694580936538323</v>
      </c>
    </row>
    <row r="981" customFormat="false" ht="15" hidden="false" customHeight="false" outlineLevel="0" collapsed="false">
      <c r="A981" s="36" t="n">
        <v>901</v>
      </c>
      <c r="B981" s="37" t="n">
        <f aca="false">1+IF($G$6=$E$6,$F$6,IF(P981&lt;($F$6-$E$6)/($G$6-$E$6),$E$6+SQRT(P981*($G$6-$E$6)*($F$6-$E$6)),$G$6-SQRT((1-P981)*($G$6-$E$6)*($G$6-$F$6))))</f>
        <v>0.958257746306352</v>
      </c>
      <c r="C981" s="37" t="n">
        <f aca="false">1+IF($G$7=$E$7,$F$7,IF(Q981&lt;($F$7-$E$7)/($G$7-$E$7),$E$7+SQRT(Q981*($G$7-$E$7)*($F$7-$E$7)),$G$7-SQRT((1-Q981)*($G$7-$E$7)*($G$7-$F$7))))</f>
        <v>1.06612547101954</v>
      </c>
      <c r="D981" s="37" t="n">
        <f aca="false">1+IF($G$8=$E$8,$F$8,IF(R981&lt;($F$8-$E$8)/($G$8-$E$8),$E$8+SQRT(R981*($G$8-$E$8)*($F$8-$E$8)),$G$8-SQRT((1-R981)*($G$8-$E$8)*($G$8-$F$8))))</f>
        <v>1.00396257880202</v>
      </c>
      <c r="E981" s="37" t="n">
        <f aca="false">1+IF($G$9=$E$9,$F$9,IF(S981&lt;($F$9-$E$9)/($G$9-$E$9),$E$9+SQRT(S981*($G$9-$E$9)*($F$9-$E$9)),$G$9-SQRT((1-S981)*($G$9-$E$9)*($G$9-$F$9))))</f>
        <v>1.03313788990001</v>
      </c>
      <c r="F981" s="37" t="n">
        <f aca="false">1+IF($G$10=$E$10,$F$10,IF(T981&lt;($F$10-$E$10)/($G$10-$E$10),$E$10+SQRT(T981*($G$10-$E$10)*($F$10-$E$10)),$G$10-SQRT((1-T981)*($G$10-$E$10)*($G$10-$F$10))))</f>
        <v>1.01414041969946</v>
      </c>
      <c r="G981" s="38" t="n">
        <f aca="false">IF($G$11=$E$11,$F$11,IF(U981&lt;($F$11-$E$11)/($G$11-$E$11),$E$11+SQRT(U981*($G$11-$E$11)*($F$11-$E$11)),$G$11-SQRT((1-U981)*($G$11-$E$11)*($G$11-$F$11))))</f>
        <v>0.0827623786988447</v>
      </c>
      <c r="H981" s="39" t="n">
        <f aca="false">(('Business Case'!B11*$C981*'Business Case'!B12*$B981)-'Business Case'!B11*$C981*'Business Case'!B13*$D981-'Business Case'!B14*$E981)-MAX(0,(('Business Case'!B11*$C981*'Business Case'!B12*$B981)-'Business Case'!B11*$C981*'Business Case'!B13*$D981-'Business Case'!B14*$E981))*'Business Case'!$B$7-'Business Case'!$B$8*('Business Case'!B11*$C981*'Business Case'!B12*$B981)-'Business Case'!B15*$F981</f>
        <v>-2028280839.39893</v>
      </c>
      <c r="I981" s="39" t="n">
        <f aca="false">(('Business Case'!C11*$C981*'Business Case'!C12*$B981)-'Business Case'!C11*$C981*'Business Case'!C13*$D981-'Business Case'!C14*$E981)-MAX(0,(('Business Case'!C11*$C981*'Business Case'!C12*$B981)-'Business Case'!C11*$C981*'Business Case'!C13*$D981-'Business Case'!C14*$E981))*'Business Case'!$B$7-'Business Case'!$B$8*(('Business Case'!C11*$C981*'Business Case'!C12*$B981)-('Business Case'!B11*$C981*'Business Case'!B12*$B981))-'Business Case'!C15*$F981</f>
        <v>-12438010.7021881</v>
      </c>
      <c r="J981" s="39" t="n">
        <f aca="false">(('Business Case'!D11*$C981*'Business Case'!D12*$B981)-'Business Case'!D11*$C981*'Business Case'!D13*$D981-'Business Case'!D14*$E981)-MAX(0,(('Business Case'!D11*$C981*'Business Case'!D12*$B981)-'Business Case'!D11*$C981*'Business Case'!D13*$D981-'Business Case'!D14*$E981))*'Business Case'!$B$7-'Business Case'!$B$8*(('Business Case'!D11*$C981*'Business Case'!D12*$B981)-('Business Case'!C11*$C981*'Business Case'!C12*$B981))-'Business Case'!D15*$F981</f>
        <v>276411164.369996</v>
      </c>
      <c r="K981" s="39" t="n">
        <f aca="false">(('Business Case'!E11*$C981*'Business Case'!E12*$B981)-'Business Case'!E11*$C981*'Business Case'!E13*$D981-'Business Case'!E14*$E981)-MAX(0,(('Business Case'!E11*$C981*'Business Case'!E12*$B981)-'Business Case'!E11*$C981*'Business Case'!E13*$D981-'Business Case'!E14*$E981))*'Business Case'!$B$7-'Business Case'!$B$8*(('Business Case'!E11*$C981*'Business Case'!E12*$B981)-('Business Case'!D11*$C981*'Business Case'!D12*$B981))-'Business Case'!E15*$F981</f>
        <v>615967360.427154</v>
      </c>
      <c r="L981" s="39" t="n">
        <f aca="false">(('Business Case'!F11*$C981*'Business Case'!F12*$B981)-'Business Case'!F11*$C981*'Business Case'!F13*$D981-'Business Case'!F14*$E981)-MAX(0,(('Business Case'!F11*$C981*'Business Case'!F12*$B981)-'Business Case'!F11*$C981*'Business Case'!F13*$D981-'Business Case'!F14*$E981))*'Business Case'!$B$7-'Business Case'!$B$8*(('Business Case'!F11*$C981*'Business Case'!F12*$B981)-('Business Case'!E11*$C981*'Business Case'!E12*$B981))-'Business Case'!F15*$F981</f>
        <v>747557709.358312</v>
      </c>
      <c r="M981" s="39" t="n">
        <f aca="false">(('Business Case'!G11*$C981*'Business Case'!G12*$B981)-'Business Case'!G11*$C981*'Business Case'!G13*$D981-'Business Case'!G14*$E981)-MAX(0,(('Business Case'!G11*$C981*'Business Case'!G12*$B981)-'Business Case'!G11*$C981*'Business Case'!G13*$D981-'Business Case'!G14*$E981))*'Business Case'!$B$7-'Business Case'!$B$8*(('Business Case'!G11*$C981*'Business Case'!G12*$B981)-('Business Case'!F11*$C981*'Business Case'!F12*$B981))-'Business Case'!G15*$F981+'Business Case'!$B$8*('Business Case'!G11*$C981*'Business Case'!G12*$B981)</f>
        <v>941747807.514009</v>
      </c>
      <c r="N981" s="39" t="n">
        <f aca="false">IF(COUNT('Business Case'!B11:G11)=0,"",H981+NPV(G981,I981:M981))</f>
        <v>-142061200.873591</v>
      </c>
      <c r="P981" s="40" t="n">
        <f aca="true">RAND()</f>
        <v>0.226264333646353</v>
      </c>
      <c r="Q981" s="40" t="n">
        <f aca="true">RAND()</f>
        <v>0.89577871686379</v>
      </c>
      <c r="R981" s="40" t="n">
        <f aca="true">RAND()</f>
        <v>0.385120915309403</v>
      </c>
      <c r="S981" s="40" t="n">
        <f aca="true">RAND()</f>
        <v>0.635819925946071</v>
      </c>
      <c r="T981" s="40" t="n">
        <f aca="true">RAND()</f>
        <v>0.258270111739391</v>
      </c>
      <c r="U981" s="40" t="n">
        <f aca="true">RAND()</f>
        <v>0.0076307360758309</v>
      </c>
    </row>
    <row r="982" customFormat="false" ht="15" hidden="false" customHeight="false" outlineLevel="0" collapsed="false">
      <c r="A982" s="36" t="n">
        <v>902</v>
      </c>
      <c r="B982" s="37" t="n">
        <f aca="false">1+IF($G$6=$E$6,$F$6,IF(P982&lt;($F$6-$E$6)/($G$6-$E$6),$E$6+SQRT(P982*($G$6-$E$6)*($F$6-$E$6)),$G$6-SQRT((1-P982)*($G$6-$E$6)*($G$6-$F$6))))</f>
        <v>0.930435935297494</v>
      </c>
      <c r="C982" s="37" t="n">
        <f aca="false">1+IF($G$7=$E$7,$F$7,IF(Q982&lt;($F$7-$E$7)/($G$7-$E$7),$E$7+SQRT(Q982*($G$7-$E$7)*($F$7-$E$7)),$G$7-SQRT((1-Q982)*($G$7-$E$7)*($G$7-$F$7))))</f>
        <v>0.941508007104254</v>
      </c>
      <c r="D982" s="37" t="n">
        <f aca="false">1+IF($G$8=$E$8,$F$8,IF(R982&lt;($F$8-$E$8)/($G$8-$E$8),$E$8+SQRT(R982*($G$8-$E$8)*($F$8-$E$8)),$G$8-SQRT((1-R982)*($G$8-$E$8)*($G$8-$F$8))))</f>
        <v>1.01999133815522</v>
      </c>
      <c r="E982" s="37" t="n">
        <f aca="false">1+IF($G$9=$E$9,$F$9,IF(S982&lt;($F$9-$E$9)/($G$9-$E$9),$E$9+SQRT(S982*($G$9-$E$9)*($F$9-$E$9)),$G$9-SQRT((1-S982)*($G$9-$E$9)*($G$9-$F$9))))</f>
        <v>0.940842856515111</v>
      </c>
      <c r="F982" s="37" t="n">
        <f aca="false">1+IF($G$10=$E$10,$F$10,IF(T982&lt;($F$10-$E$10)/($G$10-$E$10),$E$10+SQRT(T982*($G$10-$E$10)*($F$10-$E$10)),$G$10-SQRT((1-T982)*($G$10-$E$10)*($G$10-$F$10))))</f>
        <v>1.13548258024794</v>
      </c>
      <c r="G982" s="38" t="n">
        <f aca="false">IF($G$11=$E$11,$F$11,IF(U982&lt;($F$11-$E$11)/($G$11-$E$11),$E$11+SQRT(U982*($G$11-$E$11)*($F$11-$E$11)),$G$11-SQRT((1-U982)*($G$11-$E$11)*($G$11-$F$11))))</f>
        <v>0.107341372223015</v>
      </c>
      <c r="H982" s="39" t="n">
        <f aca="false">(('Business Case'!B11*$C982*'Business Case'!B12*$B982)-'Business Case'!B11*$C982*'Business Case'!B13*$D982-'Business Case'!B14*$E982)-MAX(0,(('Business Case'!B11*$C982*'Business Case'!B12*$B982)-'Business Case'!B11*$C982*'Business Case'!B13*$D982-'Business Case'!B14*$E982))*'Business Case'!$B$7-'Business Case'!$B$8*('Business Case'!B11*$C982*'Business Case'!B12*$B982)-'Business Case'!B15*$F982</f>
        <v>-2270965160.49588</v>
      </c>
      <c r="I982" s="39" t="n">
        <f aca="false">(('Business Case'!C11*$C982*'Business Case'!C12*$B982)-'Business Case'!C11*$C982*'Business Case'!C13*$D982-'Business Case'!C14*$E982)-MAX(0,(('Business Case'!C11*$C982*'Business Case'!C12*$B982)-'Business Case'!C11*$C982*'Business Case'!C13*$D982-'Business Case'!C14*$E982))*'Business Case'!$B$7-'Business Case'!$B$8*(('Business Case'!C11*$C982*'Business Case'!C12*$B982)-('Business Case'!B11*$C982*'Business Case'!B12*$B982))-'Business Case'!C15*$F982</f>
        <v>-66843135.6018864</v>
      </c>
      <c r="J982" s="39" t="n">
        <f aca="false">(('Business Case'!D11*$C982*'Business Case'!D12*$B982)-'Business Case'!D11*$C982*'Business Case'!D13*$D982-'Business Case'!D14*$E982)-MAX(0,(('Business Case'!D11*$C982*'Business Case'!D12*$B982)-'Business Case'!D11*$C982*'Business Case'!D13*$D982-'Business Case'!D14*$E982))*'Business Case'!$B$7-'Business Case'!$B$8*(('Business Case'!D11*$C982*'Business Case'!D12*$B982)-('Business Case'!C11*$C982*'Business Case'!C12*$B982))-'Business Case'!D15*$F982</f>
        <v>159062348.881528</v>
      </c>
      <c r="K982" s="39" t="n">
        <f aca="false">(('Business Case'!E11*$C982*'Business Case'!E12*$B982)-'Business Case'!E11*$C982*'Business Case'!E13*$D982-'Business Case'!E14*$E982)-MAX(0,(('Business Case'!E11*$C982*'Business Case'!E12*$B982)-'Business Case'!E11*$C982*'Business Case'!E13*$D982-'Business Case'!E14*$E982))*'Business Case'!$B$7-'Business Case'!$B$8*(('Business Case'!E11*$C982*'Business Case'!E12*$B982)-('Business Case'!D11*$C982*'Business Case'!D12*$B982))-'Business Case'!E15*$F982</f>
        <v>441741962.377339</v>
      </c>
      <c r="L982" s="39" t="n">
        <f aca="false">(('Business Case'!F11*$C982*'Business Case'!F12*$B982)-'Business Case'!F11*$C982*'Business Case'!F13*$D982-'Business Case'!F14*$E982)-MAX(0,(('Business Case'!F11*$C982*'Business Case'!F12*$B982)-'Business Case'!F11*$C982*'Business Case'!F13*$D982-'Business Case'!F14*$E982))*'Business Case'!$B$7-'Business Case'!$B$8*(('Business Case'!F11*$C982*'Business Case'!F12*$B982)-('Business Case'!E11*$C982*'Business Case'!E12*$B982))-'Business Case'!F15*$F982</f>
        <v>547318795.781183</v>
      </c>
      <c r="M982" s="39" t="n">
        <f aca="false">(('Business Case'!G11*$C982*'Business Case'!G12*$B982)-'Business Case'!G11*$C982*'Business Case'!G13*$D982-'Business Case'!G14*$E982)-MAX(0,(('Business Case'!G11*$C982*'Business Case'!G12*$B982)-'Business Case'!G11*$C982*'Business Case'!G13*$D982-'Business Case'!G14*$E982))*'Business Case'!$B$7-'Business Case'!$B$8*(('Business Case'!G11*$C982*'Business Case'!G12*$B982)-('Business Case'!F11*$C982*'Business Case'!F12*$B982))-'Business Case'!G15*$F982+'Business Case'!$B$8*('Business Case'!G11*$C982*'Business Case'!G12*$B982)</f>
        <v>713831324.616061</v>
      </c>
      <c r="N982" s="39" t="n">
        <f aca="false">IF(COUNT('Business Case'!B11:G11)=0,"",H982+NPV(G982,I982:M982))</f>
        <v>-1083534750.85881</v>
      </c>
      <c r="P982" s="40" t="n">
        <f aca="true">RAND()</f>
        <v>0.0617564104955499</v>
      </c>
      <c r="Q982" s="40" t="n">
        <f aca="true">RAND()</f>
        <v>0.432045314781246</v>
      </c>
      <c r="R982" s="40" t="n">
        <f aca="true">RAND()</f>
        <v>0.573240935320497</v>
      </c>
      <c r="S982" s="40" t="n">
        <f aca="true">RAND()</f>
        <v>0.0667255571325565</v>
      </c>
      <c r="T982" s="40" t="n">
        <f aca="true">RAND()</f>
        <v>0.825143474311079</v>
      </c>
      <c r="U982" s="40" t="n">
        <f aca="true">RAND()</f>
        <v>0.657724391509356</v>
      </c>
    </row>
    <row r="983" customFormat="false" ht="15" hidden="false" customHeight="false" outlineLevel="0" collapsed="false">
      <c r="A983" s="36" t="n">
        <v>903</v>
      </c>
      <c r="B983" s="37" t="n">
        <f aca="false">1+IF($G$6=$E$6,$F$6,IF(P983&lt;($F$6-$E$6)/($G$6-$E$6),$E$6+SQRT(P983*($G$6-$E$6)*($F$6-$E$6)),$G$6-SQRT((1-P983)*($G$6-$E$6)*($G$6-$F$6))))</f>
        <v>0.984130310786219</v>
      </c>
      <c r="C983" s="37" t="n">
        <f aca="false">1+IF($G$7=$E$7,$F$7,IF(Q983&lt;($F$7-$E$7)/($G$7-$E$7),$E$7+SQRT(Q983*($G$7-$E$7)*($F$7-$E$7)),$G$7-SQRT((1-Q983)*($G$7-$E$7)*($G$7-$F$7))))</f>
        <v>1.00100067083241</v>
      </c>
      <c r="D983" s="37" t="n">
        <f aca="false">1+IF($G$8=$E$8,$F$8,IF(R983&lt;($F$8-$E$8)/($G$8-$E$8),$E$8+SQRT(R983*($G$8-$E$8)*($F$8-$E$8)),$G$8-SQRT((1-R983)*($G$8-$E$8)*($G$8-$F$8))))</f>
        <v>1.08981490766929</v>
      </c>
      <c r="E983" s="37" t="n">
        <f aca="false">1+IF($G$9=$E$9,$F$9,IF(S983&lt;($F$9-$E$9)/($G$9-$E$9),$E$9+SQRT(S983*($G$9-$E$9)*($F$9-$E$9)),$G$9-SQRT((1-S983)*($G$9-$E$9)*($G$9-$F$9))))</f>
        <v>1.00108445503693</v>
      </c>
      <c r="F983" s="37" t="n">
        <f aca="false">1+IF($G$10=$E$10,$F$10,IF(T983&lt;($F$10-$E$10)/($G$10-$E$10),$E$10+SQRT(T983*($G$10-$E$10)*($F$10-$E$10)),$G$10-SQRT((1-T983)*($G$10-$E$10)*($G$10-$F$10))))</f>
        <v>1.17666633228498</v>
      </c>
      <c r="G983" s="38" t="n">
        <f aca="false">IF($G$11=$E$11,$F$11,IF(U983&lt;($F$11-$E$11)/($G$11-$E$11),$E$11+SQRT(U983*($G$11-$E$11)*($F$11-$E$11)),$G$11-SQRT((1-U983)*($G$11-$E$11)*($G$11-$F$11))))</f>
        <v>0.090766520609657</v>
      </c>
      <c r="H983" s="39" t="n">
        <f aca="false">(('Business Case'!B11*$C983*'Business Case'!B12*$B983)-'Business Case'!B11*$C983*'Business Case'!B13*$D983-'Business Case'!B14*$E983)-MAX(0,(('Business Case'!B11*$C983*'Business Case'!B12*$B983)-'Business Case'!B11*$C983*'Business Case'!B13*$D983-'Business Case'!B14*$E983))*'Business Case'!$B$7-'Business Case'!$B$8*('Business Case'!B11*$C983*'Business Case'!B12*$B983)-'Business Case'!B15*$F983</f>
        <v>-2353332664.56995</v>
      </c>
      <c r="I983" s="39" t="n">
        <f aca="false">(('Business Case'!C11*$C983*'Business Case'!C12*$B983)-'Business Case'!C11*$C983*'Business Case'!C13*$D983-'Business Case'!C14*$E983)-MAX(0,(('Business Case'!C11*$C983*'Business Case'!C12*$B983)-'Business Case'!C11*$C983*'Business Case'!C13*$D983-'Business Case'!C14*$E983))*'Business Case'!$B$7-'Business Case'!$B$8*(('Business Case'!C11*$C983*'Business Case'!C12*$B983)-('Business Case'!B11*$C983*'Business Case'!B12*$B983))-'Business Case'!C15*$F983</f>
        <v>-62665333.1844841</v>
      </c>
      <c r="J983" s="39" t="n">
        <f aca="false">(('Business Case'!D11*$C983*'Business Case'!D12*$B983)-'Business Case'!D11*$C983*'Business Case'!D13*$D983-'Business Case'!D14*$E983)-MAX(0,(('Business Case'!D11*$C983*'Business Case'!D12*$B983)-'Business Case'!D11*$C983*'Business Case'!D13*$D983-'Business Case'!D14*$E983))*'Business Case'!$B$7-'Business Case'!$B$8*(('Business Case'!D11*$C983*'Business Case'!D12*$B983)-('Business Case'!C11*$C983*'Business Case'!C12*$B983))-'Business Case'!D15*$F983</f>
        <v>185758543.216318</v>
      </c>
      <c r="K983" s="39" t="n">
        <f aca="false">(('Business Case'!E11*$C983*'Business Case'!E12*$B983)-'Business Case'!E11*$C983*'Business Case'!E13*$D983-'Business Case'!E14*$E983)-MAX(0,(('Business Case'!E11*$C983*'Business Case'!E12*$B983)-'Business Case'!E11*$C983*'Business Case'!E13*$D983-'Business Case'!E14*$E983))*'Business Case'!$B$7-'Business Case'!$B$8*(('Business Case'!E11*$C983*'Business Case'!E12*$B983)-('Business Case'!D11*$C983*'Business Case'!D12*$B983))-'Business Case'!E15*$F983</f>
        <v>493015736.231368</v>
      </c>
      <c r="L983" s="39" t="n">
        <f aca="false">(('Business Case'!F11*$C983*'Business Case'!F12*$B983)-'Business Case'!F11*$C983*'Business Case'!F13*$D983-'Business Case'!F14*$E983)-MAX(0,(('Business Case'!F11*$C983*'Business Case'!F12*$B983)-'Business Case'!F11*$C983*'Business Case'!F13*$D983-'Business Case'!F14*$E983))*'Business Case'!$B$7-'Business Case'!$B$8*(('Business Case'!F11*$C983*'Business Case'!F12*$B983)-('Business Case'!E11*$C983*'Business Case'!E12*$B983))-'Business Case'!F15*$F983</f>
        <v>609869272.931993</v>
      </c>
      <c r="M983" s="39" t="n">
        <f aca="false">(('Business Case'!G11*$C983*'Business Case'!G12*$B983)-'Business Case'!G11*$C983*'Business Case'!G13*$D983-'Business Case'!G14*$E983)-MAX(0,(('Business Case'!G11*$C983*'Business Case'!G12*$B983)-'Business Case'!G11*$C983*'Business Case'!G13*$D983-'Business Case'!G14*$E983))*'Business Case'!$B$7-'Business Case'!$B$8*(('Business Case'!G11*$C983*'Business Case'!G12*$B983)-('Business Case'!F11*$C983*'Business Case'!F12*$B983))-'Business Case'!G15*$F983+'Business Case'!$B$8*('Business Case'!G11*$C983*'Business Case'!G12*$B983)</f>
        <v>797119951.383963</v>
      </c>
      <c r="N983" s="39" t="n">
        <f aca="false">IF(COUNT('Business Case'!B11:G11)=0,"",H983+NPV(G983,I983:M983))</f>
        <v>-927668155.554585</v>
      </c>
      <c r="P983" s="40" t="n">
        <f aca="true">RAND()</f>
        <v>0.471860612865714</v>
      </c>
      <c r="Q983" s="40" t="n">
        <f aca="true">RAND()</f>
        <v>0.671099257890472</v>
      </c>
      <c r="R983" s="40" t="n">
        <f aca="true">RAND()</f>
        <v>0.993084259614323</v>
      </c>
      <c r="S983" s="40" t="n">
        <f aca="true">RAND()</f>
        <v>0.408644279156013</v>
      </c>
      <c r="T983" s="40" t="n">
        <f aca="true">RAND()</f>
        <v>0.928295642392835</v>
      </c>
      <c r="U983" s="40" t="n">
        <f aca="true">RAND()</f>
        <v>0.115917966038169</v>
      </c>
    </row>
    <row r="984" customFormat="false" ht="15" hidden="false" customHeight="false" outlineLevel="0" collapsed="false">
      <c r="A984" s="36" t="n">
        <v>904</v>
      </c>
      <c r="B984" s="37" t="n">
        <f aca="false">1+IF($G$6=$E$6,$F$6,IF(P984&lt;($F$6-$E$6)/($G$6-$E$6),$E$6+SQRT(P984*($G$6-$E$6)*($F$6-$E$6)),$G$6-SQRT((1-P984)*($G$6-$E$6)*($G$6-$F$6))))</f>
        <v>0.938110777801074</v>
      </c>
      <c r="C984" s="37" t="n">
        <f aca="false">1+IF($G$7=$E$7,$F$7,IF(Q984&lt;($F$7-$E$7)/($G$7-$E$7),$E$7+SQRT(Q984*($G$7-$E$7)*($F$7-$E$7)),$G$7-SQRT((1-Q984)*($G$7-$E$7)*($G$7-$F$7))))</f>
        <v>0.866041699497813</v>
      </c>
      <c r="D984" s="37" t="n">
        <f aca="false">1+IF($G$8=$E$8,$F$8,IF(R984&lt;($F$8-$E$8)/($G$8-$E$8),$E$8+SQRT(R984*($G$8-$E$8)*($F$8-$E$8)),$G$8-SQRT((1-R984)*($G$8-$E$8)*($G$8-$F$8))))</f>
        <v>1.04212019432311</v>
      </c>
      <c r="E984" s="37" t="n">
        <f aca="false">1+IF($G$9=$E$9,$F$9,IF(S984&lt;($F$9-$E$9)/($G$9-$E$9),$E$9+SQRT(S984*($G$9-$E$9)*($F$9-$E$9)),$G$9-SQRT((1-S984)*($G$9-$E$9)*($G$9-$F$9))))</f>
        <v>1.07805549151054</v>
      </c>
      <c r="F984" s="37" t="n">
        <f aca="false">1+IF($G$10=$E$10,$F$10,IF(T984&lt;($F$10-$E$10)/($G$10-$E$10),$E$10+SQRT(T984*($G$10-$E$10)*($F$10-$E$10)),$G$10-SQRT((1-T984)*($G$10-$E$10)*($G$10-$F$10))))</f>
        <v>0.986592217389489</v>
      </c>
      <c r="G984" s="38" t="n">
        <f aca="false">IF($G$11=$E$11,$F$11,IF(U984&lt;($F$11-$E$11)/($G$11-$E$11),$E$11+SQRT(U984*($G$11-$E$11)*($F$11-$E$11)),$G$11-SQRT((1-U984)*($G$11-$E$11)*($G$11-$F$11))))</f>
        <v>0.0969963695784605</v>
      </c>
      <c r="H984" s="39" t="n">
        <f aca="false">(('Business Case'!B11*$C984*'Business Case'!B12*$B984)-'Business Case'!B11*$C984*'Business Case'!B13*$D984-'Business Case'!B14*$E984)-MAX(0,(('Business Case'!B11*$C984*'Business Case'!B12*$B984)-'Business Case'!B11*$C984*'Business Case'!B13*$D984-'Business Case'!B14*$E984))*'Business Case'!$B$7-'Business Case'!$B$8*('Business Case'!B11*$C984*'Business Case'!B12*$B984)-'Business Case'!B15*$F984</f>
        <v>-1973184434.77898</v>
      </c>
      <c r="I984" s="39" t="n">
        <f aca="false">(('Business Case'!C11*$C984*'Business Case'!C12*$B984)-'Business Case'!C11*$C984*'Business Case'!C13*$D984-'Business Case'!C14*$E984)-MAX(0,(('Business Case'!C11*$C984*'Business Case'!C12*$B984)-'Business Case'!C11*$C984*'Business Case'!C13*$D984-'Business Case'!C14*$E984))*'Business Case'!$B$7-'Business Case'!$B$8*(('Business Case'!C11*$C984*'Business Case'!C12*$B984)-('Business Case'!B11*$C984*'Business Case'!B12*$B984))-'Business Case'!C15*$F984</f>
        <v>-90644209.7638809</v>
      </c>
      <c r="J984" s="39" t="n">
        <f aca="false">(('Business Case'!D11*$C984*'Business Case'!D12*$B984)-'Business Case'!D11*$C984*'Business Case'!D13*$D984-'Business Case'!D14*$E984)-MAX(0,(('Business Case'!D11*$C984*'Business Case'!D12*$B984)-'Business Case'!D11*$C984*'Business Case'!D13*$D984-'Business Case'!D14*$E984))*'Business Case'!$B$7-'Business Case'!$B$8*(('Business Case'!D11*$C984*'Business Case'!D12*$B984)-('Business Case'!C11*$C984*'Business Case'!C12*$B984))-'Business Case'!D15*$F984</f>
        <v>112787340.936465</v>
      </c>
      <c r="K984" s="39" t="n">
        <f aca="false">(('Business Case'!E11*$C984*'Business Case'!E12*$B984)-'Business Case'!E11*$C984*'Business Case'!E13*$D984-'Business Case'!E14*$E984)-MAX(0,(('Business Case'!E11*$C984*'Business Case'!E12*$B984)-'Business Case'!E11*$C984*'Business Case'!E13*$D984-'Business Case'!E14*$E984))*'Business Case'!$B$7-'Business Case'!$B$8*(('Business Case'!E11*$C984*'Business Case'!E12*$B984)-('Business Case'!D11*$C984*'Business Case'!D12*$B984))-'Business Case'!E15*$F984</f>
        <v>365548502.506285</v>
      </c>
      <c r="L984" s="39" t="n">
        <f aca="false">(('Business Case'!F11*$C984*'Business Case'!F12*$B984)-'Business Case'!F11*$C984*'Business Case'!F13*$D984-'Business Case'!F14*$E984)-MAX(0,(('Business Case'!F11*$C984*'Business Case'!F12*$B984)-'Business Case'!F11*$C984*'Business Case'!F13*$D984-'Business Case'!F14*$E984))*'Business Case'!$B$7-'Business Case'!$B$8*(('Business Case'!F11*$C984*'Business Case'!F12*$B984)-('Business Case'!E11*$C984*'Business Case'!E12*$B984))-'Business Case'!F15*$F984</f>
        <v>461437051.29472</v>
      </c>
      <c r="M984" s="39" t="n">
        <f aca="false">(('Business Case'!G11*$C984*'Business Case'!G12*$B984)-'Business Case'!G11*$C984*'Business Case'!G13*$D984-'Business Case'!G14*$E984)-MAX(0,(('Business Case'!G11*$C984*'Business Case'!G12*$B984)-'Business Case'!G11*$C984*'Business Case'!G13*$D984-'Business Case'!G14*$E984))*'Business Case'!$B$7-'Business Case'!$B$8*(('Business Case'!G11*$C984*'Business Case'!G12*$B984)-('Business Case'!F11*$C984*'Business Case'!F12*$B984))-'Business Case'!G15*$F984+'Business Case'!$B$8*('Business Case'!G11*$C984*'Business Case'!G12*$B984)</f>
        <v>615866226.680477</v>
      </c>
      <c r="N984" s="39" t="n">
        <f aca="false">IF(COUNT('Business Case'!B11:G11)=0,"",H984+NPV(G984,I984:M984))</f>
        <v>-978883807.173714</v>
      </c>
      <c r="P984" s="40" t="n">
        <f aca="true">RAND()</f>
        <v>0.0968287589735218</v>
      </c>
      <c r="Q984" s="40" t="n">
        <f aca="true">RAND()</f>
        <v>0.204221081274978</v>
      </c>
      <c r="R984" s="40" t="n">
        <f aca="true">RAND()</f>
        <v>0.776661872987004</v>
      </c>
      <c r="S984" s="40" t="n">
        <f aca="true">RAND()</f>
        <v>0.861973005285599</v>
      </c>
      <c r="T984" s="40" t="n">
        <f aca="true">RAND()</f>
        <v>0.0892660248986396</v>
      </c>
      <c r="U984" s="40" t="n">
        <f aca="true">RAND()</f>
        <v>0.288876578847616</v>
      </c>
    </row>
    <row r="985" customFormat="false" ht="15" hidden="false" customHeight="false" outlineLevel="0" collapsed="false">
      <c r="A985" s="36" t="n">
        <v>905</v>
      </c>
      <c r="B985" s="37" t="n">
        <f aca="false">1+IF($G$6=$E$6,$F$6,IF(P985&lt;($F$6-$E$6)/($G$6-$E$6),$E$6+SQRT(P985*($G$6-$E$6)*($F$6-$E$6)),$G$6-SQRT((1-P985)*($G$6-$E$6)*($G$6-$F$6))))</f>
        <v>1.02502717800321</v>
      </c>
      <c r="C985" s="37" t="n">
        <f aca="false">1+IF($G$7=$E$7,$F$7,IF(Q985&lt;($F$7-$E$7)/($G$7-$E$7),$E$7+SQRT(Q985*($G$7-$E$7)*($F$7-$E$7)),$G$7-SQRT((1-Q985)*($G$7-$E$7)*($G$7-$F$7))))</f>
        <v>1.02821262062738</v>
      </c>
      <c r="D985" s="37" t="n">
        <f aca="false">1+IF($G$8=$E$8,$F$8,IF(R985&lt;($F$8-$E$8)/($G$8-$E$8),$E$8+SQRT(R985*($G$8-$E$8)*($F$8-$E$8)),$G$8-SQRT((1-R985)*($G$8-$E$8)*($G$8-$F$8))))</f>
        <v>1.03422708604639</v>
      </c>
      <c r="E985" s="37" t="n">
        <f aca="false">1+IF($G$9=$E$9,$F$9,IF(S985&lt;($F$9-$E$9)/($G$9-$E$9),$E$9+SQRT(S985*($G$9-$E$9)*($F$9-$E$9)),$G$9-SQRT((1-S985)*($G$9-$E$9)*($G$9-$F$9))))</f>
        <v>1.07066862524889</v>
      </c>
      <c r="F985" s="37" t="n">
        <f aca="false">1+IF($G$10=$E$10,$F$10,IF(T985&lt;($F$10-$E$10)/($G$10-$E$10),$E$10+SQRT(T985*($G$10-$E$10)*($F$10-$E$10)),$G$10-SQRT((1-T985)*($G$10-$E$10)*($G$10-$F$10))))</f>
        <v>1.04288005303441</v>
      </c>
      <c r="G985" s="38" t="n">
        <f aca="false">IF($G$11=$E$11,$F$11,IF(U985&lt;($F$11-$E$11)/($G$11-$E$11),$E$11+SQRT(U985*($G$11-$E$11)*($F$11-$E$11)),$G$11-SQRT((1-U985)*($G$11-$E$11)*($G$11-$F$11))))</f>
        <v>0.0998550249948757</v>
      </c>
      <c r="H985" s="39" t="n">
        <f aca="false">(('Business Case'!B11*$C985*'Business Case'!B12*$B985)-'Business Case'!B11*$C985*'Business Case'!B13*$D985-'Business Case'!B14*$E985)-MAX(0,(('Business Case'!B11*$C985*'Business Case'!B12*$B985)-'Business Case'!B11*$C985*'Business Case'!B13*$D985-'Business Case'!B14*$E985))*'Business Case'!$B$7-'Business Case'!$B$8*('Business Case'!B11*$C985*'Business Case'!B12*$B985)-'Business Case'!B15*$F985</f>
        <v>-2085760106.06881</v>
      </c>
      <c r="I985" s="39" t="n">
        <f aca="false">(('Business Case'!C11*$C985*'Business Case'!C12*$B985)-'Business Case'!C11*$C985*'Business Case'!C13*$D985-'Business Case'!C14*$E985)-MAX(0,(('Business Case'!C11*$C985*'Business Case'!C12*$B985)-'Business Case'!C11*$C985*'Business Case'!C13*$D985-'Business Case'!C14*$E985))*'Business Case'!$B$7-'Business Case'!$B$8*(('Business Case'!C11*$C985*'Business Case'!C12*$B985)-('Business Case'!B11*$C985*'Business Case'!B12*$B985))-'Business Case'!C15*$F985</f>
        <v>7705459.37171526</v>
      </c>
      <c r="J985" s="39" t="n">
        <f aca="false">(('Business Case'!D11*$C985*'Business Case'!D12*$B985)-'Business Case'!D11*$C985*'Business Case'!D13*$D985-'Business Case'!D14*$E985)-MAX(0,(('Business Case'!D11*$C985*'Business Case'!D12*$B985)-'Business Case'!D11*$C985*'Business Case'!D13*$D985-'Business Case'!D14*$E985))*'Business Case'!$B$7-'Business Case'!$B$8*(('Business Case'!D11*$C985*'Business Case'!D12*$B985)-('Business Case'!C11*$C985*'Business Case'!C12*$B985))-'Business Case'!D15*$F985</f>
        <v>326584557.023585</v>
      </c>
      <c r="K985" s="39" t="n">
        <f aca="false">(('Business Case'!E11*$C985*'Business Case'!E12*$B985)-'Business Case'!E11*$C985*'Business Case'!E13*$D985-'Business Case'!E14*$E985)-MAX(0,(('Business Case'!E11*$C985*'Business Case'!E12*$B985)-'Business Case'!E11*$C985*'Business Case'!E13*$D985-'Business Case'!E14*$E985))*'Business Case'!$B$7-'Business Case'!$B$8*(('Business Case'!E11*$C985*'Business Case'!E12*$B985)-('Business Case'!D11*$C985*'Business Case'!D12*$B985))-'Business Case'!E15*$F985</f>
        <v>697607657.327175</v>
      </c>
      <c r="L985" s="39" t="n">
        <f aca="false">(('Business Case'!F11*$C985*'Business Case'!F12*$B985)-'Business Case'!F11*$C985*'Business Case'!F13*$D985-'Business Case'!F14*$E985)-MAX(0,(('Business Case'!F11*$C985*'Business Case'!F12*$B985)-'Business Case'!F11*$C985*'Business Case'!F13*$D985-'Business Case'!F14*$E985))*'Business Case'!$B$7-'Business Case'!$B$8*(('Business Case'!F11*$C985*'Business Case'!F12*$B985)-('Business Case'!E11*$C985*'Business Case'!E12*$B985))-'Business Case'!F15*$F985</f>
        <v>840325059.522012</v>
      </c>
      <c r="M985" s="39" t="n">
        <f aca="false">(('Business Case'!G11*$C985*'Business Case'!G12*$B985)-'Business Case'!G11*$C985*'Business Case'!G13*$D985-'Business Case'!G14*$E985)-MAX(0,(('Business Case'!G11*$C985*'Business Case'!G12*$B985)-'Business Case'!G11*$C985*'Business Case'!G13*$D985-'Business Case'!G14*$E985))*'Business Case'!$B$7-'Business Case'!$B$8*(('Business Case'!G11*$C985*'Business Case'!G12*$B985)-('Business Case'!F11*$C985*'Business Case'!F12*$B985))-'Business Case'!G15*$F985+'Business Case'!$B$8*('Business Case'!G11*$C985*'Business Case'!G12*$B985)</f>
        <v>1040659092.56519</v>
      </c>
      <c r="N985" s="39" t="n">
        <f aca="false">IF(COUNT('Business Case'!B11:G11)=0,"",H985+NPV(G985,I985:M985))</f>
        <v>-63598826.0222957</v>
      </c>
      <c r="P985" s="40" t="n">
        <f aca="true">RAND()</f>
        <v>0.91684775486891</v>
      </c>
      <c r="Q985" s="40" t="n">
        <f aca="true">RAND()</f>
        <v>0.78026421074888</v>
      </c>
      <c r="R985" s="40" t="n">
        <f aca="true">RAND()</f>
        <v>0.711594919336763</v>
      </c>
      <c r="S985" s="40" t="n">
        <f aca="true">RAND()</f>
        <v>0.832174212802648</v>
      </c>
      <c r="T985" s="40" t="n">
        <f aca="true">RAND()</f>
        <v>0.428017700919595</v>
      </c>
      <c r="U985" s="40" t="n">
        <f aca="true">RAND()</f>
        <v>0.394222017547138</v>
      </c>
    </row>
    <row r="986" customFormat="false" ht="15" hidden="false" customHeight="false" outlineLevel="0" collapsed="false">
      <c r="A986" s="36" t="n">
        <v>906</v>
      </c>
      <c r="B986" s="37" t="n">
        <f aca="false">1+IF($G$6=$E$6,$F$6,IF(P986&lt;($F$6-$E$6)/($G$6-$E$6),$E$6+SQRT(P986*($G$6-$E$6)*($F$6-$E$6)),$G$6-SQRT((1-P986)*($G$6-$E$6)*($G$6-$F$6))))</f>
        <v>0.995598494346538</v>
      </c>
      <c r="C986" s="37" t="n">
        <f aca="false">1+IF($G$7=$E$7,$F$7,IF(Q986&lt;($F$7-$E$7)/($G$7-$E$7),$E$7+SQRT(Q986*($G$7-$E$7)*($F$7-$E$7)),$G$7-SQRT((1-Q986)*($G$7-$E$7)*($G$7-$F$7))))</f>
        <v>0.913799828976437</v>
      </c>
      <c r="D986" s="37" t="n">
        <f aca="false">1+IF($G$8=$E$8,$F$8,IF(R986&lt;($F$8-$E$8)/($G$8-$E$8),$E$8+SQRT(R986*($G$8-$E$8)*($F$8-$E$8)),$G$8-SQRT((1-R986)*($G$8-$E$8)*($G$8-$F$8))))</f>
        <v>1.00183663961798</v>
      </c>
      <c r="E986" s="37" t="n">
        <f aca="false">1+IF($G$9=$E$9,$F$9,IF(S986&lt;($F$9-$E$9)/($G$9-$E$9),$E$9+SQRT(S986*($G$9-$E$9)*($F$9-$E$9)),$G$9-SQRT((1-S986)*($G$9-$E$9)*($G$9-$F$9))))</f>
        <v>1.09630351308635</v>
      </c>
      <c r="F986" s="37" t="n">
        <f aca="false">1+IF($G$10=$E$10,$F$10,IF(T986&lt;($F$10-$E$10)/($G$10-$E$10),$E$10+SQRT(T986*($G$10-$E$10)*($F$10-$E$10)),$G$10-SQRT((1-T986)*($G$10-$E$10)*($G$10-$F$10))))</f>
        <v>1.12117996289669</v>
      </c>
      <c r="G986" s="38" t="n">
        <f aca="false">IF($G$11=$E$11,$F$11,IF(U986&lt;($F$11-$E$11)/($G$11-$E$11),$E$11+SQRT(U986*($G$11-$E$11)*($F$11-$E$11)),$G$11-SQRT((1-U986)*($G$11-$E$11)*($G$11-$F$11))))</f>
        <v>0.10677250272387</v>
      </c>
      <c r="H986" s="39" t="n">
        <f aca="false">(('Business Case'!B11*$C986*'Business Case'!B12*$B986)-'Business Case'!B11*$C986*'Business Case'!B13*$D986-'Business Case'!B14*$E986)-MAX(0,(('Business Case'!B11*$C986*'Business Case'!B12*$B986)-'Business Case'!B11*$C986*'Business Case'!B13*$D986-'Business Case'!B14*$E986))*'Business Case'!$B$7-'Business Case'!$B$8*('Business Case'!B11*$C986*'Business Case'!B12*$B986)-'Business Case'!B15*$F986</f>
        <v>-2242359925.79338</v>
      </c>
      <c r="I986" s="39" t="n">
        <f aca="false">(('Business Case'!C11*$C986*'Business Case'!C12*$B986)-'Business Case'!C11*$C986*'Business Case'!C13*$D986-'Business Case'!C14*$E986)-MAX(0,(('Business Case'!C11*$C986*'Business Case'!C12*$B986)-'Business Case'!C11*$C986*'Business Case'!C13*$D986-'Business Case'!C14*$E986))*'Business Case'!$B$7-'Business Case'!$B$8*(('Business Case'!C11*$C986*'Business Case'!C12*$B986)-('Business Case'!B11*$C986*'Business Case'!B12*$B986))-'Business Case'!C15*$F986</f>
        <v>-38653340.0632868</v>
      </c>
      <c r="J986" s="39" t="n">
        <f aca="false">(('Business Case'!D11*$C986*'Business Case'!D12*$B986)-'Business Case'!D11*$C986*'Business Case'!D13*$D986-'Business Case'!D14*$E986)-MAX(0,(('Business Case'!D11*$C986*'Business Case'!D12*$B986)-'Business Case'!D11*$C986*'Business Case'!D13*$D986-'Business Case'!D14*$E986))*'Business Case'!$B$7-'Business Case'!$B$8*(('Business Case'!D11*$C986*'Business Case'!D12*$B986)-('Business Case'!C11*$C986*'Business Case'!C12*$B986))-'Business Case'!D15*$F986</f>
        <v>237868553.447436</v>
      </c>
      <c r="K986" s="39" t="n">
        <f aca="false">(('Business Case'!E11*$C986*'Business Case'!E12*$B986)-'Business Case'!E11*$C986*'Business Case'!E13*$D986-'Business Case'!E14*$E986)-MAX(0,(('Business Case'!E11*$C986*'Business Case'!E12*$B986)-'Business Case'!E11*$C986*'Business Case'!E13*$D986-'Business Case'!E14*$E986))*'Business Case'!$B$7-'Business Case'!$B$8*(('Business Case'!E11*$C986*'Business Case'!E12*$B986)-('Business Case'!D11*$C986*'Business Case'!D12*$B986))-'Business Case'!E15*$F986</f>
        <v>570449445.102993</v>
      </c>
      <c r="L986" s="39" t="n">
        <f aca="false">(('Business Case'!F11*$C986*'Business Case'!F12*$B986)-'Business Case'!F11*$C986*'Business Case'!F13*$D986-'Business Case'!F14*$E986)-MAX(0,(('Business Case'!F11*$C986*'Business Case'!F12*$B986)-'Business Case'!F11*$C986*'Business Case'!F13*$D986-'Business Case'!F14*$E986))*'Business Case'!$B$7-'Business Case'!$B$8*(('Business Case'!F11*$C986*'Business Case'!F12*$B986)-('Business Case'!E11*$C986*'Business Case'!E12*$B986))-'Business Case'!F15*$F986</f>
        <v>694065328.088875</v>
      </c>
      <c r="M986" s="39" t="n">
        <f aca="false">(('Business Case'!G11*$C986*'Business Case'!G12*$B986)-'Business Case'!G11*$C986*'Business Case'!G13*$D986-'Business Case'!G14*$E986)-MAX(0,(('Business Case'!G11*$C986*'Business Case'!G12*$B986)-'Business Case'!G11*$C986*'Business Case'!G13*$D986-'Business Case'!G14*$E986))*'Business Case'!$B$7-'Business Case'!$B$8*(('Business Case'!G11*$C986*'Business Case'!G12*$B986)-('Business Case'!F11*$C986*'Business Case'!F12*$B986))-'Business Case'!G15*$F986+'Business Case'!$B$8*('Business Case'!G11*$C986*'Business Case'!G12*$B986)</f>
        <v>866995879.741566</v>
      </c>
      <c r="N986" s="39" t="n">
        <f aca="false">IF(COUNT('Business Case'!B11:G11)=0,"",H986+NPV(G986,I986:M986))</f>
        <v>-677705297.165349</v>
      </c>
      <c r="P986" s="40" t="n">
        <f aca="true">RAND()</f>
        <v>0.609271474754999</v>
      </c>
      <c r="Q986" s="40" t="n">
        <f aca="true">RAND()</f>
        <v>0.338595310150768</v>
      </c>
      <c r="R986" s="40" t="n">
        <f aca="true">RAND()</f>
        <v>0.357596978567275</v>
      </c>
      <c r="S986" s="40" t="n">
        <f aca="true">RAND()</f>
        <v>0.923111661150196</v>
      </c>
      <c r="T986" s="40" t="n">
        <f aca="true">RAND()</f>
        <v>0.778738640542692</v>
      </c>
      <c r="U986" s="40" t="n">
        <f aca="true">RAND()</f>
        <v>0.640322246858237</v>
      </c>
    </row>
    <row r="987" customFormat="false" ht="15" hidden="false" customHeight="false" outlineLevel="0" collapsed="false">
      <c r="A987" s="36" t="n">
        <v>907</v>
      </c>
      <c r="B987" s="37" t="n">
        <f aca="false">1+IF($G$6=$E$6,$F$6,IF(P987&lt;($F$6-$E$6)/($G$6-$E$6),$E$6+SQRT(P987*($G$6-$E$6)*($F$6-$E$6)),$G$6-SQRT((1-P987)*($G$6-$E$6)*($G$6-$F$6))))</f>
        <v>1.00531681804906</v>
      </c>
      <c r="C987" s="37" t="n">
        <f aca="false">1+IF($G$7=$E$7,$F$7,IF(Q987&lt;($F$7-$E$7)/($G$7-$E$7),$E$7+SQRT(Q987*($G$7-$E$7)*($F$7-$E$7)),$G$7-SQRT((1-Q987)*($G$7-$E$7)*($G$7-$F$7))))</f>
        <v>1.02478749564249</v>
      </c>
      <c r="D987" s="37" t="n">
        <f aca="false">1+IF($G$8=$E$8,$F$8,IF(R987&lt;($F$8-$E$8)/($G$8-$E$8),$E$8+SQRT(R987*($G$8-$E$8)*($F$8-$E$8)),$G$8-SQRT((1-R987)*($G$8-$E$8)*($G$8-$F$8))))</f>
        <v>1.06057745560582</v>
      </c>
      <c r="E987" s="37" t="n">
        <f aca="false">1+IF($G$9=$E$9,$F$9,IF(S987&lt;($F$9-$E$9)/($G$9-$E$9),$E$9+SQRT(S987*($G$9-$E$9)*($F$9-$E$9)),$G$9-SQRT((1-S987)*($G$9-$E$9)*($G$9-$F$9))))</f>
        <v>1.03233488608811</v>
      </c>
      <c r="F987" s="37" t="n">
        <f aca="false">1+IF($G$10=$E$10,$F$10,IF(T987&lt;($F$10-$E$10)/($G$10-$E$10),$E$10+SQRT(T987*($G$10-$E$10)*($F$10-$E$10)),$G$10-SQRT((1-T987)*($G$10-$E$10)*($G$10-$F$10))))</f>
        <v>1.05285421228978</v>
      </c>
      <c r="G987" s="38" t="n">
        <f aca="false">IF($G$11=$E$11,$F$11,IF(U987&lt;($F$11-$E$11)/($G$11-$E$11),$E$11+SQRT(U987*($G$11-$E$11)*($F$11-$E$11)),$G$11-SQRT((1-U987)*($G$11-$E$11)*($G$11-$F$11))))</f>
        <v>0.0954521627055898</v>
      </c>
      <c r="H987" s="39" t="n">
        <f aca="false">(('Business Case'!B11*$C987*'Business Case'!B12*$B987)-'Business Case'!B11*$C987*'Business Case'!B13*$D987-'Business Case'!B14*$E987)-MAX(0,(('Business Case'!B11*$C987*'Business Case'!B12*$B987)-'Business Case'!B11*$C987*'Business Case'!B13*$D987-'Business Case'!B14*$E987))*'Business Case'!$B$7-'Business Case'!$B$8*('Business Case'!B11*$C987*'Business Case'!B12*$B987)-'Business Case'!B15*$F987</f>
        <v>-2105708424.57957</v>
      </c>
      <c r="I987" s="39" t="n">
        <f aca="false">(('Business Case'!C11*$C987*'Business Case'!C12*$B987)-'Business Case'!C11*$C987*'Business Case'!C13*$D987-'Business Case'!C14*$E987)-MAX(0,(('Business Case'!C11*$C987*'Business Case'!C12*$B987)-'Business Case'!C11*$C987*'Business Case'!C13*$D987-'Business Case'!C14*$E987))*'Business Case'!$B$7-'Business Case'!$B$8*(('Business Case'!C11*$C987*'Business Case'!C12*$B987)-('Business Case'!B11*$C987*'Business Case'!B12*$B987))-'Business Case'!C15*$F987</f>
        <v>-18042041.4470446</v>
      </c>
      <c r="J987" s="39" t="n">
        <f aca="false">(('Business Case'!D11*$C987*'Business Case'!D12*$B987)-'Business Case'!D11*$C987*'Business Case'!D13*$D987-'Business Case'!D14*$E987)-MAX(0,(('Business Case'!D11*$C987*'Business Case'!D12*$B987)-'Business Case'!D11*$C987*'Business Case'!D13*$D987-'Business Case'!D14*$E987))*'Business Case'!$B$7-'Business Case'!$B$8*(('Business Case'!D11*$C987*'Business Case'!D12*$B987)-('Business Case'!C11*$C987*'Business Case'!C12*$B987))-'Business Case'!D15*$F987</f>
        <v>269406798.783312</v>
      </c>
      <c r="K987" s="39" t="n">
        <f aca="false">(('Business Case'!E11*$C987*'Business Case'!E12*$B987)-'Business Case'!E11*$C987*'Business Case'!E13*$D987-'Business Case'!E14*$E987)-MAX(0,(('Business Case'!E11*$C987*'Business Case'!E12*$B987)-'Business Case'!E11*$C987*'Business Case'!E13*$D987-'Business Case'!E14*$E987))*'Business Case'!$B$7-'Business Case'!$B$8*(('Business Case'!E11*$C987*'Business Case'!E12*$B987)-('Business Case'!D11*$C987*'Business Case'!D12*$B987))-'Business Case'!E15*$F987</f>
        <v>609498349.628156</v>
      </c>
      <c r="L987" s="39" t="n">
        <f aca="false">(('Business Case'!F11*$C987*'Business Case'!F12*$B987)-'Business Case'!F11*$C987*'Business Case'!F13*$D987-'Business Case'!F14*$E987)-MAX(0,(('Business Case'!F11*$C987*'Business Case'!F12*$B987)-'Business Case'!F11*$C987*'Business Case'!F13*$D987-'Business Case'!F14*$E987))*'Business Case'!$B$7-'Business Case'!$B$8*(('Business Case'!F11*$C987*'Business Case'!F12*$B987)-('Business Case'!E11*$C987*'Business Case'!E12*$B987))-'Business Case'!F15*$F987</f>
        <v>740919589.469404</v>
      </c>
      <c r="M987" s="39" t="n">
        <f aca="false">(('Business Case'!G11*$C987*'Business Case'!G12*$B987)-'Business Case'!G11*$C987*'Business Case'!G13*$D987-'Business Case'!G14*$E987)-MAX(0,(('Business Case'!G11*$C987*'Business Case'!G12*$B987)-'Business Case'!G11*$C987*'Business Case'!G13*$D987-'Business Case'!G14*$E987))*'Business Case'!$B$7-'Business Case'!$B$8*(('Business Case'!G11*$C987*'Business Case'!G12*$B987)-('Business Case'!F11*$C987*'Business Case'!F12*$B987))-'Business Case'!G15*$F987+'Business Case'!$B$8*('Business Case'!G11*$C987*'Business Case'!G12*$B987)</f>
        <v>936746868.173945</v>
      </c>
      <c r="N987" s="39" t="n">
        <f aca="false">IF(COUNT('Business Case'!B11:G11)=0,"",H987+NPV(G987,I987:M987))</f>
        <v>-325688720.266505</v>
      </c>
      <c r="P987" s="40" t="n">
        <f aca="true">RAND()</f>
        <v>0.733788433431936</v>
      </c>
      <c r="Q987" s="40" t="n">
        <f aca="true">RAND()</f>
        <v>0.76773079633363</v>
      </c>
      <c r="R987" s="40" t="n">
        <f aca="true">RAND()</f>
        <v>0.896390866232583</v>
      </c>
      <c r="S987" s="40" t="n">
        <f aca="true">RAND()</f>
        <v>0.630797892482723</v>
      </c>
      <c r="T987" s="40" t="n">
        <f aca="true">RAND()</f>
        <v>0.481780511841574</v>
      </c>
      <c r="U987" s="40" t="n">
        <f aca="true">RAND()</f>
        <v>0.23876933228002</v>
      </c>
    </row>
    <row r="988" customFormat="false" ht="15" hidden="false" customHeight="false" outlineLevel="0" collapsed="false">
      <c r="A988" s="36" t="n">
        <v>908</v>
      </c>
      <c r="B988" s="37" t="n">
        <f aca="false">1+IF($G$6=$E$6,$F$6,IF(P988&lt;($F$6-$E$6)/($G$6-$E$6),$E$6+SQRT(P988*($G$6-$E$6)*($F$6-$E$6)),$G$6-SQRT((1-P988)*($G$6-$E$6)*($G$6-$F$6))))</f>
        <v>0.985078111341431</v>
      </c>
      <c r="C988" s="37" t="n">
        <f aca="false">1+IF($G$7=$E$7,$F$7,IF(Q988&lt;($F$7-$E$7)/($G$7-$E$7),$E$7+SQRT(Q988*($G$7-$E$7)*($F$7-$E$7)),$G$7-SQRT((1-Q988)*($G$7-$E$7)*($G$7-$F$7))))</f>
        <v>0.927287044789034</v>
      </c>
      <c r="D988" s="37" t="n">
        <f aca="false">1+IF($G$8=$E$8,$F$8,IF(R988&lt;($F$8-$E$8)/($G$8-$E$8),$E$8+SQRT(R988*($G$8-$E$8)*($F$8-$E$8)),$G$8-SQRT((1-R988)*($G$8-$E$8)*($G$8-$F$8))))</f>
        <v>1.05774509285705</v>
      </c>
      <c r="E988" s="37" t="n">
        <f aca="false">1+IF($G$9=$E$9,$F$9,IF(S988&lt;($F$9-$E$9)/($G$9-$E$9),$E$9+SQRT(S988*($G$9-$E$9)*($F$9-$E$9)),$G$9-SQRT((1-S988)*($G$9-$E$9)*($G$9-$F$9))))</f>
        <v>1.00458472187859</v>
      </c>
      <c r="F988" s="37" t="n">
        <f aca="false">1+IF($G$10=$E$10,$F$10,IF(T988&lt;($F$10-$E$10)/($G$10-$E$10),$E$10+SQRT(T988*($G$10-$E$10)*($F$10-$E$10)),$G$10-SQRT((1-T988)*($G$10-$E$10)*($G$10-$F$10))))</f>
        <v>1.22668347778442</v>
      </c>
      <c r="G988" s="38" t="n">
        <f aca="false">IF($G$11=$E$11,$F$11,IF(U988&lt;($F$11-$E$11)/($G$11-$E$11),$E$11+SQRT(U988*($G$11-$E$11)*($F$11-$E$11)),$G$11-SQRT((1-U988)*($G$11-$E$11)*($G$11-$F$11))))</f>
        <v>0.106392570336236</v>
      </c>
      <c r="H988" s="39" t="n">
        <f aca="false">(('Business Case'!B11*$C988*'Business Case'!B12*$B988)-'Business Case'!B11*$C988*'Business Case'!B13*$D988-'Business Case'!B14*$E988)-MAX(0,(('Business Case'!B11*$C988*'Business Case'!B12*$B988)-'Business Case'!B11*$C988*'Business Case'!B13*$D988-'Business Case'!B14*$E988))*'Business Case'!$B$7-'Business Case'!$B$8*('Business Case'!B11*$C988*'Business Case'!B12*$B988)-'Business Case'!B15*$F988</f>
        <v>-2453366955.56884</v>
      </c>
      <c r="I988" s="39" t="n">
        <f aca="false">(('Business Case'!C11*$C988*'Business Case'!C12*$B988)-'Business Case'!C11*$C988*'Business Case'!C13*$D988-'Business Case'!C14*$E988)-MAX(0,(('Business Case'!C11*$C988*'Business Case'!C12*$B988)-'Business Case'!C11*$C988*'Business Case'!C13*$D988-'Business Case'!C14*$E988))*'Business Case'!$B$7-'Business Case'!$B$8*(('Business Case'!C11*$C988*'Business Case'!C12*$B988)-('Business Case'!B11*$C988*'Business Case'!B12*$B988))-'Business Case'!C15*$F988</f>
        <v>-66800287.6606576</v>
      </c>
      <c r="J988" s="39" t="n">
        <f aca="false">(('Business Case'!D11*$C988*'Business Case'!D12*$B988)-'Business Case'!D11*$C988*'Business Case'!D13*$D988-'Business Case'!D14*$E988)-MAX(0,(('Business Case'!D11*$C988*'Business Case'!D12*$B988)-'Business Case'!D11*$C988*'Business Case'!D13*$D988-'Business Case'!D14*$E988))*'Business Case'!$B$7-'Business Case'!$B$8*(('Business Case'!D11*$C988*'Business Case'!D12*$B988)-('Business Case'!C11*$C988*'Business Case'!C12*$B988))-'Business Case'!D15*$F988</f>
        <v>179272976.760054</v>
      </c>
      <c r="K988" s="39" t="n">
        <f aca="false">(('Business Case'!E11*$C988*'Business Case'!E12*$B988)-'Business Case'!E11*$C988*'Business Case'!E13*$D988-'Business Case'!E14*$E988)-MAX(0,(('Business Case'!E11*$C988*'Business Case'!E12*$B988)-'Business Case'!E11*$C988*'Business Case'!E13*$D988-'Business Case'!E14*$E988))*'Business Case'!$B$7-'Business Case'!$B$8*(('Business Case'!E11*$C988*'Business Case'!E12*$B988)-('Business Case'!D11*$C988*'Business Case'!D12*$B988))-'Business Case'!E15*$F988</f>
        <v>486680415.069987</v>
      </c>
      <c r="L988" s="39" t="n">
        <f aca="false">(('Business Case'!F11*$C988*'Business Case'!F12*$B988)-'Business Case'!F11*$C988*'Business Case'!F13*$D988-'Business Case'!F14*$E988)-MAX(0,(('Business Case'!F11*$C988*'Business Case'!F12*$B988)-'Business Case'!F11*$C988*'Business Case'!F13*$D988-'Business Case'!F14*$E988))*'Business Case'!$B$7-'Business Case'!$B$8*(('Business Case'!F11*$C988*'Business Case'!F12*$B988)-('Business Case'!E11*$C988*'Business Case'!E12*$B988))-'Business Case'!F15*$F988</f>
        <v>600273674.444753</v>
      </c>
      <c r="M988" s="39" t="n">
        <f aca="false">(('Business Case'!G11*$C988*'Business Case'!G12*$B988)-'Business Case'!G11*$C988*'Business Case'!G13*$D988-'Business Case'!G14*$E988)-MAX(0,(('Business Case'!G11*$C988*'Business Case'!G12*$B988)-'Business Case'!G11*$C988*'Business Case'!G13*$D988-'Business Case'!G14*$E988))*'Business Case'!$B$7-'Business Case'!$B$8*(('Business Case'!G11*$C988*'Business Case'!G12*$B988)-('Business Case'!F11*$C988*'Business Case'!F12*$B988))-'Business Case'!G15*$F988+'Business Case'!$B$8*('Business Case'!G11*$C988*'Business Case'!G12*$B988)</f>
        <v>773902282.901323</v>
      </c>
      <c r="N988" s="39" t="n">
        <f aca="false">IF(COUNT('Business Case'!B11:G11)=0,"",H988+NPV(G988,I988:M988))</f>
        <v>-1140531590.79882</v>
      </c>
      <c r="P988" s="40" t="n">
        <f aca="true">RAND()</f>
        <v>0.482552335294991</v>
      </c>
      <c r="Q988" s="40" t="n">
        <f aca="true">RAND()</f>
        <v>0.382662227621721</v>
      </c>
      <c r="R988" s="40" t="n">
        <f aca="true">RAND()</f>
        <v>0.880968188156034</v>
      </c>
      <c r="S988" s="40" t="n">
        <f aca="true">RAND()</f>
        <v>0.436117250369954</v>
      </c>
      <c r="T988" s="40" t="n">
        <f aca="true">RAND()</f>
        <v>0.992751197223605</v>
      </c>
      <c r="U988" s="40" t="n">
        <f aca="true">RAND()</f>
        <v>0.628459509780298</v>
      </c>
    </row>
    <row r="989" customFormat="false" ht="15" hidden="false" customHeight="false" outlineLevel="0" collapsed="false">
      <c r="A989" s="36" t="n">
        <v>909</v>
      </c>
      <c r="B989" s="37" t="n">
        <f aca="false">1+IF($G$6=$E$6,$F$6,IF(P989&lt;($F$6-$E$6)/($G$6-$E$6),$E$6+SQRT(P989*($G$6-$E$6)*($F$6-$E$6)),$G$6-SQRT((1-P989)*($G$6-$E$6)*($G$6-$F$6))))</f>
        <v>0.988992735013861</v>
      </c>
      <c r="C989" s="37" t="n">
        <f aca="false">1+IF($G$7=$E$7,$F$7,IF(Q989&lt;($F$7-$E$7)/($G$7-$E$7),$E$7+SQRT(Q989*($G$7-$E$7)*($F$7-$E$7)),$G$7-SQRT((1-Q989)*($G$7-$E$7)*($G$7-$F$7))))</f>
        <v>0.919003525049376</v>
      </c>
      <c r="D989" s="37" t="n">
        <f aca="false">1+IF($G$8=$E$8,$F$8,IF(R989&lt;($F$8-$E$8)/($G$8-$E$8),$E$8+SQRT(R989*($G$8-$E$8)*($F$8-$E$8)),$G$8-SQRT((1-R989)*($G$8-$E$8)*($G$8-$F$8))))</f>
        <v>1.00584457531426</v>
      </c>
      <c r="E989" s="37" t="n">
        <f aca="false">1+IF($G$9=$E$9,$F$9,IF(S989&lt;($F$9-$E$9)/($G$9-$E$9),$E$9+SQRT(S989*($G$9-$E$9)*($F$9-$E$9)),$G$9-SQRT((1-S989)*($G$9-$E$9)*($G$9-$F$9))))</f>
        <v>1.03563914800966</v>
      </c>
      <c r="F989" s="37" t="n">
        <f aca="false">1+IF($G$10=$E$10,$F$10,IF(T989&lt;($F$10-$E$10)/($G$10-$E$10),$E$10+SQRT(T989*($G$10-$E$10)*($F$10-$E$10)),$G$10-SQRT((1-T989)*($G$10-$E$10)*($G$10-$F$10))))</f>
        <v>1.02640490908643</v>
      </c>
      <c r="G989" s="38" t="n">
        <f aca="false">IF($G$11=$E$11,$F$11,IF(U989&lt;($F$11-$E$11)/($G$11-$E$11),$E$11+SQRT(U989*($G$11-$E$11)*($F$11-$E$11)),$G$11-SQRT((1-U989)*($G$11-$E$11)*($G$11-$F$11))))</f>
        <v>0.0988066698289879</v>
      </c>
      <c r="H989" s="39" t="n">
        <f aca="false">(('Business Case'!B11*$C989*'Business Case'!B12*$B989)-'Business Case'!B11*$C989*'Business Case'!B13*$D989-'Business Case'!B14*$E989)-MAX(0,(('Business Case'!B11*$C989*'Business Case'!B12*$B989)-'Business Case'!B11*$C989*'Business Case'!B13*$D989-'Business Case'!B14*$E989))*'Business Case'!$B$7-'Business Case'!$B$8*('Business Case'!B11*$C989*'Business Case'!B12*$B989)-'Business Case'!B15*$F989</f>
        <v>-2052809818.17286</v>
      </c>
      <c r="I989" s="39" t="n">
        <f aca="false">(('Business Case'!C11*$C989*'Business Case'!C12*$B989)-'Business Case'!C11*$C989*'Business Case'!C13*$D989-'Business Case'!C14*$E989)-MAX(0,(('Business Case'!C11*$C989*'Business Case'!C12*$B989)-'Business Case'!C11*$C989*'Business Case'!C13*$D989-'Business Case'!C14*$E989))*'Business Case'!$B$7-'Business Case'!$B$8*(('Business Case'!C11*$C989*'Business Case'!C12*$B989)-('Business Case'!B11*$C989*'Business Case'!B12*$B989))-'Business Case'!C15*$F989</f>
        <v>-25786467.4543051</v>
      </c>
      <c r="J989" s="39" t="n">
        <f aca="false">(('Business Case'!D11*$C989*'Business Case'!D12*$B989)-'Business Case'!D11*$C989*'Business Case'!D13*$D989-'Business Case'!D14*$E989)-MAX(0,(('Business Case'!D11*$C989*'Business Case'!D12*$B989)-'Business Case'!D11*$C989*'Business Case'!D13*$D989-'Business Case'!D14*$E989))*'Business Case'!$B$7-'Business Case'!$B$8*(('Business Case'!D11*$C989*'Business Case'!D12*$B989)-('Business Case'!C11*$C989*'Business Case'!C12*$B989))-'Business Case'!D15*$F989</f>
        <v>245452186.9032</v>
      </c>
      <c r="K989" s="39" t="n">
        <f aca="false">(('Business Case'!E11*$C989*'Business Case'!E12*$B989)-'Business Case'!E11*$C989*'Business Case'!E13*$D989-'Business Case'!E14*$E989)-MAX(0,(('Business Case'!E11*$C989*'Business Case'!E12*$B989)-'Business Case'!E11*$C989*'Business Case'!E13*$D989-'Business Case'!E14*$E989))*'Business Case'!$B$7-'Business Case'!$B$8*(('Business Case'!E11*$C989*'Business Case'!E12*$B989)-('Business Case'!D11*$C989*'Business Case'!D12*$B989))-'Business Case'!E15*$F989</f>
        <v>568011086.715027</v>
      </c>
      <c r="L989" s="39" t="n">
        <f aca="false">(('Business Case'!F11*$C989*'Business Case'!F12*$B989)-'Business Case'!F11*$C989*'Business Case'!F13*$D989-'Business Case'!F14*$E989)-MAX(0,(('Business Case'!F11*$C989*'Business Case'!F12*$B989)-'Business Case'!F11*$C989*'Business Case'!F13*$D989-'Business Case'!F14*$E989))*'Business Case'!$B$7-'Business Case'!$B$8*(('Business Case'!F11*$C989*'Business Case'!F12*$B989)-('Business Case'!E11*$C989*'Business Case'!E12*$B989))-'Business Case'!F15*$F989</f>
        <v>689835134.204992</v>
      </c>
      <c r="M989" s="39" t="n">
        <f aca="false">(('Business Case'!G11*$C989*'Business Case'!G12*$B989)-'Business Case'!G11*$C989*'Business Case'!G13*$D989-'Business Case'!G14*$E989)-MAX(0,(('Business Case'!G11*$C989*'Business Case'!G12*$B989)-'Business Case'!G11*$C989*'Business Case'!G13*$D989-'Business Case'!G14*$E989))*'Business Case'!$B$7-'Business Case'!$B$8*(('Business Case'!G11*$C989*'Business Case'!G12*$B989)-('Business Case'!F11*$C989*'Business Case'!F12*$B989))-'Business Case'!G15*$F989+'Business Case'!$B$8*('Business Case'!G11*$C989*'Business Case'!G12*$B989)</f>
        <v>862596529.077703</v>
      </c>
      <c r="N989" s="39" t="n">
        <f aca="false">IF(COUNT('Business Case'!B11:G11)=0,"",H989+NPV(G989,I989:M989))</f>
        <v>-433100474.741182</v>
      </c>
      <c r="P989" s="40" t="n">
        <f aca="true">RAND()</f>
        <v>0.527980459016484</v>
      </c>
      <c r="Q989" s="40" t="n">
        <f aca="true">RAND()</f>
        <v>0.355278103585574</v>
      </c>
      <c r="R989" s="40" t="n">
        <f aca="true">RAND()</f>
        <v>0.408983733483212</v>
      </c>
      <c r="S989" s="40" t="n">
        <f aca="true">RAND()</f>
        <v>0.651242547521158</v>
      </c>
      <c r="T989" s="40" t="n">
        <f aca="true">RAND()</f>
        <v>0.333403137591374</v>
      </c>
      <c r="U989" s="40" t="n">
        <f aca="true">RAND()</f>
        <v>0.353690830056562</v>
      </c>
    </row>
    <row r="990" customFormat="false" ht="15" hidden="false" customHeight="false" outlineLevel="0" collapsed="false">
      <c r="A990" s="36" t="n">
        <v>910</v>
      </c>
      <c r="B990" s="37" t="n">
        <f aca="false">1+IF($G$6=$E$6,$F$6,IF(P990&lt;($F$6-$E$6)/($G$6-$E$6),$E$6+SQRT(P990*($G$6-$E$6)*($F$6-$E$6)),$G$6-SQRT((1-P990)*($G$6-$E$6)*($G$6-$F$6))))</f>
        <v>0.996215723652922</v>
      </c>
      <c r="C990" s="37" t="n">
        <f aca="false">1+IF($G$7=$E$7,$F$7,IF(Q990&lt;($F$7-$E$7)/($G$7-$E$7),$E$7+SQRT(Q990*($G$7-$E$7)*($F$7-$E$7)),$G$7-SQRT((1-Q990)*($G$7-$E$7)*($G$7-$F$7))))</f>
        <v>0.975879178086379</v>
      </c>
      <c r="D990" s="37" t="n">
        <f aca="false">1+IF($G$8=$E$8,$F$8,IF(R990&lt;($F$8-$E$8)/($G$8-$E$8),$E$8+SQRT(R990*($G$8-$E$8)*($F$8-$E$8)),$G$8-SQRT((1-R990)*($G$8-$E$8)*($G$8-$F$8))))</f>
        <v>0.96973769537418</v>
      </c>
      <c r="E990" s="37" t="n">
        <f aca="false">1+IF($G$9=$E$9,$F$9,IF(S990&lt;($F$9-$E$9)/($G$9-$E$9),$E$9+SQRT(S990*($G$9-$E$9)*($F$9-$E$9)),$G$9-SQRT((1-S990)*($G$9-$E$9)*($G$9-$F$9))))</f>
        <v>0.909944243790765</v>
      </c>
      <c r="F990" s="37" t="n">
        <f aca="false">1+IF($G$10=$E$10,$F$10,IF(T990&lt;($F$10-$E$10)/($G$10-$E$10),$E$10+SQRT(T990*($G$10-$E$10)*($F$10-$E$10)),$G$10-SQRT((1-T990)*($G$10-$E$10)*($G$10-$F$10))))</f>
        <v>1.17489579951933</v>
      </c>
      <c r="G990" s="38" t="n">
        <f aca="false">IF($G$11=$E$11,$F$11,IF(U990&lt;($F$11-$E$11)/($G$11-$E$11),$E$11+SQRT(U990*($G$11-$E$11)*($F$11-$E$11)),$G$11-SQRT((1-U990)*($G$11-$E$11)*($G$11-$F$11))))</f>
        <v>0.104228412781349</v>
      </c>
      <c r="H990" s="39" t="n">
        <f aca="false">(('Business Case'!B11*$C990*'Business Case'!B12*$B990)-'Business Case'!B11*$C990*'Business Case'!B13*$D990-'Business Case'!B14*$E990)-MAX(0,(('Business Case'!B11*$C990*'Business Case'!B12*$B990)-'Business Case'!B11*$C990*'Business Case'!B13*$D990-'Business Case'!B14*$E990))*'Business Case'!$B$7-'Business Case'!$B$8*('Business Case'!B11*$C990*'Business Case'!B12*$B990)-'Business Case'!B15*$F990</f>
        <v>-2349791599.03866</v>
      </c>
      <c r="I990" s="39" t="n">
        <f aca="false">(('Business Case'!C11*$C990*'Business Case'!C12*$B990)-'Business Case'!C11*$C990*'Business Case'!C13*$D990-'Business Case'!C14*$E990)-MAX(0,(('Business Case'!C11*$C990*'Business Case'!C12*$B990)-'Business Case'!C11*$C990*'Business Case'!C13*$D990-'Business Case'!C14*$E990))*'Business Case'!$B$7-'Business Case'!$B$8*(('Business Case'!C11*$C990*'Business Case'!C12*$B990)-('Business Case'!B11*$C990*'Business Case'!B12*$B990))-'Business Case'!C15*$F990</f>
        <v>14554830.3426121</v>
      </c>
      <c r="J990" s="39" t="n">
        <f aca="false">(('Business Case'!D11*$C990*'Business Case'!D12*$B990)-'Business Case'!D11*$C990*'Business Case'!D13*$D990-'Business Case'!D14*$E990)-MAX(0,(('Business Case'!D11*$C990*'Business Case'!D12*$B990)-'Business Case'!D11*$C990*'Business Case'!D13*$D990-'Business Case'!D14*$E990))*'Business Case'!$B$7-'Business Case'!$B$8*(('Business Case'!D11*$C990*'Business Case'!D12*$B990)-('Business Case'!C11*$C990*'Business Case'!C12*$B990))-'Business Case'!D15*$F990</f>
        <v>326391443.758096</v>
      </c>
      <c r="K990" s="39" t="n">
        <f aca="false">(('Business Case'!E11*$C990*'Business Case'!E12*$B990)-'Business Case'!E11*$C990*'Business Case'!E13*$D990-'Business Case'!E14*$E990)-MAX(0,(('Business Case'!E11*$C990*'Business Case'!E12*$B990)-'Business Case'!E11*$C990*'Business Case'!E13*$D990-'Business Case'!E14*$E990))*'Business Case'!$B$7-'Business Case'!$B$8*(('Business Case'!E11*$C990*'Business Case'!E12*$B990)-('Business Case'!D11*$C990*'Business Case'!D12*$B990))-'Business Case'!E15*$F990</f>
        <v>696972847.149546</v>
      </c>
      <c r="L990" s="39" t="n">
        <f aca="false">(('Business Case'!F11*$C990*'Business Case'!F12*$B990)-'Business Case'!F11*$C990*'Business Case'!F13*$D990-'Business Case'!F14*$E990)-MAX(0,(('Business Case'!F11*$C990*'Business Case'!F12*$B990)-'Business Case'!F11*$C990*'Business Case'!F13*$D990-'Business Case'!F14*$E990))*'Business Case'!$B$7-'Business Case'!$B$8*(('Business Case'!F11*$C990*'Business Case'!F12*$B990)-('Business Case'!E11*$C990*'Business Case'!E12*$B990))-'Business Case'!F15*$F990</f>
        <v>834517139.390635</v>
      </c>
      <c r="M990" s="39" t="n">
        <f aca="false">(('Business Case'!G11*$C990*'Business Case'!G12*$B990)-'Business Case'!G11*$C990*'Business Case'!G13*$D990-'Business Case'!G14*$E990)-MAX(0,(('Business Case'!G11*$C990*'Business Case'!G12*$B990)-'Business Case'!G11*$C990*'Business Case'!G13*$D990-'Business Case'!G14*$E990))*'Business Case'!$B$7-'Business Case'!$B$8*(('Business Case'!G11*$C990*'Business Case'!G12*$B990)-('Business Case'!F11*$C990*'Business Case'!F12*$B990))-'Business Case'!G15*$F990+'Business Case'!$B$8*('Business Case'!G11*$C990*'Business Case'!G12*$B990)</f>
        <v>1019310288.78824</v>
      </c>
      <c r="N990" s="39" t="n">
        <f aca="false">IF(COUNT('Business Case'!B11:G11)=0,"",H990+NPV(G990,I990:M990))</f>
        <v>-369082266.768868</v>
      </c>
      <c r="P990" s="40" t="n">
        <f aca="true">RAND()</f>
        <v>0.617164365203694</v>
      </c>
      <c r="Q990" s="40" t="n">
        <f aca="true">RAND()</f>
        <v>0.563772747419376</v>
      </c>
      <c r="R990" s="40" t="n">
        <f aca="true">RAND()</f>
        <v>0.0519435491578587</v>
      </c>
      <c r="S990" s="40" t="n">
        <f aca="true">RAND()</f>
        <v>0.00395551938280659</v>
      </c>
      <c r="T990" s="40" t="n">
        <f aca="true">RAND()</f>
        <v>0.924791454268788</v>
      </c>
      <c r="U990" s="40" t="n">
        <f aca="true">RAND()</f>
        <v>0.557216861487638</v>
      </c>
    </row>
    <row r="991" customFormat="false" ht="15" hidden="false" customHeight="false" outlineLevel="0" collapsed="false">
      <c r="A991" s="36" t="n">
        <v>911</v>
      </c>
      <c r="B991" s="37" t="n">
        <f aca="false">1+IF($G$6=$E$6,$F$6,IF(P991&lt;($F$6-$E$6)/($G$6-$E$6),$E$6+SQRT(P991*($G$6-$E$6)*($F$6-$E$6)),$G$6-SQRT((1-P991)*($G$6-$E$6)*($G$6-$F$6))))</f>
        <v>1.00723454090375</v>
      </c>
      <c r="C991" s="37" t="n">
        <f aca="false">1+IF($G$7=$E$7,$F$7,IF(Q991&lt;($F$7-$E$7)/($G$7-$E$7),$E$7+SQRT(Q991*($G$7-$E$7)*($F$7-$E$7)),$G$7-SQRT((1-Q991)*($G$7-$E$7)*($G$7-$F$7))))</f>
        <v>0.80887752492347</v>
      </c>
      <c r="D991" s="37" t="n">
        <f aca="false">1+IF($G$8=$E$8,$F$8,IF(R991&lt;($F$8-$E$8)/($G$8-$E$8),$E$8+SQRT(R991*($G$8-$E$8)*($F$8-$E$8)),$G$8-SQRT((1-R991)*($G$8-$E$8)*($G$8-$F$8))))</f>
        <v>1.00271112904933</v>
      </c>
      <c r="E991" s="37" t="n">
        <f aca="false">1+IF($G$9=$E$9,$F$9,IF(S991&lt;($F$9-$E$9)/($G$9-$E$9),$E$9+SQRT(S991*($G$9-$E$9)*($F$9-$E$9)),$G$9-SQRT((1-S991)*($G$9-$E$9)*($G$9-$F$9))))</f>
        <v>1.0907197600813</v>
      </c>
      <c r="F991" s="37" t="n">
        <f aca="false">1+IF($G$10=$E$10,$F$10,IF(T991&lt;($F$10-$E$10)/($G$10-$E$10),$E$10+SQRT(T991*($G$10-$E$10)*($F$10-$E$10)),$G$10-SQRT((1-T991)*($G$10-$E$10)*($G$10-$F$10))))</f>
        <v>1.04676754295238</v>
      </c>
      <c r="G991" s="38" t="n">
        <f aca="false">IF($G$11=$E$11,$F$11,IF(U991&lt;($F$11-$E$11)/($G$11-$E$11),$E$11+SQRT(U991*($G$11-$E$11)*($F$11-$E$11)),$G$11-SQRT((1-U991)*($G$11-$E$11)*($G$11-$F$11))))</f>
        <v>0.104470135375592</v>
      </c>
      <c r="H991" s="39" t="n">
        <f aca="false">(('Business Case'!B11*$C991*'Business Case'!B12*$B991)-'Business Case'!B11*$C991*'Business Case'!B13*$D991-'Business Case'!B14*$E991)-MAX(0,(('Business Case'!B11*$C991*'Business Case'!B12*$B991)-'Business Case'!B11*$C991*'Business Case'!B13*$D991-'Business Case'!B14*$E991))*'Business Case'!$B$7-'Business Case'!$B$8*('Business Case'!B11*$C991*'Business Case'!B12*$B991)-'Business Case'!B15*$F991</f>
        <v>-2093535085.90476</v>
      </c>
      <c r="I991" s="39" t="n">
        <f aca="false">(('Business Case'!C11*$C991*'Business Case'!C12*$B991)-'Business Case'!C11*$C991*'Business Case'!C13*$D991-'Business Case'!C14*$E991)-MAX(0,(('Business Case'!C11*$C991*'Business Case'!C12*$B991)-'Business Case'!C11*$C991*'Business Case'!C13*$D991-'Business Case'!C14*$E991))*'Business Case'!$B$7-'Business Case'!$B$8*(('Business Case'!C11*$C991*'Business Case'!C12*$B991)-('Business Case'!B11*$C991*'Business Case'!B12*$B991))-'Business Case'!C15*$F991</f>
        <v>-49893859.0674052</v>
      </c>
      <c r="J991" s="39" t="n">
        <f aca="false">(('Business Case'!D11*$C991*'Business Case'!D12*$B991)-'Business Case'!D11*$C991*'Business Case'!D13*$D991-'Business Case'!D14*$E991)-MAX(0,(('Business Case'!D11*$C991*'Business Case'!D12*$B991)-'Business Case'!D11*$C991*'Business Case'!D13*$D991-'Business Case'!D14*$E991))*'Business Case'!$B$7-'Business Case'!$B$8*(('Business Case'!D11*$C991*'Business Case'!D12*$B991)-('Business Case'!C11*$C991*'Business Case'!C12*$B991))-'Business Case'!D15*$F991</f>
        <v>202224957.230905</v>
      </c>
      <c r="K991" s="39" t="n">
        <f aca="false">(('Business Case'!E11*$C991*'Business Case'!E12*$B991)-'Business Case'!E11*$C991*'Business Case'!E13*$D991-'Business Case'!E14*$E991)-MAX(0,(('Business Case'!E11*$C991*'Business Case'!E12*$B991)-'Business Case'!E11*$C991*'Business Case'!E13*$D991-'Business Case'!E14*$E991))*'Business Case'!$B$7-'Business Case'!$B$8*(('Business Case'!E11*$C991*'Business Case'!E12*$B991)-('Business Case'!D11*$C991*'Business Case'!D12*$B991))-'Business Case'!E15*$F991</f>
        <v>506682150.676834</v>
      </c>
      <c r="L991" s="39" t="n">
        <f aca="false">(('Business Case'!F11*$C991*'Business Case'!F12*$B991)-'Business Case'!F11*$C991*'Business Case'!F13*$D991-'Business Case'!F14*$E991)-MAX(0,(('Business Case'!F11*$C991*'Business Case'!F12*$B991)-'Business Case'!F11*$C991*'Business Case'!F13*$D991-'Business Case'!F14*$E991))*'Business Case'!$B$7-'Business Case'!$B$8*(('Business Case'!F11*$C991*'Business Case'!F12*$B991)-('Business Case'!E11*$C991*'Business Case'!E12*$B991))-'Business Case'!F15*$F991</f>
        <v>618878803.567548</v>
      </c>
      <c r="M991" s="39" t="n">
        <f aca="false">(('Business Case'!G11*$C991*'Business Case'!G12*$B991)-'Business Case'!G11*$C991*'Business Case'!G13*$D991-'Business Case'!G14*$E991)-MAX(0,(('Business Case'!G11*$C991*'Business Case'!G12*$B991)-'Business Case'!G11*$C991*'Business Case'!G13*$D991-'Business Case'!G14*$E991))*'Business Case'!$B$7-'Business Case'!$B$8*(('Business Case'!G11*$C991*'Business Case'!G12*$B991)-('Business Case'!F11*$C991*'Business Case'!F12*$B991))-'Business Case'!G15*$F991+'Business Case'!$B$8*('Business Case'!G11*$C991*'Business Case'!G12*$B991)</f>
        <v>773742564.586239</v>
      </c>
      <c r="N991" s="39" t="n">
        <f aca="false">IF(COUNT('Business Case'!B11:G11)=0,"",H991+NPV(G991,I991:M991))</f>
        <v>-710167215.800761</v>
      </c>
      <c r="P991" s="40" t="n">
        <f aca="true">RAND()</f>
        <v>0.756148734438268</v>
      </c>
      <c r="Q991" s="40" t="n">
        <f aca="true">RAND()</f>
        <v>0.0878097439515624</v>
      </c>
      <c r="R991" s="40" t="n">
        <f aca="true">RAND()</f>
        <v>0.368991705942861</v>
      </c>
      <c r="S991" s="40" t="n">
        <f aca="true">RAND()</f>
        <v>0.906289417471514</v>
      </c>
      <c r="T991" s="40" t="n">
        <f aca="true">RAND()</f>
        <v>0.449287578698503</v>
      </c>
      <c r="U991" s="40" t="n">
        <f aca="true">RAND()</f>
        <v>0.565484008172931</v>
      </c>
    </row>
    <row r="992" customFormat="false" ht="15" hidden="false" customHeight="false" outlineLevel="0" collapsed="false">
      <c r="A992" s="36" t="n">
        <v>912</v>
      </c>
      <c r="B992" s="37" t="n">
        <f aca="false">1+IF($G$6=$E$6,$F$6,IF(P992&lt;($F$6-$E$6)/($G$6-$E$6),$E$6+SQRT(P992*($G$6-$E$6)*($F$6-$E$6)),$G$6-SQRT((1-P992)*($G$6-$E$6)*($G$6-$F$6))))</f>
        <v>0.962912992079389</v>
      </c>
      <c r="C992" s="37" t="n">
        <f aca="false">1+IF($G$7=$E$7,$F$7,IF(Q992&lt;($F$7-$E$7)/($G$7-$E$7),$E$7+SQRT(Q992*($G$7-$E$7)*($F$7-$E$7)),$G$7-SQRT((1-Q992)*($G$7-$E$7)*($G$7-$F$7))))</f>
        <v>0.897075823681487</v>
      </c>
      <c r="D992" s="37" t="n">
        <f aca="false">1+IF($G$8=$E$8,$F$8,IF(R992&lt;($F$8-$E$8)/($G$8-$E$8),$E$8+SQRT(R992*($G$8-$E$8)*($F$8-$E$8)),$G$8-SQRT((1-R992)*($G$8-$E$8)*($G$8-$F$8))))</f>
        <v>1.05448020735413</v>
      </c>
      <c r="E992" s="37" t="n">
        <f aca="false">1+IF($G$9=$E$9,$F$9,IF(S992&lt;($F$9-$E$9)/($G$9-$E$9),$E$9+SQRT(S992*($G$9-$E$9)*($F$9-$E$9)),$G$9-SQRT((1-S992)*($G$9-$E$9)*($G$9-$F$9))))</f>
        <v>1.0160582523292</v>
      </c>
      <c r="F992" s="37" t="n">
        <f aca="false">1+IF($G$10=$E$10,$F$10,IF(T992&lt;($F$10-$E$10)/($G$10-$E$10),$E$10+SQRT(T992*($G$10-$E$10)*($F$10-$E$10)),$G$10-SQRT((1-T992)*($G$10-$E$10)*($G$10-$F$10))))</f>
        <v>1.00318628181721</v>
      </c>
      <c r="G992" s="38" t="n">
        <f aca="false">IF($G$11=$E$11,$F$11,IF(U992&lt;($F$11-$E$11)/($G$11-$E$11),$E$11+SQRT(U992*($G$11-$E$11)*($F$11-$E$11)),$G$11-SQRT((1-U992)*($G$11-$E$11)*($G$11-$F$11))))</f>
        <v>0.0993868825485449</v>
      </c>
      <c r="H992" s="39" t="n">
        <f aca="false">(('Business Case'!B11*$C992*'Business Case'!B12*$B992)-'Business Case'!B11*$C992*'Business Case'!B13*$D992-'Business Case'!B14*$E992)-MAX(0,(('Business Case'!B11*$C992*'Business Case'!B12*$B992)-'Business Case'!B11*$C992*'Business Case'!B13*$D992-'Business Case'!B14*$E992))*'Business Case'!$B$7-'Business Case'!$B$8*('Business Case'!B11*$C992*'Business Case'!B12*$B992)-'Business Case'!B15*$F992</f>
        <v>-2006372563.63443</v>
      </c>
      <c r="I992" s="39" t="n">
        <f aca="false">(('Business Case'!C11*$C992*'Business Case'!C12*$B992)-'Business Case'!C11*$C992*'Business Case'!C13*$D992-'Business Case'!C14*$E992)-MAX(0,(('Business Case'!C11*$C992*'Business Case'!C12*$B992)-'Business Case'!C11*$C992*'Business Case'!C13*$D992-'Business Case'!C14*$E992))*'Business Case'!$B$7-'Business Case'!$B$8*(('Business Case'!C11*$C992*'Business Case'!C12*$B992)-('Business Case'!B11*$C992*'Business Case'!B12*$B992))-'Business Case'!C15*$F992</f>
        <v>-66312591.9327522</v>
      </c>
      <c r="J992" s="39" t="n">
        <f aca="false">(('Business Case'!D11*$C992*'Business Case'!D12*$B992)-'Business Case'!D11*$C992*'Business Case'!D13*$D992-'Business Case'!D14*$E992)-MAX(0,(('Business Case'!D11*$C992*'Business Case'!D12*$B992)-'Business Case'!D11*$C992*'Business Case'!D13*$D992-'Business Case'!D14*$E992))*'Business Case'!$B$7-'Business Case'!$B$8*(('Business Case'!D11*$C992*'Business Case'!D12*$B992)-('Business Case'!C11*$C992*'Business Case'!C12*$B992))-'Business Case'!D15*$F992</f>
        <v>156956629.049117</v>
      </c>
      <c r="K992" s="39" t="n">
        <f aca="false">(('Business Case'!E11*$C992*'Business Case'!E12*$B992)-'Business Case'!E11*$C992*'Business Case'!E13*$D992-'Business Case'!E14*$E992)-MAX(0,(('Business Case'!E11*$C992*'Business Case'!E12*$B992)-'Business Case'!E11*$C992*'Business Case'!E13*$D992-'Business Case'!E14*$E992))*'Business Case'!$B$7-'Business Case'!$B$8*(('Business Case'!E11*$C992*'Business Case'!E12*$B992)-('Business Case'!D11*$C992*'Business Case'!D12*$B992))-'Business Case'!E15*$F992</f>
        <v>430385164.121846</v>
      </c>
      <c r="L992" s="39" t="n">
        <f aca="false">(('Business Case'!F11*$C992*'Business Case'!F12*$B992)-'Business Case'!F11*$C992*'Business Case'!F13*$D992-'Business Case'!F14*$E992)-MAX(0,(('Business Case'!F11*$C992*'Business Case'!F12*$B992)-'Business Case'!F11*$C992*'Business Case'!F13*$D992-'Business Case'!F14*$E992))*'Business Case'!$B$7-'Business Case'!$B$8*(('Business Case'!F11*$C992*'Business Case'!F12*$B992)-('Business Case'!E11*$C992*'Business Case'!E12*$B992))-'Business Case'!F15*$F992</f>
        <v>534661371.950261</v>
      </c>
      <c r="M992" s="39" t="n">
        <f aca="false">(('Business Case'!G11*$C992*'Business Case'!G12*$B992)-'Business Case'!G11*$C992*'Business Case'!G13*$D992-'Business Case'!G14*$E992)-MAX(0,(('Business Case'!G11*$C992*'Business Case'!G12*$B992)-'Business Case'!G11*$C992*'Business Case'!G13*$D992-'Business Case'!G14*$E992))*'Business Case'!$B$7-'Business Case'!$B$8*(('Business Case'!G11*$C992*'Business Case'!G12*$B992)-('Business Case'!F11*$C992*'Business Case'!F12*$B992))-'Business Case'!G15*$F992+'Business Case'!$B$8*('Business Case'!G11*$C992*'Business Case'!G12*$B992)</f>
        <v>698853609.873113</v>
      </c>
      <c r="N992" s="39" t="n">
        <f aca="false">IF(COUNT('Business Case'!B11:G11)=0,"",H992+NPV(G992,I992:M992))</f>
        <v>-811792686.975239</v>
      </c>
      <c r="P992" s="40" t="n">
        <f aca="true">RAND()</f>
        <v>0.26386963815875</v>
      </c>
      <c r="Q992" s="40" t="n">
        <f aca="true">RAND()</f>
        <v>0.287695409479529</v>
      </c>
      <c r="R992" s="40" t="n">
        <f aca="true">RAND()</f>
        <v>0.861863231831802</v>
      </c>
      <c r="S992" s="40" t="n">
        <f aca="true">RAND()</f>
        <v>0.521589552823807</v>
      </c>
      <c r="T992" s="40" t="n">
        <f aca="true">RAND()</f>
        <v>0.187773180223839</v>
      </c>
      <c r="U992" s="40" t="n">
        <f aca="true">RAND()</f>
        <v>0.375851214951076</v>
      </c>
    </row>
    <row r="993" customFormat="false" ht="15" hidden="false" customHeight="false" outlineLevel="0" collapsed="false">
      <c r="A993" s="36" t="n">
        <v>913</v>
      </c>
      <c r="B993" s="37" t="n">
        <f aca="false">1+IF($G$6=$E$6,$F$6,IF(P993&lt;($F$6-$E$6)/($G$6-$E$6),$E$6+SQRT(P993*($G$6-$E$6)*($F$6-$E$6)),$G$6-SQRT((1-P993)*($G$6-$E$6)*($G$6-$F$6))))</f>
        <v>0.954592839119032</v>
      </c>
      <c r="C993" s="37" t="n">
        <f aca="false">1+IF($G$7=$E$7,$F$7,IF(Q993&lt;($F$7-$E$7)/($G$7-$E$7),$E$7+SQRT(Q993*($G$7-$E$7)*($F$7-$E$7)),$G$7-SQRT((1-Q993)*($G$7-$E$7)*($G$7-$F$7))))</f>
        <v>0.98946460393924</v>
      </c>
      <c r="D993" s="37" t="n">
        <f aca="false">1+IF($G$8=$E$8,$F$8,IF(R993&lt;($F$8-$E$8)/($G$8-$E$8),$E$8+SQRT(R993*($G$8-$E$8)*($F$8-$E$8)),$G$8-SQRT((1-R993)*($G$8-$E$8)*($G$8-$F$8))))</f>
        <v>1.00380609878841</v>
      </c>
      <c r="E993" s="37" t="n">
        <f aca="false">1+IF($G$9=$E$9,$F$9,IF(S993&lt;($F$9-$E$9)/($G$9-$E$9),$E$9+SQRT(S993*($G$9-$E$9)*($F$9-$E$9)),$G$9-SQRT((1-S993)*($G$9-$E$9)*($G$9-$F$9))))</f>
        <v>1.00769661316375</v>
      </c>
      <c r="F993" s="37" t="n">
        <f aca="false">1+IF($G$10=$E$10,$F$10,IF(T993&lt;($F$10-$E$10)/($G$10-$E$10),$E$10+SQRT(T993*($G$10-$E$10)*($F$10-$E$10)),$G$10-SQRT((1-T993)*($G$10-$E$10)*($G$10-$F$10))))</f>
        <v>1.15041483773237</v>
      </c>
      <c r="G993" s="38" t="n">
        <f aca="false">IF($G$11=$E$11,$F$11,IF(U993&lt;($F$11-$E$11)/($G$11-$E$11),$E$11+SQRT(U993*($G$11-$E$11)*($F$11-$E$11)),$G$11-SQRT((1-U993)*($G$11-$E$11)*($G$11-$F$11))))</f>
        <v>0.117190351742293</v>
      </c>
      <c r="H993" s="39" t="n">
        <f aca="false">(('Business Case'!B11*$C993*'Business Case'!B12*$B993)-'Business Case'!B11*$C993*'Business Case'!B13*$D993-'Business Case'!B14*$E993)-MAX(0,(('Business Case'!B11*$C993*'Business Case'!B12*$B993)-'Business Case'!B11*$C993*'Business Case'!B13*$D993-'Business Case'!B14*$E993))*'Business Case'!$B$7-'Business Case'!$B$8*('Business Case'!B11*$C993*'Business Case'!B12*$B993)-'Business Case'!B15*$F993</f>
        <v>-2300829675.46475</v>
      </c>
      <c r="I993" s="39" t="n">
        <f aca="false">(('Business Case'!C11*$C993*'Business Case'!C12*$B993)-'Business Case'!C11*$C993*'Business Case'!C13*$D993-'Business Case'!C14*$E993)-MAX(0,(('Business Case'!C11*$C993*'Business Case'!C12*$B993)-'Business Case'!C11*$C993*'Business Case'!C13*$D993-'Business Case'!C14*$E993))*'Business Case'!$B$7-'Business Case'!$B$8*(('Business Case'!C11*$C993*'Business Case'!C12*$B993)-('Business Case'!B11*$C993*'Business Case'!B12*$B993))-'Business Case'!C15*$F993</f>
        <v>-42112442.4928544</v>
      </c>
      <c r="J993" s="39" t="n">
        <f aca="false">(('Business Case'!D11*$C993*'Business Case'!D12*$B993)-'Business Case'!D11*$C993*'Business Case'!D13*$D993-'Business Case'!D14*$E993)-MAX(0,(('Business Case'!D11*$C993*'Business Case'!D12*$B993)-'Business Case'!D11*$C993*'Business Case'!D13*$D993-'Business Case'!D14*$E993))*'Business Case'!$B$7-'Business Case'!$B$8*(('Business Case'!D11*$C993*'Business Case'!D12*$B993)-('Business Case'!C11*$C993*'Business Case'!C12*$B993))-'Business Case'!D15*$F993</f>
        <v>223075794.372409</v>
      </c>
      <c r="K993" s="39" t="n">
        <f aca="false">(('Business Case'!E11*$C993*'Business Case'!E12*$B993)-'Business Case'!E11*$C993*'Business Case'!E13*$D993-'Business Case'!E14*$E993)-MAX(0,(('Business Case'!E11*$C993*'Business Case'!E12*$B993)-'Business Case'!E11*$C993*'Business Case'!E13*$D993-'Business Case'!E14*$E993))*'Business Case'!$B$7-'Business Case'!$B$8*(('Business Case'!E11*$C993*'Business Case'!E12*$B993)-('Business Case'!D11*$C993*'Business Case'!D12*$B993))-'Business Case'!E15*$F993</f>
        <v>545784773.12429</v>
      </c>
      <c r="L993" s="39" t="n">
        <f aca="false">(('Business Case'!F11*$C993*'Business Case'!F12*$B993)-'Business Case'!F11*$C993*'Business Case'!F13*$D993-'Business Case'!F14*$E993)-MAX(0,(('Business Case'!F11*$C993*'Business Case'!F12*$B993)-'Business Case'!F11*$C993*'Business Case'!F13*$D993-'Business Case'!F14*$E993))*'Business Case'!$B$7-'Business Case'!$B$8*(('Business Case'!F11*$C993*'Business Case'!F12*$B993)-('Business Case'!E11*$C993*'Business Case'!E12*$B993))-'Business Case'!F15*$F993</f>
        <v>666824010.208041</v>
      </c>
      <c r="M993" s="39" t="n">
        <f aca="false">(('Business Case'!G11*$C993*'Business Case'!G12*$B993)-'Business Case'!G11*$C993*'Business Case'!G13*$D993-'Business Case'!G14*$E993)-MAX(0,(('Business Case'!G11*$C993*'Business Case'!G12*$B993)-'Business Case'!G11*$C993*'Business Case'!G13*$D993-'Business Case'!G14*$E993))*'Business Case'!$B$7-'Business Case'!$B$8*(('Business Case'!G11*$C993*'Business Case'!G12*$B993)-('Business Case'!F11*$C993*'Business Case'!F12*$B993))-'Business Case'!G15*$F993+'Business Case'!$B$8*('Business Case'!G11*$C993*'Business Case'!G12*$B993)</f>
        <v>846361379.915688</v>
      </c>
      <c r="N993" s="39" t="n">
        <f aca="false">IF(COUNT('Business Case'!B11:G11)=0,"",H993+NPV(G993,I993:M993))</f>
        <v>-854001715.421757</v>
      </c>
      <c r="P993" s="40" t="n">
        <f aca="true">RAND()</f>
        <v>0.198691872205098</v>
      </c>
      <c r="Q993" s="40" t="n">
        <f aca="true">RAND()</f>
        <v>0.620664866175565</v>
      </c>
      <c r="R993" s="40" t="n">
        <f aca="true">RAND()</f>
        <v>0.383115557979669</v>
      </c>
      <c r="S993" s="40" t="n">
        <f aca="true">RAND()</f>
        <v>0.459993229198218</v>
      </c>
      <c r="T993" s="40" t="n">
        <f aca="true">RAND()</f>
        <v>0.867770606081741</v>
      </c>
      <c r="U993" s="40" t="n">
        <f aca="true">RAND()</f>
        <v>0.890608607675883</v>
      </c>
    </row>
    <row r="994" customFormat="false" ht="15" hidden="false" customHeight="false" outlineLevel="0" collapsed="false">
      <c r="A994" s="36" t="n">
        <v>914</v>
      </c>
      <c r="B994" s="37" t="n">
        <f aca="false">1+IF($G$6=$E$6,$F$6,IF(P994&lt;($F$6-$E$6)/($G$6-$E$6),$E$6+SQRT(P994*($G$6-$E$6)*($F$6-$E$6)),$G$6-SQRT((1-P994)*($G$6-$E$6)*($G$6-$F$6))))</f>
        <v>0.9954341077697</v>
      </c>
      <c r="C994" s="37" t="n">
        <f aca="false">1+IF($G$7=$E$7,$F$7,IF(Q994&lt;($F$7-$E$7)/($G$7-$E$7),$E$7+SQRT(Q994*($G$7-$E$7)*($F$7-$E$7)),$G$7-SQRT((1-Q994)*($G$7-$E$7)*($G$7-$F$7))))</f>
        <v>1.11765631021087</v>
      </c>
      <c r="D994" s="37" t="n">
        <f aca="false">1+IF($G$8=$E$8,$F$8,IF(R994&lt;($F$8-$E$8)/($G$8-$E$8),$E$8+SQRT(R994*($G$8-$E$8)*($F$8-$E$8)),$G$8-SQRT((1-R994)*($G$8-$E$8)*($G$8-$F$8))))</f>
        <v>0.994349647574485</v>
      </c>
      <c r="E994" s="37" t="n">
        <f aca="false">1+IF($G$9=$E$9,$F$9,IF(S994&lt;($F$9-$E$9)/($G$9-$E$9),$E$9+SQRT(S994*($G$9-$E$9)*($F$9-$E$9)),$G$9-SQRT((1-S994)*($G$9-$E$9)*($G$9-$F$9))))</f>
        <v>1.11293519088834</v>
      </c>
      <c r="F994" s="37" t="n">
        <f aca="false">1+IF($G$10=$E$10,$F$10,IF(T994&lt;($F$10-$E$10)/($G$10-$E$10),$E$10+SQRT(T994*($G$10-$E$10)*($F$10-$E$10)),$G$10-SQRT((1-T994)*($G$10-$E$10)*($G$10-$F$10))))</f>
        <v>0.962650962677692</v>
      </c>
      <c r="G994" s="38" t="n">
        <f aca="false">IF($G$11=$E$11,$F$11,IF(U994&lt;($F$11-$E$11)/($G$11-$E$11),$E$11+SQRT(U994*($G$11-$E$11)*($F$11-$E$11)),$G$11-SQRT((1-U994)*($G$11-$E$11)*($G$11-$F$11))))</f>
        <v>0.089298275489836</v>
      </c>
      <c r="H994" s="39" t="n">
        <f aca="false">(('Business Case'!B11*$C994*'Business Case'!B12*$B994)-'Business Case'!B11*$C994*'Business Case'!B13*$D994-'Business Case'!B14*$E994)-MAX(0,(('Business Case'!B11*$C994*'Business Case'!B12*$B994)-'Business Case'!B11*$C994*'Business Case'!B13*$D994-'Business Case'!B14*$E994))*'Business Case'!$B$7-'Business Case'!$B$8*('Business Case'!B11*$C994*'Business Case'!B12*$B994)-'Business Case'!B15*$F994</f>
        <v>-1925301925.35538</v>
      </c>
      <c r="I994" s="39" t="n">
        <f aca="false">(('Business Case'!C11*$C994*'Business Case'!C12*$B994)-'Business Case'!C11*$C994*'Business Case'!C13*$D994-'Business Case'!C14*$E994)-MAX(0,(('Business Case'!C11*$C994*'Business Case'!C12*$B994)-'Business Case'!C11*$C994*'Business Case'!C13*$D994-'Business Case'!C14*$E994))*'Business Case'!$B$7-'Business Case'!$B$8*(('Business Case'!C11*$C994*'Business Case'!C12*$B994)-('Business Case'!B11*$C994*'Business Case'!B12*$B994))-'Business Case'!C15*$F994</f>
        <v>30144179.8079979</v>
      </c>
      <c r="J994" s="39" t="n">
        <f aca="false">(('Business Case'!D11*$C994*'Business Case'!D12*$B994)-'Business Case'!D11*$C994*'Business Case'!D13*$D994-'Business Case'!D14*$E994)-MAX(0,(('Business Case'!D11*$C994*'Business Case'!D12*$B994)-'Business Case'!D11*$C994*'Business Case'!D13*$D994-'Business Case'!D14*$E994))*'Business Case'!$B$7-'Business Case'!$B$8*(('Business Case'!D11*$C994*'Business Case'!D12*$B994)-('Business Case'!C11*$C994*'Business Case'!C12*$B994))-'Business Case'!D15*$F994</f>
        <v>372487598.535468</v>
      </c>
      <c r="K994" s="39" t="n">
        <f aca="false">(('Business Case'!E11*$C994*'Business Case'!E12*$B994)-'Business Case'!E11*$C994*'Business Case'!E13*$D994-'Business Case'!E14*$E994)-MAX(0,(('Business Case'!E11*$C994*'Business Case'!E12*$B994)-'Business Case'!E11*$C994*'Business Case'!E13*$D994-'Business Case'!E14*$E994))*'Business Case'!$B$7-'Business Case'!$B$8*(('Business Case'!E11*$C994*'Business Case'!E12*$B994)-('Business Case'!D11*$C994*'Business Case'!D12*$B994))-'Business Case'!E15*$F994</f>
        <v>762963565.396823</v>
      </c>
      <c r="L994" s="39" t="n">
        <f aca="false">(('Business Case'!F11*$C994*'Business Case'!F12*$B994)-'Business Case'!F11*$C994*'Business Case'!F13*$D994-'Business Case'!F14*$E994)-MAX(0,(('Business Case'!F11*$C994*'Business Case'!F12*$B994)-'Business Case'!F11*$C994*'Business Case'!F13*$D994-'Business Case'!F14*$E994))*'Business Case'!$B$7-'Business Case'!$B$8*(('Business Case'!F11*$C994*'Business Case'!F12*$B994)-('Business Case'!E11*$C994*'Business Case'!E12*$B994))-'Business Case'!F15*$F994</f>
        <v>915527877.3109</v>
      </c>
      <c r="M994" s="39" t="n">
        <f aca="false">(('Business Case'!G11*$C994*'Business Case'!G12*$B994)-'Business Case'!G11*$C994*'Business Case'!G13*$D994-'Business Case'!G14*$E994)-MAX(0,(('Business Case'!G11*$C994*'Business Case'!G12*$B994)-'Business Case'!G11*$C994*'Business Case'!G13*$D994-'Business Case'!G14*$E994))*'Business Case'!$B$7-'Business Case'!$B$8*(('Business Case'!G11*$C994*'Business Case'!G12*$B994)-('Business Case'!F11*$C994*'Business Case'!F12*$B994))-'Business Case'!G15*$F994+'Business Case'!$B$8*('Business Case'!G11*$C994*'Business Case'!G12*$B994)</f>
        <v>1127001991.83796</v>
      </c>
      <c r="N994" s="39" t="n">
        <f aca="false">IF(COUNT('Business Case'!B11:G11)=0,"",H994+NPV(G994,I994:M994))</f>
        <v>391669915.434881</v>
      </c>
      <c r="P994" s="40" t="n">
        <f aca="true">RAND()</f>
        <v>0.60717792838658</v>
      </c>
      <c r="Q994" s="40" t="n">
        <f aca="true">RAND()</f>
        <v>0.984502010827029</v>
      </c>
      <c r="R994" s="40" t="n">
        <f aca="true">RAND()</f>
        <v>0.262252165330804</v>
      </c>
      <c r="S994" s="40" t="n">
        <f aca="true">RAND()</f>
        <v>0.963365331347101</v>
      </c>
      <c r="T994" s="40" t="n">
        <f aca="true">RAND()</f>
        <v>0.0106697904448239</v>
      </c>
      <c r="U994" s="40" t="n">
        <f aca="true">RAND()</f>
        <v>0.0864579270848853</v>
      </c>
    </row>
    <row r="995" customFormat="false" ht="15" hidden="false" customHeight="false" outlineLevel="0" collapsed="false">
      <c r="A995" s="36" t="n">
        <v>915</v>
      </c>
      <c r="B995" s="37" t="n">
        <f aca="false">1+IF($G$6=$E$6,$F$6,IF(P995&lt;($F$6-$E$6)/($G$6-$E$6),$E$6+SQRT(P995*($G$6-$E$6)*($F$6-$E$6)),$G$6-SQRT((1-P995)*($G$6-$E$6)*($G$6-$F$6))))</f>
        <v>0.958903215333079</v>
      </c>
      <c r="C995" s="37" t="n">
        <f aca="false">1+IF($G$7=$E$7,$F$7,IF(Q995&lt;($F$7-$E$7)/($G$7-$E$7),$E$7+SQRT(Q995*($G$7-$E$7)*($F$7-$E$7)),$G$7-SQRT((1-Q995)*($G$7-$E$7)*($G$7-$F$7))))</f>
        <v>0.829499575815564</v>
      </c>
      <c r="D995" s="37" t="n">
        <f aca="false">1+IF($G$8=$E$8,$F$8,IF(R995&lt;($F$8-$E$8)/($G$8-$E$8),$E$8+SQRT(R995*($G$8-$E$8)*($F$8-$E$8)),$G$8-SQRT((1-R995)*($G$8-$E$8)*($G$8-$F$8))))</f>
        <v>0.983617118379995</v>
      </c>
      <c r="E995" s="37" t="n">
        <f aca="false">1+IF($G$9=$E$9,$F$9,IF(S995&lt;($F$9-$E$9)/($G$9-$E$9),$E$9+SQRT(S995*($G$9-$E$9)*($F$9-$E$9)),$G$9-SQRT((1-S995)*($G$9-$E$9)*($G$9-$F$9))))</f>
        <v>1.00810864596899</v>
      </c>
      <c r="F995" s="37" t="n">
        <f aca="false">1+IF($G$10=$E$10,$F$10,IF(T995&lt;($F$10-$E$10)/($G$10-$E$10),$E$10+SQRT(T995*($G$10-$E$10)*($F$10-$E$10)),$G$10-SQRT((1-T995)*($G$10-$E$10)*($G$10-$F$10))))</f>
        <v>0.969955491361358</v>
      </c>
      <c r="G995" s="38" t="n">
        <f aca="false">IF($G$11=$E$11,$F$11,IF(U995&lt;($F$11-$E$11)/($G$11-$E$11),$E$11+SQRT(U995*($G$11-$E$11)*($F$11-$E$11)),$G$11-SQRT((1-U995)*($G$11-$E$11)*($G$11-$F$11))))</f>
        <v>0.0994799125450304</v>
      </c>
      <c r="H995" s="39" t="n">
        <f aca="false">(('Business Case'!B11*$C995*'Business Case'!B12*$B995)-'Business Case'!B11*$C995*'Business Case'!B13*$D995-'Business Case'!B14*$E995)-MAX(0,(('Business Case'!B11*$C995*'Business Case'!B12*$B995)-'Business Case'!B11*$C995*'Business Case'!B13*$D995-'Business Case'!B14*$E995))*'Business Case'!$B$7-'Business Case'!$B$8*('Business Case'!B11*$C995*'Business Case'!B12*$B995)-'Business Case'!B15*$F995</f>
        <v>-1939910982.72272</v>
      </c>
      <c r="I995" s="39" t="n">
        <f aca="false">(('Business Case'!C11*$C995*'Business Case'!C12*$B995)-'Business Case'!C11*$C995*'Business Case'!C13*$D995-'Business Case'!C14*$E995)-MAX(0,(('Business Case'!C11*$C995*'Business Case'!C12*$B995)-'Business Case'!C11*$C995*'Business Case'!C13*$D995-'Business Case'!C14*$E995))*'Business Case'!$B$7-'Business Case'!$B$8*(('Business Case'!C11*$C995*'Business Case'!C12*$B995)-('Business Case'!B11*$C995*'Business Case'!B12*$B995))-'Business Case'!C15*$F995</f>
        <v>-47765377.1869585</v>
      </c>
      <c r="J995" s="39" t="n">
        <f aca="false">(('Business Case'!D11*$C995*'Business Case'!D12*$B995)-'Business Case'!D11*$C995*'Business Case'!D13*$D995-'Business Case'!D14*$E995)-MAX(0,(('Business Case'!D11*$C995*'Business Case'!D12*$B995)-'Business Case'!D11*$C995*'Business Case'!D13*$D995-'Business Case'!D14*$E995))*'Business Case'!$B$7-'Business Case'!$B$8*(('Business Case'!D11*$C995*'Business Case'!D12*$B995)-('Business Case'!C11*$C995*'Business Case'!C12*$B995))-'Business Case'!D15*$F995</f>
        <v>186051888.788432</v>
      </c>
      <c r="K995" s="39" t="n">
        <f aca="false">(('Business Case'!E11*$C995*'Business Case'!E12*$B995)-'Business Case'!E11*$C995*'Business Case'!E13*$D995-'Business Case'!E14*$E995)-MAX(0,(('Business Case'!E11*$C995*'Business Case'!E12*$B995)-'Business Case'!E11*$C995*'Business Case'!E13*$D995-'Business Case'!E14*$E995))*'Business Case'!$B$7-'Business Case'!$B$8*(('Business Case'!E11*$C995*'Business Case'!E12*$B995)-('Business Case'!D11*$C995*'Business Case'!D12*$B995))-'Business Case'!E15*$F995</f>
        <v>468366929.331891</v>
      </c>
      <c r="L995" s="39" t="n">
        <f aca="false">(('Business Case'!F11*$C995*'Business Case'!F12*$B995)-'Business Case'!F11*$C995*'Business Case'!F13*$D995-'Business Case'!F14*$E995)-MAX(0,(('Business Case'!F11*$C995*'Business Case'!F12*$B995)-'Business Case'!F11*$C995*'Business Case'!F13*$D995-'Business Case'!F14*$E995))*'Business Case'!$B$7-'Business Case'!$B$8*(('Business Case'!F11*$C995*'Business Case'!F12*$B995)-('Business Case'!E11*$C995*'Business Case'!E12*$B995))-'Business Case'!F15*$F995</f>
        <v>573795381.036637</v>
      </c>
      <c r="M995" s="39" t="n">
        <f aca="false">(('Business Case'!G11*$C995*'Business Case'!G12*$B995)-'Business Case'!G11*$C995*'Business Case'!G13*$D995-'Business Case'!G14*$E995)-MAX(0,(('Business Case'!G11*$C995*'Business Case'!G12*$B995)-'Business Case'!G11*$C995*'Business Case'!G13*$D995-'Business Case'!G14*$E995))*'Business Case'!$B$7-'Business Case'!$B$8*(('Business Case'!G11*$C995*'Business Case'!G12*$B995)-('Business Case'!F11*$C995*'Business Case'!F12*$B995))-'Business Case'!G15*$F995+'Business Case'!$B$8*('Business Case'!G11*$C995*'Business Case'!G12*$B995)</f>
        <v>724986877.791191</v>
      </c>
      <c r="N995" s="39" t="n">
        <f aca="false">IF(COUNT('Business Case'!B11:G11)=0,"",H995+NPV(G995,I995:M995))</f>
        <v>-633179042.177509</v>
      </c>
      <c r="P995" s="40" t="n">
        <f aca="true">RAND()</f>
        <v>0.231305918438336</v>
      </c>
      <c r="Q995" s="40" t="n">
        <f aca="true">RAND()</f>
        <v>0.124223260269711</v>
      </c>
      <c r="R995" s="40" t="n">
        <f aca="true">RAND()</f>
        <v>0.150681419756609</v>
      </c>
      <c r="S995" s="40" t="n">
        <f aca="true">RAND()</f>
        <v>0.463115830699883</v>
      </c>
      <c r="T995" s="40" t="n">
        <f aca="true">RAND()</f>
        <v>0.0265481090315486</v>
      </c>
      <c r="U995" s="40" t="n">
        <f aca="true">RAND()</f>
        <v>0.379466992762031</v>
      </c>
    </row>
    <row r="996" customFormat="false" ht="15" hidden="false" customHeight="false" outlineLevel="0" collapsed="false">
      <c r="A996" s="36" t="n">
        <v>916</v>
      </c>
      <c r="B996" s="37" t="n">
        <f aca="false">1+IF($G$6=$E$6,$F$6,IF(P996&lt;($F$6-$E$6)/($G$6-$E$6),$E$6+SQRT(P996*($G$6-$E$6)*($F$6-$E$6)),$G$6-SQRT((1-P996)*($G$6-$E$6)*($G$6-$F$6))))</f>
        <v>0.967644427717406</v>
      </c>
      <c r="C996" s="37" t="n">
        <f aca="false">1+IF($G$7=$E$7,$F$7,IF(Q996&lt;($F$7-$E$7)/($G$7-$E$7),$E$7+SQRT(Q996*($G$7-$E$7)*($F$7-$E$7)),$G$7-SQRT((1-Q996)*($G$7-$E$7)*($G$7-$F$7))))</f>
        <v>0.994403673134036</v>
      </c>
      <c r="D996" s="37" t="n">
        <f aca="false">1+IF($G$8=$E$8,$F$8,IF(R996&lt;($F$8-$E$8)/($G$8-$E$8),$E$8+SQRT(R996*($G$8-$E$8)*($F$8-$E$8)),$G$8-SQRT((1-R996)*($G$8-$E$8)*($G$8-$F$8))))</f>
        <v>0.998065279801827</v>
      </c>
      <c r="E996" s="37" t="n">
        <f aca="false">1+IF($G$9=$E$9,$F$9,IF(S996&lt;($F$9-$E$9)/($G$9-$E$9),$E$9+SQRT(S996*($G$9-$E$9)*($F$9-$E$9)),$G$9-SQRT((1-S996)*($G$9-$E$9)*($G$9-$F$9))))</f>
        <v>1.00817142202881</v>
      </c>
      <c r="F996" s="37" t="n">
        <f aca="false">1+IF($G$10=$E$10,$F$10,IF(T996&lt;($F$10-$E$10)/($G$10-$E$10),$E$10+SQRT(T996*($G$10-$E$10)*($F$10-$E$10)),$G$10-SQRT((1-T996)*($G$10-$E$10)*($G$10-$F$10))))</f>
        <v>1.20929615121164</v>
      </c>
      <c r="G996" s="38" t="n">
        <f aca="false">IF($G$11=$E$11,$F$11,IF(U996&lt;($F$11-$E$11)/($G$11-$E$11),$E$11+SQRT(U996*($G$11-$E$11)*($F$11-$E$11)),$G$11-SQRT((1-U996)*($G$11-$E$11)*($G$11-$F$11))))</f>
        <v>0.10150479390728</v>
      </c>
      <c r="H996" s="39" t="n">
        <f aca="false">(('Business Case'!B11*$C996*'Business Case'!B12*$B996)-'Business Case'!B11*$C996*'Business Case'!B13*$D996-'Business Case'!B14*$E996)-MAX(0,(('Business Case'!B11*$C996*'Business Case'!B12*$B996)-'Business Case'!B11*$C996*'Business Case'!B13*$D996-'Business Case'!B14*$E996))*'Business Case'!$B$7-'Business Case'!$B$8*('Business Case'!B11*$C996*'Business Case'!B12*$B996)-'Business Case'!B15*$F996</f>
        <v>-2418592302.42327</v>
      </c>
      <c r="I996" s="39" t="n">
        <f aca="false">(('Business Case'!C11*$C996*'Business Case'!C12*$B996)-'Business Case'!C11*$C996*'Business Case'!C13*$D996-'Business Case'!C14*$E996)-MAX(0,(('Business Case'!C11*$C996*'Business Case'!C12*$B996)-'Business Case'!C11*$C996*'Business Case'!C13*$D996-'Business Case'!C14*$E996))*'Business Case'!$B$7-'Business Case'!$B$8*(('Business Case'!C11*$C996*'Business Case'!C12*$B996)-('Business Case'!B11*$C996*'Business Case'!B12*$B996))-'Business Case'!C15*$F996</f>
        <v>-34108827.4254773</v>
      </c>
      <c r="J996" s="39" t="n">
        <f aca="false">(('Business Case'!D11*$C996*'Business Case'!D12*$B996)-'Business Case'!D11*$C996*'Business Case'!D13*$D996-'Business Case'!D14*$E996)-MAX(0,(('Business Case'!D11*$C996*'Business Case'!D12*$B996)-'Business Case'!D11*$C996*'Business Case'!D13*$D996-'Business Case'!D14*$E996))*'Business Case'!$B$7-'Business Case'!$B$8*(('Business Case'!D11*$C996*'Business Case'!D12*$B996)-('Business Case'!C11*$C996*'Business Case'!C12*$B996))-'Business Case'!D15*$F996</f>
        <v>245955896.821906</v>
      </c>
      <c r="K996" s="39" t="n">
        <f aca="false">(('Business Case'!E11*$C996*'Business Case'!E12*$B996)-'Business Case'!E11*$C996*'Business Case'!E13*$D996-'Business Case'!E14*$E996)-MAX(0,(('Business Case'!E11*$C996*'Business Case'!E12*$B996)-'Business Case'!E11*$C996*'Business Case'!E13*$D996-'Business Case'!E14*$E996))*'Business Case'!$B$7-'Business Case'!$B$8*(('Business Case'!E11*$C996*'Business Case'!E12*$B996)-('Business Case'!D11*$C996*'Business Case'!D12*$B996))-'Business Case'!E15*$F996</f>
        <v>586485428.629872</v>
      </c>
      <c r="L996" s="39" t="n">
        <f aca="false">(('Business Case'!F11*$C996*'Business Case'!F12*$B996)-'Business Case'!F11*$C996*'Business Case'!F13*$D996-'Business Case'!F14*$E996)-MAX(0,(('Business Case'!F11*$C996*'Business Case'!F12*$B996)-'Business Case'!F11*$C996*'Business Case'!F13*$D996-'Business Case'!F14*$E996))*'Business Case'!$B$7-'Business Case'!$B$8*(('Business Case'!F11*$C996*'Business Case'!F12*$B996)-('Business Case'!E11*$C996*'Business Case'!E12*$B996))-'Business Case'!F15*$F996</f>
        <v>713094976.938466</v>
      </c>
      <c r="M996" s="39" t="n">
        <f aca="false">(('Business Case'!G11*$C996*'Business Case'!G12*$B996)-'Business Case'!G11*$C996*'Business Case'!G13*$D996-'Business Case'!G14*$E996)-MAX(0,(('Business Case'!G11*$C996*'Business Case'!G12*$B996)-'Business Case'!G11*$C996*'Business Case'!G13*$D996-'Business Case'!G14*$E996))*'Business Case'!$B$7-'Business Case'!$B$8*(('Business Case'!G11*$C996*'Business Case'!G12*$B996)-('Business Case'!F11*$C996*'Business Case'!F12*$B996))-'Business Case'!G15*$F996+'Business Case'!$B$8*('Business Case'!G11*$C996*'Business Case'!G12*$B996)</f>
        <v>895995498.182198</v>
      </c>
      <c r="N996" s="39" t="n">
        <f aca="false">IF(COUNT('Business Case'!B11:G11)=0,"",H996+NPV(G996,I996:M996))</f>
        <v>-771061556.61219</v>
      </c>
      <c r="P996" s="40" t="n">
        <f aca="true">RAND()</f>
        <v>0.305051240081025</v>
      </c>
      <c r="Q996" s="40" t="n">
        <f aca="true">RAND()</f>
        <v>0.64202609448009</v>
      </c>
      <c r="R996" s="40" t="n">
        <f aca="true">RAND()</f>
        <v>0.308036149657054</v>
      </c>
      <c r="S996" s="40" t="n">
        <f aca="true">RAND()</f>
        <v>0.46359078588457</v>
      </c>
      <c r="T996" s="40" t="n">
        <f aca="true">RAND()</f>
        <v>0.977909289250853</v>
      </c>
      <c r="U996" s="40" t="n">
        <f aca="true">RAND()</f>
        <v>0.458682153155594</v>
      </c>
    </row>
    <row r="997" customFormat="false" ht="15" hidden="false" customHeight="false" outlineLevel="0" collapsed="false">
      <c r="A997" s="36" t="n">
        <v>917</v>
      </c>
      <c r="B997" s="37" t="n">
        <f aca="false">1+IF($G$6=$E$6,$F$6,IF(P997&lt;($F$6-$E$6)/($G$6-$E$6),$E$6+SQRT(P997*($G$6-$E$6)*($F$6-$E$6)),$G$6-SQRT((1-P997)*($G$6-$E$6)*($G$6-$F$6))))</f>
        <v>1.01053410626466</v>
      </c>
      <c r="C997" s="37" t="n">
        <f aca="false">1+IF($G$7=$E$7,$F$7,IF(Q997&lt;($F$7-$E$7)/($G$7-$E$7),$E$7+SQRT(Q997*($G$7-$E$7)*($F$7-$E$7)),$G$7-SQRT((1-Q997)*($G$7-$E$7)*($G$7-$F$7))))</f>
        <v>0.76432212119766</v>
      </c>
      <c r="D997" s="37" t="n">
        <f aca="false">1+IF($G$8=$E$8,$F$8,IF(R997&lt;($F$8-$E$8)/($G$8-$E$8),$E$8+SQRT(R997*($G$8-$E$8)*($F$8-$E$8)),$G$8-SQRT((1-R997)*($G$8-$E$8)*($G$8-$F$8))))</f>
        <v>1.04638991795032</v>
      </c>
      <c r="E997" s="37" t="n">
        <f aca="false">1+IF($G$9=$E$9,$F$9,IF(S997&lt;($F$9-$E$9)/($G$9-$E$9),$E$9+SQRT(S997*($G$9-$E$9)*($F$9-$E$9)),$G$9-SQRT((1-S997)*($G$9-$E$9)*($G$9-$F$9))))</f>
        <v>1.09077514359379</v>
      </c>
      <c r="F997" s="37" t="n">
        <f aca="false">1+IF($G$10=$E$10,$F$10,IF(T997&lt;($F$10-$E$10)/($G$10-$E$10),$E$10+SQRT(T997*($G$10-$E$10)*($F$10-$E$10)),$G$10-SQRT((1-T997)*($G$10-$E$10)*($G$10-$F$10))))</f>
        <v>1.22274565439252</v>
      </c>
      <c r="G997" s="38" t="n">
        <f aca="false">IF($G$11=$E$11,$F$11,IF(U997&lt;($F$11-$E$11)/($G$11-$E$11),$E$11+SQRT(U997*($G$11-$E$11)*($F$11-$E$11)),$G$11-SQRT((1-U997)*($G$11-$E$11)*($G$11-$F$11))))</f>
        <v>0.105487085726871</v>
      </c>
      <c r="H997" s="39" t="n">
        <f aca="false">(('Business Case'!B11*$C997*'Business Case'!B12*$B997)-'Business Case'!B11*$C997*'Business Case'!B13*$D997-'Business Case'!B14*$E997)-MAX(0,(('Business Case'!B11*$C997*'Business Case'!B12*$B997)-'Business Case'!B11*$C997*'Business Case'!B13*$D997-'Business Case'!B14*$E997))*'Business Case'!$B$7-'Business Case'!$B$8*('Business Case'!B11*$C997*'Business Case'!B12*$B997)-'Business Case'!B15*$F997</f>
        <v>-2445491308.78505</v>
      </c>
      <c r="I997" s="39" t="n">
        <f aca="false">(('Business Case'!C11*$C997*'Business Case'!C12*$B997)-'Business Case'!C11*$C997*'Business Case'!C13*$D997-'Business Case'!C14*$E997)-MAX(0,(('Business Case'!C11*$C997*'Business Case'!C12*$B997)-'Business Case'!C11*$C997*'Business Case'!C13*$D997-'Business Case'!C14*$E997))*'Business Case'!$B$7-'Business Case'!$B$8*(('Business Case'!C11*$C997*'Business Case'!C12*$B997)-('Business Case'!B11*$C997*'Business Case'!B12*$B997))-'Business Case'!C15*$F997</f>
        <v>-94215916.8067859</v>
      </c>
      <c r="J997" s="39" t="n">
        <f aca="false">(('Business Case'!D11*$C997*'Business Case'!D12*$B997)-'Business Case'!D11*$C997*'Business Case'!D13*$D997-'Business Case'!D14*$E997)-MAX(0,(('Business Case'!D11*$C997*'Business Case'!D12*$B997)-'Business Case'!D11*$C997*'Business Case'!D13*$D997-'Business Case'!D14*$E997))*'Business Case'!$B$7-'Business Case'!$B$8*(('Business Case'!D11*$C997*'Business Case'!D12*$B997)-('Business Case'!C11*$C997*'Business Case'!C12*$B997))-'Business Case'!D15*$F997</f>
        <v>128990803.198679</v>
      </c>
      <c r="K997" s="39" t="n">
        <f aca="false">(('Business Case'!E11*$C997*'Business Case'!E12*$B997)-'Business Case'!E11*$C997*'Business Case'!E13*$D997-'Business Case'!E14*$E997)-MAX(0,(('Business Case'!E11*$C997*'Business Case'!E12*$B997)-'Business Case'!E11*$C997*'Business Case'!E13*$D997-'Business Case'!E14*$E997))*'Business Case'!$B$7-'Business Case'!$B$8*(('Business Case'!E11*$C997*'Business Case'!E12*$B997)-('Business Case'!D11*$C997*'Business Case'!D12*$B997))-'Business Case'!E15*$F997</f>
        <v>413334805.92377</v>
      </c>
      <c r="L997" s="39" t="n">
        <f aca="false">(('Business Case'!F11*$C997*'Business Case'!F12*$B997)-'Business Case'!F11*$C997*'Business Case'!F13*$D997-'Business Case'!F14*$E997)-MAX(0,(('Business Case'!F11*$C997*'Business Case'!F12*$B997)-'Business Case'!F11*$C997*'Business Case'!F13*$D997-'Business Case'!F14*$E997))*'Business Case'!$B$7-'Business Case'!$B$8*(('Business Case'!F11*$C997*'Business Case'!F12*$B997)-('Business Case'!E11*$C997*'Business Case'!E12*$B997))-'Business Case'!F15*$F997</f>
        <v>514430276.561566</v>
      </c>
      <c r="M997" s="39" t="n">
        <f aca="false">(('Business Case'!G11*$C997*'Business Case'!G12*$B997)-'Business Case'!G11*$C997*'Business Case'!G13*$D997-'Business Case'!G14*$E997)-MAX(0,(('Business Case'!G11*$C997*'Business Case'!G12*$B997)-'Business Case'!G11*$C997*'Business Case'!G13*$D997-'Business Case'!G14*$E997))*'Business Case'!$B$7-'Business Case'!$B$8*(('Business Case'!G11*$C997*'Business Case'!G12*$B997)-('Business Case'!F11*$C997*'Business Case'!F12*$B997))-'Business Case'!G15*$F997+'Business Case'!$B$8*('Business Case'!G11*$C997*'Business Case'!G12*$B997)</f>
        <v>661243045.059427</v>
      </c>
      <c r="N997" s="39" t="n">
        <f aca="false">IF(COUNT('Business Case'!B11:G11)=0,"",H997+NPV(G997,I997:M997))</f>
        <v>-1374295770.22414</v>
      </c>
      <c r="P997" s="40" t="n">
        <f aca="true">RAND()</f>
        <v>0.792325764222768</v>
      </c>
      <c r="Q997" s="40" t="n">
        <f aca="true">RAND()</f>
        <v>0.0306469279656775</v>
      </c>
      <c r="R997" s="40" t="n">
        <f aca="true">RAND()</f>
        <v>0.808397273508462</v>
      </c>
      <c r="S997" s="40" t="n">
        <f aca="true">RAND()</f>
        <v>0.906464436897693</v>
      </c>
      <c r="T997" s="40" t="n">
        <f aca="true">RAND()</f>
        <v>0.990096008606776</v>
      </c>
      <c r="U997" s="40" t="n">
        <f aca="true">RAND()</f>
        <v>0.599411355892152</v>
      </c>
    </row>
    <row r="998" customFormat="false" ht="15" hidden="false" customHeight="false" outlineLevel="0" collapsed="false">
      <c r="A998" s="36" t="n">
        <v>918</v>
      </c>
      <c r="B998" s="37" t="n">
        <f aca="false">1+IF($G$6=$E$6,$F$6,IF(P998&lt;($F$6-$E$6)/($G$6-$E$6),$E$6+SQRT(P998*($G$6-$E$6)*($F$6-$E$6)),$G$6-SQRT((1-P998)*($G$6-$E$6)*($G$6-$F$6))))</f>
        <v>0.94914490698442</v>
      </c>
      <c r="C998" s="37" t="n">
        <f aca="false">1+IF($G$7=$E$7,$F$7,IF(Q998&lt;($F$7-$E$7)/($G$7-$E$7),$E$7+SQRT(Q998*($G$7-$E$7)*($F$7-$E$7)),$G$7-SQRT((1-Q998)*($G$7-$E$7)*($G$7-$F$7))))</f>
        <v>0.982829088079778</v>
      </c>
      <c r="D998" s="37" t="n">
        <f aca="false">1+IF($G$8=$E$8,$F$8,IF(R998&lt;($F$8-$E$8)/($G$8-$E$8),$E$8+SQRT(R998*($G$8-$E$8)*($F$8-$E$8)),$G$8-SQRT((1-R998)*($G$8-$E$8)*($G$8-$F$8))))</f>
        <v>0.997698554084429</v>
      </c>
      <c r="E998" s="37" t="n">
        <f aca="false">1+IF($G$9=$E$9,$F$9,IF(S998&lt;($F$9-$E$9)/($G$9-$E$9),$E$9+SQRT(S998*($G$9-$E$9)*($F$9-$E$9)),$G$9-SQRT((1-S998)*($G$9-$E$9)*($G$9-$F$9))))</f>
        <v>1.05117583993761</v>
      </c>
      <c r="F998" s="37" t="n">
        <f aca="false">1+IF($G$10=$E$10,$F$10,IF(T998&lt;($F$10-$E$10)/($G$10-$E$10),$E$10+SQRT(T998*($G$10-$E$10)*($F$10-$E$10)),$G$10-SQRT((1-T998)*($G$10-$E$10)*($G$10-$F$10))))</f>
        <v>0.988885391948458</v>
      </c>
      <c r="G998" s="38" t="n">
        <f aca="false">IF($G$11=$E$11,$F$11,IF(U998&lt;($F$11-$E$11)/($G$11-$E$11),$E$11+SQRT(U998*($G$11-$E$11)*($F$11-$E$11)),$G$11-SQRT((1-U998)*($G$11-$E$11)*($G$11-$F$11))))</f>
        <v>0.0966020908874894</v>
      </c>
      <c r="H998" s="39" t="n">
        <f aca="false">(('Business Case'!B11*$C998*'Business Case'!B12*$B998)-'Business Case'!B11*$C998*'Business Case'!B13*$D998-'Business Case'!B14*$E998)-MAX(0,(('Business Case'!B11*$C998*'Business Case'!B12*$B998)-'Business Case'!B11*$C998*'Business Case'!B13*$D998-'Business Case'!B14*$E998))*'Business Case'!$B$7-'Business Case'!$B$8*('Business Case'!B11*$C998*'Business Case'!B12*$B998)-'Business Case'!B15*$F998</f>
        <v>-1977770783.89692</v>
      </c>
      <c r="I998" s="39" t="n">
        <f aca="false">(('Business Case'!C11*$C998*'Business Case'!C12*$B998)-'Business Case'!C11*$C998*'Business Case'!C13*$D998-'Business Case'!C14*$E998)-MAX(0,(('Business Case'!C11*$C998*'Business Case'!C12*$B998)-'Business Case'!C11*$C998*'Business Case'!C13*$D998-'Business Case'!C14*$E998))*'Business Case'!$B$7-'Business Case'!$B$8*(('Business Case'!C11*$C998*'Business Case'!C12*$B998)-('Business Case'!B11*$C998*'Business Case'!B12*$B998))-'Business Case'!C15*$F998</f>
        <v>-34627443.333192</v>
      </c>
      <c r="J998" s="39" t="n">
        <f aca="false">(('Business Case'!D11*$C998*'Business Case'!D12*$B998)-'Business Case'!D11*$C998*'Business Case'!D13*$D998-'Business Case'!D14*$E998)-MAX(0,(('Business Case'!D11*$C998*'Business Case'!D12*$B998)-'Business Case'!D11*$C998*'Business Case'!D13*$D998-'Business Case'!D14*$E998))*'Business Case'!$B$7-'Business Case'!$B$8*(('Business Case'!D11*$C998*'Business Case'!D12*$B998)-('Business Case'!C11*$C998*'Business Case'!C12*$B998))-'Business Case'!D15*$F998</f>
        <v>227469657.027976</v>
      </c>
      <c r="K998" s="39" t="n">
        <f aca="false">(('Business Case'!E11*$C998*'Business Case'!E12*$B998)-'Business Case'!E11*$C998*'Business Case'!E13*$D998-'Business Case'!E14*$E998)-MAX(0,(('Business Case'!E11*$C998*'Business Case'!E12*$B998)-'Business Case'!E11*$C998*'Business Case'!E13*$D998-'Business Case'!E14*$E998))*'Business Case'!$B$7-'Business Case'!$B$8*(('Business Case'!E11*$C998*'Business Case'!E12*$B998)-('Business Case'!D11*$C998*'Business Case'!D12*$B998))-'Business Case'!E15*$F998</f>
        <v>539011026.986566</v>
      </c>
      <c r="L998" s="39" t="n">
        <f aca="false">(('Business Case'!F11*$C998*'Business Case'!F12*$B998)-'Business Case'!F11*$C998*'Business Case'!F13*$D998-'Business Case'!F14*$E998)-MAX(0,(('Business Case'!F11*$C998*'Business Case'!F12*$B998)-'Business Case'!F11*$C998*'Business Case'!F13*$D998-'Business Case'!F14*$E998))*'Business Case'!$B$7-'Business Case'!$B$8*(('Business Case'!F11*$C998*'Business Case'!F12*$B998)-('Business Case'!E11*$C998*'Business Case'!E12*$B998))-'Business Case'!F15*$F998</f>
        <v>658615927.147212</v>
      </c>
      <c r="M998" s="39" t="n">
        <f aca="false">(('Business Case'!G11*$C998*'Business Case'!G12*$B998)-'Business Case'!G11*$C998*'Business Case'!G13*$D998-'Business Case'!G14*$E998)-MAX(0,(('Business Case'!G11*$C998*'Business Case'!G12*$B998)-'Business Case'!G11*$C998*'Business Case'!G13*$D998-'Business Case'!G14*$E998))*'Business Case'!$B$7-'Business Case'!$B$8*(('Business Case'!G11*$C998*'Business Case'!G12*$B998)-('Business Case'!F11*$C998*'Business Case'!F12*$B998))-'Business Case'!G15*$F998+'Business Case'!$B$8*('Business Case'!G11*$C998*'Business Case'!G12*$B998)</f>
        <v>835931527.368625</v>
      </c>
      <c r="N998" s="39" t="n">
        <f aca="false">IF(COUNT('Business Case'!B11:G11)=0,"",H998+NPV(G998,I998:M998))</f>
        <v>-428862177.503146</v>
      </c>
      <c r="P998" s="40" t="n">
        <f aca="true">RAND()</f>
        <v>0.161014792167153</v>
      </c>
      <c r="Q998" s="40" t="n">
        <f aca="true">RAND()</f>
        <v>0.592535504178063</v>
      </c>
      <c r="R998" s="40" t="n">
        <f aca="true">RAND()</f>
        <v>0.303353608232696</v>
      </c>
      <c r="S998" s="40" t="n">
        <f aca="true">RAND()</f>
        <v>0.739567610345697</v>
      </c>
      <c r="T998" s="40" t="n">
        <f aca="true">RAND()</f>
        <v>0.100804913799015</v>
      </c>
      <c r="U998" s="40" t="n">
        <f aca="true">RAND()</f>
        <v>0.275629421836459</v>
      </c>
    </row>
    <row r="999" customFormat="false" ht="15" hidden="false" customHeight="false" outlineLevel="0" collapsed="false">
      <c r="A999" s="36" t="n">
        <v>919</v>
      </c>
      <c r="B999" s="37" t="n">
        <f aca="false">1+IF($G$6=$E$6,$F$6,IF(P999&lt;($F$6-$E$6)/($G$6-$E$6),$E$6+SQRT(P999*($G$6-$E$6)*($F$6-$E$6)),$G$6-SQRT((1-P999)*($G$6-$E$6)*($G$6-$F$6))))</f>
        <v>0.987839303047759</v>
      </c>
      <c r="C999" s="37" t="n">
        <f aca="false">1+IF($G$7=$E$7,$F$7,IF(Q999&lt;($F$7-$E$7)/($G$7-$E$7),$E$7+SQRT(Q999*($G$7-$E$7)*($F$7-$E$7)),$G$7-SQRT((1-Q999)*($G$7-$E$7)*($G$7-$F$7))))</f>
        <v>0.886483135470048</v>
      </c>
      <c r="D999" s="37" t="n">
        <f aca="false">1+IF($G$8=$E$8,$F$8,IF(R999&lt;($F$8-$E$8)/($G$8-$E$8),$E$8+SQRT(R999*($G$8-$E$8)*($F$8-$E$8)),$G$8-SQRT((1-R999)*($G$8-$E$8)*($G$8-$F$8))))</f>
        <v>1.0133869851937</v>
      </c>
      <c r="E999" s="37" t="n">
        <f aca="false">1+IF($G$9=$E$9,$F$9,IF(S999&lt;($F$9-$E$9)/($G$9-$E$9),$E$9+SQRT(S999*($G$9-$E$9)*($F$9-$E$9)),$G$9-SQRT((1-S999)*($G$9-$E$9)*($G$9-$F$9))))</f>
        <v>0.982430827180077</v>
      </c>
      <c r="F999" s="37" t="n">
        <f aca="false">1+IF($G$10=$E$10,$F$10,IF(T999&lt;($F$10-$E$10)/($G$10-$E$10),$E$10+SQRT(T999*($G$10-$E$10)*($F$10-$E$10)),$G$10-SQRT((1-T999)*($G$10-$E$10)*($G$10-$F$10))))</f>
        <v>1.01211728297171</v>
      </c>
      <c r="G999" s="38" t="n">
        <f aca="false">IF($G$11=$E$11,$F$11,IF(U999&lt;($F$11-$E$11)/($G$11-$E$11),$E$11+SQRT(U999*($G$11-$E$11)*($F$11-$E$11)),$G$11-SQRT((1-U999)*($G$11-$E$11)*($G$11-$F$11))))</f>
        <v>0.107526511464008</v>
      </c>
      <c r="H999" s="39" t="n">
        <f aca="false">(('Business Case'!B11*$C999*'Business Case'!B12*$B999)-'Business Case'!B11*$C999*'Business Case'!B13*$D999-'Business Case'!B14*$E999)-MAX(0,(('Business Case'!B11*$C999*'Business Case'!B12*$B999)-'Business Case'!B11*$C999*'Business Case'!B13*$D999-'Business Case'!B14*$E999))*'Business Case'!$B$7-'Business Case'!$B$8*('Business Case'!B11*$C999*'Business Case'!B12*$B999)-'Business Case'!B15*$F999</f>
        <v>-2024234565.94342</v>
      </c>
      <c r="I999" s="39" t="n">
        <f aca="false">(('Business Case'!C11*$C999*'Business Case'!C12*$B999)-'Business Case'!C11*$C999*'Business Case'!C13*$D999-'Business Case'!C14*$E999)-MAX(0,(('Business Case'!C11*$C999*'Business Case'!C12*$B999)-'Business Case'!C11*$C999*'Business Case'!C13*$D999-'Business Case'!C14*$E999))*'Business Case'!$B$7-'Business Case'!$B$8*(('Business Case'!C11*$C999*'Business Case'!C12*$B999)-('Business Case'!B11*$C999*'Business Case'!B12*$B999))-'Business Case'!C15*$F999</f>
        <v>-28929691.484346</v>
      </c>
      <c r="J999" s="39" t="n">
        <f aca="false">(('Business Case'!D11*$C999*'Business Case'!D12*$B999)-'Business Case'!D11*$C999*'Business Case'!D13*$D999-'Business Case'!D14*$E999)-MAX(0,(('Business Case'!D11*$C999*'Business Case'!D12*$B999)-'Business Case'!D11*$C999*'Business Case'!D13*$D999-'Business Case'!D14*$E999))*'Business Case'!$B$7-'Business Case'!$B$8*(('Business Case'!D11*$C999*'Business Case'!D12*$B999)-('Business Case'!C11*$C999*'Business Case'!C12*$B999))-'Business Case'!D15*$F999</f>
        <v>228450446.392982</v>
      </c>
      <c r="K999" s="39" t="n">
        <f aca="false">(('Business Case'!E11*$C999*'Business Case'!E12*$B999)-'Business Case'!E11*$C999*'Business Case'!E13*$D999-'Business Case'!E14*$E999)-MAX(0,(('Business Case'!E11*$C999*'Business Case'!E12*$B999)-'Business Case'!E11*$C999*'Business Case'!E13*$D999-'Business Case'!E14*$E999))*'Business Case'!$B$7-'Business Case'!$B$8*(('Business Case'!E11*$C999*'Business Case'!E12*$B999)-('Business Case'!D11*$C999*'Business Case'!D12*$B999))-'Business Case'!E15*$F999</f>
        <v>536436448.418895</v>
      </c>
      <c r="L999" s="39" t="n">
        <f aca="false">(('Business Case'!F11*$C999*'Business Case'!F12*$B999)-'Business Case'!F11*$C999*'Business Case'!F13*$D999-'Business Case'!F14*$E999)-MAX(0,(('Business Case'!F11*$C999*'Business Case'!F12*$B999)-'Business Case'!F11*$C999*'Business Case'!F13*$D999-'Business Case'!F14*$E999))*'Business Case'!$B$7-'Business Case'!$B$8*(('Business Case'!F11*$C999*'Business Case'!F12*$B999)-('Business Case'!E11*$C999*'Business Case'!E12*$B999))-'Business Case'!F15*$F999</f>
        <v>652494119.337669</v>
      </c>
      <c r="M999" s="39" t="n">
        <f aca="false">(('Business Case'!G11*$C999*'Business Case'!G12*$B999)-'Business Case'!G11*$C999*'Business Case'!G13*$D999-'Business Case'!G14*$E999)-MAX(0,(('Business Case'!G11*$C999*'Business Case'!G12*$B999)-'Business Case'!G11*$C999*'Business Case'!G13*$D999-'Business Case'!G14*$E999))*'Business Case'!$B$7-'Business Case'!$B$8*(('Business Case'!G11*$C999*'Business Case'!G12*$B999)-('Business Case'!F11*$C999*'Business Case'!F12*$B999))-'Business Case'!G15*$F999+'Business Case'!$B$8*('Business Case'!G11*$C999*'Business Case'!G12*$B999)</f>
        <v>818947723.282487</v>
      </c>
      <c r="N999" s="39" t="n">
        <f aca="false">IF(COUNT('Business Case'!B11:G11)=0,"",H999+NPV(G999,I999:M999))</f>
        <v>-544111648.485483</v>
      </c>
      <c r="P999" s="40" t="n">
        <f aca="true">RAND()</f>
        <v>0.514382877327736</v>
      </c>
      <c r="Q999" s="40" t="n">
        <f aca="true">RAND()</f>
        <v>0.257599702331408</v>
      </c>
      <c r="R999" s="40" t="n">
        <f aca="true">RAND()</f>
        <v>0.499879044410886</v>
      </c>
      <c r="S999" s="40" t="n">
        <f aca="true">RAND()</f>
        <v>0.271793650783668</v>
      </c>
      <c r="T999" s="40" t="n">
        <f aca="true">RAND()</f>
        <v>0.245490839189858</v>
      </c>
      <c r="U999" s="40" t="n">
        <f aca="true">RAND()</f>
        <v>0.663294875348438</v>
      </c>
    </row>
    <row r="1000" customFormat="false" ht="15" hidden="false" customHeight="false" outlineLevel="0" collapsed="false">
      <c r="A1000" s="36" t="n">
        <v>920</v>
      </c>
      <c r="B1000" s="37" t="n">
        <f aca="false">1+IF($G$6=$E$6,$F$6,IF(P1000&lt;($F$6-$E$6)/($G$6-$E$6),$E$6+SQRT(P1000*($G$6-$E$6)*($F$6-$E$6)),$G$6-SQRT((1-P1000)*($G$6-$E$6)*($G$6-$F$6))))</f>
        <v>0.964249351169189</v>
      </c>
      <c r="C1000" s="37" t="n">
        <f aca="false">1+IF($G$7=$E$7,$F$7,IF(Q1000&lt;($F$7-$E$7)/($G$7-$E$7),$E$7+SQRT(Q1000*($G$7-$E$7)*($F$7-$E$7)),$G$7-SQRT((1-Q1000)*($G$7-$E$7)*($G$7-$F$7))))</f>
        <v>0.861133955775728</v>
      </c>
      <c r="D1000" s="37" t="n">
        <f aca="false">1+IF($G$8=$E$8,$F$8,IF(R1000&lt;($F$8-$E$8)/($G$8-$E$8),$E$8+SQRT(R1000*($G$8-$E$8)*($F$8-$E$8)),$G$8-SQRT((1-R1000)*($G$8-$E$8)*($G$8-$F$8))))</f>
        <v>0.970573400265748</v>
      </c>
      <c r="E1000" s="37" t="n">
        <f aca="false">1+IF($G$9=$E$9,$F$9,IF(S1000&lt;($F$9-$E$9)/($G$9-$E$9),$E$9+SQRT(S1000*($G$9-$E$9)*($F$9-$E$9)),$G$9-SQRT((1-S1000)*($G$9-$E$9)*($G$9-$F$9))))</f>
        <v>0.948803673303696</v>
      </c>
      <c r="F1000" s="37" t="n">
        <f aca="false">1+IF($G$10=$E$10,$F$10,IF(T1000&lt;($F$10-$E$10)/($G$10-$E$10),$E$10+SQRT(T1000*($G$10-$E$10)*($F$10-$E$10)),$G$10-SQRT((1-T1000)*($G$10-$E$10)*($G$10-$F$10))))</f>
        <v>1.12344693991401</v>
      </c>
      <c r="G1000" s="38" t="n">
        <f aca="false">IF($G$11=$E$11,$F$11,IF(U1000&lt;($F$11-$E$11)/($G$11-$E$11),$E$11+SQRT(U1000*($G$11-$E$11)*($F$11-$E$11)),$G$11-SQRT((1-U1000)*($G$11-$E$11)*($G$11-$F$11))))</f>
        <v>0.117401758774787</v>
      </c>
      <c r="H1000" s="39" t="n">
        <f aca="false">(('Business Case'!B11*$C1000*'Business Case'!B12*$B1000)-'Business Case'!B11*$C1000*'Business Case'!B13*$D1000-'Business Case'!B14*$E1000)-MAX(0,(('Business Case'!B11*$C1000*'Business Case'!B12*$B1000)-'Business Case'!B11*$C1000*'Business Case'!B13*$D1000-'Business Case'!B14*$E1000))*'Business Case'!$B$7-'Business Case'!$B$8*('Business Case'!B11*$C1000*'Business Case'!B12*$B1000)-'Business Case'!B15*$F1000</f>
        <v>-2246893879.82802</v>
      </c>
      <c r="I1000" s="39" t="n">
        <f aca="false">(('Business Case'!C11*$C1000*'Business Case'!C12*$B1000)-'Business Case'!C11*$C1000*'Business Case'!C13*$D1000-'Business Case'!C14*$E1000)-MAX(0,(('Business Case'!C11*$C1000*'Business Case'!C12*$B1000)-'Business Case'!C11*$C1000*'Business Case'!C13*$D1000-'Business Case'!C14*$E1000))*'Business Case'!$B$7-'Business Case'!$B$8*(('Business Case'!C11*$C1000*'Business Case'!C12*$B1000)-('Business Case'!B11*$C1000*'Business Case'!B12*$B1000))-'Business Case'!C15*$F1000</f>
        <v>-38054645.26142</v>
      </c>
      <c r="J1000" s="39" t="n">
        <f aca="false">(('Business Case'!D11*$C1000*'Business Case'!D12*$B1000)-'Business Case'!D11*$C1000*'Business Case'!D13*$D1000-'Business Case'!D14*$E1000)-MAX(0,(('Business Case'!D11*$C1000*'Business Case'!D12*$B1000)-'Business Case'!D11*$C1000*'Business Case'!D13*$D1000-'Business Case'!D14*$E1000))*'Business Case'!$B$7-'Business Case'!$B$8*(('Business Case'!D11*$C1000*'Business Case'!D12*$B1000)-('Business Case'!C11*$C1000*'Business Case'!C12*$B1000))-'Business Case'!D15*$F1000</f>
        <v>214200518.777625</v>
      </c>
      <c r="K1000" s="39" t="n">
        <f aca="false">(('Business Case'!E11*$C1000*'Business Case'!E12*$B1000)-'Business Case'!E11*$C1000*'Business Case'!E13*$D1000-'Business Case'!E14*$E1000)-MAX(0,(('Business Case'!E11*$C1000*'Business Case'!E12*$B1000)-'Business Case'!E11*$C1000*'Business Case'!E13*$D1000-'Business Case'!E14*$E1000))*'Business Case'!$B$7-'Business Case'!$B$8*(('Business Case'!E11*$C1000*'Business Case'!E12*$B1000)-('Business Case'!D11*$C1000*'Business Case'!D12*$B1000))-'Business Case'!E15*$F1000</f>
        <v>522628029.81237</v>
      </c>
      <c r="L1000" s="39" t="n">
        <f aca="false">(('Business Case'!F11*$C1000*'Business Case'!F12*$B1000)-'Business Case'!F11*$C1000*'Business Case'!F13*$D1000-'Business Case'!F14*$E1000)-MAX(0,(('Business Case'!F11*$C1000*'Business Case'!F12*$B1000)-'Business Case'!F11*$C1000*'Business Case'!F13*$D1000-'Business Case'!F14*$E1000))*'Business Case'!$B$7-'Business Case'!$B$8*(('Business Case'!F11*$C1000*'Business Case'!F12*$B1000)-('Business Case'!E11*$C1000*'Business Case'!E12*$B1000))-'Business Case'!F15*$F1000</f>
        <v>635409906.468903</v>
      </c>
      <c r="M1000" s="39" t="n">
        <f aca="false">(('Business Case'!G11*$C1000*'Business Case'!G12*$B1000)-'Business Case'!G11*$C1000*'Business Case'!G13*$D1000-'Business Case'!G14*$E1000)-MAX(0,(('Business Case'!G11*$C1000*'Business Case'!G12*$B1000)-'Business Case'!G11*$C1000*'Business Case'!G13*$D1000-'Business Case'!G14*$E1000))*'Business Case'!$B$7-'Business Case'!$B$8*(('Business Case'!G11*$C1000*'Business Case'!G12*$B1000)-('Business Case'!F11*$C1000*'Business Case'!F12*$B1000))-'Business Case'!G15*$F1000+'Business Case'!$B$8*('Business Case'!G11*$C1000*'Business Case'!G12*$B1000)</f>
        <v>793242427.341589</v>
      </c>
      <c r="N1000" s="39" t="n">
        <f aca="false">IF(COUNT('Business Case'!B11:G11)=0,"",H1000+NPV(G1000,I1000:M1000))</f>
        <v>-871850563.978635</v>
      </c>
      <c r="P1000" s="40" t="n">
        <f aca="true">RAND()</f>
        <v>0.275198608377451</v>
      </c>
      <c r="Q1000" s="40" t="n">
        <f aca="true">RAND()</f>
        <v>0.192327049658772</v>
      </c>
      <c r="R1000" s="40" t="n">
        <f aca="true">RAND()</f>
        <v>0.056435306465955</v>
      </c>
      <c r="S1000" s="40" t="n">
        <f aca="true">RAND()</f>
        <v>0.0952719411173537</v>
      </c>
      <c r="T1000" s="40" t="n">
        <f aca="true">RAND()</f>
        <v>0.786457639771626</v>
      </c>
      <c r="U1000" s="40" t="n">
        <f aca="true">RAND()</f>
        <v>0.894189545354222</v>
      </c>
    </row>
    <row r="1001" customFormat="false" ht="15" hidden="false" customHeight="false" outlineLevel="0" collapsed="false">
      <c r="A1001" s="36" t="n">
        <v>921</v>
      </c>
      <c r="B1001" s="37" t="n">
        <f aca="false">1+IF($G$6=$E$6,$F$6,IF(P1001&lt;($F$6-$E$6)/($G$6-$E$6),$E$6+SQRT(P1001*($G$6-$E$6)*($F$6-$E$6)),$G$6-SQRT((1-P1001)*($G$6-$E$6)*($G$6-$F$6))))</f>
        <v>1.00964476104745</v>
      </c>
      <c r="C1001" s="37" t="n">
        <f aca="false">1+IF($G$7=$E$7,$F$7,IF(Q1001&lt;($F$7-$E$7)/($G$7-$E$7),$E$7+SQRT(Q1001*($G$7-$E$7)*($F$7-$E$7)),$G$7-SQRT((1-Q1001)*($G$7-$E$7)*($G$7-$F$7))))</f>
        <v>0.923989405348929</v>
      </c>
      <c r="D1001" s="37" t="n">
        <f aca="false">1+IF($G$8=$E$8,$F$8,IF(R1001&lt;($F$8-$E$8)/($G$8-$E$8),$E$8+SQRT(R1001*($G$8-$E$8)*($F$8-$E$8)),$G$8-SQRT((1-R1001)*($G$8-$E$8)*($G$8-$F$8))))</f>
        <v>1.00209988755241</v>
      </c>
      <c r="E1001" s="37" t="n">
        <f aca="false">1+IF($G$9=$E$9,$F$9,IF(S1001&lt;($F$9-$E$9)/($G$9-$E$9),$E$9+SQRT(S1001*($G$9-$E$9)*($F$9-$E$9)),$G$9-SQRT((1-S1001)*($G$9-$E$9)*($G$9-$F$9))))</f>
        <v>1.03940300487916</v>
      </c>
      <c r="F1001" s="37" t="n">
        <f aca="false">1+IF($G$10=$E$10,$F$10,IF(T1001&lt;($F$10-$E$10)/($G$10-$E$10),$E$10+SQRT(T1001*($G$10-$E$10)*($F$10-$E$10)),$G$10-SQRT((1-T1001)*($G$10-$E$10)*($G$10-$F$10))))</f>
        <v>1.07763183362252</v>
      </c>
      <c r="G1001" s="38" t="n">
        <f aca="false">IF($G$11=$E$11,$F$11,IF(U1001&lt;($F$11-$E$11)/($G$11-$E$11),$E$11+SQRT(U1001*($G$11-$E$11)*($F$11-$E$11)),$G$11-SQRT((1-U1001)*($G$11-$E$11)*($G$11-$F$11))))</f>
        <v>0.0946891174082191</v>
      </c>
      <c r="H1001" s="39" t="n">
        <f aca="false">(('Business Case'!B11*$C1001*'Business Case'!B12*$B1001)-'Business Case'!B11*$C1001*'Business Case'!B13*$D1001-'Business Case'!B14*$E1001)-MAX(0,(('Business Case'!B11*$C1001*'Business Case'!B12*$B1001)-'Business Case'!B11*$C1001*'Business Case'!B13*$D1001-'Business Case'!B14*$E1001))*'Business Case'!$B$7-'Business Case'!$B$8*('Business Case'!B11*$C1001*'Business Case'!B12*$B1001)-'Business Case'!B15*$F1001</f>
        <v>-2155263667.24503</v>
      </c>
      <c r="I1001" s="39" t="n">
        <f aca="false">(('Business Case'!C11*$C1001*'Business Case'!C12*$B1001)-'Business Case'!C11*$C1001*'Business Case'!C13*$D1001-'Business Case'!C14*$E1001)-MAX(0,(('Business Case'!C11*$C1001*'Business Case'!C12*$B1001)-'Business Case'!C11*$C1001*'Business Case'!C13*$D1001-'Business Case'!C14*$E1001))*'Business Case'!$B$7-'Business Case'!$B$8*(('Business Case'!C11*$C1001*'Business Case'!C12*$B1001)-('Business Case'!B11*$C1001*'Business Case'!B12*$B1001))-'Business Case'!C15*$F1001</f>
        <v>-13816664.1447748</v>
      </c>
      <c r="J1001" s="39" t="n">
        <f aca="false">(('Business Case'!D11*$C1001*'Business Case'!D12*$B1001)-'Business Case'!D11*$C1001*'Business Case'!D13*$D1001-'Business Case'!D14*$E1001)-MAX(0,(('Business Case'!D11*$C1001*'Business Case'!D12*$B1001)-'Business Case'!D11*$C1001*'Business Case'!D13*$D1001-'Business Case'!D14*$E1001))*'Business Case'!$B$7-'Business Case'!$B$8*(('Business Case'!D11*$C1001*'Business Case'!D12*$B1001)-('Business Case'!C11*$C1001*'Business Case'!C12*$B1001))-'Business Case'!D15*$F1001</f>
        <v>276294553.439982</v>
      </c>
      <c r="K1001" s="39" t="n">
        <f aca="false">(('Business Case'!E11*$C1001*'Business Case'!E12*$B1001)-'Business Case'!E11*$C1001*'Business Case'!E13*$D1001-'Business Case'!E14*$E1001)-MAX(0,(('Business Case'!E11*$C1001*'Business Case'!E12*$B1001)-'Business Case'!E11*$C1001*'Business Case'!E13*$D1001-'Business Case'!E14*$E1001))*'Business Case'!$B$7-'Business Case'!$B$8*(('Business Case'!E11*$C1001*'Business Case'!E12*$B1001)-('Business Case'!D11*$C1001*'Business Case'!D12*$B1001))-'Business Case'!E15*$F1001</f>
        <v>620287362.705864</v>
      </c>
      <c r="L1001" s="39" t="n">
        <f aca="false">(('Business Case'!F11*$C1001*'Business Case'!F12*$B1001)-'Business Case'!F11*$C1001*'Business Case'!F13*$D1001-'Business Case'!F14*$E1001)-MAX(0,(('Business Case'!F11*$C1001*'Business Case'!F12*$B1001)-'Business Case'!F11*$C1001*'Business Case'!F13*$D1001-'Business Case'!F14*$E1001))*'Business Case'!$B$7-'Business Case'!$B$8*(('Business Case'!F11*$C1001*'Business Case'!F12*$B1001)-('Business Case'!E11*$C1001*'Business Case'!E12*$B1001))-'Business Case'!F15*$F1001</f>
        <v>749232162.616424</v>
      </c>
      <c r="M1001" s="39" t="n">
        <f aca="false">(('Business Case'!G11*$C1001*'Business Case'!G12*$B1001)-'Business Case'!G11*$C1001*'Business Case'!G13*$D1001-'Business Case'!G14*$E1001)-MAX(0,(('Business Case'!G11*$C1001*'Business Case'!G12*$B1001)-'Business Case'!G11*$C1001*'Business Case'!G13*$D1001-'Business Case'!G14*$E1001))*'Business Case'!$B$7-'Business Case'!$B$8*(('Business Case'!G11*$C1001*'Business Case'!G12*$B1001)-('Business Case'!F11*$C1001*'Business Case'!F12*$B1001))-'Business Case'!G15*$F1001+'Business Case'!$B$8*('Business Case'!G11*$C1001*'Business Case'!G12*$B1001)</f>
        <v>926557996.552453</v>
      </c>
      <c r="N1001" s="39" t="n">
        <f aca="false">IF(COUNT('Business Case'!B11:G11)=0,"",H1001+NPV(G1001,I1001:M1001))</f>
        <v>-353324346.99306</v>
      </c>
      <c r="P1001" s="40" t="n">
        <f aca="true">RAND()</f>
        <v>0.782860625210963</v>
      </c>
      <c r="Q1001" s="40" t="n">
        <f aca="true">RAND()</f>
        <v>0.371638916359753</v>
      </c>
      <c r="R1001" s="40" t="n">
        <f aca="true">RAND()</f>
        <v>0.361037865516605</v>
      </c>
      <c r="S1001" s="40" t="n">
        <f aca="true">RAND()</f>
        <v>0.673821457873109</v>
      </c>
      <c r="T1001" s="40" t="n">
        <f aca="true">RAND()</f>
        <v>0.60385620292886</v>
      </c>
      <c r="U1001" s="40" t="n">
        <f aca="true">RAND()</f>
        <v>0.215770170232446</v>
      </c>
    </row>
    <row r="1002" customFormat="false" ht="15" hidden="false" customHeight="false" outlineLevel="0" collapsed="false">
      <c r="A1002" s="36" t="n">
        <v>922</v>
      </c>
      <c r="B1002" s="37" t="n">
        <f aca="false">1+IF($G$6=$E$6,$F$6,IF(P1002&lt;($F$6-$E$6)/($G$6-$E$6),$E$6+SQRT(P1002*($G$6-$E$6)*($F$6-$E$6)),$G$6-SQRT((1-P1002)*($G$6-$E$6)*($G$6-$F$6))))</f>
        <v>0.923348474218611</v>
      </c>
      <c r="C1002" s="37" t="n">
        <f aca="false">1+IF($G$7=$E$7,$F$7,IF(Q1002&lt;($F$7-$E$7)/($G$7-$E$7),$E$7+SQRT(Q1002*($G$7-$E$7)*($F$7-$E$7)),$G$7-SQRT((1-Q1002)*($G$7-$E$7)*($G$7-$F$7))))</f>
        <v>0.925099975686277</v>
      </c>
      <c r="D1002" s="37" t="n">
        <f aca="false">1+IF($G$8=$E$8,$F$8,IF(R1002&lt;($F$8-$E$8)/($G$8-$E$8),$E$8+SQRT(R1002*($G$8-$E$8)*($F$8-$E$8)),$G$8-SQRT((1-R1002)*($G$8-$E$8)*($G$8-$F$8))))</f>
        <v>0.98893845785864</v>
      </c>
      <c r="E1002" s="37" t="n">
        <f aca="false">1+IF($G$9=$E$9,$F$9,IF(S1002&lt;($F$9-$E$9)/($G$9-$E$9),$E$9+SQRT(S1002*($G$9-$E$9)*($F$9-$E$9)),$G$9-SQRT((1-S1002)*($G$9-$E$9)*($G$9-$F$9))))</f>
        <v>1.00299246567643</v>
      </c>
      <c r="F1002" s="37" t="n">
        <f aca="false">1+IF($G$10=$E$10,$F$10,IF(T1002&lt;($F$10-$E$10)/($G$10-$E$10),$E$10+SQRT(T1002*($G$10-$E$10)*($F$10-$E$10)),$G$10-SQRT((1-T1002)*($G$10-$E$10)*($G$10-$F$10))))</f>
        <v>1.02765392395493</v>
      </c>
      <c r="G1002" s="38" t="n">
        <f aca="false">IF($G$11=$E$11,$F$11,IF(U1002&lt;($F$11-$E$11)/($G$11-$E$11),$E$11+SQRT(U1002*($G$11-$E$11)*($F$11-$E$11)),$G$11-SQRT((1-U1002)*($G$11-$E$11)*($G$11-$F$11))))</f>
        <v>0.0959655602456014</v>
      </c>
      <c r="H1002" s="39" t="n">
        <f aca="false">(('Business Case'!B11*$C1002*'Business Case'!B12*$B1002)-'Business Case'!B11*$C1002*'Business Case'!B13*$D1002-'Business Case'!B14*$E1002)-MAX(0,(('Business Case'!B11*$C1002*'Business Case'!B12*$B1002)-'Business Case'!B11*$C1002*'Business Case'!B13*$D1002-'Business Case'!B14*$E1002))*'Business Case'!$B$7-'Business Case'!$B$8*('Business Case'!B11*$C1002*'Business Case'!B12*$B1002)-'Business Case'!B15*$F1002</f>
        <v>-2055307847.90986</v>
      </c>
      <c r="I1002" s="39" t="n">
        <f aca="false">(('Business Case'!C11*$C1002*'Business Case'!C12*$B1002)-'Business Case'!C11*$C1002*'Business Case'!C13*$D1002-'Business Case'!C14*$E1002)-MAX(0,(('Business Case'!C11*$C1002*'Business Case'!C12*$B1002)-'Business Case'!C11*$C1002*'Business Case'!C13*$D1002-'Business Case'!C14*$E1002))*'Business Case'!$B$7-'Business Case'!$B$8*(('Business Case'!C11*$C1002*'Business Case'!C12*$B1002)-('Business Case'!B11*$C1002*'Business Case'!B12*$B1002))-'Business Case'!C15*$F1002</f>
        <v>-58367972.2851</v>
      </c>
      <c r="J1002" s="39" t="n">
        <f aca="false">(('Business Case'!D11*$C1002*'Business Case'!D12*$B1002)-'Business Case'!D11*$C1002*'Business Case'!D13*$D1002-'Business Case'!D14*$E1002)-MAX(0,(('Business Case'!D11*$C1002*'Business Case'!D12*$B1002)-'Business Case'!D11*$C1002*'Business Case'!D13*$D1002-'Business Case'!D14*$E1002))*'Business Case'!$B$7-'Business Case'!$B$8*(('Business Case'!D11*$C1002*'Business Case'!D12*$B1002)-('Business Case'!C11*$C1002*'Business Case'!C12*$B1002))-'Business Case'!D15*$F1002</f>
        <v>172936167.954893</v>
      </c>
      <c r="K1002" s="39" t="n">
        <f aca="false">(('Business Case'!E11*$C1002*'Business Case'!E12*$B1002)-'Business Case'!E11*$C1002*'Business Case'!E13*$D1002-'Business Case'!E14*$E1002)-MAX(0,(('Business Case'!E11*$C1002*'Business Case'!E12*$B1002)-'Business Case'!E11*$C1002*'Business Case'!E13*$D1002-'Business Case'!E14*$E1002))*'Business Case'!$B$7-'Business Case'!$B$8*(('Business Case'!E11*$C1002*'Business Case'!E12*$B1002)-('Business Case'!D11*$C1002*'Business Case'!D12*$B1002))-'Business Case'!E15*$F1002</f>
        <v>455623004.392632</v>
      </c>
      <c r="L1002" s="39" t="n">
        <f aca="false">(('Business Case'!F11*$C1002*'Business Case'!F12*$B1002)-'Business Case'!F11*$C1002*'Business Case'!F13*$D1002-'Business Case'!F14*$E1002)-MAX(0,(('Business Case'!F11*$C1002*'Business Case'!F12*$B1002)-'Business Case'!F11*$C1002*'Business Case'!F13*$D1002-'Business Case'!F14*$E1002))*'Business Case'!$B$7-'Business Case'!$B$8*(('Business Case'!F11*$C1002*'Business Case'!F12*$B1002)-('Business Case'!E11*$C1002*'Business Case'!E12*$B1002))-'Business Case'!F15*$F1002</f>
        <v>562245178.812904</v>
      </c>
      <c r="M1002" s="39" t="n">
        <f aca="false">(('Business Case'!G11*$C1002*'Business Case'!G12*$B1002)-'Business Case'!G11*$C1002*'Business Case'!G13*$D1002-'Business Case'!G14*$E1002)-MAX(0,(('Business Case'!G11*$C1002*'Business Case'!G12*$B1002)-'Business Case'!G11*$C1002*'Business Case'!G13*$D1002-'Business Case'!G14*$E1002))*'Business Case'!$B$7-'Business Case'!$B$8*(('Business Case'!G11*$C1002*'Business Case'!G12*$B1002)-('Business Case'!F11*$C1002*'Business Case'!F12*$B1002))-'Business Case'!G15*$F1002+'Business Case'!$B$8*('Business Case'!G11*$C1002*'Business Case'!G12*$B1002)</f>
        <v>724609547.684412</v>
      </c>
      <c r="N1002" s="39" t="n">
        <f aca="false">IF(COUNT('Business Case'!B11:G11)=0,"",H1002+NPV(G1002,I1002:M1002))</f>
        <v>-770502819.872417</v>
      </c>
      <c r="P1002" s="40" t="n">
        <f aca="true">RAND()</f>
        <v>0.0363434165558103</v>
      </c>
      <c r="Q1002" s="40" t="n">
        <f aca="true">RAND()</f>
        <v>0.375333326325649</v>
      </c>
      <c r="R1002" s="40" t="n">
        <f aca="true">RAND()</f>
        <v>0.202160466721216</v>
      </c>
      <c r="S1002" s="40" t="n">
        <f aca="true">RAND()</f>
        <v>0.423700929389466</v>
      </c>
      <c r="T1002" s="40" t="n">
        <f aca="true">RAND()</f>
        <v>0.34082963289814</v>
      </c>
      <c r="U1002" s="40" t="n">
        <f aca="true">RAND()</f>
        <v>0.254899113955926</v>
      </c>
    </row>
    <row r="1003" customFormat="false" ht="15" hidden="false" customHeight="false" outlineLevel="0" collapsed="false">
      <c r="A1003" s="36" t="n">
        <v>923</v>
      </c>
      <c r="B1003" s="37" t="n">
        <f aca="false">1+IF($G$6=$E$6,$F$6,IF(P1003&lt;($F$6-$E$6)/($G$6-$E$6),$E$6+SQRT(P1003*($G$6-$E$6)*($F$6-$E$6)),$G$6-SQRT((1-P1003)*($G$6-$E$6)*($G$6-$F$6))))</f>
        <v>0.916648983406309</v>
      </c>
      <c r="C1003" s="37" t="n">
        <f aca="false">1+IF($G$7=$E$7,$F$7,IF(Q1003&lt;($F$7-$E$7)/($G$7-$E$7),$E$7+SQRT(Q1003*($G$7-$E$7)*($F$7-$E$7)),$G$7-SQRT((1-Q1003)*($G$7-$E$7)*($G$7-$F$7))))</f>
        <v>0.906241843308798</v>
      </c>
      <c r="D1003" s="37" t="n">
        <f aca="false">1+IF($G$8=$E$8,$F$8,IF(R1003&lt;($F$8-$E$8)/($G$8-$E$8),$E$8+SQRT(R1003*($G$8-$E$8)*($F$8-$E$8)),$G$8-SQRT((1-R1003)*($G$8-$E$8)*($G$8-$F$8))))</f>
        <v>0.980675473113539</v>
      </c>
      <c r="E1003" s="37" t="n">
        <f aca="false">1+IF($G$9=$E$9,$F$9,IF(S1003&lt;($F$9-$E$9)/($G$9-$E$9),$E$9+SQRT(S1003*($G$9-$E$9)*($F$9-$E$9)),$G$9-SQRT((1-S1003)*($G$9-$E$9)*($G$9-$F$9))))</f>
        <v>0.991996331372772</v>
      </c>
      <c r="F1003" s="37" t="n">
        <f aca="false">1+IF($G$10=$E$10,$F$10,IF(T1003&lt;($F$10-$E$10)/($G$10-$E$10),$E$10+SQRT(T1003*($G$10-$E$10)*($F$10-$E$10)),$G$10-SQRT((1-T1003)*($G$10-$E$10)*($G$10-$F$10))))</f>
        <v>1.03235016806613</v>
      </c>
      <c r="G1003" s="38" t="n">
        <f aca="false">IF($G$11=$E$11,$F$11,IF(U1003&lt;($F$11-$E$11)/($G$11-$E$11),$E$11+SQRT(U1003*($G$11-$E$11)*($F$11-$E$11)),$G$11-SQRT((1-U1003)*($G$11-$E$11)*($G$11-$F$11))))</f>
        <v>0.0977697401867478</v>
      </c>
      <c r="H1003" s="39" t="n">
        <f aca="false">(('Business Case'!B11*$C1003*'Business Case'!B12*$B1003)-'Business Case'!B11*$C1003*'Business Case'!B13*$D1003-'Business Case'!B14*$E1003)-MAX(0,(('Business Case'!B11*$C1003*'Business Case'!B12*$B1003)-'Business Case'!B11*$C1003*'Business Case'!B13*$D1003-'Business Case'!B14*$E1003))*'Business Case'!$B$7-'Business Case'!$B$8*('Business Case'!B11*$C1003*'Business Case'!B12*$B1003)-'Business Case'!B15*$F1003</f>
        <v>-2064700336.13226</v>
      </c>
      <c r="I1003" s="39" t="n">
        <f aca="false">(('Business Case'!C11*$C1003*'Business Case'!C12*$B1003)-'Business Case'!C11*$C1003*'Business Case'!C13*$D1003-'Business Case'!C14*$E1003)-MAX(0,(('Business Case'!C11*$C1003*'Business Case'!C12*$B1003)-'Business Case'!C11*$C1003*'Business Case'!C13*$D1003-'Business Case'!C14*$E1003))*'Business Case'!$B$7-'Business Case'!$B$8*(('Business Case'!C11*$C1003*'Business Case'!C12*$B1003)-('Business Case'!B11*$C1003*'Business Case'!B12*$B1003))-'Business Case'!C15*$F1003</f>
        <v>-61911152.4976143</v>
      </c>
      <c r="J1003" s="39" t="n">
        <f aca="false">(('Business Case'!D11*$C1003*'Business Case'!D12*$B1003)-'Business Case'!D11*$C1003*'Business Case'!D13*$D1003-'Business Case'!D14*$E1003)-MAX(0,(('Business Case'!D11*$C1003*'Business Case'!D12*$B1003)-'Business Case'!D11*$C1003*'Business Case'!D13*$D1003-'Business Case'!D14*$E1003))*'Business Case'!$B$7-'Business Case'!$B$8*(('Business Case'!D11*$C1003*'Business Case'!D12*$B1003)-('Business Case'!C11*$C1003*'Business Case'!C12*$B1003))-'Business Case'!D15*$F1003</f>
        <v>163538371.774532</v>
      </c>
      <c r="K1003" s="39" t="n">
        <f aca="false">(('Business Case'!E11*$C1003*'Business Case'!E12*$B1003)-'Business Case'!E11*$C1003*'Business Case'!E13*$D1003-'Business Case'!E14*$E1003)-MAX(0,(('Business Case'!E11*$C1003*'Business Case'!E12*$B1003)-'Business Case'!E11*$C1003*'Business Case'!E13*$D1003-'Business Case'!E14*$E1003))*'Business Case'!$B$7-'Business Case'!$B$8*(('Business Case'!E11*$C1003*'Business Case'!E12*$B1003)-('Business Case'!D11*$C1003*'Business Case'!D12*$B1003))-'Business Case'!E15*$F1003</f>
        <v>440605404.449986</v>
      </c>
      <c r="L1003" s="39" t="n">
        <f aca="false">(('Business Case'!F11*$C1003*'Business Case'!F12*$B1003)-'Business Case'!F11*$C1003*'Business Case'!F13*$D1003-'Business Case'!F14*$E1003)-MAX(0,(('Business Case'!F11*$C1003*'Business Case'!F12*$B1003)-'Business Case'!F11*$C1003*'Business Case'!F13*$D1003-'Business Case'!F14*$E1003))*'Business Case'!$B$7-'Business Case'!$B$8*(('Business Case'!F11*$C1003*'Business Case'!F12*$B1003)-('Business Case'!E11*$C1003*'Business Case'!E12*$B1003))-'Business Case'!F15*$F1003</f>
        <v>544464433.635328</v>
      </c>
      <c r="M1003" s="39" t="n">
        <f aca="false">(('Business Case'!G11*$C1003*'Business Case'!G12*$B1003)-'Business Case'!G11*$C1003*'Business Case'!G13*$D1003-'Business Case'!G14*$E1003)-MAX(0,(('Business Case'!G11*$C1003*'Business Case'!G12*$B1003)-'Business Case'!G11*$C1003*'Business Case'!G13*$D1003-'Business Case'!G14*$E1003))*'Business Case'!$B$7-'Business Case'!$B$8*(('Business Case'!G11*$C1003*'Business Case'!G12*$B1003)-('Business Case'!F11*$C1003*'Business Case'!F12*$B1003))-'Business Case'!G15*$F1003+'Business Case'!$B$8*('Business Case'!G11*$C1003*'Business Case'!G12*$B1003)</f>
        <v>702364966.32244</v>
      </c>
      <c r="N1003" s="39" t="n">
        <f aca="false">IF(COUNT('Business Case'!B11:G11)=0,"",H1003+NPV(G1003,I1003:M1003))</f>
        <v>-836867727.462564</v>
      </c>
      <c r="P1003" s="40" t="n">
        <f aca="true">RAND()</f>
        <v>0.0184792432309029</v>
      </c>
      <c r="Q1003" s="40" t="n">
        <f aca="true">RAND()</f>
        <v>0.315079243936377</v>
      </c>
      <c r="R1003" s="40" t="n">
        <f aca="true">RAND()</f>
        <v>0.125464620098591</v>
      </c>
      <c r="S1003" s="40" t="n">
        <f aca="true">RAND()</f>
        <v>0.338532999441958</v>
      </c>
      <c r="T1003" s="40" t="n">
        <f aca="true">RAND()</f>
        <v>0.368380675455443</v>
      </c>
      <c r="U1003" s="40" t="n">
        <f aca="true">RAND()</f>
        <v>0.315763666304519</v>
      </c>
    </row>
    <row r="1004" customFormat="false" ht="15" hidden="false" customHeight="false" outlineLevel="0" collapsed="false">
      <c r="A1004" s="36" t="n">
        <v>924</v>
      </c>
      <c r="B1004" s="37" t="n">
        <f aca="false">1+IF($G$6=$E$6,$F$6,IF(P1004&lt;($F$6-$E$6)/($G$6-$E$6),$E$6+SQRT(P1004*($G$6-$E$6)*($F$6-$E$6)),$G$6-SQRT((1-P1004)*($G$6-$E$6)*($G$6-$F$6))))</f>
        <v>1.02096633587975</v>
      </c>
      <c r="C1004" s="37" t="n">
        <f aca="false">1+IF($G$7=$E$7,$F$7,IF(Q1004&lt;($F$7-$E$7)/($G$7-$E$7),$E$7+SQRT(Q1004*($G$7-$E$7)*($F$7-$E$7)),$G$7-SQRT((1-Q1004)*($G$7-$E$7)*($G$7-$F$7))))</f>
        <v>1.08504886361225</v>
      </c>
      <c r="D1004" s="37" t="n">
        <f aca="false">1+IF($G$8=$E$8,$F$8,IF(R1004&lt;($F$8-$E$8)/($G$8-$E$8),$E$8+SQRT(R1004*($G$8-$E$8)*($F$8-$E$8)),$G$8-SQRT((1-R1004)*($G$8-$E$8)*($G$8-$F$8))))</f>
        <v>1.03289978281595</v>
      </c>
      <c r="E1004" s="37" t="n">
        <f aca="false">1+IF($G$9=$E$9,$F$9,IF(S1004&lt;($F$9-$E$9)/($G$9-$E$9),$E$9+SQRT(S1004*($G$9-$E$9)*($F$9-$E$9)),$G$9-SQRT((1-S1004)*($G$9-$E$9)*($G$9-$F$9))))</f>
        <v>1.07076186573193</v>
      </c>
      <c r="F1004" s="37" t="n">
        <f aca="false">1+IF($G$10=$E$10,$F$10,IF(T1004&lt;($F$10-$E$10)/($G$10-$E$10),$E$10+SQRT(T1004*($G$10-$E$10)*($F$10-$E$10)),$G$10-SQRT((1-T1004)*($G$10-$E$10)*($G$10-$F$10))))</f>
        <v>0.982688400614301</v>
      </c>
      <c r="G1004" s="38" t="n">
        <f aca="false">IF($G$11=$E$11,$F$11,IF(U1004&lt;($F$11-$E$11)/($G$11-$E$11),$E$11+SQRT(U1004*($G$11-$E$11)*($F$11-$E$11)),$G$11-SQRT((1-U1004)*($G$11-$E$11)*($G$11-$F$11))))</f>
        <v>0.102570923111044</v>
      </c>
      <c r="H1004" s="39" t="n">
        <f aca="false">(('Business Case'!B11*$C1004*'Business Case'!B12*$B1004)-'Business Case'!B11*$C1004*'Business Case'!B13*$D1004-'Business Case'!B14*$E1004)-MAX(0,(('Business Case'!B11*$C1004*'Business Case'!B12*$B1004)-'Business Case'!B11*$C1004*'Business Case'!B13*$D1004-'Business Case'!B14*$E1004))*'Business Case'!$B$7-'Business Case'!$B$8*('Business Case'!B11*$C1004*'Business Case'!B12*$B1004)-'Business Case'!B15*$F1004</f>
        <v>-1965376801.2286</v>
      </c>
      <c r="I1004" s="39" t="n">
        <f aca="false">(('Business Case'!C11*$C1004*'Business Case'!C12*$B1004)-'Business Case'!C11*$C1004*'Business Case'!C13*$D1004-'Business Case'!C14*$E1004)-MAX(0,(('Business Case'!C11*$C1004*'Business Case'!C12*$B1004)-'Business Case'!C11*$C1004*'Business Case'!C13*$D1004-'Business Case'!C14*$E1004))*'Business Case'!$B$7-'Business Case'!$B$8*(('Business Case'!C11*$C1004*'Business Case'!C12*$B1004)-('Business Case'!B11*$C1004*'Business Case'!B12*$B1004))-'Business Case'!C15*$F1004</f>
        <v>25674507.0412823</v>
      </c>
      <c r="J1004" s="39" t="n">
        <f aca="false">(('Business Case'!D11*$C1004*'Business Case'!D12*$B1004)-'Business Case'!D11*$C1004*'Business Case'!D13*$D1004-'Business Case'!D14*$E1004)-MAX(0,(('Business Case'!D11*$C1004*'Business Case'!D12*$B1004)-'Business Case'!D11*$C1004*'Business Case'!D13*$D1004-'Business Case'!D14*$E1004))*'Business Case'!$B$7-'Business Case'!$B$8*(('Business Case'!D11*$C1004*'Business Case'!D12*$B1004)-('Business Case'!C11*$C1004*'Business Case'!C12*$B1004))-'Business Case'!D15*$F1004</f>
        <v>359308458.56477</v>
      </c>
      <c r="K1004" s="39" t="n">
        <f aca="false">(('Business Case'!E11*$C1004*'Business Case'!E12*$B1004)-'Business Case'!E11*$C1004*'Business Case'!E13*$D1004-'Business Case'!E14*$E1004)-MAX(0,(('Business Case'!E11*$C1004*'Business Case'!E12*$B1004)-'Business Case'!E11*$C1004*'Business Case'!E13*$D1004-'Business Case'!E14*$E1004))*'Business Case'!$B$7-'Business Case'!$B$8*(('Business Case'!E11*$C1004*'Business Case'!E12*$B1004)-('Business Case'!D11*$C1004*'Business Case'!D12*$B1004))-'Business Case'!E15*$F1004</f>
        <v>742076830.118974</v>
      </c>
      <c r="L1004" s="39" t="n">
        <f aca="false">(('Business Case'!F11*$C1004*'Business Case'!F12*$B1004)-'Business Case'!F11*$C1004*'Business Case'!F13*$D1004-'Business Case'!F14*$E1004)-MAX(0,(('Business Case'!F11*$C1004*'Business Case'!F12*$B1004)-'Business Case'!F11*$C1004*'Business Case'!F13*$D1004-'Business Case'!F14*$E1004))*'Business Case'!$B$7-'Business Case'!$B$8*(('Business Case'!F11*$C1004*'Business Case'!F12*$B1004)-('Business Case'!E11*$C1004*'Business Case'!E12*$B1004))-'Business Case'!F15*$F1004</f>
        <v>891573658.702599</v>
      </c>
      <c r="M1004" s="39" t="n">
        <f aca="false">(('Business Case'!G11*$C1004*'Business Case'!G12*$B1004)-'Business Case'!G11*$C1004*'Business Case'!G13*$D1004-'Business Case'!G14*$E1004)-MAX(0,(('Business Case'!G11*$C1004*'Business Case'!G12*$B1004)-'Business Case'!G11*$C1004*'Business Case'!G13*$D1004-'Business Case'!G14*$E1004))*'Business Case'!$B$7-'Business Case'!$B$8*(('Business Case'!G11*$C1004*'Business Case'!G12*$B1004)-('Business Case'!F11*$C1004*'Business Case'!F12*$B1004))-'Business Case'!G15*$F1004+'Business Case'!$B$8*('Business Case'!G11*$C1004*'Business Case'!G12*$B1004)</f>
        <v>1102143971.45281</v>
      </c>
      <c r="N1004" s="39" t="n">
        <f aca="false">IF(COUNT('Business Case'!B11:G11)=0,"",H1004+NPV(G1004,I1004:M1004))</f>
        <v>186817561.2216</v>
      </c>
      <c r="P1004" s="40" t="n">
        <f aca="true">RAND()</f>
        <v>0.887606179700351</v>
      </c>
      <c r="Q1004" s="40" t="n">
        <f aca="true">RAND()</f>
        <v>0.937501479732445</v>
      </c>
      <c r="R1004" s="40" t="n">
        <f aca="true">RAND()</f>
        <v>0.699837390256903</v>
      </c>
      <c r="S1004" s="40" t="n">
        <f aca="true">RAND()</f>
        <v>0.832568482072424</v>
      </c>
      <c r="T1004" s="40" t="n">
        <f aca="true">RAND()</f>
        <v>0.071235435648068</v>
      </c>
      <c r="U1004" s="40" t="n">
        <f aca="true">RAND()</f>
        <v>0.498430494013161</v>
      </c>
    </row>
    <row r="1005" customFormat="false" ht="15" hidden="false" customHeight="false" outlineLevel="0" collapsed="false">
      <c r="A1005" s="36" t="n">
        <v>925</v>
      </c>
      <c r="B1005" s="37" t="n">
        <f aca="false">1+IF($G$6=$E$6,$F$6,IF(P1005&lt;($F$6-$E$6)/($G$6-$E$6),$E$6+SQRT(P1005*($G$6-$E$6)*($F$6-$E$6)),$G$6-SQRT((1-P1005)*($G$6-$E$6)*($G$6-$F$6))))</f>
        <v>1.00114772704436</v>
      </c>
      <c r="C1005" s="37" t="n">
        <f aca="false">1+IF($G$7=$E$7,$F$7,IF(Q1005&lt;($F$7-$E$7)/($G$7-$E$7),$E$7+SQRT(Q1005*($G$7-$E$7)*($F$7-$E$7)),$G$7-SQRT((1-Q1005)*($G$7-$E$7)*($G$7-$F$7))))</f>
        <v>0.851646857072282</v>
      </c>
      <c r="D1005" s="37" t="n">
        <f aca="false">1+IF($G$8=$E$8,$F$8,IF(R1005&lt;($F$8-$E$8)/($G$8-$E$8),$E$8+SQRT(R1005*($G$8-$E$8)*($F$8-$E$8)),$G$8-SQRT((1-R1005)*($G$8-$E$8)*($G$8-$F$8))))</f>
        <v>0.97549702150716</v>
      </c>
      <c r="E1005" s="37" t="n">
        <f aca="false">1+IF($G$9=$E$9,$F$9,IF(S1005&lt;($F$9-$E$9)/($G$9-$E$9),$E$9+SQRT(S1005*($G$9-$E$9)*($F$9-$E$9)),$G$9-SQRT((1-S1005)*($G$9-$E$9)*($G$9-$F$9))))</f>
        <v>1.0156528464818</v>
      </c>
      <c r="F1005" s="37" t="n">
        <f aca="false">1+IF($G$10=$E$10,$F$10,IF(T1005&lt;($F$10-$E$10)/($G$10-$E$10),$E$10+SQRT(T1005*($G$10-$E$10)*($F$10-$E$10)),$G$10-SQRT((1-T1005)*($G$10-$E$10)*($G$10-$F$10))))</f>
        <v>1.02772722308431</v>
      </c>
      <c r="G1005" s="38" t="n">
        <f aca="false">IF($G$11=$E$11,$F$11,IF(U1005&lt;($F$11-$E$11)/($G$11-$E$11),$E$11+SQRT(U1005*($G$11-$E$11)*($F$11-$E$11)),$G$11-SQRT((1-U1005)*($G$11-$E$11)*($G$11-$F$11))))</f>
        <v>0.1201038973008</v>
      </c>
      <c r="H1005" s="39" t="n">
        <f aca="false">(('Business Case'!B11*$C1005*'Business Case'!B12*$B1005)-'Business Case'!B11*$C1005*'Business Case'!B13*$D1005-'Business Case'!B14*$E1005)-MAX(0,(('Business Case'!B11*$C1005*'Business Case'!B12*$B1005)-'Business Case'!B11*$C1005*'Business Case'!B13*$D1005-'Business Case'!B14*$E1005))*'Business Case'!$B$7-'Business Case'!$B$8*('Business Case'!B11*$C1005*'Business Case'!B12*$B1005)-'Business Case'!B15*$F1005</f>
        <v>-2055454446.16863</v>
      </c>
      <c r="I1005" s="39" t="n">
        <f aca="false">(('Business Case'!C11*$C1005*'Business Case'!C12*$B1005)-'Business Case'!C11*$C1005*'Business Case'!C13*$D1005-'Business Case'!C14*$E1005)-MAX(0,(('Business Case'!C11*$C1005*'Business Case'!C12*$B1005)-'Business Case'!C11*$C1005*'Business Case'!C13*$D1005-'Business Case'!C14*$E1005))*'Business Case'!$B$7-'Business Case'!$B$8*(('Business Case'!C11*$C1005*'Business Case'!C12*$B1005)-('Business Case'!B11*$C1005*'Business Case'!B12*$B1005))-'Business Case'!C15*$F1005</f>
        <v>-18330270.0533621</v>
      </c>
      <c r="J1005" s="39" t="n">
        <f aca="false">(('Business Case'!D11*$C1005*'Business Case'!D12*$B1005)-'Business Case'!D11*$C1005*'Business Case'!D13*$D1005-'Business Case'!D14*$E1005)-MAX(0,(('Business Case'!D11*$C1005*'Business Case'!D12*$B1005)-'Business Case'!D11*$C1005*'Business Case'!D13*$D1005-'Business Case'!D14*$E1005))*'Business Case'!$B$7-'Business Case'!$B$8*(('Business Case'!D11*$C1005*'Business Case'!D12*$B1005)-('Business Case'!C11*$C1005*'Business Case'!C12*$B1005))-'Business Case'!D15*$F1005</f>
        <v>254738061.471511</v>
      </c>
      <c r="K1005" s="39" t="n">
        <f aca="false">(('Business Case'!E11*$C1005*'Business Case'!E12*$B1005)-'Business Case'!E11*$C1005*'Business Case'!E13*$D1005-'Business Case'!E14*$E1005)-MAX(0,(('Business Case'!E11*$C1005*'Business Case'!E12*$B1005)-'Business Case'!E11*$C1005*'Business Case'!E13*$D1005-'Business Case'!E14*$E1005))*'Business Case'!$B$7-'Business Case'!$B$8*(('Business Case'!E11*$C1005*'Business Case'!E12*$B1005)-('Business Case'!D11*$C1005*'Business Case'!D12*$B1005))-'Business Case'!E15*$F1005</f>
        <v>579192754.150601</v>
      </c>
      <c r="L1005" s="39" t="n">
        <f aca="false">(('Business Case'!F11*$C1005*'Business Case'!F12*$B1005)-'Business Case'!F11*$C1005*'Business Case'!F13*$D1005-'Business Case'!F14*$E1005)-MAX(0,(('Business Case'!F11*$C1005*'Business Case'!F12*$B1005)-'Business Case'!F11*$C1005*'Business Case'!F13*$D1005-'Business Case'!F14*$E1005))*'Business Case'!$B$7-'Business Case'!$B$8*(('Business Case'!F11*$C1005*'Business Case'!F12*$B1005)-('Business Case'!E11*$C1005*'Business Case'!E12*$B1005))-'Business Case'!F15*$F1005</f>
        <v>699682227.658953</v>
      </c>
      <c r="M1005" s="39" t="n">
        <f aca="false">(('Business Case'!G11*$C1005*'Business Case'!G12*$B1005)-'Business Case'!G11*$C1005*'Business Case'!G13*$D1005-'Business Case'!G14*$E1005)-MAX(0,(('Business Case'!G11*$C1005*'Business Case'!G12*$B1005)-'Business Case'!G11*$C1005*'Business Case'!G13*$D1005-'Business Case'!G14*$E1005))*'Business Case'!$B$7-'Business Case'!$B$8*(('Business Case'!G11*$C1005*'Business Case'!G12*$B1005)-('Business Case'!F11*$C1005*'Business Case'!F12*$B1005))-'Business Case'!G15*$F1005+'Business Case'!$B$8*('Business Case'!G11*$C1005*'Business Case'!G12*$B1005)</f>
        <v>861749057.492623</v>
      </c>
      <c r="N1005" s="39" t="n">
        <f aca="false">IF(COUNT('Business Case'!B11:G11)=0,"",H1005+NPV(G1005,I1005:M1005))</f>
        <v>-523389470.066785</v>
      </c>
      <c r="P1005" s="40" t="n">
        <f aca="true">RAND()</f>
        <v>0.681794056942334</v>
      </c>
      <c r="Q1005" s="40" t="n">
        <f aca="true">RAND()</f>
        <v>0.170346438962231</v>
      </c>
      <c r="R1005" s="40" t="n">
        <f aca="true">RAND()</f>
        <v>0.0866797474315452</v>
      </c>
      <c r="S1005" s="40" t="n">
        <f aca="true">RAND()</f>
        <v>0.51868912910822</v>
      </c>
      <c r="T1005" s="40" t="n">
        <f aca="true">RAND()</f>
        <v>0.341264168562526</v>
      </c>
      <c r="U1005" s="40" t="n">
        <f aca="true">RAND()</f>
        <v>0.93471143424459</v>
      </c>
    </row>
    <row r="1006" customFormat="false" ht="15" hidden="false" customHeight="false" outlineLevel="0" collapsed="false">
      <c r="A1006" s="36" t="n">
        <v>926</v>
      </c>
      <c r="B1006" s="37" t="n">
        <f aca="false">1+IF($G$6=$E$6,$F$6,IF(P1006&lt;($F$6-$E$6)/($G$6-$E$6),$E$6+SQRT(P1006*($G$6-$E$6)*($F$6-$E$6)),$G$6-SQRT((1-P1006)*($G$6-$E$6)*($G$6-$F$6))))</f>
        <v>0.957953509217889</v>
      </c>
      <c r="C1006" s="37" t="n">
        <f aca="false">1+IF($G$7=$E$7,$F$7,IF(Q1006&lt;($F$7-$E$7)/($G$7-$E$7),$E$7+SQRT(Q1006*($G$7-$E$7)*($F$7-$E$7)),$G$7-SQRT((1-Q1006)*($G$7-$E$7)*($G$7-$F$7))))</f>
        <v>0.992187154085585</v>
      </c>
      <c r="D1006" s="37" t="n">
        <f aca="false">1+IF($G$8=$E$8,$F$8,IF(R1006&lt;($F$8-$E$8)/($G$8-$E$8),$E$8+SQRT(R1006*($G$8-$E$8)*($F$8-$E$8)),$G$8-SQRT((1-R1006)*($G$8-$E$8)*($G$8-$F$8))))</f>
        <v>0.972868979968885</v>
      </c>
      <c r="E1006" s="37" t="n">
        <f aca="false">1+IF($G$9=$E$9,$F$9,IF(S1006&lt;($F$9-$E$9)/($G$9-$E$9),$E$9+SQRT(S1006*($G$9-$E$9)*($F$9-$E$9)),$G$9-SQRT((1-S1006)*($G$9-$E$9)*($G$9-$F$9))))</f>
        <v>1.09272712297324</v>
      </c>
      <c r="F1006" s="37" t="n">
        <f aca="false">1+IF($G$10=$E$10,$F$10,IF(T1006&lt;($F$10-$E$10)/($G$10-$E$10),$E$10+SQRT(T1006*($G$10-$E$10)*($F$10-$E$10)),$G$10-SQRT((1-T1006)*($G$10-$E$10)*($G$10-$F$10))))</f>
        <v>1.05704587035547</v>
      </c>
      <c r="G1006" s="38" t="n">
        <f aca="false">IF($G$11=$E$11,$F$11,IF(U1006&lt;($F$11-$E$11)/($G$11-$E$11),$E$11+SQRT(U1006*($G$11-$E$11)*($F$11-$E$11)),$G$11-SQRT((1-U1006)*($G$11-$E$11)*($G$11-$F$11))))</f>
        <v>0.109981062286591</v>
      </c>
      <c r="H1006" s="39" t="n">
        <f aca="false">(('Business Case'!B11*$C1006*'Business Case'!B12*$B1006)-'Business Case'!B11*$C1006*'Business Case'!B13*$D1006-'Business Case'!B14*$E1006)-MAX(0,(('Business Case'!B11*$C1006*'Business Case'!B12*$B1006)-'Business Case'!B11*$C1006*'Business Case'!B13*$D1006-'Business Case'!B14*$E1006))*'Business Case'!$B$7-'Business Case'!$B$8*('Business Case'!B11*$C1006*'Business Case'!B12*$B1006)-'Business Case'!B15*$F1006</f>
        <v>-2114091740.71093</v>
      </c>
      <c r="I1006" s="39" t="n">
        <f aca="false">(('Business Case'!C11*$C1006*'Business Case'!C12*$B1006)-'Business Case'!C11*$C1006*'Business Case'!C13*$D1006-'Business Case'!C14*$E1006)-MAX(0,(('Business Case'!C11*$C1006*'Business Case'!C12*$B1006)-'Business Case'!C11*$C1006*'Business Case'!C13*$D1006-'Business Case'!C14*$E1006))*'Business Case'!$B$7-'Business Case'!$B$8*(('Business Case'!C11*$C1006*'Business Case'!C12*$B1006)-('Business Case'!B11*$C1006*'Business Case'!B12*$B1006))-'Business Case'!C15*$F1006</f>
        <v>-26000072.7827235</v>
      </c>
      <c r="J1006" s="39" t="n">
        <f aca="false">(('Business Case'!D11*$C1006*'Business Case'!D12*$B1006)-'Business Case'!D11*$C1006*'Business Case'!D13*$D1006-'Business Case'!D14*$E1006)-MAX(0,(('Business Case'!D11*$C1006*'Business Case'!D12*$B1006)-'Business Case'!D11*$C1006*'Business Case'!D13*$D1006-'Business Case'!D14*$E1006))*'Business Case'!$B$7-'Business Case'!$B$8*(('Business Case'!D11*$C1006*'Business Case'!D12*$B1006)-('Business Case'!C11*$C1006*'Business Case'!C12*$B1006))-'Business Case'!D15*$F1006</f>
        <v>258362559.9253</v>
      </c>
      <c r="K1006" s="39" t="n">
        <f aca="false">(('Business Case'!E11*$C1006*'Business Case'!E12*$B1006)-'Business Case'!E11*$C1006*'Business Case'!E13*$D1006-'Business Case'!E14*$E1006)-MAX(0,(('Business Case'!E11*$C1006*'Business Case'!E12*$B1006)-'Business Case'!E11*$C1006*'Business Case'!E13*$D1006-'Business Case'!E14*$E1006))*'Business Case'!$B$7-'Business Case'!$B$8*(('Business Case'!E11*$C1006*'Business Case'!E12*$B1006)-('Business Case'!D11*$C1006*'Business Case'!D12*$B1006))-'Business Case'!E15*$F1006</f>
        <v>595577486.151097</v>
      </c>
      <c r="L1006" s="39" t="n">
        <f aca="false">(('Business Case'!F11*$C1006*'Business Case'!F12*$B1006)-'Business Case'!F11*$C1006*'Business Case'!F13*$D1006-'Business Case'!F14*$E1006)-MAX(0,(('Business Case'!F11*$C1006*'Business Case'!F12*$B1006)-'Business Case'!F11*$C1006*'Business Case'!F13*$D1006-'Business Case'!F14*$E1006))*'Business Case'!$B$7-'Business Case'!$B$8*(('Business Case'!F11*$C1006*'Business Case'!F12*$B1006)-('Business Case'!E11*$C1006*'Business Case'!E12*$B1006))-'Business Case'!F15*$F1006</f>
        <v>723213244.766042</v>
      </c>
      <c r="M1006" s="39" t="n">
        <f aca="false">(('Business Case'!G11*$C1006*'Business Case'!G12*$B1006)-'Business Case'!G11*$C1006*'Business Case'!G13*$D1006-'Business Case'!G14*$E1006)-MAX(0,(('Business Case'!G11*$C1006*'Business Case'!G12*$B1006)-'Business Case'!G11*$C1006*'Business Case'!G13*$D1006-'Business Case'!G14*$E1006))*'Business Case'!$B$7-'Business Case'!$B$8*(('Business Case'!G11*$C1006*'Business Case'!G12*$B1006)-('Business Case'!F11*$C1006*'Business Case'!F12*$B1006))-'Business Case'!G15*$F1006+'Business Case'!$B$8*('Business Case'!G11*$C1006*'Business Case'!G12*$B1006)</f>
        <v>903878423.850194</v>
      </c>
      <c r="N1006" s="39" t="n">
        <f aca="false">IF(COUNT('Business Case'!B11:G11)=0,"",H1006+NPV(G1006,I1006:M1006))</f>
        <v>-479423119.768951</v>
      </c>
      <c r="P1006" s="40" t="n">
        <f aca="true">RAND()</f>
        <v>0.223907282044526</v>
      </c>
      <c r="Q1006" s="40" t="n">
        <f aca="true">RAND()</f>
        <v>0.632395059352838</v>
      </c>
      <c r="R1006" s="40" t="n">
        <f aca="true">RAND()</f>
        <v>0.0697320326423017</v>
      </c>
      <c r="S1006" s="40" t="n">
        <f aca="true">RAND()</f>
        <v>0.91252846818875</v>
      </c>
      <c r="T1006" s="40" t="n">
        <f aca="true">RAND()</f>
        <v>0.50358271804161</v>
      </c>
      <c r="U1006" s="40" t="n">
        <f aca="true">RAND()</f>
        <v>0.7328280885511</v>
      </c>
    </row>
    <row r="1007" customFormat="false" ht="15" hidden="false" customHeight="false" outlineLevel="0" collapsed="false">
      <c r="A1007" s="36" t="n">
        <v>927</v>
      </c>
      <c r="B1007" s="37" t="n">
        <f aca="false">1+IF($G$6=$E$6,$F$6,IF(P1007&lt;($F$6-$E$6)/($G$6-$E$6),$E$6+SQRT(P1007*($G$6-$E$6)*($F$6-$E$6)),$G$6-SQRT((1-P1007)*($G$6-$E$6)*($G$6-$F$6))))</f>
        <v>0.920942845070067</v>
      </c>
      <c r="C1007" s="37" t="n">
        <f aca="false">1+IF($G$7=$E$7,$F$7,IF(Q1007&lt;($F$7-$E$7)/($G$7-$E$7),$E$7+SQRT(Q1007*($G$7-$E$7)*($F$7-$E$7)),$G$7-SQRT((1-Q1007)*($G$7-$E$7)*($G$7-$F$7))))</f>
        <v>1.11030527984925</v>
      </c>
      <c r="D1007" s="37" t="n">
        <f aca="false">1+IF($G$8=$E$8,$F$8,IF(R1007&lt;($F$8-$E$8)/($G$8-$E$8),$E$8+SQRT(R1007*($G$8-$E$8)*($F$8-$E$8)),$G$8-SQRT((1-R1007)*($G$8-$E$8)*($G$8-$F$8))))</f>
        <v>0.99930732645329</v>
      </c>
      <c r="E1007" s="37" t="n">
        <f aca="false">1+IF($G$9=$E$9,$F$9,IF(S1007&lt;($F$9-$E$9)/($G$9-$E$9),$E$9+SQRT(S1007*($G$9-$E$9)*($F$9-$E$9)),$G$9-SQRT((1-S1007)*($G$9-$E$9)*($G$9-$F$9))))</f>
        <v>1.01043037347554</v>
      </c>
      <c r="F1007" s="37" t="n">
        <f aca="false">1+IF($G$10=$E$10,$F$10,IF(T1007&lt;($F$10-$E$10)/($G$10-$E$10),$E$10+SQRT(T1007*($G$10-$E$10)*($F$10-$E$10)),$G$10-SQRT((1-T1007)*($G$10-$E$10)*($G$10-$F$10))))</f>
        <v>0.992389825237907</v>
      </c>
      <c r="G1007" s="38" t="n">
        <f aca="false">IF($G$11=$E$11,$F$11,IF(U1007&lt;($F$11-$E$11)/($G$11-$E$11),$E$11+SQRT(U1007*($G$11-$E$11)*($F$11-$E$11)),$G$11-SQRT((1-U1007)*($G$11-$E$11)*($G$11-$F$11))))</f>
        <v>0.0801462640231305</v>
      </c>
      <c r="H1007" s="39" t="n">
        <f aca="false">(('Business Case'!B11*$C1007*'Business Case'!B12*$B1007)-'Business Case'!B11*$C1007*'Business Case'!B13*$D1007-'Business Case'!B14*$E1007)-MAX(0,(('Business Case'!B11*$C1007*'Business Case'!B12*$B1007)-'Business Case'!B11*$C1007*'Business Case'!B13*$D1007-'Business Case'!B14*$E1007))*'Business Case'!$B$7-'Business Case'!$B$8*('Business Case'!B11*$C1007*'Business Case'!B12*$B1007)-'Business Case'!B15*$F1007</f>
        <v>-1984779650.47581</v>
      </c>
      <c r="I1007" s="39" t="n">
        <f aca="false">(('Business Case'!C11*$C1007*'Business Case'!C12*$B1007)-'Business Case'!C11*$C1007*'Business Case'!C13*$D1007-'Business Case'!C14*$E1007)-MAX(0,(('Business Case'!C11*$C1007*'Business Case'!C12*$B1007)-'Business Case'!C11*$C1007*'Business Case'!C13*$D1007-'Business Case'!C14*$E1007))*'Business Case'!$B$7-'Business Case'!$B$8*(('Business Case'!C11*$C1007*'Business Case'!C12*$B1007)-('Business Case'!B11*$C1007*'Business Case'!B12*$B1007))-'Business Case'!C15*$F1007</f>
        <v>-26399978.6474167</v>
      </c>
      <c r="J1007" s="39" t="n">
        <f aca="false">(('Business Case'!D11*$C1007*'Business Case'!D12*$B1007)-'Business Case'!D11*$C1007*'Business Case'!D13*$D1007-'Business Case'!D14*$E1007)-MAX(0,(('Business Case'!D11*$C1007*'Business Case'!D12*$B1007)-'Business Case'!D11*$C1007*'Business Case'!D13*$D1007-'Business Case'!D14*$E1007))*'Business Case'!$B$7-'Business Case'!$B$8*(('Business Case'!D11*$C1007*'Business Case'!D12*$B1007)-('Business Case'!C11*$C1007*'Business Case'!C12*$B1007))-'Business Case'!D15*$F1007</f>
        <v>243130060.477323</v>
      </c>
      <c r="K1007" s="39" t="n">
        <f aca="false">(('Business Case'!E11*$C1007*'Business Case'!E12*$B1007)-'Business Case'!E11*$C1007*'Business Case'!E13*$D1007-'Business Case'!E14*$E1007)-MAX(0,(('Business Case'!E11*$C1007*'Business Case'!E12*$B1007)-'Business Case'!E11*$C1007*'Business Case'!E13*$D1007-'Business Case'!E14*$E1007))*'Business Case'!$B$7-'Business Case'!$B$8*(('Business Case'!E11*$C1007*'Business Case'!E12*$B1007)-('Business Case'!D11*$C1007*'Business Case'!D12*$B1007))-'Business Case'!E15*$F1007</f>
        <v>562279590.863957</v>
      </c>
      <c r="L1007" s="39" t="n">
        <f aca="false">(('Business Case'!F11*$C1007*'Business Case'!F12*$B1007)-'Business Case'!F11*$C1007*'Business Case'!F13*$D1007-'Business Case'!F14*$E1007)-MAX(0,(('Business Case'!F11*$C1007*'Business Case'!F12*$B1007)-'Business Case'!F11*$C1007*'Business Case'!F13*$D1007-'Business Case'!F14*$E1007))*'Business Case'!$B$7-'Business Case'!$B$8*(('Business Case'!F11*$C1007*'Business Case'!F12*$B1007)-('Business Case'!E11*$C1007*'Business Case'!E12*$B1007))-'Business Case'!F15*$F1007</f>
        <v>687461494.665633</v>
      </c>
      <c r="M1007" s="39" t="n">
        <f aca="false">(('Business Case'!G11*$C1007*'Business Case'!G12*$B1007)-'Business Case'!G11*$C1007*'Business Case'!G13*$D1007-'Business Case'!G14*$E1007)-MAX(0,(('Business Case'!G11*$C1007*'Business Case'!G12*$B1007)-'Business Case'!G11*$C1007*'Business Case'!G13*$D1007-'Business Case'!G14*$E1007))*'Business Case'!$B$7-'Business Case'!$B$8*(('Business Case'!G11*$C1007*'Business Case'!G12*$B1007)-('Business Case'!F11*$C1007*'Business Case'!F12*$B1007))-'Business Case'!G15*$F1007+'Business Case'!$B$8*('Business Case'!G11*$C1007*'Business Case'!G12*$B1007)</f>
        <v>881823560.512828</v>
      </c>
      <c r="N1007" s="39" t="n">
        <f aca="false">IF(COUNT('Business Case'!B11:G11)=0,"",H1007+NPV(G1007,I1007:M1007))</f>
        <v>-249878855.625434</v>
      </c>
      <c r="P1007" s="40" t="n">
        <f aca="true">RAND()</f>
        <v>0.0292401839752565</v>
      </c>
      <c r="Q1007" s="40" t="n">
        <f aca="true">RAND()</f>
        <v>0.976656728772641</v>
      </c>
      <c r="R1007" s="40" t="n">
        <f aca="true">RAND()</f>
        <v>0.324161658929509</v>
      </c>
      <c r="S1007" s="40" t="n">
        <f aca="true">RAND()</f>
        <v>0.480541849381908</v>
      </c>
      <c r="T1007" s="40" t="n">
        <f aca="true">RAND()</f>
        <v>0.119793152246685</v>
      </c>
      <c r="U1007" s="40" t="n">
        <f aca="true">RAND()</f>
        <v>2.13931644623049E-005</v>
      </c>
    </row>
    <row r="1008" customFormat="false" ht="15" hidden="false" customHeight="false" outlineLevel="0" collapsed="false">
      <c r="A1008" s="36" t="n">
        <v>928</v>
      </c>
      <c r="B1008" s="37" t="n">
        <f aca="false">1+IF($G$6=$E$6,$F$6,IF(P1008&lt;($F$6-$E$6)/($G$6-$E$6),$E$6+SQRT(P1008*($G$6-$E$6)*($F$6-$E$6)),$G$6-SQRT((1-P1008)*($G$6-$E$6)*($G$6-$F$6))))</f>
        <v>0.972744908878915</v>
      </c>
      <c r="C1008" s="37" t="n">
        <f aca="false">1+IF($G$7=$E$7,$F$7,IF(Q1008&lt;($F$7-$E$7)/($G$7-$E$7),$E$7+SQRT(Q1008*($G$7-$E$7)*($F$7-$E$7)),$G$7-SQRT((1-Q1008)*($G$7-$E$7)*($G$7-$F$7))))</f>
        <v>0.883352883613061</v>
      </c>
      <c r="D1008" s="37" t="n">
        <f aca="false">1+IF($G$8=$E$8,$F$8,IF(R1008&lt;($F$8-$E$8)/($G$8-$E$8),$E$8+SQRT(R1008*($G$8-$E$8)*($F$8-$E$8)),$G$8-SQRT((1-R1008)*($G$8-$E$8)*($G$8-$F$8))))</f>
        <v>0.979274941518772</v>
      </c>
      <c r="E1008" s="37" t="n">
        <f aca="false">1+IF($G$9=$E$9,$F$9,IF(S1008&lt;($F$9-$E$9)/($G$9-$E$9),$E$9+SQRT(S1008*($G$9-$E$9)*($F$9-$E$9)),$G$9-SQRT((1-S1008)*($G$9-$E$9)*($G$9-$F$9))))</f>
        <v>1.01634234220098</v>
      </c>
      <c r="F1008" s="37" t="n">
        <f aca="false">1+IF($G$10=$E$10,$F$10,IF(T1008&lt;($F$10-$E$10)/($G$10-$E$10),$E$10+SQRT(T1008*($G$10-$E$10)*($F$10-$E$10)),$G$10-SQRT((1-T1008)*($G$10-$E$10)*($G$10-$F$10))))</f>
        <v>1.12787780522223</v>
      </c>
      <c r="G1008" s="38" t="n">
        <f aca="false">IF($G$11=$E$11,$F$11,IF(U1008&lt;($F$11-$E$11)/($G$11-$E$11),$E$11+SQRT(U1008*($G$11-$E$11)*($F$11-$E$11)),$G$11-SQRT((1-U1008)*($G$11-$E$11)*($G$11-$F$11))))</f>
        <v>0.0968555226020679</v>
      </c>
      <c r="H1008" s="39" t="n">
        <f aca="false">(('Business Case'!B11*$C1008*'Business Case'!B12*$B1008)-'Business Case'!B11*$C1008*'Business Case'!B13*$D1008-'Business Case'!B14*$E1008)-MAX(0,(('Business Case'!B11*$C1008*'Business Case'!B12*$B1008)-'Business Case'!B11*$C1008*'Business Case'!B13*$D1008-'Business Case'!B14*$E1008))*'Business Case'!$B$7-'Business Case'!$B$8*('Business Case'!B11*$C1008*'Business Case'!B12*$B1008)-'Business Case'!B15*$F1008</f>
        <v>-2255755610.44447</v>
      </c>
      <c r="I1008" s="39" t="n">
        <f aca="false">(('Business Case'!C11*$C1008*'Business Case'!C12*$B1008)-'Business Case'!C11*$C1008*'Business Case'!C13*$D1008-'Business Case'!C14*$E1008)-MAX(0,(('Business Case'!C11*$C1008*'Business Case'!C12*$B1008)-'Business Case'!C11*$C1008*'Business Case'!C13*$D1008-'Business Case'!C14*$E1008))*'Business Case'!$B$7-'Business Case'!$B$8*(('Business Case'!C11*$C1008*'Business Case'!C12*$B1008)-('Business Case'!B11*$C1008*'Business Case'!B12*$B1008))-'Business Case'!C15*$F1008</f>
        <v>-40880846.9753066</v>
      </c>
      <c r="J1008" s="39" t="n">
        <f aca="false">(('Business Case'!D11*$C1008*'Business Case'!D12*$B1008)-'Business Case'!D11*$C1008*'Business Case'!D13*$D1008-'Business Case'!D14*$E1008)-MAX(0,(('Business Case'!D11*$C1008*'Business Case'!D12*$B1008)-'Business Case'!D11*$C1008*'Business Case'!D13*$D1008-'Business Case'!D14*$E1008))*'Business Case'!$B$7-'Business Case'!$B$8*(('Business Case'!D11*$C1008*'Business Case'!D12*$B1008)-('Business Case'!C11*$C1008*'Business Case'!C12*$B1008))-'Business Case'!D15*$F1008</f>
        <v>220094888.363806</v>
      </c>
      <c r="K1008" s="39" t="n">
        <f aca="false">(('Business Case'!E11*$C1008*'Business Case'!E12*$B1008)-'Business Case'!E11*$C1008*'Business Case'!E13*$D1008-'Business Case'!E14*$E1008)-MAX(0,(('Business Case'!E11*$C1008*'Business Case'!E12*$B1008)-'Business Case'!E11*$C1008*'Business Case'!E13*$D1008-'Business Case'!E14*$E1008))*'Business Case'!$B$7-'Business Case'!$B$8*(('Business Case'!E11*$C1008*'Business Case'!E12*$B1008)-('Business Case'!D11*$C1008*'Business Case'!D12*$B1008))-'Business Case'!E15*$F1008</f>
        <v>537464513.964032</v>
      </c>
      <c r="L1008" s="39" t="n">
        <f aca="false">(('Business Case'!F11*$C1008*'Business Case'!F12*$B1008)-'Business Case'!F11*$C1008*'Business Case'!F13*$D1008-'Business Case'!F14*$E1008)-MAX(0,(('Business Case'!F11*$C1008*'Business Case'!F12*$B1008)-'Business Case'!F11*$C1008*'Business Case'!F13*$D1008-'Business Case'!F14*$E1008))*'Business Case'!$B$7-'Business Case'!$B$8*(('Business Case'!F11*$C1008*'Business Case'!F12*$B1008)-('Business Case'!E11*$C1008*'Business Case'!E12*$B1008))-'Business Case'!F15*$F1008</f>
        <v>654153039.564547</v>
      </c>
      <c r="M1008" s="39" t="n">
        <f aca="false">(('Business Case'!G11*$C1008*'Business Case'!G12*$B1008)-'Business Case'!G11*$C1008*'Business Case'!G13*$D1008-'Business Case'!G14*$E1008)-MAX(0,(('Business Case'!G11*$C1008*'Business Case'!G12*$B1008)-'Business Case'!G11*$C1008*'Business Case'!G13*$D1008-'Business Case'!G14*$E1008))*'Business Case'!$B$7-'Business Case'!$B$8*(('Business Case'!G11*$C1008*'Business Case'!G12*$B1008)-('Business Case'!F11*$C1008*'Business Case'!F12*$B1008))-'Business Case'!G15*$F1008+'Business Case'!$B$8*('Business Case'!G11*$C1008*'Business Case'!G12*$B1008)</f>
        <v>817484415.579011</v>
      </c>
      <c r="N1008" s="39" t="n">
        <f aca="false">IF(COUNT('Business Case'!B11:G11)=0,"",H1008+NPV(G1008,I1008:M1008))</f>
        <v>-735945500.839231</v>
      </c>
      <c r="P1008" s="40" t="n">
        <f aca="true">RAND()</f>
        <v>0.352788117853438</v>
      </c>
      <c r="Q1008" s="40" t="n">
        <f aca="true">RAND()</f>
        <v>0.249024295772034</v>
      </c>
      <c r="R1008" s="40" t="n">
        <f aca="true">RAND()</f>
        <v>0.114269626790339</v>
      </c>
      <c r="S1008" s="40" t="n">
        <f aca="true">RAND()</f>
        <v>0.523616813644775</v>
      </c>
      <c r="T1008" s="40" t="n">
        <f aca="true">RAND()</f>
        <v>0.801148927235486</v>
      </c>
      <c r="U1008" s="40" t="n">
        <f aca="true">RAND()</f>
        <v>0.284108642188822</v>
      </c>
    </row>
    <row r="1009" customFormat="false" ht="15" hidden="false" customHeight="false" outlineLevel="0" collapsed="false">
      <c r="A1009" s="36" t="n">
        <v>929</v>
      </c>
      <c r="B1009" s="37" t="n">
        <f aca="false">1+IF($G$6=$E$6,$F$6,IF(P1009&lt;($F$6-$E$6)/($G$6-$E$6),$E$6+SQRT(P1009*($G$6-$E$6)*($F$6-$E$6)),$G$6-SQRT((1-P1009)*($G$6-$E$6)*($G$6-$F$6))))</f>
        <v>0.967645460597371</v>
      </c>
      <c r="C1009" s="37" t="n">
        <f aca="false">1+IF($G$7=$E$7,$F$7,IF(Q1009&lt;($F$7-$E$7)/($G$7-$E$7),$E$7+SQRT(Q1009*($G$7-$E$7)*($F$7-$E$7)),$G$7-SQRT((1-Q1009)*($G$7-$E$7)*($G$7-$F$7))))</f>
        <v>0.971038538780518</v>
      </c>
      <c r="D1009" s="37" t="n">
        <f aca="false">1+IF($G$8=$E$8,$F$8,IF(R1009&lt;($F$8-$E$8)/($G$8-$E$8),$E$8+SQRT(R1009*($G$8-$E$8)*($F$8-$E$8)),$G$8-SQRT((1-R1009)*($G$8-$E$8)*($G$8-$F$8))))</f>
        <v>1.05414161978096</v>
      </c>
      <c r="E1009" s="37" t="n">
        <f aca="false">1+IF($G$9=$E$9,$F$9,IF(S1009&lt;($F$9-$E$9)/($G$9-$E$9),$E$9+SQRT(S1009*($G$9-$E$9)*($F$9-$E$9)),$G$9-SQRT((1-S1009)*($G$9-$E$9)*($G$9-$F$9))))</f>
        <v>1.02553446868017</v>
      </c>
      <c r="F1009" s="37" t="n">
        <f aca="false">1+IF($G$10=$E$10,$F$10,IF(T1009&lt;($F$10-$E$10)/($G$10-$E$10),$E$10+SQRT(T1009*($G$10-$E$10)*($F$10-$E$10)),$G$10-SQRT((1-T1009)*($G$10-$E$10)*($G$10-$F$10))))</f>
        <v>1.01737608161303</v>
      </c>
      <c r="G1009" s="38" t="n">
        <f aca="false">IF($G$11=$E$11,$F$11,IF(U1009&lt;($F$11-$E$11)/($G$11-$E$11),$E$11+SQRT(U1009*($G$11-$E$11)*($F$11-$E$11)),$G$11-SQRT((1-U1009)*($G$11-$E$11)*($G$11-$F$11))))</f>
        <v>0.108436358958554</v>
      </c>
      <c r="H1009" s="39" t="n">
        <f aca="false">(('Business Case'!B11*$C1009*'Business Case'!B12*$B1009)-'Business Case'!B11*$C1009*'Business Case'!B13*$D1009-'Business Case'!B14*$E1009)-MAX(0,(('Business Case'!B11*$C1009*'Business Case'!B12*$B1009)-'Business Case'!B11*$C1009*'Business Case'!B13*$D1009-'Business Case'!B14*$E1009))*'Business Case'!$B$7-'Business Case'!$B$8*('Business Case'!B11*$C1009*'Business Case'!B12*$B1009)-'Business Case'!B15*$F1009</f>
        <v>-2034752163.22606</v>
      </c>
      <c r="I1009" s="39" t="n">
        <f aca="false">(('Business Case'!C11*$C1009*'Business Case'!C12*$B1009)-'Business Case'!C11*$C1009*'Business Case'!C13*$D1009-'Business Case'!C14*$E1009)-MAX(0,(('Business Case'!C11*$C1009*'Business Case'!C12*$B1009)-'Business Case'!C11*$C1009*'Business Case'!C13*$D1009-'Business Case'!C14*$E1009))*'Business Case'!$B$7-'Business Case'!$B$8*(('Business Case'!C11*$C1009*'Business Case'!C12*$B1009)-('Business Case'!B11*$C1009*'Business Case'!B12*$B1009))-'Business Case'!C15*$F1009</f>
        <v>-50668810.1172252</v>
      </c>
      <c r="J1009" s="39" t="n">
        <f aca="false">(('Business Case'!D11*$C1009*'Business Case'!D12*$B1009)-'Business Case'!D11*$C1009*'Business Case'!D13*$D1009-'Business Case'!D14*$E1009)-MAX(0,(('Business Case'!D11*$C1009*'Business Case'!D12*$B1009)-'Business Case'!D11*$C1009*'Business Case'!D13*$D1009-'Business Case'!D14*$E1009))*'Business Case'!$B$7-'Business Case'!$B$8*(('Business Case'!D11*$C1009*'Business Case'!D12*$B1009)-('Business Case'!C11*$C1009*'Business Case'!C12*$B1009))-'Business Case'!D15*$F1009</f>
        <v>194940943.781749</v>
      </c>
      <c r="K1009" s="39" t="n">
        <f aca="false">(('Business Case'!E11*$C1009*'Business Case'!E12*$B1009)-'Business Case'!E11*$C1009*'Business Case'!E13*$D1009-'Business Case'!E14*$E1009)-MAX(0,(('Business Case'!E11*$C1009*'Business Case'!E12*$B1009)-'Business Case'!E11*$C1009*'Business Case'!E13*$D1009-'Business Case'!E14*$E1009))*'Business Case'!$B$7-'Business Case'!$B$8*(('Business Case'!E11*$C1009*'Business Case'!E12*$B1009)-('Business Case'!D11*$C1009*'Business Case'!D12*$B1009))-'Business Case'!E15*$F1009</f>
        <v>491419501.761375</v>
      </c>
      <c r="L1009" s="39" t="n">
        <f aca="false">(('Business Case'!F11*$C1009*'Business Case'!F12*$B1009)-'Business Case'!F11*$C1009*'Business Case'!F13*$D1009-'Business Case'!F14*$E1009)-MAX(0,(('Business Case'!F11*$C1009*'Business Case'!F12*$B1009)-'Business Case'!F11*$C1009*'Business Case'!F13*$D1009-'Business Case'!F14*$E1009))*'Business Case'!$B$7-'Business Case'!$B$8*(('Business Case'!F11*$C1009*'Business Case'!F12*$B1009)-('Business Case'!E11*$C1009*'Business Case'!E12*$B1009))-'Business Case'!F15*$F1009</f>
        <v>605762722.666751</v>
      </c>
      <c r="M1009" s="39" t="n">
        <f aca="false">(('Business Case'!G11*$C1009*'Business Case'!G12*$B1009)-'Business Case'!G11*$C1009*'Business Case'!G13*$D1009-'Business Case'!G14*$E1009)-MAX(0,(('Business Case'!G11*$C1009*'Business Case'!G12*$B1009)-'Business Case'!G11*$C1009*'Business Case'!G13*$D1009-'Business Case'!G14*$E1009))*'Business Case'!$B$7-'Business Case'!$B$8*(('Business Case'!G11*$C1009*'Business Case'!G12*$B1009)-('Business Case'!F11*$C1009*'Business Case'!F12*$B1009))-'Business Case'!G15*$F1009+'Business Case'!$B$8*('Business Case'!G11*$C1009*'Business Case'!G12*$B1009)</f>
        <v>784365888.831534</v>
      </c>
      <c r="N1009" s="39" t="n">
        <f aca="false">IF(COUNT('Business Case'!B11:G11)=0,"",H1009+NPV(G1009,I1009:M1009))</f>
        <v>-690887937.968476</v>
      </c>
      <c r="P1009" s="40" t="n">
        <f aca="true">RAND()</f>
        <v>0.305060555962028</v>
      </c>
      <c r="Q1009" s="40" t="n">
        <f aca="true">RAND()</f>
        <v>0.544162144476134</v>
      </c>
      <c r="R1009" s="40" t="n">
        <f aca="true">RAND()</f>
        <v>0.859800597579091</v>
      </c>
      <c r="S1009" s="40" t="n">
        <f aca="true">RAND()</f>
        <v>0.586888840353903</v>
      </c>
      <c r="T1009" s="40" t="n">
        <f aca="true">RAND()</f>
        <v>0.278481501257223</v>
      </c>
      <c r="U1009" s="40" t="n">
        <f aca="true">RAND()</f>
        <v>0.690006256690438</v>
      </c>
    </row>
    <row r="1010" customFormat="false" ht="15" hidden="false" customHeight="false" outlineLevel="0" collapsed="false">
      <c r="A1010" s="36" t="n">
        <v>930</v>
      </c>
      <c r="B1010" s="37" t="n">
        <f aca="false">1+IF($G$6=$E$6,$F$6,IF(P1010&lt;($F$6-$E$6)/($G$6-$E$6),$E$6+SQRT(P1010*($G$6-$E$6)*($F$6-$E$6)),$G$6-SQRT((1-P1010)*($G$6-$E$6)*($G$6-$F$6))))</f>
        <v>0.938905250400232</v>
      </c>
      <c r="C1010" s="37" t="n">
        <f aca="false">1+IF($G$7=$E$7,$F$7,IF(Q1010&lt;($F$7-$E$7)/($G$7-$E$7),$E$7+SQRT(Q1010*($G$7-$E$7)*($F$7-$E$7)),$G$7-SQRT((1-Q1010)*($G$7-$E$7)*($G$7-$F$7))))</f>
        <v>0.742196857365777</v>
      </c>
      <c r="D1010" s="37" t="n">
        <f aca="false">1+IF($G$8=$E$8,$F$8,IF(R1010&lt;($F$8-$E$8)/($G$8-$E$8),$E$8+SQRT(R1010*($G$8-$E$8)*($F$8-$E$8)),$G$8-SQRT((1-R1010)*($G$8-$E$8)*($G$8-$F$8))))</f>
        <v>0.972866689100885</v>
      </c>
      <c r="E1010" s="37" t="n">
        <f aca="false">1+IF($G$9=$E$9,$F$9,IF(S1010&lt;($F$9-$E$9)/($G$9-$E$9),$E$9+SQRT(S1010*($G$9-$E$9)*($F$9-$E$9)),$G$9-SQRT((1-S1010)*($G$9-$E$9)*($G$9-$F$9))))</f>
        <v>0.959652503454797</v>
      </c>
      <c r="F1010" s="37" t="n">
        <f aca="false">1+IF($G$10=$E$10,$F$10,IF(T1010&lt;($F$10-$E$10)/($G$10-$E$10),$E$10+SQRT(T1010*($G$10-$E$10)*($F$10-$E$10)),$G$10-SQRT((1-T1010)*($G$10-$E$10)*($G$10-$F$10))))</f>
        <v>1.03254967567126</v>
      </c>
      <c r="G1010" s="38" t="n">
        <f aca="false">IF($G$11=$E$11,$F$11,IF(U1010&lt;($F$11-$E$11)/($G$11-$E$11),$E$11+SQRT(U1010*($G$11-$E$11)*($F$11-$E$11)),$G$11-SQRT((1-U1010)*($G$11-$E$11)*($G$11-$F$11))))</f>
        <v>0.100378920871887</v>
      </c>
      <c r="H1010" s="39" t="n">
        <f aca="false">(('Business Case'!B11*$C1010*'Business Case'!B12*$B1010)-'Business Case'!B11*$C1010*'Business Case'!B13*$D1010-'Business Case'!B14*$E1010)-MAX(0,(('Business Case'!B11*$C1010*'Business Case'!B12*$B1010)-'Business Case'!B11*$C1010*'Business Case'!B13*$D1010-'Business Case'!B14*$E1010))*'Business Case'!$B$7-'Business Case'!$B$8*('Business Case'!B11*$C1010*'Business Case'!B12*$B1010)-'Business Case'!B15*$F1010</f>
        <v>-2065099351.34252</v>
      </c>
      <c r="I1010" s="39" t="n">
        <f aca="false">(('Business Case'!C11*$C1010*'Business Case'!C12*$B1010)-'Business Case'!C11*$C1010*'Business Case'!C13*$D1010-'Business Case'!C14*$E1010)-MAX(0,(('Business Case'!C11*$C1010*'Business Case'!C12*$B1010)-'Business Case'!C11*$C1010*'Business Case'!C13*$D1010-'Business Case'!C14*$E1010))*'Business Case'!$B$7-'Business Case'!$B$8*(('Business Case'!C11*$C1010*'Business Case'!C12*$B1010)-('Business Case'!B11*$C1010*'Business Case'!B12*$B1010))-'Business Case'!C15*$F1010</f>
        <v>-74706234.315023</v>
      </c>
      <c r="J1010" s="39" t="n">
        <f aca="false">(('Business Case'!D11*$C1010*'Business Case'!D12*$B1010)-'Business Case'!D11*$C1010*'Business Case'!D13*$D1010-'Business Case'!D14*$E1010)-MAX(0,(('Business Case'!D11*$C1010*'Business Case'!D12*$B1010)-'Business Case'!D11*$C1010*'Business Case'!D13*$D1010-'Business Case'!D14*$E1010))*'Business Case'!$B$7-'Business Case'!$B$8*(('Business Case'!D11*$C1010*'Business Case'!D12*$B1010)-('Business Case'!C11*$C1010*'Business Case'!C12*$B1010))-'Business Case'!D15*$F1010</f>
        <v>126429919.887145</v>
      </c>
      <c r="K1010" s="39" t="n">
        <f aca="false">(('Business Case'!E11*$C1010*'Business Case'!E12*$B1010)-'Business Case'!E11*$C1010*'Business Case'!E13*$D1010-'Business Case'!E14*$E1010)-MAX(0,(('Business Case'!E11*$C1010*'Business Case'!E12*$B1010)-'Business Case'!E11*$C1010*'Business Case'!E13*$D1010-'Business Case'!E14*$E1010))*'Business Case'!$B$7-'Business Case'!$B$8*(('Business Case'!E11*$C1010*'Business Case'!E12*$B1010)-('Business Case'!D11*$C1010*'Business Case'!D12*$B1010))-'Business Case'!E15*$F1010</f>
        <v>379193557.872876</v>
      </c>
      <c r="L1010" s="39" t="n">
        <f aca="false">(('Business Case'!F11*$C1010*'Business Case'!F12*$B1010)-'Business Case'!F11*$C1010*'Business Case'!F13*$D1010-'Business Case'!F14*$E1010)-MAX(0,(('Business Case'!F11*$C1010*'Business Case'!F12*$B1010)-'Business Case'!F11*$C1010*'Business Case'!F13*$D1010-'Business Case'!F14*$E1010))*'Business Case'!$B$7-'Business Case'!$B$8*(('Business Case'!F11*$C1010*'Business Case'!F12*$B1010)-('Business Case'!E11*$C1010*'Business Case'!E12*$B1010))-'Business Case'!F15*$F1010</f>
        <v>470322165.912793</v>
      </c>
      <c r="M1010" s="39" t="n">
        <f aca="false">(('Business Case'!G11*$C1010*'Business Case'!G12*$B1010)-'Business Case'!G11*$C1010*'Business Case'!G13*$D1010-'Business Case'!G14*$E1010)-MAX(0,(('Business Case'!G11*$C1010*'Business Case'!G12*$B1010)-'Business Case'!G11*$C1010*'Business Case'!G13*$D1010-'Business Case'!G14*$E1010))*'Business Case'!$B$7-'Business Case'!$B$8*(('Business Case'!G11*$C1010*'Business Case'!G12*$B1010)-('Business Case'!F11*$C1010*'Business Case'!F12*$B1010))-'Business Case'!G15*$F1010+'Business Case'!$B$8*('Business Case'!G11*$C1010*'Business Case'!G12*$B1010)</f>
        <v>602779894.095033</v>
      </c>
      <c r="N1010" s="39" t="n">
        <f aca="false">IF(COUNT('Business Case'!B11:G11)=0,"",H1010+NPV(G1010,I1010:M1010))</f>
        <v>-1049546586.93183</v>
      </c>
      <c r="P1010" s="40" t="n">
        <f aca="true">RAND()</f>
        <v>0.100907900580318</v>
      </c>
      <c r="Q1010" s="40" t="n">
        <f aca="true">RAND()</f>
        <v>0.0131894427522056</v>
      </c>
      <c r="R1010" s="40" t="n">
        <f aca="true">RAND()</f>
        <v>0.06971806272487</v>
      </c>
      <c r="S1010" s="40" t="n">
        <f aca="true">RAND()</f>
        <v>0.142336846736982</v>
      </c>
      <c r="T1010" s="40" t="n">
        <f aca="true">RAND()</f>
        <v>0.369538085991003</v>
      </c>
      <c r="U1010" s="40" t="n">
        <f aca="true">RAND()</f>
        <v>0.415061114190723</v>
      </c>
    </row>
    <row r="1011" customFormat="false" ht="15" hidden="false" customHeight="false" outlineLevel="0" collapsed="false">
      <c r="A1011" s="36" t="n">
        <v>931</v>
      </c>
      <c r="B1011" s="37" t="n">
        <f aca="false">1+IF($G$6=$E$6,$F$6,IF(P1011&lt;($F$6-$E$6)/($G$6-$E$6),$E$6+SQRT(P1011*($G$6-$E$6)*($F$6-$E$6)),$G$6-SQRT((1-P1011)*($G$6-$E$6)*($G$6-$F$6))))</f>
        <v>0.95164382158324</v>
      </c>
      <c r="C1011" s="37" t="n">
        <f aca="false">1+IF($G$7=$E$7,$F$7,IF(Q1011&lt;($F$7-$E$7)/($G$7-$E$7),$E$7+SQRT(Q1011*($G$7-$E$7)*($F$7-$E$7)),$G$7-SQRT((1-Q1011)*($G$7-$E$7)*($G$7-$F$7))))</f>
        <v>0.784343204538437</v>
      </c>
      <c r="D1011" s="37" t="n">
        <f aca="false">1+IF($G$8=$E$8,$F$8,IF(R1011&lt;($F$8-$E$8)/($G$8-$E$8),$E$8+SQRT(R1011*($G$8-$E$8)*($F$8-$E$8)),$G$8-SQRT((1-R1011)*($G$8-$E$8)*($G$8-$F$8))))</f>
        <v>0.996245142123943</v>
      </c>
      <c r="E1011" s="37" t="n">
        <f aca="false">1+IF($G$9=$E$9,$F$9,IF(S1011&lt;($F$9-$E$9)/($G$9-$E$9),$E$9+SQRT(S1011*($G$9-$E$9)*($F$9-$E$9)),$G$9-SQRT((1-S1011)*($G$9-$E$9)*($G$9-$F$9))))</f>
        <v>1.00460004756008</v>
      </c>
      <c r="F1011" s="37" t="n">
        <f aca="false">1+IF($G$10=$E$10,$F$10,IF(T1011&lt;($F$10-$E$10)/($G$10-$E$10),$E$10+SQRT(T1011*($G$10-$E$10)*($F$10-$E$10)),$G$10-SQRT((1-T1011)*($G$10-$E$10)*($G$10-$F$10))))</f>
        <v>1.10902078899401</v>
      </c>
      <c r="G1011" s="38" t="n">
        <f aca="false">IF($G$11=$E$11,$F$11,IF(U1011&lt;($F$11-$E$11)/($G$11-$E$11),$E$11+SQRT(U1011*($G$11-$E$11)*($F$11-$E$11)),$G$11-SQRT((1-U1011)*($G$11-$E$11)*($G$11-$F$11))))</f>
        <v>0.10129569317524</v>
      </c>
      <c r="H1011" s="39" t="n">
        <f aca="false">(('Business Case'!B11*$C1011*'Business Case'!B12*$B1011)-'Business Case'!B11*$C1011*'Business Case'!B13*$D1011-'Business Case'!B14*$E1011)-MAX(0,(('Business Case'!B11*$C1011*'Business Case'!B12*$B1011)-'Business Case'!B11*$C1011*'Business Case'!B13*$D1011-'Business Case'!B14*$E1011))*'Business Case'!$B$7-'Business Case'!$B$8*('Business Case'!B11*$C1011*'Business Case'!B12*$B1011)-'Business Case'!B15*$F1011</f>
        <v>-2218041577.98802</v>
      </c>
      <c r="I1011" s="39" t="n">
        <f aca="false">(('Business Case'!C11*$C1011*'Business Case'!C12*$B1011)-'Business Case'!C11*$C1011*'Business Case'!C13*$D1011-'Business Case'!C14*$E1011)-MAX(0,(('Business Case'!C11*$C1011*'Business Case'!C12*$B1011)-'Business Case'!C11*$C1011*'Business Case'!C13*$D1011-'Business Case'!C14*$E1011))*'Business Case'!$B$7-'Business Case'!$B$8*(('Business Case'!C11*$C1011*'Business Case'!C12*$B1011)-('Business Case'!B11*$C1011*'Business Case'!B12*$B1011))-'Business Case'!C15*$F1011</f>
        <v>-81095771.7282498</v>
      </c>
      <c r="J1011" s="39" t="n">
        <f aca="false">(('Business Case'!D11*$C1011*'Business Case'!D12*$B1011)-'Business Case'!D11*$C1011*'Business Case'!D13*$D1011-'Business Case'!D14*$E1011)-MAX(0,(('Business Case'!D11*$C1011*'Business Case'!D12*$B1011)-'Business Case'!D11*$C1011*'Business Case'!D13*$D1011-'Business Case'!D14*$E1011))*'Business Case'!$B$7-'Business Case'!$B$8*(('Business Case'!D11*$C1011*'Business Case'!D12*$B1011)-('Business Case'!C11*$C1011*'Business Case'!C12*$B1011))-'Business Case'!D15*$F1011</f>
        <v>130258834.706798</v>
      </c>
      <c r="K1011" s="39" t="n">
        <f aca="false">(('Business Case'!E11*$C1011*'Business Case'!E12*$B1011)-'Business Case'!E11*$C1011*'Business Case'!E13*$D1011-'Business Case'!E14*$E1011)-MAX(0,(('Business Case'!E11*$C1011*'Business Case'!E12*$B1011)-'Business Case'!E11*$C1011*'Business Case'!E13*$D1011-'Business Case'!E14*$E1011))*'Business Case'!$B$7-'Business Case'!$B$8*(('Business Case'!E11*$C1011*'Business Case'!E12*$B1011)-('Business Case'!D11*$C1011*'Business Case'!D12*$B1011))-'Business Case'!E15*$F1011</f>
        <v>397064480.591546</v>
      </c>
      <c r="L1011" s="39" t="n">
        <f aca="false">(('Business Case'!F11*$C1011*'Business Case'!F12*$B1011)-'Business Case'!F11*$C1011*'Business Case'!F13*$D1011-'Business Case'!F14*$E1011)-MAX(0,(('Business Case'!F11*$C1011*'Business Case'!F12*$B1011)-'Business Case'!F11*$C1011*'Business Case'!F13*$D1011-'Business Case'!F14*$E1011))*'Business Case'!$B$7-'Business Case'!$B$8*(('Business Case'!F11*$C1011*'Business Case'!F12*$B1011)-('Business Case'!E11*$C1011*'Business Case'!E12*$B1011))-'Business Case'!F15*$F1011</f>
        <v>493312131.070465</v>
      </c>
      <c r="M1011" s="39" t="n">
        <f aca="false">(('Business Case'!G11*$C1011*'Business Case'!G12*$B1011)-'Business Case'!G11*$C1011*'Business Case'!G13*$D1011-'Business Case'!G14*$E1011)-MAX(0,(('Business Case'!G11*$C1011*'Business Case'!G12*$B1011)-'Business Case'!G11*$C1011*'Business Case'!G13*$D1011-'Business Case'!G14*$E1011))*'Business Case'!$B$7-'Business Case'!$B$8*(('Business Case'!G11*$C1011*'Business Case'!G12*$B1011)-('Business Case'!F11*$C1011*'Business Case'!F12*$B1011))-'Business Case'!G15*$F1011+'Business Case'!$B$8*('Business Case'!G11*$C1011*'Business Case'!G12*$B1011)</f>
        <v>635190763.573595</v>
      </c>
      <c r="N1011" s="39" t="n">
        <f aca="false">IF(COUNT('Business Case'!B11:G11)=0,"",H1011+NPV(G1011,I1011:M1011))</f>
        <v>-1159565985.53556</v>
      </c>
      <c r="P1011" s="40" t="n">
        <f aca="true">RAND()</f>
        <v>0.177805620514767</v>
      </c>
      <c r="Q1011" s="40" t="n">
        <f aca="true">RAND()</f>
        <v>0.052694638161575</v>
      </c>
      <c r="R1011" s="40" t="n">
        <f aca="true">RAND()</f>
        <v>0.285148422675162</v>
      </c>
      <c r="S1011" s="40" t="n">
        <f aca="true">RAND()</f>
        <v>0.43623610214582</v>
      </c>
      <c r="T1011" s="40" t="n">
        <f aca="true">RAND()</f>
        <v>0.73499816085504</v>
      </c>
      <c r="U1011" s="40" t="n">
        <f aca="true">RAND()</f>
        <v>0.450708513140016</v>
      </c>
    </row>
    <row r="1012" customFormat="false" ht="15" hidden="false" customHeight="false" outlineLevel="0" collapsed="false">
      <c r="A1012" s="36" t="n">
        <v>932</v>
      </c>
      <c r="B1012" s="37" t="n">
        <f aca="false">1+IF($G$6=$E$6,$F$6,IF(P1012&lt;($F$6-$E$6)/($G$6-$E$6),$E$6+SQRT(P1012*($G$6-$E$6)*($F$6-$E$6)),$G$6-SQRT((1-P1012)*($G$6-$E$6)*($G$6-$F$6))))</f>
        <v>0.966091476475501</v>
      </c>
      <c r="C1012" s="37" t="n">
        <f aca="false">1+IF($G$7=$E$7,$F$7,IF(Q1012&lt;($F$7-$E$7)/($G$7-$E$7),$E$7+SQRT(Q1012*($G$7-$E$7)*($F$7-$E$7)),$G$7-SQRT((1-Q1012)*($G$7-$E$7)*($G$7-$F$7))))</f>
        <v>0.992718545334714</v>
      </c>
      <c r="D1012" s="37" t="n">
        <f aca="false">1+IF($G$8=$E$8,$F$8,IF(R1012&lt;($F$8-$E$8)/($G$8-$E$8),$E$8+SQRT(R1012*($G$8-$E$8)*($F$8-$E$8)),$G$8-SQRT((1-R1012)*($G$8-$E$8)*($G$8-$F$8))))</f>
        <v>1.03748214293755</v>
      </c>
      <c r="E1012" s="37" t="n">
        <f aca="false">1+IF($G$9=$E$9,$F$9,IF(S1012&lt;($F$9-$E$9)/($G$9-$E$9),$E$9+SQRT(S1012*($G$9-$E$9)*($F$9-$E$9)),$G$9-SQRT((1-S1012)*($G$9-$E$9)*($G$9-$F$9))))</f>
        <v>1.02822577737581</v>
      </c>
      <c r="F1012" s="37" t="n">
        <f aca="false">1+IF($G$10=$E$10,$F$10,IF(T1012&lt;($F$10-$E$10)/($G$10-$E$10),$E$10+SQRT(T1012*($G$10-$E$10)*($F$10-$E$10)),$G$10-SQRT((1-T1012)*($G$10-$E$10)*($G$10-$F$10))))</f>
        <v>1.11817978229927</v>
      </c>
      <c r="G1012" s="38" t="n">
        <f aca="false">IF($G$11=$E$11,$F$11,IF(U1012&lt;($F$11-$E$11)/($G$11-$E$11),$E$11+SQRT(U1012*($G$11-$E$11)*($F$11-$E$11)),$G$11-SQRT((1-U1012)*($G$11-$E$11)*($G$11-$F$11))))</f>
        <v>0.114328865797135</v>
      </c>
      <c r="H1012" s="39" t="n">
        <f aca="false">(('Business Case'!B11*$C1012*'Business Case'!B12*$B1012)-'Business Case'!B11*$C1012*'Business Case'!B13*$D1012-'Business Case'!B14*$E1012)-MAX(0,(('Business Case'!B11*$C1012*'Business Case'!B12*$B1012)-'Business Case'!B11*$C1012*'Business Case'!B13*$D1012-'Business Case'!B14*$E1012))*'Business Case'!$B$7-'Business Case'!$B$8*('Business Case'!B11*$C1012*'Business Case'!B12*$B1012)-'Business Case'!B15*$F1012</f>
        <v>-2236359564.59854</v>
      </c>
      <c r="I1012" s="39" t="n">
        <f aca="false">(('Business Case'!C11*$C1012*'Business Case'!C12*$B1012)-'Business Case'!C11*$C1012*'Business Case'!C13*$D1012-'Business Case'!C14*$E1012)-MAX(0,(('Business Case'!C11*$C1012*'Business Case'!C12*$B1012)-'Business Case'!C11*$C1012*'Business Case'!C13*$D1012-'Business Case'!C14*$E1012))*'Business Case'!$B$7-'Business Case'!$B$8*(('Business Case'!C11*$C1012*'Business Case'!C12*$B1012)-('Business Case'!B11*$C1012*'Business Case'!B12*$B1012))-'Business Case'!C15*$F1012</f>
        <v>-49453141.7654</v>
      </c>
      <c r="J1012" s="39" t="n">
        <f aca="false">(('Business Case'!D11*$C1012*'Business Case'!D12*$B1012)-'Business Case'!D11*$C1012*'Business Case'!D13*$D1012-'Business Case'!D14*$E1012)-MAX(0,(('Business Case'!D11*$C1012*'Business Case'!D12*$B1012)-'Business Case'!D11*$C1012*'Business Case'!D13*$D1012-'Business Case'!D14*$E1012))*'Business Case'!$B$7-'Business Case'!$B$8*(('Business Case'!D11*$C1012*'Business Case'!D12*$B1012)-('Business Case'!C11*$C1012*'Business Case'!C12*$B1012))-'Business Case'!D15*$F1012</f>
        <v>208842911.243663</v>
      </c>
      <c r="K1012" s="39" t="n">
        <f aca="false">(('Business Case'!E11*$C1012*'Business Case'!E12*$B1012)-'Business Case'!E11*$C1012*'Business Case'!E13*$D1012-'Business Case'!E14*$E1012)-MAX(0,(('Business Case'!E11*$C1012*'Business Case'!E12*$B1012)-'Business Case'!E11*$C1012*'Business Case'!E13*$D1012-'Business Case'!E14*$E1012))*'Business Case'!$B$7-'Business Case'!$B$8*(('Business Case'!E11*$C1012*'Business Case'!E12*$B1012)-('Business Case'!D11*$C1012*'Business Case'!D12*$B1012))-'Business Case'!E15*$F1012</f>
        <v>523047953.367689</v>
      </c>
      <c r="L1012" s="39" t="n">
        <f aca="false">(('Business Case'!F11*$C1012*'Business Case'!F12*$B1012)-'Business Case'!F11*$C1012*'Business Case'!F13*$D1012-'Business Case'!F14*$E1012)-MAX(0,(('Business Case'!F11*$C1012*'Business Case'!F12*$B1012)-'Business Case'!F11*$C1012*'Business Case'!F13*$D1012-'Business Case'!F14*$E1012))*'Business Case'!$B$7-'Business Case'!$B$8*(('Business Case'!F11*$C1012*'Business Case'!F12*$B1012)-('Business Case'!E11*$C1012*'Business Case'!E12*$B1012))-'Business Case'!F15*$F1012</f>
        <v>642291645.038507</v>
      </c>
      <c r="M1012" s="39" t="n">
        <f aca="false">(('Business Case'!G11*$C1012*'Business Case'!G12*$B1012)-'Business Case'!G11*$C1012*'Business Case'!G13*$D1012-'Business Case'!G14*$E1012)-MAX(0,(('Business Case'!G11*$C1012*'Business Case'!G12*$B1012)-'Business Case'!G11*$C1012*'Business Case'!G13*$D1012-'Business Case'!G14*$E1012))*'Business Case'!$B$7-'Business Case'!$B$8*(('Business Case'!G11*$C1012*'Business Case'!G12*$B1012)-('Business Case'!F11*$C1012*'Business Case'!F12*$B1012))-'Business Case'!G15*$F1012+'Business Case'!$B$8*('Business Case'!G11*$C1012*'Business Case'!G12*$B1012)</f>
        <v>824589185.378057</v>
      </c>
      <c r="N1012" s="39" t="n">
        <f aca="false">IF(COUNT('Business Case'!B11:G11)=0,"",H1012+NPV(G1012,I1012:M1012))</f>
        <v>-838060114.387121</v>
      </c>
      <c r="P1012" s="40" t="n">
        <f aca="true">RAND()</f>
        <v>0.291205550847449</v>
      </c>
      <c r="Q1012" s="40" t="n">
        <f aca="true">RAND()</f>
        <v>0.634697383576823</v>
      </c>
      <c r="R1012" s="40" t="n">
        <f aca="true">RAND()</f>
        <v>0.73943450322125</v>
      </c>
      <c r="S1012" s="40" t="n">
        <f aca="true">RAND()</f>
        <v>0.604561032113999</v>
      </c>
      <c r="T1012" s="40" t="n">
        <f aca="true">RAND()</f>
        <v>0.76831240273776</v>
      </c>
      <c r="U1012" s="40" t="n">
        <f aca="true">RAND()</f>
        <v>0.836277035197189</v>
      </c>
    </row>
    <row r="1013" customFormat="false" ht="15" hidden="false" customHeight="false" outlineLevel="0" collapsed="false">
      <c r="A1013" s="36" t="n">
        <v>933</v>
      </c>
      <c r="B1013" s="37" t="n">
        <f aca="false">1+IF($G$6=$E$6,$F$6,IF(P1013&lt;($F$6-$E$6)/($G$6-$E$6),$E$6+SQRT(P1013*($G$6-$E$6)*($F$6-$E$6)),$G$6-SQRT((1-P1013)*($G$6-$E$6)*($G$6-$F$6))))</f>
        <v>1.00021703608259</v>
      </c>
      <c r="C1013" s="37" t="n">
        <f aca="false">1+IF($G$7=$E$7,$F$7,IF(Q1013&lt;($F$7-$E$7)/($G$7-$E$7),$E$7+SQRT(Q1013*($G$7-$E$7)*($F$7-$E$7)),$G$7-SQRT((1-Q1013)*($G$7-$E$7)*($G$7-$F$7))))</f>
        <v>0.880373645425205</v>
      </c>
      <c r="D1013" s="37" t="n">
        <f aca="false">1+IF($G$8=$E$8,$F$8,IF(R1013&lt;($F$8-$E$8)/($G$8-$E$8),$E$8+SQRT(R1013*($G$8-$E$8)*($F$8-$E$8)),$G$8-SQRT((1-R1013)*($G$8-$E$8)*($G$8-$F$8))))</f>
        <v>0.969801321750802</v>
      </c>
      <c r="E1013" s="37" t="n">
        <f aca="false">1+IF($G$9=$E$9,$F$9,IF(S1013&lt;($F$9-$E$9)/($G$9-$E$9),$E$9+SQRT(S1013*($G$9-$E$9)*($F$9-$E$9)),$G$9-SQRT((1-S1013)*($G$9-$E$9)*($G$9-$F$9))))</f>
        <v>1.01611618411955</v>
      </c>
      <c r="F1013" s="37" t="n">
        <f aca="false">1+IF($G$10=$E$10,$F$10,IF(T1013&lt;($F$10-$E$10)/($G$10-$E$10),$E$10+SQRT(T1013*($G$10-$E$10)*($F$10-$E$10)),$G$10-SQRT((1-T1013)*($G$10-$E$10)*($G$10-$F$10))))</f>
        <v>1.04411971173843</v>
      </c>
      <c r="G1013" s="38" t="n">
        <f aca="false">IF($G$11=$E$11,$F$11,IF(U1013&lt;($F$11-$E$11)/($G$11-$E$11),$E$11+SQRT(U1013*($G$11-$E$11)*($F$11-$E$11)),$G$11-SQRT((1-U1013)*($G$11-$E$11)*($G$11-$F$11))))</f>
        <v>0.107741652318503</v>
      </c>
      <c r="H1013" s="39" t="n">
        <f aca="false">(('Business Case'!B11*$C1013*'Business Case'!B12*$B1013)-'Business Case'!B11*$C1013*'Business Case'!B13*$D1013-'Business Case'!B14*$E1013)-MAX(0,(('Business Case'!B11*$C1013*'Business Case'!B12*$B1013)-'Business Case'!B11*$C1013*'Business Case'!B13*$D1013-'Business Case'!B14*$E1013))*'Business Case'!$B$7-'Business Case'!$B$8*('Business Case'!B11*$C1013*'Business Case'!B12*$B1013)-'Business Case'!B15*$F1013</f>
        <v>-2088239423.47686</v>
      </c>
      <c r="I1013" s="39" t="n">
        <f aca="false">(('Business Case'!C11*$C1013*'Business Case'!C12*$B1013)-'Business Case'!C11*$C1013*'Business Case'!C13*$D1013-'Business Case'!C14*$E1013)-MAX(0,(('Business Case'!C11*$C1013*'Business Case'!C12*$B1013)-'Business Case'!C11*$C1013*'Business Case'!C13*$D1013-'Business Case'!C14*$E1013))*'Business Case'!$B$7-'Business Case'!$B$8*(('Business Case'!C11*$C1013*'Business Case'!C12*$B1013)-('Business Case'!B11*$C1013*'Business Case'!B12*$B1013))-'Business Case'!C15*$F1013</f>
        <v>-10377172.4076412</v>
      </c>
      <c r="J1013" s="39" t="n">
        <f aca="false">(('Business Case'!D11*$C1013*'Business Case'!D12*$B1013)-'Business Case'!D11*$C1013*'Business Case'!D13*$D1013-'Business Case'!D14*$E1013)-MAX(0,(('Business Case'!D11*$C1013*'Business Case'!D12*$B1013)-'Business Case'!D11*$C1013*'Business Case'!D13*$D1013-'Business Case'!D14*$E1013))*'Business Case'!$B$7-'Business Case'!$B$8*(('Business Case'!D11*$C1013*'Business Case'!D12*$B1013)-('Business Case'!C11*$C1013*'Business Case'!C12*$B1013))-'Business Case'!D15*$F1013</f>
        <v>273797822.735603</v>
      </c>
      <c r="K1013" s="39" t="n">
        <f aca="false">(('Business Case'!E11*$C1013*'Business Case'!E12*$B1013)-'Business Case'!E11*$C1013*'Business Case'!E13*$D1013-'Business Case'!E14*$E1013)-MAX(0,(('Business Case'!E11*$C1013*'Business Case'!E12*$B1013)-'Business Case'!E11*$C1013*'Business Case'!E13*$D1013-'Business Case'!E14*$E1013))*'Business Case'!$B$7-'Business Case'!$B$8*(('Business Case'!E11*$C1013*'Business Case'!E12*$B1013)-('Business Case'!D11*$C1013*'Business Case'!D12*$B1013))-'Business Case'!E15*$F1013</f>
        <v>610178803.465769</v>
      </c>
      <c r="L1013" s="39" t="n">
        <f aca="false">(('Business Case'!F11*$C1013*'Business Case'!F12*$B1013)-'Business Case'!F11*$C1013*'Business Case'!F13*$D1013-'Business Case'!F14*$E1013)-MAX(0,(('Business Case'!F11*$C1013*'Business Case'!F12*$B1013)-'Business Case'!F11*$C1013*'Business Case'!F13*$D1013-'Business Case'!F14*$E1013))*'Business Case'!$B$7-'Business Case'!$B$8*(('Business Case'!F11*$C1013*'Business Case'!F12*$B1013)-('Business Case'!E11*$C1013*'Business Case'!E12*$B1013))-'Business Case'!F15*$F1013</f>
        <v>735336118.510346</v>
      </c>
      <c r="M1013" s="39" t="n">
        <f aca="false">(('Business Case'!G11*$C1013*'Business Case'!G12*$B1013)-'Business Case'!G11*$C1013*'Business Case'!G13*$D1013-'Business Case'!G14*$E1013)-MAX(0,(('Business Case'!G11*$C1013*'Business Case'!G12*$B1013)-'Business Case'!G11*$C1013*'Business Case'!G13*$D1013-'Business Case'!G14*$E1013))*'Business Case'!$B$7-'Business Case'!$B$8*(('Business Case'!G11*$C1013*'Business Case'!G12*$B1013)-('Business Case'!F11*$C1013*'Business Case'!F12*$B1013))-'Business Case'!G15*$F1013+'Business Case'!$B$8*('Business Case'!G11*$C1013*'Business Case'!G12*$B1013)</f>
        <v>902713860.159568</v>
      </c>
      <c r="N1013" s="39" t="n">
        <f aca="false">IF(COUNT('Business Case'!B11:G11)=0,"",H1013+NPV(G1013,I1013:M1013))</f>
        <v>-396037318.347879</v>
      </c>
      <c r="P1013" s="40" t="n">
        <f aca="true">RAND()</f>
        <v>0.669554200479712</v>
      </c>
      <c r="Q1013" s="40" t="n">
        <f aca="true">RAND()</f>
        <v>0.240997421955389</v>
      </c>
      <c r="R1013" s="40" t="n">
        <f aca="true">RAND()</f>
        <v>0.0522789790771732</v>
      </c>
      <c r="S1013" s="40" t="n">
        <f aca="true">RAND()</f>
        <v>0.522003302541088</v>
      </c>
      <c r="T1013" s="40" t="n">
        <f aca="true">RAND()</f>
        <v>0.434844092071094</v>
      </c>
      <c r="U1013" s="40" t="n">
        <f aca="true">RAND()</f>
        <v>0.669710638993054</v>
      </c>
    </row>
    <row r="1014" customFormat="false" ht="15" hidden="false" customHeight="false" outlineLevel="0" collapsed="false">
      <c r="A1014" s="36" t="n">
        <v>934</v>
      </c>
      <c r="B1014" s="37" t="n">
        <f aca="false">1+IF($G$6=$E$6,$F$6,IF(P1014&lt;($F$6-$E$6)/($G$6-$E$6),$E$6+SQRT(P1014*($G$6-$E$6)*($F$6-$E$6)),$G$6-SQRT((1-P1014)*($G$6-$E$6)*($G$6-$F$6))))</f>
        <v>0.99664941247942</v>
      </c>
      <c r="C1014" s="37" t="n">
        <f aca="false">1+IF($G$7=$E$7,$F$7,IF(Q1014&lt;($F$7-$E$7)/($G$7-$E$7),$E$7+SQRT(Q1014*($G$7-$E$7)*($F$7-$E$7)),$G$7-SQRT((1-Q1014)*($G$7-$E$7)*($G$7-$F$7))))</f>
        <v>1.04582219744307</v>
      </c>
      <c r="D1014" s="37" t="n">
        <f aca="false">1+IF($G$8=$E$8,$F$8,IF(R1014&lt;($F$8-$E$8)/($G$8-$E$8),$E$8+SQRT(R1014*($G$8-$E$8)*($F$8-$E$8)),$G$8-SQRT((1-R1014)*($G$8-$E$8)*($G$8-$F$8))))</f>
        <v>1.07639738093997</v>
      </c>
      <c r="E1014" s="37" t="n">
        <f aca="false">1+IF($G$9=$E$9,$F$9,IF(S1014&lt;($F$9-$E$9)/($G$9-$E$9),$E$9+SQRT(S1014*($G$9-$E$9)*($F$9-$E$9)),$G$9-SQRT((1-S1014)*($G$9-$E$9)*($G$9-$F$9))))</f>
        <v>1.03733230653225</v>
      </c>
      <c r="F1014" s="37" t="n">
        <f aca="false">1+IF($G$10=$E$10,$F$10,IF(T1014&lt;($F$10-$E$10)/($G$10-$E$10),$E$10+SQRT(T1014*($G$10-$E$10)*($F$10-$E$10)),$G$10-SQRT((1-T1014)*($G$10-$E$10)*($G$10-$F$10))))</f>
        <v>1.07088877526553</v>
      </c>
      <c r="G1014" s="38" t="n">
        <f aca="false">IF($G$11=$E$11,$F$11,IF(U1014&lt;($F$11-$E$11)/($G$11-$E$11),$E$11+SQRT(U1014*($G$11-$E$11)*($F$11-$E$11)),$G$11-SQRT((1-U1014)*($G$11-$E$11)*($G$11-$F$11))))</f>
        <v>0.101886348066081</v>
      </c>
      <c r="H1014" s="39" t="n">
        <f aca="false">(('Business Case'!B11*$C1014*'Business Case'!B12*$B1014)-'Business Case'!B11*$C1014*'Business Case'!B13*$D1014-'Business Case'!B14*$E1014)-MAX(0,(('Business Case'!B11*$C1014*'Business Case'!B12*$B1014)-'Business Case'!B11*$C1014*'Business Case'!B13*$D1014-'Business Case'!B14*$E1014))*'Business Case'!$B$7-'Business Case'!$B$8*('Business Case'!B11*$C1014*'Business Case'!B12*$B1014)-'Business Case'!B15*$F1014</f>
        <v>-2141777550.53106</v>
      </c>
      <c r="I1014" s="39" t="n">
        <f aca="false">(('Business Case'!C11*$C1014*'Business Case'!C12*$B1014)-'Business Case'!C11*$C1014*'Business Case'!C13*$D1014-'Business Case'!C14*$E1014)-MAX(0,(('Business Case'!C11*$C1014*'Business Case'!C12*$B1014)-'Business Case'!C11*$C1014*'Business Case'!C13*$D1014-'Business Case'!C14*$E1014))*'Business Case'!$B$7-'Business Case'!$B$8*(('Business Case'!C11*$C1014*'Business Case'!C12*$B1014)-('Business Case'!B11*$C1014*'Business Case'!B12*$B1014))-'Business Case'!C15*$F1014</f>
        <v>-31176470.2020812</v>
      </c>
      <c r="J1014" s="39" t="n">
        <f aca="false">(('Business Case'!D11*$C1014*'Business Case'!D12*$B1014)-'Business Case'!D11*$C1014*'Business Case'!D13*$D1014-'Business Case'!D14*$E1014)-MAX(0,(('Business Case'!D11*$C1014*'Business Case'!D12*$B1014)-'Business Case'!D11*$C1014*'Business Case'!D13*$D1014-'Business Case'!D14*$E1014))*'Business Case'!$B$7-'Business Case'!$B$8*(('Business Case'!D11*$C1014*'Business Case'!D12*$B1014)-('Business Case'!C11*$C1014*'Business Case'!C12*$B1014))-'Business Case'!D15*$F1014</f>
        <v>246278360.307952</v>
      </c>
      <c r="K1014" s="39" t="n">
        <f aca="false">(('Business Case'!E11*$C1014*'Business Case'!E12*$B1014)-'Business Case'!E11*$C1014*'Business Case'!E13*$D1014-'Business Case'!E14*$E1014)-MAX(0,(('Business Case'!E11*$C1014*'Business Case'!E12*$B1014)-'Business Case'!E11*$C1014*'Business Case'!E13*$D1014-'Business Case'!E14*$E1014))*'Business Case'!$B$7-'Business Case'!$B$8*(('Business Case'!E11*$C1014*'Business Case'!E12*$B1014)-('Business Case'!D11*$C1014*'Business Case'!D12*$B1014))-'Business Case'!E15*$F1014</f>
        <v>577277629.581262</v>
      </c>
      <c r="L1014" s="39" t="n">
        <f aca="false">(('Business Case'!F11*$C1014*'Business Case'!F12*$B1014)-'Business Case'!F11*$C1014*'Business Case'!F13*$D1014-'Business Case'!F14*$E1014)-MAX(0,(('Business Case'!F11*$C1014*'Business Case'!F12*$B1014)-'Business Case'!F11*$C1014*'Business Case'!F13*$D1014-'Business Case'!F14*$E1014))*'Business Case'!$B$7-'Business Case'!$B$8*(('Business Case'!F11*$C1014*'Business Case'!F12*$B1014)-('Business Case'!E11*$C1014*'Business Case'!E12*$B1014))-'Business Case'!F15*$F1014</f>
        <v>705785085.88239</v>
      </c>
      <c r="M1014" s="39" t="n">
        <f aca="false">(('Business Case'!G11*$C1014*'Business Case'!G12*$B1014)-'Business Case'!G11*$C1014*'Business Case'!G13*$D1014-'Business Case'!G14*$E1014)-MAX(0,(('Business Case'!G11*$C1014*'Business Case'!G12*$B1014)-'Business Case'!G11*$C1014*'Business Case'!G13*$D1014-'Business Case'!G14*$E1014))*'Business Case'!$B$7-'Business Case'!$B$8*(('Business Case'!G11*$C1014*'Business Case'!G12*$B1014)-('Business Case'!F11*$C1014*'Business Case'!F12*$B1014))-'Business Case'!G15*$F1014+'Business Case'!$B$8*('Business Case'!G11*$C1014*'Business Case'!G12*$B1014)</f>
        <v>903908906.2702</v>
      </c>
      <c r="N1014" s="39" t="n">
        <f aca="false">IF(COUNT('Business Case'!B11:G11)=0,"",H1014+NPV(G1014,I1014:M1014))</f>
        <v>-500501403.115756</v>
      </c>
      <c r="P1014" s="40" t="n">
        <f aca="true">RAND()</f>
        <v>0.62274059550781</v>
      </c>
      <c r="Q1014" s="40" t="n">
        <f aca="true">RAND()</f>
        <v>0.839214599324585</v>
      </c>
      <c r="R1014" s="40" t="n">
        <f aca="true">RAND()</f>
        <v>0.962861091567127</v>
      </c>
      <c r="S1014" s="40" t="n">
        <f aca="true">RAND()</f>
        <v>0.661493089297514</v>
      </c>
      <c r="T1014" s="40" t="n">
        <f aca="true">RAND()</f>
        <v>0.572255588988248</v>
      </c>
      <c r="U1014" s="40" t="n">
        <f aca="true">RAND()</f>
        <v>0.473081716625629</v>
      </c>
    </row>
    <row r="1015" customFormat="false" ht="15" hidden="false" customHeight="false" outlineLevel="0" collapsed="false">
      <c r="A1015" s="36" t="n">
        <v>935</v>
      </c>
      <c r="B1015" s="37" t="n">
        <f aca="false">1+IF($G$6=$E$6,$F$6,IF(P1015&lt;($F$6-$E$6)/($G$6-$E$6),$E$6+SQRT(P1015*($G$6-$E$6)*($F$6-$E$6)),$G$6-SQRT((1-P1015)*($G$6-$E$6)*($G$6-$F$6))))</f>
        <v>1.02371769316379</v>
      </c>
      <c r="C1015" s="37" t="n">
        <f aca="false">1+IF($G$7=$E$7,$F$7,IF(Q1015&lt;($F$7-$E$7)/($G$7-$E$7),$E$7+SQRT(Q1015*($G$7-$E$7)*($F$7-$E$7)),$G$7-SQRT((1-Q1015)*($G$7-$E$7)*($G$7-$F$7))))</f>
        <v>0.967589941218894</v>
      </c>
      <c r="D1015" s="37" t="n">
        <f aca="false">1+IF($G$8=$E$8,$F$8,IF(R1015&lt;($F$8-$E$8)/($G$8-$E$8),$E$8+SQRT(R1015*($G$8-$E$8)*($F$8-$E$8)),$G$8-SQRT((1-R1015)*($G$8-$E$8)*($G$8-$F$8))))</f>
        <v>1.056862607499</v>
      </c>
      <c r="E1015" s="37" t="n">
        <f aca="false">1+IF($G$9=$E$9,$F$9,IF(S1015&lt;($F$9-$E$9)/($G$9-$E$9),$E$9+SQRT(S1015*($G$9-$E$9)*($F$9-$E$9)),$G$9-SQRT((1-S1015)*($G$9-$E$9)*($G$9-$F$9))))</f>
        <v>1.04849625307326</v>
      </c>
      <c r="F1015" s="37" t="n">
        <f aca="false">1+IF($G$10=$E$10,$F$10,IF(T1015&lt;($F$10-$E$10)/($G$10-$E$10),$E$10+SQRT(T1015*($G$10-$E$10)*($F$10-$E$10)),$G$10-SQRT((1-T1015)*($G$10-$E$10)*($G$10-$F$10))))</f>
        <v>1.02777894836261</v>
      </c>
      <c r="G1015" s="38" t="n">
        <f aca="false">IF($G$11=$E$11,$F$11,IF(U1015&lt;($F$11-$E$11)/($G$11-$E$11),$E$11+SQRT(U1015*($G$11-$E$11)*($F$11-$E$11)),$G$11-SQRT((1-U1015)*($G$11-$E$11)*($G$11-$F$11))))</f>
        <v>0.0980992228493398</v>
      </c>
      <c r="H1015" s="39" t="n">
        <f aca="false">(('Business Case'!B11*$C1015*'Business Case'!B12*$B1015)-'Business Case'!B11*$C1015*'Business Case'!B13*$D1015-'Business Case'!B14*$E1015)-MAX(0,(('Business Case'!B11*$C1015*'Business Case'!B12*$B1015)-'Business Case'!B11*$C1015*'Business Case'!B13*$D1015-'Business Case'!B14*$E1015))*'Business Case'!$B$7-'Business Case'!$B$8*('Business Case'!B11*$C1015*'Business Case'!B12*$B1015)-'Business Case'!B15*$F1015</f>
        <v>-2055557896.72522</v>
      </c>
      <c r="I1015" s="39" t="n">
        <f aca="false">(('Business Case'!C11*$C1015*'Business Case'!C12*$B1015)-'Business Case'!C11*$C1015*'Business Case'!C13*$D1015-'Business Case'!C14*$E1015)-MAX(0,(('Business Case'!C11*$C1015*'Business Case'!C12*$B1015)-'Business Case'!C11*$C1015*'Business Case'!C13*$D1015-'Business Case'!C14*$E1015))*'Business Case'!$B$7-'Business Case'!$B$8*(('Business Case'!C11*$C1015*'Business Case'!C12*$B1015)-('Business Case'!B11*$C1015*'Business Case'!B12*$B1015))-'Business Case'!C15*$F1015</f>
        <v>-15395208.9525216</v>
      </c>
      <c r="J1015" s="39" t="n">
        <f aca="false">(('Business Case'!D11*$C1015*'Business Case'!D12*$B1015)-'Business Case'!D11*$C1015*'Business Case'!D13*$D1015-'Business Case'!D14*$E1015)-MAX(0,(('Business Case'!D11*$C1015*'Business Case'!D12*$B1015)-'Business Case'!D11*$C1015*'Business Case'!D13*$D1015-'Business Case'!D14*$E1015))*'Business Case'!$B$7-'Business Case'!$B$8*(('Business Case'!D11*$C1015*'Business Case'!D12*$B1015)-('Business Case'!C11*$C1015*'Business Case'!C12*$B1015))-'Business Case'!D15*$F1015</f>
        <v>272433182.900188</v>
      </c>
      <c r="K1015" s="39" t="n">
        <f aca="false">(('Business Case'!E11*$C1015*'Business Case'!E12*$B1015)-'Business Case'!E11*$C1015*'Business Case'!E13*$D1015-'Business Case'!E14*$E1015)-MAX(0,(('Business Case'!E11*$C1015*'Business Case'!E12*$B1015)-'Business Case'!E11*$C1015*'Business Case'!E13*$D1015-'Business Case'!E14*$E1015))*'Business Case'!$B$7-'Business Case'!$B$8*(('Business Case'!E11*$C1015*'Business Case'!E12*$B1015)-('Business Case'!D11*$C1015*'Business Case'!D12*$B1015))-'Business Case'!E15*$F1015</f>
        <v>611650522.171029</v>
      </c>
      <c r="L1015" s="39" t="n">
        <f aca="false">(('Business Case'!F11*$C1015*'Business Case'!F12*$B1015)-'Business Case'!F11*$C1015*'Business Case'!F13*$D1015-'Business Case'!F14*$E1015)-MAX(0,(('Business Case'!F11*$C1015*'Business Case'!F12*$B1015)-'Business Case'!F11*$C1015*'Business Case'!F13*$D1015-'Business Case'!F14*$E1015))*'Business Case'!$B$7-'Business Case'!$B$8*(('Business Case'!F11*$C1015*'Business Case'!F12*$B1015)-('Business Case'!E11*$C1015*'Business Case'!E12*$B1015))-'Business Case'!F15*$F1015</f>
        <v>741826345.3099</v>
      </c>
      <c r="M1015" s="39" t="n">
        <f aca="false">(('Business Case'!G11*$C1015*'Business Case'!G12*$B1015)-'Business Case'!G11*$C1015*'Business Case'!G13*$D1015-'Business Case'!G14*$E1015)-MAX(0,(('Business Case'!G11*$C1015*'Business Case'!G12*$B1015)-'Business Case'!G11*$C1015*'Business Case'!G13*$D1015-'Business Case'!G14*$E1015))*'Business Case'!$B$7-'Business Case'!$B$8*(('Business Case'!G11*$C1015*'Business Case'!G12*$B1015)-('Business Case'!F11*$C1015*'Business Case'!F12*$B1015))-'Business Case'!G15*$F1015+'Business Case'!$B$8*('Business Case'!G11*$C1015*'Business Case'!G12*$B1015)</f>
        <v>930107987.510393</v>
      </c>
      <c r="N1015" s="39" t="n">
        <f aca="false">IF(COUNT('Business Case'!B11:G11)=0,"",H1015+NPV(G1015,I1015:M1015))</f>
        <v>-288979388.120793</v>
      </c>
      <c r="P1015" s="40" t="n">
        <f aca="true">RAND()</f>
        <v>0.907898712982332</v>
      </c>
      <c r="Q1015" s="40" t="n">
        <f aca="true">RAND()</f>
        <v>0.530402789937269</v>
      </c>
      <c r="R1015" s="40" t="n">
        <f aca="true">RAND()</f>
        <v>0.875944357881006</v>
      </c>
      <c r="S1015" s="40" t="n">
        <f aca="true">RAND()</f>
        <v>0.725253049595543</v>
      </c>
      <c r="T1015" s="40" t="n">
        <f aca="true">RAND()</f>
        <v>0.341570722788964</v>
      </c>
      <c r="U1015" s="40" t="n">
        <f aca="true">RAND()</f>
        <v>0.327581867750065</v>
      </c>
    </row>
    <row r="1016" customFormat="false" ht="15" hidden="false" customHeight="false" outlineLevel="0" collapsed="false">
      <c r="A1016" s="36" t="n">
        <v>936</v>
      </c>
      <c r="B1016" s="37" t="n">
        <f aca="false">1+IF($G$6=$E$6,$F$6,IF(P1016&lt;($F$6-$E$6)/($G$6-$E$6),$E$6+SQRT(P1016*($G$6-$E$6)*($F$6-$E$6)),$G$6-SQRT((1-P1016)*($G$6-$E$6)*($G$6-$F$6))))</f>
        <v>0.948993578729365</v>
      </c>
      <c r="C1016" s="37" t="n">
        <f aca="false">1+IF($G$7=$E$7,$F$7,IF(Q1016&lt;($F$7-$E$7)/($G$7-$E$7),$E$7+SQRT(Q1016*($G$7-$E$7)*($F$7-$E$7)),$G$7-SQRT((1-Q1016)*($G$7-$E$7)*($G$7-$F$7))))</f>
        <v>0.912710424630902</v>
      </c>
      <c r="D1016" s="37" t="n">
        <f aca="false">1+IF($G$8=$E$8,$F$8,IF(R1016&lt;($F$8-$E$8)/($G$8-$E$8),$E$8+SQRT(R1016*($G$8-$E$8)*($F$8-$E$8)),$G$8-SQRT((1-R1016)*($G$8-$E$8)*($G$8-$F$8))))</f>
        <v>1.07721923655041</v>
      </c>
      <c r="E1016" s="37" t="n">
        <f aca="false">1+IF($G$9=$E$9,$F$9,IF(S1016&lt;($F$9-$E$9)/($G$9-$E$9),$E$9+SQRT(S1016*($G$9-$E$9)*($F$9-$E$9)),$G$9-SQRT((1-S1016)*($G$9-$E$9)*($G$9-$F$9))))</f>
        <v>1.04195219187529</v>
      </c>
      <c r="F1016" s="37" t="n">
        <f aca="false">1+IF($G$10=$E$10,$F$10,IF(T1016&lt;($F$10-$E$10)/($G$10-$E$10),$E$10+SQRT(T1016*($G$10-$E$10)*($F$10-$E$10)),$G$10-SQRT((1-T1016)*($G$10-$E$10)*($G$10-$F$10))))</f>
        <v>0.994799678334238</v>
      </c>
      <c r="G1016" s="38" t="n">
        <f aca="false">IF($G$11=$E$11,$F$11,IF(U1016&lt;($F$11-$E$11)/($G$11-$E$11),$E$11+SQRT(U1016*($G$11-$E$11)*($F$11-$E$11)),$G$11-SQRT((1-U1016)*($G$11-$E$11)*($G$11-$F$11))))</f>
        <v>0.0963254087594933</v>
      </c>
      <c r="H1016" s="39" t="n">
        <f aca="false">(('Business Case'!B11*$C1016*'Business Case'!B12*$B1016)-'Business Case'!B11*$C1016*'Business Case'!B13*$D1016-'Business Case'!B14*$E1016)-MAX(0,(('Business Case'!B11*$C1016*'Business Case'!B12*$B1016)-'Business Case'!B11*$C1016*'Business Case'!B13*$D1016-'Business Case'!B14*$E1016))*'Business Case'!$B$7-'Business Case'!$B$8*('Business Case'!B11*$C1016*'Business Case'!B12*$B1016)-'Business Case'!B15*$F1016</f>
        <v>-1989599356.66848</v>
      </c>
      <c r="I1016" s="39" t="n">
        <f aca="false">(('Business Case'!C11*$C1016*'Business Case'!C12*$B1016)-'Business Case'!C11*$C1016*'Business Case'!C13*$D1016-'Business Case'!C14*$E1016)-MAX(0,(('Business Case'!C11*$C1016*'Business Case'!C12*$B1016)-'Business Case'!C11*$C1016*'Business Case'!C13*$D1016-'Business Case'!C14*$E1016))*'Business Case'!$B$7-'Business Case'!$B$8*(('Business Case'!C11*$C1016*'Business Case'!C12*$B1016)-('Business Case'!B11*$C1016*'Business Case'!B12*$B1016))-'Business Case'!C15*$F1016</f>
        <v>-86416943.4306715</v>
      </c>
      <c r="J1016" s="39" t="n">
        <f aca="false">(('Business Case'!D11*$C1016*'Business Case'!D12*$B1016)-'Business Case'!D11*$C1016*'Business Case'!D13*$D1016-'Business Case'!D14*$E1016)-MAX(0,(('Business Case'!D11*$C1016*'Business Case'!D12*$B1016)-'Business Case'!D11*$C1016*'Business Case'!D13*$D1016-'Business Case'!D14*$E1016))*'Business Case'!$B$7-'Business Case'!$B$8*(('Business Case'!D11*$C1016*'Business Case'!D12*$B1016)-('Business Case'!C11*$C1016*'Business Case'!C12*$B1016))-'Business Case'!D15*$F1016</f>
        <v>119713226.918724</v>
      </c>
      <c r="K1016" s="39" t="n">
        <f aca="false">(('Business Case'!E11*$C1016*'Business Case'!E12*$B1016)-'Business Case'!E11*$C1016*'Business Case'!E13*$D1016-'Business Case'!E14*$E1016)-MAX(0,(('Business Case'!E11*$C1016*'Business Case'!E12*$B1016)-'Business Case'!E11*$C1016*'Business Case'!E13*$D1016-'Business Case'!E14*$E1016))*'Business Case'!$B$7-'Business Case'!$B$8*(('Business Case'!E11*$C1016*'Business Case'!E12*$B1016)-('Business Case'!D11*$C1016*'Business Case'!D12*$B1016))-'Business Case'!E15*$F1016</f>
        <v>375583381.184832</v>
      </c>
      <c r="L1016" s="39" t="n">
        <f aca="false">(('Business Case'!F11*$C1016*'Business Case'!F12*$B1016)-'Business Case'!F11*$C1016*'Business Case'!F13*$D1016-'Business Case'!F14*$E1016)-MAX(0,(('Business Case'!F11*$C1016*'Business Case'!F12*$B1016)-'Business Case'!F11*$C1016*'Business Case'!F13*$D1016-'Business Case'!F14*$E1016))*'Business Case'!$B$7-'Business Case'!$B$8*(('Business Case'!F11*$C1016*'Business Case'!F12*$B1016)-('Business Case'!E11*$C1016*'Business Case'!E12*$B1016))-'Business Case'!F15*$F1016</f>
        <v>474227800.809283</v>
      </c>
      <c r="M1016" s="39" t="n">
        <f aca="false">(('Business Case'!G11*$C1016*'Business Case'!G12*$B1016)-'Business Case'!G11*$C1016*'Business Case'!G13*$D1016-'Business Case'!G14*$E1016)-MAX(0,(('Business Case'!G11*$C1016*'Business Case'!G12*$B1016)-'Business Case'!G11*$C1016*'Business Case'!G13*$D1016-'Business Case'!G14*$E1016))*'Business Case'!$B$7-'Business Case'!$B$8*(('Business Case'!G11*$C1016*'Business Case'!G12*$B1016)-('Business Case'!F11*$C1016*'Business Case'!F12*$B1016))-'Business Case'!G15*$F1016+'Business Case'!$B$8*('Business Case'!G11*$C1016*'Business Case'!G12*$B1016)</f>
        <v>638866796.436535</v>
      </c>
      <c r="N1016" s="39" t="n">
        <f aca="false">IF(COUNT('Business Case'!B11:G11)=0,"",H1016+NPV(G1016,I1016:M1016))</f>
        <v>-952147313.381012</v>
      </c>
      <c r="P1016" s="40" t="n">
        <f aca="true">RAND()</f>
        <v>0.160024717114031</v>
      </c>
      <c r="Q1016" s="40" t="n">
        <f aca="true">RAND()</f>
        <v>0.335153516641914</v>
      </c>
      <c r="R1016" s="40" t="n">
        <f aca="true">RAND()</f>
        <v>0.965402454443573</v>
      </c>
      <c r="S1016" s="40" t="n">
        <f aca="true">RAND()</f>
        <v>0.688684564251873</v>
      </c>
      <c r="T1016" s="40" t="n">
        <f aca="true">RAND()</f>
        <v>0.133800745256748</v>
      </c>
      <c r="U1016" s="40" t="n">
        <f aca="true">RAND()</f>
        <v>0.266518971164539</v>
      </c>
    </row>
    <row r="1017" customFormat="false" ht="15" hidden="false" customHeight="false" outlineLevel="0" collapsed="false">
      <c r="A1017" s="36" t="n">
        <v>937</v>
      </c>
      <c r="B1017" s="37" t="n">
        <f aca="false">1+IF($G$6=$E$6,$F$6,IF(P1017&lt;($F$6-$E$6)/($G$6-$E$6),$E$6+SQRT(P1017*($G$6-$E$6)*($F$6-$E$6)),$G$6-SQRT((1-P1017)*($G$6-$E$6)*($G$6-$F$6))))</f>
        <v>1.01683543696838</v>
      </c>
      <c r="C1017" s="37" t="n">
        <f aca="false">1+IF($G$7=$E$7,$F$7,IF(Q1017&lt;($F$7-$E$7)/($G$7-$E$7),$E$7+SQRT(Q1017*($G$7-$E$7)*($F$7-$E$7)),$G$7-SQRT((1-Q1017)*($G$7-$E$7)*($G$7-$F$7))))</f>
        <v>0.901415055119473</v>
      </c>
      <c r="D1017" s="37" t="n">
        <f aca="false">1+IF($G$8=$E$8,$F$8,IF(R1017&lt;($F$8-$E$8)/($G$8-$E$8),$E$8+SQRT(R1017*($G$8-$E$8)*($F$8-$E$8)),$G$8-SQRT((1-R1017)*($G$8-$E$8)*($G$8-$F$8))))</f>
        <v>0.986484257016591</v>
      </c>
      <c r="E1017" s="37" t="n">
        <f aca="false">1+IF($G$9=$E$9,$F$9,IF(S1017&lt;($F$9-$E$9)/($G$9-$E$9),$E$9+SQRT(S1017*($G$9-$E$9)*($F$9-$E$9)),$G$9-SQRT((1-S1017)*($G$9-$E$9)*($G$9-$F$9))))</f>
        <v>0.981663322395439</v>
      </c>
      <c r="F1017" s="37" t="n">
        <f aca="false">1+IF($G$10=$E$10,$F$10,IF(T1017&lt;($F$10-$E$10)/($G$10-$E$10),$E$10+SQRT(T1017*($G$10-$E$10)*($F$10-$E$10)),$G$10-SQRT((1-T1017)*($G$10-$E$10)*($G$10-$F$10))))</f>
        <v>1.0093043506997</v>
      </c>
      <c r="G1017" s="38" t="n">
        <f aca="false">IF($G$11=$E$11,$F$11,IF(U1017&lt;($F$11-$E$11)/($G$11-$E$11),$E$11+SQRT(U1017*($G$11-$E$11)*($F$11-$E$11)),$G$11-SQRT((1-U1017)*($G$11-$E$11)*($G$11-$F$11))))</f>
        <v>0.0894948055814215</v>
      </c>
      <c r="H1017" s="39" t="n">
        <f aca="false">(('Business Case'!B11*$C1017*'Business Case'!B12*$B1017)-'Business Case'!B11*$C1017*'Business Case'!B13*$D1017-'Business Case'!B14*$E1017)-MAX(0,(('Business Case'!B11*$C1017*'Business Case'!B12*$B1017)-'Business Case'!B11*$C1017*'Business Case'!B13*$D1017-'Business Case'!B14*$E1017))*'Business Case'!$B$7-'Business Case'!$B$8*('Business Case'!B11*$C1017*'Business Case'!B12*$B1017)-'Business Case'!B15*$F1017</f>
        <v>-2018608701.39941</v>
      </c>
      <c r="I1017" s="39" t="n">
        <f aca="false">(('Business Case'!C11*$C1017*'Business Case'!C12*$B1017)-'Business Case'!C11*$C1017*'Business Case'!C13*$D1017-'Business Case'!C14*$E1017)-MAX(0,(('Business Case'!C11*$C1017*'Business Case'!C12*$B1017)-'Business Case'!C11*$C1017*'Business Case'!C13*$D1017-'Business Case'!C14*$E1017))*'Business Case'!$B$7-'Business Case'!$B$8*(('Business Case'!C11*$C1017*'Business Case'!C12*$B1017)-('Business Case'!B11*$C1017*'Business Case'!B12*$B1017))-'Business Case'!C15*$F1017</f>
        <v>7499288.20931552</v>
      </c>
      <c r="J1017" s="39" t="n">
        <f aca="false">(('Business Case'!D11*$C1017*'Business Case'!D12*$B1017)-'Business Case'!D11*$C1017*'Business Case'!D13*$D1017-'Business Case'!D14*$E1017)-MAX(0,(('Business Case'!D11*$C1017*'Business Case'!D12*$B1017)-'Business Case'!D11*$C1017*'Business Case'!D13*$D1017-'Business Case'!D14*$E1017))*'Business Case'!$B$7-'Business Case'!$B$8*(('Business Case'!D11*$C1017*'Business Case'!D12*$B1017)-('Business Case'!C11*$C1017*'Business Case'!C12*$B1017))-'Business Case'!D15*$F1017</f>
        <v>303037601.525838</v>
      </c>
      <c r="K1017" s="39" t="n">
        <f aca="false">(('Business Case'!E11*$C1017*'Business Case'!E12*$B1017)-'Business Case'!E11*$C1017*'Business Case'!E13*$D1017-'Business Case'!E14*$E1017)-MAX(0,(('Business Case'!E11*$C1017*'Business Case'!E12*$B1017)-'Business Case'!E11*$C1017*'Business Case'!E13*$D1017-'Business Case'!E14*$E1017))*'Business Case'!$B$7-'Business Case'!$B$8*(('Business Case'!E11*$C1017*'Business Case'!E12*$B1017)-('Business Case'!D11*$C1017*'Business Case'!D12*$B1017))-'Business Case'!E15*$F1017</f>
        <v>649041132.377345</v>
      </c>
      <c r="L1017" s="39" t="n">
        <f aca="false">(('Business Case'!F11*$C1017*'Business Case'!F12*$B1017)-'Business Case'!F11*$C1017*'Business Case'!F13*$D1017-'Business Case'!F14*$E1017)-MAX(0,(('Business Case'!F11*$C1017*'Business Case'!F12*$B1017)-'Business Case'!F11*$C1017*'Business Case'!F13*$D1017-'Business Case'!F14*$E1017))*'Business Case'!$B$7-'Business Case'!$B$8*(('Business Case'!F11*$C1017*'Business Case'!F12*$B1017)-('Business Case'!E11*$C1017*'Business Case'!E12*$B1017))-'Business Case'!F15*$F1017</f>
        <v>779231280.544589</v>
      </c>
      <c r="M1017" s="39" t="n">
        <f aca="false">(('Business Case'!G11*$C1017*'Business Case'!G12*$B1017)-'Business Case'!G11*$C1017*'Business Case'!G13*$D1017-'Business Case'!G14*$E1017)-MAX(0,(('Business Case'!G11*$C1017*'Business Case'!G12*$B1017)-'Business Case'!G11*$C1017*'Business Case'!G13*$D1017-'Business Case'!G14*$E1017))*'Business Case'!$B$7-'Business Case'!$B$8*(('Business Case'!G11*$C1017*'Business Case'!G12*$B1017)-('Business Case'!F11*$C1017*'Business Case'!F12*$B1017))-'Business Case'!G15*$F1017+'Business Case'!$B$8*('Business Case'!G11*$C1017*'Business Case'!G12*$B1017)</f>
        <v>953456854.38414</v>
      </c>
      <c r="N1017" s="39" t="n">
        <f aca="false">IF(COUNT('Business Case'!B11:G11)=0,"",H1017+NPV(G1017,I1017:M1017))</f>
        <v>-80380524.7883875</v>
      </c>
      <c r="P1017" s="40" t="n">
        <f aca="true">RAND()</f>
        <v>0.853348234522896</v>
      </c>
      <c r="Q1017" s="40" t="n">
        <f aca="true">RAND()</f>
        <v>0.300503884657632</v>
      </c>
      <c r="R1017" s="40" t="n">
        <f aca="true">RAND()</f>
        <v>0.177480134673684</v>
      </c>
      <c r="S1017" s="40" t="n">
        <f aca="true">RAND()</f>
        <v>0.266755928986454</v>
      </c>
      <c r="T1017" s="40" t="n">
        <f aca="true">RAND()</f>
        <v>0.227541392105449</v>
      </c>
      <c r="U1017" s="40" t="n">
        <f aca="true">RAND()</f>
        <v>0.0901513330289919</v>
      </c>
    </row>
    <row r="1018" customFormat="false" ht="15" hidden="false" customHeight="false" outlineLevel="0" collapsed="false">
      <c r="A1018" s="36" t="n">
        <v>938</v>
      </c>
      <c r="B1018" s="37" t="n">
        <f aca="false">1+IF($G$6=$E$6,$F$6,IF(P1018&lt;($F$6-$E$6)/($G$6-$E$6),$E$6+SQRT(P1018*($G$6-$E$6)*($F$6-$E$6)),$G$6-SQRT((1-P1018)*($G$6-$E$6)*($G$6-$F$6))))</f>
        <v>0.965790885361735</v>
      </c>
      <c r="C1018" s="37" t="n">
        <f aca="false">1+IF($G$7=$E$7,$F$7,IF(Q1018&lt;($F$7-$E$7)/($G$7-$E$7),$E$7+SQRT(Q1018*($G$7-$E$7)*($F$7-$E$7)),$G$7-SQRT((1-Q1018)*($G$7-$E$7)*($G$7-$F$7))))</f>
        <v>0.965453297066145</v>
      </c>
      <c r="D1018" s="37" t="n">
        <f aca="false">1+IF($G$8=$E$8,$F$8,IF(R1018&lt;($F$8-$E$8)/($G$8-$E$8),$E$8+SQRT(R1018*($G$8-$E$8)*($F$8-$E$8)),$G$8-SQRT((1-R1018)*($G$8-$E$8)*($G$8-$F$8))))</f>
        <v>1.02665168990634</v>
      </c>
      <c r="E1018" s="37" t="n">
        <f aca="false">1+IF($G$9=$E$9,$F$9,IF(S1018&lt;($F$9-$E$9)/($G$9-$E$9),$E$9+SQRT(S1018*($G$9-$E$9)*($F$9-$E$9)),$G$9-SQRT((1-S1018)*($G$9-$E$9)*($G$9-$F$9))))</f>
        <v>1.01856760556826</v>
      </c>
      <c r="F1018" s="37" t="n">
        <f aca="false">1+IF($G$10=$E$10,$F$10,IF(T1018&lt;($F$10-$E$10)/($G$10-$E$10),$E$10+SQRT(T1018*($G$10-$E$10)*($F$10-$E$10)),$G$10-SQRT((1-T1018)*($G$10-$E$10)*($G$10-$F$10))))</f>
        <v>1.19718847614808</v>
      </c>
      <c r="G1018" s="38" t="n">
        <f aca="false">IF($G$11=$E$11,$F$11,IF(U1018&lt;($F$11-$E$11)/($G$11-$E$11),$E$11+SQRT(U1018*($G$11-$E$11)*($F$11-$E$11)),$G$11-SQRT((1-U1018)*($G$11-$E$11)*($G$11-$F$11))))</f>
        <v>0.0847733637581828</v>
      </c>
      <c r="H1018" s="39" t="n">
        <f aca="false">(('Business Case'!B11*$C1018*'Business Case'!B12*$B1018)-'Business Case'!B11*$C1018*'Business Case'!B13*$D1018-'Business Case'!B14*$E1018)-MAX(0,(('Business Case'!B11*$C1018*'Business Case'!B12*$B1018)-'Business Case'!B11*$C1018*'Business Case'!B13*$D1018-'Business Case'!B14*$E1018))*'Business Case'!$B$7-'Business Case'!$B$8*('Business Case'!B11*$C1018*'Business Case'!B12*$B1018)-'Business Case'!B15*$F1018</f>
        <v>-2394376952.29616</v>
      </c>
      <c r="I1018" s="39" t="n">
        <f aca="false">(('Business Case'!C11*$C1018*'Business Case'!C12*$B1018)-'Business Case'!C11*$C1018*'Business Case'!C13*$D1018-'Business Case'!C14*$E1018)-MAX(0,(('Business Case'!C11*$C1018*'Business Case'!C12*$B1018)-'Business Case'!C11*$C1018*'Business Case'!C13*$D1018-'Business Case'!C14*$E1018))*'Business Case'!$B$7-'Business Case'!$B$8*(('Business Case'!C11*$C1018*'Business Case'!C12*$B1018)-('Business Case'!B11*$C1018*'Business Case'!B12*$B1018))-'Business Case'!C15*$F1018</f>
        <v>-56579146.3229461</v>
      </c>
      <c r="J1018" s="39" t="n">
        <f aca="false">(('Business Case'!D11*$C1018*'Business Case'!D12*$B1018)-'Business Case'!D11*$C1018*'Business Case'!D13*$D1018-'Business Case'!D14*$E1018)-MAX(0,(('Business Case'!D11*$C1018*'Business Case'!D12*$B1018)-'Business Case'!D11*$C1018*'Business Case'!D13*$D1018-'Business Case'!D14*$E1018))*'Business Case'!$B$7-'Business Case'!$B$8*(('Business Case'!D11*$C1018*'Business Case'!D12*$B1018)-('Business Case'!C11*$C1018*'Business Case'!C12*$B1018))-'Business Case'!D15*$F1018</f>
        <v>199737832.038138</v>
      </c>
      <c r="K1018" s="39" t="n">
        <f aca="false">(('Business Case'!E11*$C1018*'Business Case'!E12*$B1018)-'Business Case'!E11*$C1018*'Business Case'!E13*$D1018-'Business Case'!E14*$E1018)-MAX(0,(('Business Case'!E11*$C1018*'Business Case'!E12*$B1018)-'Business Case'!E11*$C1018*'Business Case'!E13*$D1018-'Business Case'!E14*$E1018))*'Business Case'!$B$7-'Business Case'!$B$8*(('Business Case'!E11*$C1018*'Business Case'!E12*$B1018)-('Business Case'!D11*$C1018*'Business Case'!D12*$B1018))-'Business Case'!E15*$F1018</f>
        <v>515914234.206625</v>
      </c>
      <c r="L1018" s="39" t="n">
        <f aca="false">(('Business Case'!F11*$C1018*'Business Case'!F12*$B1018)-'Business Case'!F11*$C1018*'Business Case'!F13*$D1018-'Business Case'!F14*$E1018)-MAX(0,(('Business Case'!F11*$C1018*'Business Case'!F12*$B1018)-'Business Case'!F11*$C1018*'Business Case'!F13*$D1018-'Business Case'!F14*$E1018))*'Business Case'!$B$7-'Business Case'!$B$8*(('Business Case'!F11*$C1018*'Business Case'!F12*$B1018)-('Business Case'!E11*$C1018*'Business Case'!E12*$B1018))-'Business Case'!F15*$F1018</f>
        <v>633577869.365264</v>
      </c>
      <c r="M1018" s="39" t="n">
        <f aca="false">(('Business Case'!G11*$C1018*'Business Case'!G12*$B1018)-'Business Case'!G11*$C1018*'Business Case'!G13*$D1018-'Business Case'!G14*$E1018)-MAX(0,(('Business Case'!G11*$C1018*'Business Case'!G12*$B1018)-'Business Case'!G11*$C1018*'Business Case'!G13*$D1018-'Business Case'!G14*$E1018))*'Business Case'!$B$7-'Business Case'!$B$8*(('Business Case'!G11*$C1018*'Business Case'!G12*$B1018)-('Business Case'!F11*$C1018*'Business Case'!F12*$B1018))-'Business Case'!G15*$F1018+'Business Case'!$B$8*('Business Case'!G11*$C1018*'Business Case'!G12*$B1018)</f>
        <v>810813402.409122</v>
      </c>
      <c r="N1018" s="39" t="n">
        <f aca="false">IF(COUNT('Business Case'!B11:G11)=0,"",H1018+NPV(G1018,I1018:M1018))</f>
        <v>-875281671.473218</v>
      </c>
      <c r="P1018" s="40" t="n">
        <f aca="true">RAND()</f>
        <v>0.288562706445396</v>
      </c>
      <c r="Q1018" s="40" t="n">
        <f aca="true">RAND()</f>
        <v>0.521966317950275</v>
      </c>
      <c r="R1018" s="40" t="n">
        <f aca="true">RAND()</f>
        <v>0.641335027093591</v>
      </c>
      <c r="S1018" s="40" t="n">
        <f aca="true">RAND()</f>
        <v>0.539347351838358</v>
      </c>
      <c r="T1018" s="40" t="n">
        <f aca="true">RAND()</f>
        <v>0.962812572645839</v>
      </c>
      <c r="U1018" s="40" t="n">
        <f aca="true">RAND()</f>
        <v>0.0227850015679325</v>
      </c>
    </row>
    <row r="1019" customFormat="false" ht="15" hidden="false" customHeight="false" outlineLevel="0" collapsed="false">
      <c r="A1019" s="36" t="n">
        <v>939</v>
      </c>
      <c r="B1019" s="37" t="n">
        <f aca="false">1+IF($G$6=$E$6,$F$6,IF(P1019&lt;($F$6-$E$6)/($G$6-$E$6),$E$6+SQRT(P1019*($G$6-$E$6)*($F$6-$E$6)),$G$6-SQRT((1-P1019)*($G$6-$E$6)*($G$6-$F$6))))</f>
        <v>0.978425969919947</v>
      </c>
      <c r="C1019" s="37" t="n">
        <f aca="false">1+IF($G$7=$E$7,$F$7,IF(Q1019&lt;($F$7-$E$7)/($G$7-$E$7),$E$7+SQRT(Q1019*($G$7-$E$7)*($F$7-$E$7)),$G$7-SQRT((1-Q1019)*($G$7-$E$7)*($G$7-$F$7))))</f>
        <v>0.788043053464047</v>
      </c>
      <c r="D1019" s="37" t="n">
        <f aca="false">1+IF($G$8=$E$8,$F$8,IF(R1019&lt;($F$8-$E$8)/($G$8-$E$8),$E$8+SQRT(R1019*($G$8-$E$8)*($F$8-$E$8)),$G$8-SQRT((1-R1019)*($G$8-$E$8)*($G$8-$F$8))))</f>
        <v>1.01148661129555</v>
      </c>
      <c r="E1019" s="37" t="n">
        <f aca="false">1+IF($G$9=$E$9,$F$9,IF(S1019&lt;($F$9-$E$9)/($G$9-$E$9),$E$9+SQRT(S1019*($G$9-$E$9)*($F$9-$E$9)),$G$9-SQRT((1-S1019)*($G$9-$E$9)*($G$9-$F$9))))</f>
        <v>1.03459182194491</v>
      </c>
      <c r="F1019" s="37" t="n">
        <f aca="false">1+IF($G$10=$E$10,$F$10,IF(T1019&lt;($F$10-$E$10)/($G$10-$E$10),$E$10+SQRT(T1019*($G$10-$E$10)*($F$10-$E$10)),$G$10-SQRT((1-T1019)*($G$10-$E$10)*($G$10-$F$10))))</f>
        <v>0.992785247514875</v>
      </c>
      <c r="G1019" s="38" t="n">
        <f aca="false">IF($G$11=$E$11,$F$11,IF(U1019&lt;($F$11-$E$11)/($G$11-$E$11),$E$11+SQRT(U1019*($G$11-$E$11)*($F$11-$E$11)),$G$11-SQRT((1-U1019)*($G$11-$E$11)*($G$11-$F$11))))</f>
        <v>0.106034389029838</v>
      </c>
      <c r="H1019" s="39" t="n">
        <f aca="false">(('Business Case'!B11*$C1019*'Business Case'!B12*$B1019)-'Business Case'!B11*$C1019*'Business Case'!B13*$D1019-'Business Case'!B14*$E1019)-MAX(0,(('Business Case'!B11*$C1019*'Business Case'!B12*$B1019)-'Business Case'!B11*$C1019*'Business Case'!B13*$D1019-'Business Case'!B14*$E1019))*'Business Case'!$B$7-'Business Case'!$B$8*('Business Case'!B11*$C1019*'Business Case'!B12*$B1019)-'Business Case'!B15*$F1019</f>
        <v>-1985570495.02975</v>
      </c>
      <c r="I1019" s="39" t="n">
        <f aca="false">(('Business Case'!C11*$C1019*'Business Case'!C12*$B1019)-'Business Case'!C11*$C1019*'Business Case'!C13*$D1019-'Business Case'!C14*$E1019)-MAX(0,(('Business Case'!C11*$C1019*'Business Case'!C12*$B1019)-'Business Case'!C11*$C1019*'Business Case'!C13*$D1019-'Business Case'!C14*$E1019))*'Business Case'!$B$7-'Business Case'!$B$8*(('Business Case'!C11*$C1019*'Business Case'!C12*$B1019)-('Business Case'!B11*$C1019*'Business Case'!B12*$B1019))-'Business Case'!C15*$F1019</f>
        <v>-62878419.25643</v>
      </c>
      <c r="J1019" s="39" t="n">
        <f aca="false">(('Business Case'!D11*$C1019*'Business Case'!D12*$B1019)-'Business Case'!D11*$C1019*'Business Case'!D13*$D1019-'Business Case'!D14*$E1019)-MAX(0,(('Business Case'!D11*$C1019*'Business Case'!D12*$B1019)-'Business Case'!D11*$C1019*'Business Case'!D13*$D1019-'Business Case'!D14*$E1019))*'Business Case'!$B$7-'Business Case'!$B$8*(('Business Case'!D11*$C1019*'Business Case'!D12*$B1019)-('Business Case'!C11*$C1019*'Business Case'!C12*$B1019))-'Business Case'!D15*$F1019</f>
        <v>160611449.657026</v>
      </c>
      <c r="K1019" s="39" t="n">
        <f aca="false">(('Business Case'!E11*$C1019*'Business Case'!E12*$B1019)-'Business Case'!E11*$C1019*'Business Case'!E13*$D1019-'Business Case'!E14*$E1019)-MAX(0,(('Business Case'!E11*$C1019*'Business Case'!E12*$B1019)-'Business Case'!E11*$C1019*'Business Case'!E13*$D1019-'Business Case'!E14*$E1019))*'Business Case'!$B$7-'Business Case'!$B$8*(('Business Case'!E11*$C1019*'Business Case'!E12*$B1019)-('Business Case'!D11*$C1019*'Business Case'!D12*$B1019))-'Business Case'!E15*$F1019</f>
        <v>433740580.946226</v>
      </c>
      <c r="L1019" s="39" t="n">
        <f aca="false">(('Business Case'!F11*$C1019*'Business Case'!F12*$B1019)-'Business Case'!F11*$C1019*'Business Case'!F13*$D1019-'Business Case'!F14*$E1019)-MAX(0,(('Business Case'!F11*$C1019*'Business Case'!F12*$B1019)-'Business Case'!F11*$C1019*'Business Case'!F13*$D1019-'Business Case'!F14*$E1019))*'Business Case'!$B$7-'Business Case'!$B$8*(('Business Case'!F11*$C1019*'Business Case'!F12*$B1019)-('Business Case'!E11*$C1019*'Business Case'!E12*$B1019))-'Business Case'!F15*$F1019</f>
        <v>534884408.1426</v>
      </c>
      <c r="M1019" s="39" t="n">
        <f aca="false">(('Business Case'!G11*$C1019*'Business Case'!G12*$B1019)-'Business Case'!G11*$C1019*'Business Case'!G13*$D1019-'Business Case'!G14*$E1019)-MAX(0,(('Business Case'!G11*$C1019*'Business Case'!G12*$B1019)-'Business Case'!G11*$C1019*'Business Case'!G13*$D1019-'Business Case'!G14*$E1019))*'Business Case'!$B$7-'Business Case'!$B$8*(('Business Case'!G11*$C1019*'Business Case'!G12*$B1019)-('Business Case'!F11*$C1019*'Business Case'!F12*$B1019))-'Business Case'!G15*$F1019+'Business Case'!$B$8*('Business Case'!G11*$C1019*'Business Case'!G12*$B1019)</f>
        <v>681444031.381319</v>
      </c>
      <c r="N1019" s="39" t="n">
        <f aca="false">IF(COUNT('Business Case'!B11:G11)=0,"",H1019+NPV(G1019,I1019:M1019))</f>
        <v>-821426321.373215</v>
      </c>
      <c r="P1019" s="40" t="n">
        <f aca="true">RAND()</f>
        <v>0.410042183858959</v>
      </c>
      <c r="Q1019" s="40" t="n">
        <f aca="true">RAND()</f>
        <v>0.0574191056538736</v>
      </c>
      <c r="R1019" s="40" t="n">
        <f aca="true">RAND()</f>
        <v>0.477692001336958</v>
      </c>
      <c r="S1019" s="40" t="n">
        <f aca="true">RAND()</f>
        <v>0.644825398346795</v>
      </c>
      <c r="T1019" s="40" t="n">
        <f aca="true">RAND()</f>
        <v>0.122038493660606</v>
      </c>
      <c r="U1019" s="40" t="n">
        <f aca="true">RAND()</f>
        <v>0.617099660551244</v>
      </c>
    </row>
    <row r="1020" customFormat="false" ht="15" hidden="false" customHeight="false" outlineLevel="0" collapsed="false">
      <c r="A1020" s="36" t="n">
        <v>940</v>
      </c>
      <c r="B1020" s="37" t="n">
        <f aca="false">1+IF($G$6=$E$6,$F$6,IF(P1020&lt;($F$6-$E$6)/($G$6-$E$6),$E$6+SQRT(P1020*($G$6-$E$6)*($F$6-$E$6)),$G$6-SQRT((1-P1020)*($G$6-$E$6)*($G$6-$F$6))))</f>
        <v>1.01924927147617</v>
      </c>
      <c r="C1020" s="37" t="n">
        <f aca="false">1+IF($G$7=$E$7,$F$7,IF(Q1020&lt;($F$7-$E$7)/($G$7-$E$7),$E$7+SQRT(Q1020*($G$7-$E$7)*($F$7-$E$7)),$G$7-SQRT((1-Q1020)*($G$7-$E$7)*($G$7-$F$7))))</f>
        <v>0.920469267450156</v>
      </c>
      <c r="D1020" s="37" t="n">
        <f aca="false">1+IF($G$8=$E$8,$F$8,IF(R1020&lt;($F$8-$E$8)/($G$8-$E$8),$E$8+SQRT(R1020*($G$8-$E$8)*($F$8-$E$8)),$G$8-SQRT((1-R1020)*($G$8-$E$8)*($G$8-$F$8))))</f>
        <v>1.0010608344145</v>
      </c>
      <c r="E1020" s="37" t="n">
        <f aca="false">1+IF($G$9=$E$9,$F$9,IF(S1020&lt;($F$9-$E$9)/($G$9-$E$9),$E$9+SQRT(S1020*($G$9-$E$9)*($F$9-$E$9)),$G$9-SQRT((1-S1020)*($G$9-$E$9)*($G$9-$F$9))))</f>
        <v>1.13528511722067</v>
      </c>
      <c r="F1020" s="37" t="n">
        <f aca="false">1+IF($G$10=$E$10,$F$10,IF(T1020&lt;($F$10-$E$10)/($G$10-$E$10),$E$10+SQRT(T1020*($G$10-$E$10)*($F$10-$E$10)),$G$10-SQRT((1-T1020)*($G$10-$E$10)*($G$10-$F$10))))</f>
        <v>1.0121146138304</v>
      </c>
      <c r="G1020" s="38" t="n">
        <f aca="false">IF($G$11=$E$11,$F$11,IF(U1020&lt;($F$11-$E$11)/($G$11-$E$11),$E$11+SQRT(U1020*($G$11-$E$11)*($F$11-$E$11)),$G$11-SQRT((1-U1020)*($G$11-$E$11)*($G$11-$F$11))))</f>
        <v>0.107539466361829</v>
      </c>
      <c r="H1020" s="39" t="n">
        <f aca="false">(('Business Case'!B11*$C1020*'Business Case'!B12*$B1020)-'Business Case'!B11*$C1020*'Business Case'!B13*$D1020-'Business Case'!B14*$E1020)-MAX(0,(('Business Case'!B11*$C1020*'Business Case'!B12*$B1020)-'Business Case'!B11*$C1020*'Business Case'!B13*$D1020-'Business Case'!B14*$E1020))*'Business Case'!$B$7-'Business Case'!$B$8*('Business Case'!B11*$C1020*'Business Case'!B12*$B1020)-'Business Case'!B15*$F1020</f>
        <v>-2024229227.66081</v>
      </c>
      <c r="I1020" s="39" t="n">
        <f aca="false">(('Business Case'!C11*$C1020*'Business Case'!C12*$B1020)-'Business Case'!C11*$C1020*'Business Case'!C13*$D1020-'Business Case'!C14*$E1020)-MAX(0,(('Business Case'!C11*$C1020*'Business Case'!C12*$B1020)-'Business Case'!C11*$C1020*'Business Case'!C13*$D1020-'Business Case'!C14*$E1020))*'Business Case'!$B$7-'Business Case'!$B$8*(('Business Case'!C11*$C1020*'Business Case'!C12*$B1020)-('Business Case'!B11*$C1020*'Business Case'!B12*$B1020))-'Business Case'!C15*$F1020</f>
        <v>-14547932.7082819</v>
      </c>
      <c r="J1020" s="39" t="n">
        <f aca="false">(('Business Case'!D11*$C1020*'Business Case'!D12*$B1020)-'Business Case'!D11*$C1020*'Business Case'!D13*$D1020-'Business Case'!D14*$E1020)-MAX(0,(('Business Case'!D11*$C1020*'Business Case'!D12*$B1020)-'Business Case'!D11*$C1020*'Business Case'!D13*$D1020-'Business Case'!D14*$E1020))*'Business Case'!$B$7-'Business Case'!$B$8*(('Business Case'!D11*$C1020*'Business Case'!D12*$B1020)-('Business Case'!C11*$C1020*'Business Case'!C12*$B1020))-'Business Case'!D15*$F1020</f>
        <v>282188786.388183</v>
      </c>
      <c r="K1020" s="39" t="n">
        <f aca="false">(('Business Case'!E11*$C1020*'Business Case'!E12*$B1020)-'Business Case'!E11*$C1020*'Business Case'!E13*$D1020-'Business Case'!E14*$E1020)-MAX(0,(('Business Case'!E11*$C1020*'Business Case'!E12*$B1020)-'Business Case'!E11*$C1020*'Business Case'!E13*$D1020-'Business Case'!E14*$E1020))*'Business Case'!$B$7-'Business Case'!$B$8*(('Business Case'!E11*$C1020*'Business Case'!E12*$B1020)-('Business Case'!D11*$C1020*'Business Case'!D12*$B1020))-'Business Case'!E15*$F1020</f>
        <v>629531236.176167</v>
      </c>
      <c r="L1020" s="39" t="n">
        <f aca="false">(('Business Case'!F11*$C1020*'Business Case'!F12*$B1020)-'Business Case'!F11*$C1020*'Business Case'!F13*$D1020-'Business Case'!F14*$E1020)-MAX(0,(('Business Case'!F11*$C1020*'Business Case'!F12*$B1020)-'Business Case'!F11*$C1020*'Business Case'!F13*$D1020-'Business Case'!F14*$E1020))*'Business Case'!$B$7-'Business Case'!$B$8*(('Business Case'!F11*$C1020*'Business Case'!F12*$B1020)-('Business Case'!E11*$C1020*'Business Case'!E12*$B1020))-'Business Case'!F15*$F1020</f>
        <v>760867240.376939</v>
      </c>
      <c r="M1020" s="39" t="n">
        <f aca="false">(('Business Case'!G11*$C1020*'Business Case'!G12*$B1020)-'Business Case'!G11*$C1020*'Business Case'!G13*$D1020-'Business Case'!G14*$E1020)-MAX(0,(('Business Case'!G11*$C1020*'Business Case'!G12*$B1020)-'Business Case'!G11*$C1020*'Business Case'!G13*$D1020-'Business Case'!G14*$E1020))*'Business Case'!$B$7-'Business Case'!$B$8*(('Business Case'!G11*$C1020*'Business Case'!G12*$B1020)-('Business Case'!F11*$C1020*'Business Case'!F12*$B1020))-'Business Case'!G15*$F1020+'Business Case'!$B$8*('Business Case'!G11*$C1020*'Business Case'!G12*$B1020)</f>
        <v>939197945.137667</v>
      </c>
      <c r="N1020" s="39" t="n">
        <f aca="false">IF(COUNT('Business Case'!B11:G11)=0,"",H1020+NPV(G1020,I1020:M1020))</f>
        <v>-274669750.839272</v>
      </c>
      <c r="P1020" s="40" t="n">
        <f aca="true">RAND()</f>
        <v>0.873919026033808</v>
      </c>
      <c r="Q1020" s="40" t="n">
        <f aca="true">RAND()</f>
        <v>0.360049614000062</v>
      </c>
      <c r="R1020" s="40" t="n">
        <f aca="true">RAND()</f>
        <v>0.347402767549694</v>
      </c>
      <c r="S1020" s="40" t="n">
        <f aca="true">RAND()</f>
        <v>0.994225925994419</v>
      </c>
      <c r="T1020" s="40" t="n">
        <f aca="true">RAND()</f>
        <v>0.245473907292566</v>
      </c>
      <c r="U1020" s="40" t="n">
        <f aca="true">RAND()</f>
        <v>0.663682952459067</v>
      </c>
    </row>
    <row r="1021" customFormat="false" ht="15" hidden="false" customHeight="false" outlineLevel="0" collapsed="false">
      <c r="A1021" s="36" t="n">
        <v>941</v>
      </c>
      <c r="B1021" s="37" t="n">
        <f aca="false">1+IF($G$6=$E$6,$F$6,IF(P1021&lt;($F$6-$E$6)/($G$6-$E$6),$E$6+SQRT(P1021*($G$6-$E$6)*($F$6-$E$6)),$G$6-SQRT((1-P1021)*($G$6-$E$6)*($G$6-$F$6))))</f>
        <v>0.960278792702781</v>
      </c>
      <c r="C1021" s="37" t="n">
        <f aca="false">1+IF($G$7=$E$7,$F$7,IF(Q1021&lt;($F$7-$E$7)/($G$7-$E$7),$E$7+SQRT(Q1021*($G$7-$E$7)*($F$7-$E$7)),$G$7-SQRT((1-Q1021)*($G$7-$E$7)*($G$7-$F$7))))</f>
        <v>0.793769022885839</v>
      </c>
      <c r="D1021" s="37" t="n">
        <f aca="false">1+IF($G$8=$E$8,$F$8,IF(R1021&lt;($F$8-$E$8)/($G$8-$E$8),$E$8+SQRT(R1021*($G$8-$E$8)*($F$8-$E$8)),$G$8-SQRT((1-R1021)*($G$8-$E$8)*($G$8-$F$8))))</f>
        <v>1.00575551062171</v>
      </c>
      <c r="E1021" s="37" t="n">
        <f aca="false">1+IF($G$9=$E$9,$F$9,IF(S1021&lt;($F$9-$E$9)/($G$9-$E$9),$E$9+SQRT(S1021*($G$9-$E$9)*($F$9-$E$9)),$G$9-SQRT((1-S1021)*($G$9-$E$9)*($G$9-$F$9))))</f>
        <v>1.02379278208211</v>
      </c>
      <c r="F1021" s="37" t="n">
        <f aca="false">1+IF($G$10=$E$10,$F$10,IF(T1021&lt;($F$10-$E$10)/($G$10-$E$10),$E$10+SQRT(T1021*($G$10-$E$10)*($F$10-$E$10)),$G$10-SQRT((1-T1021)*($G$10-$E$10)*($G$10-$F$10))))</f>
        <v>0.973822786934988</v>
      </c>
      <c r="G1021" s="38" t="n">
        <f aca="false">IF($G$11=$E$11,$F$11,IF(U1021&lt;($F$11-$E$11)/($G$11-$E$11),$E$11+SQRT(U1021*($G$11-$E$11)*($F$11-$E$11)),$G$11-SQRT((1-U1021)*($G$11-$E$11)*($G$11-$F$11))))</f>
        <v>0.0939088581590114</v>
      </c>
      <c r="H1021" s="39" t="n">
        <f aca="false">(('Business Case'!B11*$C1021*'Business Case'!B12*$B1021)-'Business Case'!B11*$C1021*'Business Case'!B13*$D1021-'Business Case'!B14*$E1021)-MAX(0,(('Business Case'!B11*$C1021*'Business Case'!B12*$B1021)-'Business Case'!B11*$C1021*'Business Case'!B13*$D1021-'Business Case'!B14*$E1021))*'Business Case'!$B$7-'Business Case'!$B$8*('Business Case'!B11*$C1021*'Business Case'!B12*$B1021)-'Business Case'!B15*$F1021</f>
        <v>-1947645573.86998</v>
      </c>
      <c r="I1021" s="39" t="n">
        <f aca="false">(('Business Case'!C11*$C1021*'Business Case'!C12*$B1021)-'Business Case'!C11*$C1021*'Business Case'!C13*$D1021-'Business Case'!C14*$E1021)-MAX(0,(('Business Case'!C11*$C1021*'Business Case'!C12*$B1021)-'Business Case'!C11*$C1021*'Business Case'!C13*$D1021-'Business Case'!C14*$E1021))*'Business Case'!$B$7-'Business Case'!$B$8*(('Business Case'!C11*$C1021*'Business Case'!C12*$B1021)-('Business Case'!B11*$C1021*'Business Case'!B12*$B1021))-'Business Case'!C15*$F1021</f>
        <v>-66835999.2746895</v>
      </c>
      <c r="J1021" s="39" t="n">
        <f aca="false">(('Business Case'!D11*$C1021*'Business Case'!D12*$B1021)-'Business Case'!D11*$C1021*'Business Case'!D13*$D1021-'Business Case'!D14*$E1021)-MAX(0,(('Business Case'!D11*$C1021*'Business Case'!D12*$B1021)-'Business Case'!D11*$C1021*'Business Case'!D13*$D1021-'Business Case'!D14*$E1021))*'Business Case'!$B$7-'Business Case'!$B$8*(('Business Case'!D11*$C1021*'Business Case'!D12*$B1021)-('Business Case'!C11*$C1021*'Business Case'!C12*$B1021))-'Business Case'!D15*$F1021</f>
        <v>148808112.493806</v>
      </c>
      <c r="K1021" s="39" t="n">
        <f aca="false">(('Business Case'!E11*$C1021*'Business Case'!E12*$B1021)-'Business Case'!E11*$C1021*'Business Case'!E13*$D1021-'Business Case'!E14*$E1021)-MAX(0,(('Business Case'!E11*$C1021*'Business Case'!E12*$B1021)-'Business Case'!E11*$C1021*'Business Case'!E13*$D1021-'Business Case'!E14*$E1021))*'Business Case'!$B$7-'Business Case'!$B$8*(('Business Case'!E11*$C1021*'Business Case'!E12*$B1021)-('Business Case'!D11*$C1021*'Business Case'!D12*$B1021))-'Business Case'!E15*$F1021</f>
        <v>413143363.609052</v>
      </c>
      <c r="L1021" s="39" t="n">
        <f aca="false">(('Business Case'!F11*$C1021*'Business Case'!F12*$B1021)-'Business Case'!F11*$C1021*'Business Case'!F13*$D1021-'Business Case'!F14*$E1021)-MAX(0,(('Business Case'!F11*$C1021*'Business Case'!F12*$B1021)-'Business Case'!F11*$C1021*'Business Case'!F13*$D1021-'Business Case'!F14*$E1021))*'Business Case'!$B$7-'Business Case'!$B$8*(('Business Case'!F11*$C1021*'Business Case'!F12*$B1021)-('Business Case'!E11*$C1021*'Business Case'!E12*$B1021))-'Business Case'!F15*$F1021</f>
        <v>511367733.356957</v>
      </c>
      <c r="M1021" s="39" t="n">
        <f aca="false">(('Business Case'!G11*$C1021*'Business Case'!G12*$B1021)-'Business Case'!G11*$C1021*'Business Case'!G13*$D1021-'Business Case'!G14*$E1021)-MAX(0,(('Business Case'!G11*$C1021*'Business Case'!G12*$B1021)-'Business Case'!G11*$C1021*'Business Case'!G13*$D1021-'Business Case'!G14*$E1021))*'Business Case'!$B$7-'Business Case'!$B$8*(('Business Case'!G11*$C1021*'Business Case'!G12*$B1021)-('Business Case'!F11*$C1021*'Business Case'!F12*$B1021))-'Business Case'!G15*$F1021+'Business Case'!$B$8*('Business Case'!G11*$C1021*'Business Case'!G12*$B1021)</f>
        <v>656254228.728195</v>
      </c>
      <c r="N1021" s="39" t="n">
        <f aca="false">IF(COUNT('Business Case'!B11:G11)=0,"",H1021+NPV(G1021,I1021:M1021))</f>
        <v>-792704160.105378</v>
      </c>
      <c r="P1021" s="40" t="n">
        <f aca="true">RAND()</f>
        <v>0.242235523313657</v>
      </c>
      <c r="Q1021" s="40" t="n">
        <f aca="true">RAND()</f>
        <v>0.0651305900219633</v>
      </c>
      <c r="R1021" s="40" t="n">
        <f aca="true">RAND()</f>
        <v>0.407865081455044</v>
      </c>
      <c r="S1021" s="40" t="n">
        <f aca="true">RAND()</f>
        <v>0.575246350544704</v>
      </c>
      <c r="T1021" s="40" t="n">
        <f aca="true">RAND()</f>
        <v>0.0378350118233234</v>
      </c>
      <c r="U1021" s="40" t="n">
        <f aca="true">RAND()</f>
        <v>0.193456335287498</v>
      </c>
    </row>
    <row r="1022" customFormat="false" ht="15" hidden="false" customHeight="false" outlineLevel="0" collapsed="false">
      <c r="A1022" s="36" t="n">
        <v>942</v>
      </c>
      <c r="B1022" s="37" t="n">
        <f aca="false">1+IF($G$6=$E$6,$F$6,IF(P1022&lt;($F$6-$E$6)/($G$6-$E$6),$E$6+SQRT(P1022*($G$6-$E$6)*($F$6-$E$6)),$G$6-SQRT((1-P1022)*($G$6-$E$6)*($G$6-$F$6))))</f>
        <v>0.975783296391048</v>
      </c>
      <c r="C1022" s="37" t="n">
        <f aca="false">1+IF($G$7=$E$7,$F$7,IF(Q1022&lt;($F$7-$E$7)/($G$7-$E$7),$E$7+SQRT(Q1022*($G$7-$E$7)*($F$7-$E$7)),$G$7-SQRT((1-Q1022)*($G$7-$E$7)*($G$7-$F$7))))</f>
        <v>0.97848700809378</v>
      </c>
      <c r="D1022" s="37" t="n">
        <f aca="false">1+IF($G$8=$E$8,$F$8,IF(R1022&lt;($F$8-$E$8)/($G$8-$E$8),$E$8+SQRT(R1022*($G$8-$E$8)*($F$8-$E$8)),$G$8-SQRT((1-R1022)*($G$8-$E$8)*($G$8-$F$8))))</f>
        <v>1.0035807700938</v>
      </c>
      <c r="E1022" s="37" t="n">
        <f aca="false">1+IF($G$9=$E$9,$F$9,IF(S1022&lt;($F$9-$E$9)/($G$9-$E$9),$E$9+SQRT(S1022*($G$9-$E$9)*($F$9-$E$9)),$G$9-SQRT((1-S1022)*($G$9-$E$9)*($G$9-$F$9))))</f>
        <v>1.02765892150296</v>
      </c>
      <c r="F1022" s="37" t="n">
        <f aca="false">1+IF($G$10=$E$10,$F$10,IF(T1022&lt;($F$10-$E$10)/($G$10-$E$10),$E$10+SQRT(T1022*($G$10-$E$10)*($F$10-$E$10)),$G$10-SQRT((1-T1022)*($G$10-$E$10)*($G$10-$F$10))))</f>
        <v>1.04481131480047</v>
      </c>
      <c r="G1022" s="38" t="n">
        <f aca="false">IF($G$11=$E$11,$F$11,IF(U1022&lt;($F$11-$E$11)/($G$11-$E$11),$E$11+SQRT(U1022*($G$11-$E$11)*($F$11-$E$11)),$G$11-SQRT((1-U1022)*($G$11-$E$11)*($G$11-$F$11))))</f>
        <v>0.0903343883677486</v>
      </c>
      <c r="H1022" s="39" t="n">
        <f aca="false">(('Business Case'!B11*$C1022*'Business Case'!B12*$B1022)-'Business Case'!B11*$C1022*'Business Case'!B13*$D1022-'Business Case'!B14*$E1022)-MAX(0,(('Business Case'!B11*$C1022*'Business Case'!B12*$B1022)-'Business Case'!B11*$C1022*'Business Case'!B13*$D1022-'Business Case'!B14*$E1022))*'Business Case'!$B$7-'Business Case'!$B$8*('Business Case'!B11*$C1022*'Business Case'!B12*$B1022)-'Business Case'!B15*$F1022</f>
        <v>-2089622629.60094</v>
      </c>
      <c r="I1022" s="39" t="n">
        <f aca="false">(('Business Case'!C11*$C1022*'Business Case'!C12*$B1022)-'Business Case'!C11*$C1022*'Business Case'!C13*$D1022-'Business Case'!C14*$E1022)-MAX(0,(('Business Case'!C11*$C1022*'Business Case'!C12*$B1022)-'Business Case'!C11*$C1022*'Business Case'!C13*$D1022-'Business Case'!C14*$E1022))*'Business Case'!$B$7-'Business Case'!$B$8*(('Business Case'!C11*$C1022*'Business Case'!C12*$B1022)-('Business Case'!B11*$C1022*'Business Case'!B12*$B1022))-'Business Case'!C15*$F1022</f>
        <v>-20768510.3725481</v>
      </c>
      <c r="J1022" s="39" t="n">
        <f aca="false">(('Business Case'!D11*$C1022*'Business Case'!D12*$B1022)-'Business Case'!D11*$C1022*'Business Case'!D13*$D1022-'Business Case'!D14*$E1022)-MAX(0,(('Business Case'!D11*$C1022*'Business Case'!D12*$B1022)-'Business Case'!D11*$C1022*'Business Case'!D13*$D1022-'Business Case'!D14*$E1022))*'Business Case'!$B$7-'Business Case'!$B$8*(('Business Case'!D11*$C1022*'Business Case'!D12*$B1022)-('Business Case'!C11*$C1022*'Business Case'!C12*$B1022))-'Business Case'!D15*$F1022</f>
        <v>258573589.236299</v>
      </c>
      <c r="K1022" s="39" t="n">
        <f aca="false">(('Business Case'!E11*$C1022*'Business Case'!E12*$B1022)-'Business Case'!E11*$C1022*'Business Case'!E13*$D1022-'Business Case'!E14*$E1022)-MAX(0,(('Business Case'!E11*$C1022*'Business Case'!E12*$B1022)-'Business Case'!E11*$C1022*'Business Case'!E13*$D1022-'Business Case'!E14*$E1022))*'Business Case'!$B$7-'Business Case'!$B$8*(('Business Case'!E11*$C1022*'Business Case'!E12*$B1022)-('Business Case'!D11*$C1022*'Business Case'!D12*$B1022))-'Business Case'!E15*$F1022</f>
        <v>590156254.585169</v>
      </c>
      <c r="L1022" s="39" t="n">
        <f aca="false">(('Business Case'!F11*$C1022*'Business Case'!F12*$B1022)-'Business Case'!F11*$C1022*'Business Case'!F13*$D1022-'Business Case'!F14*$E1022)-MAX(0,(('Business Case'!F11*$C1022*'Business Case'!F12*$B1022)-'Business Case'!F11*$C1022*'Business Case'!F13*$D1022-'Business Case'!F14*$E1022))*'Business Case'!$B$7-'Business Case'!$B$8*(('Business Case'!F11*$C1022*'Business Case'!F12*$B1022)-('Business Case'!E11*$C1022*'Business Case'!E12*$B1022))-'Business Case'!F15*$F1022</f>
        <v>716267874.363871</v>
      </c>
      <c r="M1022" s="39" t="n">
        <f aca="false">(('Business Case'!G11*$C1022*'Business Case'!G12*$B1022)-'Business Case'!G11*$C1022*'Business Case'!G13*$D1022-'Business Case'!G14*$E1022)-MAX(0,(('Business Case'!G11*$C1022*'Business Case'!G12*$B1022)-'Business Case'!G11*$C1022*'Business Case'!G13*$D1022-'Business Case'!G14*$E1022))*'Business Case'!$B$7-'Business Case'!$B$8*(('Business Case'!G11*$C1022*'Business Case'!G12*$B1022)-('Business Case'!F11*$C1022*'Business Case'!F12*$B1022))-'Business Case'!G15*$F1022+'Business Case'!$B$8*('Business Case'!G11*$C1022*'Business Case'!G12*$B1022)</f>
        <v>897754600.530506</v>
      </c>
      <c r="N1022" s="39" t="n">
        <f aca="false">IF(COUNT('Business Case'!B11:G11)=0,"",H1022+NPV(G1022,I1022:M1022))</f>
        <v>-346493201.848898</v>
      </c>
      <c r="P1022" s="40" t="n">
        <f aca="true">RAND()</f>
        <v>0.382873867459561</v>
      </c>
      <c r="Q1022" s="40" t="n">
        <f aca="true">RAND()</f>
        <v>0.574481582792779</v>
      </c>
      <c r="R1022" s="40" t="n">
        <f aca="true">RAND()</f>
        <v>0.380222140286376</v>
      </c>
      <c r="S1022" s="40" t="n">
        <f aca="true">RAND()</f>
        <v>0.600870946991482</v>
      </c>
      <c r="T1022" s="40" t="n">
        <f aca="true">RAND()</f>
        <v>0.438634712881163</v>
      </c>
      <c r="U1022" s="40" t="n">
        <f aca="true">RAND()</f>
        <v>0.106799582935458</v>
      </c>
    </row>
    <row r="1023" customFormat="false" ht="15" hidden="false" customHeight="false" outlineLevel="0" collapsed="false">
      <c r="A1023" s="36" t="n">
        <v>943</v>
      </c>
      <c r="B1023" s="37" t="n">
        <f aca="false">1+IF($G$6=$E$6,$F$6,IF(P1023&lt;($F$6-$E$6)/($G$6-$E$6),$E$6+SQRT(P1023*($G$6-$E$6)*($F$6-$E$6)),$G$6-SQRT((1-P1023)*($G$6-$E$6)*($G$6-$F$6))))</f>
        <v>1.03683203479486</v>
      </c>
      <c r="C1023" s="37" t="n">
        <f aca="false">1+IF($G$7=$E$7,$F$7,IF(Q1023&lt;($F$7-$E$7)/($G$7-$E$7),$E$7+SQRT(Q1023*($G$7-$E$7)*($F$7-$E$7)),$G$7-SQRT((1-Q1023)*($G$7-$E$7)*($G$7-$F$7))))</f>
        <v>1.04674981479871</v>
      </c>
      <c r="D1023" s="37" t="n">
        <f aca="false">1+IF($G$8=$E$8,$F$8,IF(R1023&lt;($F$8-$E$8)/($G$8-$E$8),$E$8+SQRT(R1023*($G$8-$E$8)*($F$8-$E$8)),$G$8-SQRT((1-R1023)*($G$8-$E$8)*($G$8-$F$8))))</f>
        <v>0.985723286664406</v>
      </c>
      <c r="E1023" s="37" t="n">
        <f aca="false">1+IF($G$9=$E$9,$F$9,IF(S1023&lt;($F$9-$E$9)/($G$9-$E$9),$E$9+SQRT(S1023*($G$9-$E$9)*($F$9-$E$9)),$G$9-SQRT((1-S1023)*($G$9-$E$9)*($G$9-$F$9))))</f>
        <v>1.08817560890652</v>
      </c>
      <c r="F1023" s="37" t="n">
        <f aca="false">1+IF($G$10=$E$10,$F$10,IF(T1023&lt;($F$10-$E$10)/($G$10-$E$10),$E$10+SQRT(T1023*($G$10-$E$10)*($F$10-$E$10)),$G$10-SQRT((1-T1023)*($G$10-$E$10)*($G$10-$F$10))))</f>
        <v>1.02541814162762</v>
      </c>
      <c r="G1023" s="38" t="n">
        <f aca="false">IF($G$11=$E$11,$F$11,IF(U1023&lt;($F$11-$E$11)/($G$11-$E$11),$E$11+SQRT(U1023*($G$11-$E$11)*($F$11-$E$11)),$G$11-SQRT((1-U1023)*($G$11-$E$11)*($G$11-$F$11))))</f>
        <v>0.0842750352812301</v>
      </c>
      <c r="H1023" s="39" t="n">
        <f aca="false">(('Business Case'!B11*$C1023*'Business Case'!B12*$B1023)-'Business Case'!B11*$C1023*'Business Case'!B13*$D1023-'Business Case'!B14*$E1023)-MAX(0,(('Business Case'!B11*$C1023*'Business Case'!B12*$B1023)-'Business Case'!B11*$C1023*'Business Case'!B13*$D1023-'Business Case'!B14*$E1023))*'Business Case'!$B$7-'Business Case'!$B$8*('Business Case'!B11*$C1023*'Business Case'!B12*$B1023)-'Business Case'!B15*$F1023</f>
        <v>-2050836283.25523</v>
      </c>
      <c r="I1023" s="39" t="n">
        <f aca="false">(('Business Case'!C11*$C1023*'Business Case'!C12*$B1023)-'Business Case'!C11*$C1023*'Business Case'!C13*$D1023-'Business Case'!C14*$E1023)-MAX(0,(('Business Case'!C11*$C1023*'Business Case'!C12*$B1023)-'Business Case'!C11*$C1023*'Business Case'!C13*$D1023-'Business Case'!C14*$E1023))*'Business Case'!$B$7-'Business Case'!$B$8*(('Business Case'!C11*$C1023*'Business Case'!C12*$B1023)-('Business Case'!B11*$C1023*'Business Case'!B12*$B1023))-'Business Case'!C15*$F1023</f>
        <v>47197416.1653964</v>
      </c>
      <c r="J1023" s="39" t="n">
        <f aca="false">(('Business Case'!D11*$C1023*'Business Case'!D12*$B1023)-'Business Case'!D11*$C1023*'Business Case'!D13*$D1023-'Business Case'!D14*$E1023)-MAX(0,(('Business Case'!D11*$C1023*'Business Case'!D12*$B1023)-'Business Case'!D11*$C1023*'Business Case'!D13*$D1023-'Business Case'!D14*$E1023))*'Business Case'!$B$7-'Business Case'!$B$8*(('Business Case'!D11*$C1023*'Business Case'!D12*$B1023)-('Business Case'!C11*$C1023*'Business Case'!C12*$B1023))-'Business Case'!D15*$F1023</f>
        <v>407937363.98234</v>
      </c>
      <c r="K1023" s="39" t="n">
        <f aca="false">(('Business Case'!E11*$C1023*'Business Case'!E12*$B1023)-'Business Case'!E11*$C1023*'Business Case'!E13*$D1023-'Business Case'!E14*$E1023)-MAX(0,(('Business Case'!E11*$C1023*'Business Case'!E12*$B1023)-'Business Case'!E11*$C1023*'Business Case'!E13*$D1023-'Business Case'!E14*$E1023))*'Business Case'!$B$7-'Business Case'!$B$8*(('Business Case'!E11*$C1023*'Business Case'!E12*$B1023)-('Business Case'!D11*$C1023*'Business Case'!D12*$B1023))-'Business Case'!E15*$F1023</f>
        <v>819948218.880665</v>
      </c>
      <c r="L1023" s="39" t="n">
        <f aca="false">(('Business Case'!F11*$C1023*'Business Case'!F12*$B1023)-'Business Case'!F11*$C1023*'Business Case'!F13*$D1023-'Business Case'!F14*$E1023)-MAX(0,(('Business Case'!F11*$C1023*'Business Case'!F12*$B1023)-'Business Case'!F11*$C1023*'Business Case'!F13*$D1023-'Business Case'!F14*$E1023))*'Business Case'!$B$7-'Business Case'!$B$8*(('Business Case'!F11*$C1023*'Business Case'!F12*$B1023)-('Business Case'!E11*$C1023*'Business Case'!E12*$B1023))-'Business Case'!F15*$F1023</f>
        <v>977702965.421165</v>
      </c>
      <c r="M1023" s="39" t="n">
        <f aca="false">(('Business Case'!G11*$C1023*'Business Case'!G12*$B1023)-'Business Case'!G11*$C1023*'Business Case'!G13*$D1023-'Business Case'!G14*$E1023)-MAX(0,(('Business Case'!G11*$C1023*'Business Case'!G12*$B1023)-'Business Case'!G11*$C1023*'Business Case'!G13*$D1023-'Business Case'!G14*$E1023))*'Business Case'!$B$7-'Business Case'!$B$8*(('Business Case'!G11*$C1023*'Business Case'!G12*$B1023)-('Business Case'!F11*$C1023*'Business Case'!F12*$B1023))-'Business Case'!G15*$F1023+'Business Case'!$B$8*('Business Case'!G11*$C1023*'Business Case'!G12*$B1023)</f>
        <v>1183997500.39619</v>
      </c>
      <c r="N1023" s="39" t="n">
        <f aca="false">IF(COUNT('Business Case'!B11:G11)=0,"",H1023+NPV(G1023,I1023:M1023))</f>
        <v>480335455.794526</v>
      </c>
      <c r="P1023" s="40" t="n">
        <f aca="true">RAND()</f>
        <v>0.976880625647493</v>
      </c>
      <c r="Q1023" s="40" t="n">
        <f aca="true">RAND()</f>
        <v>0.842065174161479</v>
      </c>
      <c r="R1023" s="40" t="n">
        <f aca="true">RAND()</f>
        <v>0.170153761347643</v>
      </c>
      <c r="S1023" s="40" t="n">
        <f aca="true">RAND()</f>
        <v>0.898073191091214</v>
      </c>
      <c r="T1023" s="40" t="n">
        <f aca="true">RAND()</f>
        <v>0.327506518533419</v>
      </c>
      <c r="U1023" s="40" t="n">
        <f aca="true">RAND()</f>
        <v>0.0182759266557624</v>
      </c>
    </row>
    <row r="1024" customFormat="false" ht="15" hidden="false" customHeight="false" outlineLevel="0" collapsed="false">
      <c r="A1024" s="36" t="n">
        <v>944</v>
      </c>
      <c r="B1024" s="37" t="n">
        <f aca="false">1+IF($G$6=$E$6,$F$6,IF(P1024&lt;($F$6-$E$6)/($G$6-$E$6),$E$6+SQRT(P1024*($G$6-$E$6)*($F$6-$E$6)),$G$6-SQRT((1-P1024)*($G$6-$E$6)*($G$6-$F$6))))</f>
        <v>0.945618258141519</v>
      </c>
      <c r="C1024" s="37" t="n">
        <f aca="false">1+IF($G$7=$E$7,$F$7,IF(Q1024&lt;($F$7-$E$7)/($G$7-$E$7),$E$7+SQRT(Q1024*($G$7-$E$7)*($F$7-$E$7)),$G$7-SQRT((1-Q1024)*($G$7-$E$7)*($G$7-$F$7))))</f>
        <v>0.861591291666111</v>
      </c>
      <c r="D1024" s="37" t="n">
        <f aca="false">1+IF($G$8=$E$8,$F$8,IF(R1024&lt;($F$8-$E$8)/($G$8-$E$8),$E$8+SQRT(R1024*($G$8-$E$8)*($F$8-$E$8)),$G$8-SQRT((1-R1024)*($G$8-$E$8)*($G$8-$F$8))))</f>
        <v>0.996125446316316</v>
      </c>
      <c r="E1024" s="37" t="n">
        <f aca="false">1+IF($G$9=$E$9,$F$9,IF(S1024&lt;($F$9-$E$9)/($G$9-$E$9),$E$9+SQRT(S1024*($G$9-$E$9)*($F$9-$E$9)),$G$9-SQRT((1-S1024)*($G$9-$E$9)*($G$9-$F$9))))</f>
        <v>0.929264904392425</v>
      </c>
      <c r="F1024" s="37" t="n">
        <f aca="false">1+IF($G$10=$E$10,$F$10,IF(T1024&lt;($F$10-$E$10)/($G$10-$E$10),$E$10+SQRT(T1024*($G$10-$E$10)*($F$10-$E$10)),$G$10-SQRT((1-T1024)*($G$10-$E$10)*($G$10-$F$10))))</f>
        <v>1.02431138699153</v>
      </c>
      <c r="G1024" s="38" t="n">
        <f aca="false">IF($G$11=$E$11,$F$11,IF(U1024&lt;($F$11-$E$11)/($G$11-$E$11),$E$11+SQRT(U1024*($G$11-$E$11)*($F$11-$E$11)),$G$11-SQRT((1-U1024)*($G$11-$E$11)*($G$11-$F$11))))</f>
        <v>0.103157041773541</v>
      </c>
      <c r="H1024" s="39" t="n">
        <f aca="false">(('Business Case'!B11*$C1024*'Business Case'!B12*$B1024)-'Business Case'!B11*$C1024*'Business Case'!B13*$D1024-'Business Case'!B14*$E1024)-MAX(0,(('Business Case'!B11*$C1024*'Business Case'!B12*$B1024)-'Business Case'!B11*$C1024*'Business Case'!B13*$D1024-'Business Case'!B14*$E1024))*'Business Case'!$B$7-'Business Case'!$B$8*('Business Case'!B11*$C1024*'Business Case'!B12*$B1024)-'Business Case'!B15*$F1024</f>
        <v>-2048622773.98305</v>
      </c>
      <c r="I1024" s="39" t="n">
        <f aca="false">(('Business Case'!C11*$C1024*'Business Case'!C12*$B1024)-'Business Case'!C11*$C1024*'Business Case'!C13*$D1024-'Business Case'!C14*$E1024)-MAX(0,(('Business Case'!C11*$C1024*'Business Case'!C12*$B1024)-'Business Case'!C11*$C1024*'Business Case'!C13*$D1024-'Business Case'!C14*$E1024))*'Business Case'!$B$7-'Business Case'!$B$8*(('Business Case'!C11*$C1024*'Business Case'!C12*$B1024)-('Business Case'!B11*$C1024*'Business Case'!B12*$B1024))-'Business Case'!C15*$F1024</f>
        <v>-48837607.9999323</v>
      </c>
      <c r="J1024" s="39" t="n">
        <f aca="false">(('Business Case'!D11*$C1024*'Business Case'!D12*$B1024)-'Business Case'!D11*$C1024*'Business Case'!D13*$D1024-'Business Case'!D14*$E1024)-MAX(0,(('Business Case'!D11*$C1024*'Business Case'!D12*$B1024)-'Business Case'!D11*$C1024*'Business Case'!D13*$D1024-'Business Case'!D14*$E1024))*'Business Case'!$B$7-'Business Case'!$B$8*(('Business Case'!D11*$C1024*'Business Case'!D12*$B1024)-('Business Case'!C11*$C1024*'Business Case'!C12*$B1024))-'Business Case'!D15*$F1024</f>
        <v>179133330.006529</v>
      </c>
      <c r="K1024" s="39" t="n">
        <f aca="false">(('Business Case'!E11*$C1024*'Business Case'!E12*$B1024)-'Business Case'!E11*$C1024*'Business Case'!E13*$D1024-'Business Case'!E14*$E1024)-MAX(0,(('Business Case'!E11*$C1024*'Business Case'!E12*$B1024)-'Business Case'!E11*$C1024*'Business Case'!E13*$D1024-'Business Case'!E14*$E1024))*'Business Case'!$B$7-'Business Case'!$B$8*(('Business Case'!E11*$C1024*'Business Case'!E12*$B1024)-('Business Case'!D11*$C1024*'Business Case'!D12*$B1024))-'Business Case'!E15*$F1024</f>
        <v>458319837.362567</v>
      </c>
      <c r="L1024" s="39" t="n">
        <f aca="false">(('Business Case'!F11*$C1024*'Business Case'!F12*$B1024)-'Business Case'!F11*$C1024*'Business Case'!F13*$D1024-'Business Case'!F14*$E1024)-MAX(0,(('Business Case'!F11*$C1024*'Business Case'!F12*$B1024)-'Business Case'!F11*$C1024*'Business Case'!F13*$D1024-'Business Case'!F14*$E1024))*'Business Case'!$B$7-'Business Case'!$B$8*(('Business Case'!F11*$C1024*'Business Case'!F12*$B1024)-('Business Case'!E11*$C1024*'Business Case'!E12*$B1024))-'Business Case'!F15*$F1024</f>
        <v>562467441.966479</v>
      </c>
      <c r="M1024" s="39" t="n">
        <f aca="false">(('Business Case'!G11*$C1024*'Business Case'!G12*$B1024)-'Business Case'!G11*$C1024*'Business Case'!G13*$D1024-'Business Case'!G14*$E1024)-MAX(0,(('Business Case'!G11*$C1024*'Business Case'!G12*$B1024)-'Business Case'!G11*$C1024*'Business Case'!G13*$D1024-'Business Case'!G14*$E1024))*'Business Case'!$B$7-'Business Case'!$B$8*(('Business Case'!G11*$C1024*'Business Case'!G12*$B1024)-('Business Case'!F11*$C1024*'Business Case'!F12*$B1024))-'Business Case'!G15*$F1024+'Business Case'!$B$8*('Business Case'!G11*$C1024*'Business Case'!G12*$B1024)</f>
        <v>717332547.609485</v>
      </c>
      <c r="N1024" s="39" t="n">
        <f aca="false">IF(COUNT('Business Case'!B11:G11)=0,"",H1024+NPV(G1024,I1024:M1024))</f>
        <v>-785437021.696482</v>
      </c>
      <c r="P1024" s="40" t="n">
        <f aca="true">RAND()</f>
        <v>0.138735031724416</v>
      </c>
      <c r="Q1024" s="40" t="n">
        <f aca="true">RAND()</f>
        <v>0.193420337350534</v>
      </c>
      <c r="R1024" s="40" t="n">
        <f aca="true">RAND()</f>
        <v>0.283674239717247</v>
      </c>
      <c r="S1024" s="40" t="n">
        <f aca="true">RAND()</f>
        <v>0.0342573851639107</v>
      </c>
      <c r="T1024" s="40" t="n">
        <f aca="true">RAND()</f>
        <v>0.320861999444156</v>
      </c>
      <c r="U1024" s="40" t="n">
        <f aca="true">RAND()</f>
        <v>0.519637062435049</v>
      </c>
    </row>
    <row r="1025" customFormat="false" ht="15" hidden="false" customHeight="false" outlineLevel="0" collapsed="false">
      <c r="A1025" s="36" t="n">
        <v>945</v>
      </c>
      <c r="B1025" s="37" t="n">
        <f aca="false">1+IF($G$6=$E$6,$F$6,IF(P1025&lt;($F$6-$E$6)/($G$6-$E$6),$E$6+SQRT(P1025*($G$6-$E$6)*($F$6-$E$6)),$G$6-SQRT((1-P1025)*($G$6-$E$6)*($G$6-$F$6))))</f>
        <v>0.944203503408993</v>
      </c>
      <c r="C1025" s="37" t="n">
        <f aca="false">1+IF($G$7=$E$7,$F$7,IF(Q1025&lt;($F$7-$E$7)/($G$7-$E$7),$E$7+SQRT(Q1025*($G$7-$E$7)*($F$7-$E$7)),$G$7-SQRT((1-Q1025)*($G$7-$E$7)*($G$7-$F$7))))</f>
        <v>1.01081984474069</v>
      </c>
      <c r="D1025" s="37" t="n">
        <f aca="false">1+IF($G$8=$E$8,$F$8,IF(R1025&lt;($F$8-$E$8)/($G$8-$E$8),$E$8+SQRT(R1025*($G$8-$E$8)*($F$8-$E$8)),$G$8-SQRT((1-R1025)*($G$8-$E$8)*($G$8-$F$8))))</f>
        <v>1.04123129875405</v>
      </c>
      <c r="E1025" s="37" t="n">
        <f aca="false">1+IF($G$9=$E$9,$F$9,IF(S1025&lt;($F$9-$E$9)/($G$9-$E$9),$E$9+SQRT(S1025*($G$9-$E$9)*($F$9-$E$9)),$G$9-SQRT((1-S1025)*($G$9-$E$9)*($G$9-$F$9))))</f>
        <v>0.952582338100642</v>
      </c>
      <c r="F1025" s="37" t="n">
        <f aca="false">1+IF($G$10=$E$10,$F$10,IF(T1025&lt;($F$10-$E$10)/($G$10-$E$10),$E$10+SQRT(T1025*($G$10-$E$10)*($F$10-$E$10)),$G$10-SQRT((1-T1025)*($G$10-$E$10)*($G$10-$F$10))))</f>
        <v>1.01455884493239</v>
      </c>
      <c r="G1025" s="38" t="n">
        <f aca="false">IF($G$11=$E$11,$F$11,IF(U1025&lt;($F$11-$E$11)/($G$11-$E$11),$E$11+SQRT(U1025*($G$11-$E$11)*($F$11-$E$11)),$G$11-SQRT((1-U1025)*($G$11-$E$11)*($G$11-$F$11))))</f>
        <v>0.0827409368031898</v>
      </c>
      <c r="H1025" s="39" t="n">
        <f aca="false">(('Business Case'!B11*$C1025*'Business Case'!B12*$B1025)-'Business Case'!B11*$C1025*'Business Case'!B13*$D1025-'Business Case'!B14*$E1025)-MAX(0,(('Business Case'!B11*$C1025*'Business Case'!B12*$B1025)-'Business Case'!B11*$C1025*'Business Case'!B13*$D1025-'Business Case'!B14*$E1025))*'Business Case'!$B$7-'Business Case'!$B$8*('Business Case'!B11*$C1025*'Business Case'!B12*$B1025)-'Business Case'!B15*$F1025</f>
        <v>-2029117689.86478</v>
      </c>
      <c r="I1025" s="39" t="n">
        <f aca="false">(('Business Case'!C11*$C1025*'Business Case'!C12*$B1025)-'Business Case'!C11*$C1025*'Business Case'!C13*$D1025-'Business Case'!C14*$E1025)-MAX(0,(('Business Case'!C11*$C1025*'Business Case'!C12*$B1025)-'Business Case'!C11*$C1025*'Business Case'!C13*$D1025-'Business Case'!C14*$E1025))*'Business Case'!$B$7-'Business Case'!$B$8*(('Business Case'!C11*$C1025*'Business Case'!C12*$B1025)-('Business Case'!B11*$C1025*'Business Case'!B12*$B1025))-'Business Case'!C15*$F1025</f>
        <v>-43446201.9261418</v>
      </c>
      <c r="J1025" s="39" t="n">
        <f aca="false">(('Business Case'!D11*$C1025*'Business Case'!D12*$B1025)-'Business Case'!D11*$C1025*'Business Case'!D13*$D1025-'Business Case'!D14*$E1025)-MAX(0,(('Business Case'!D11*$C1025*'Business Case'!D12*$B1025)-'Business Case'!D11*$C1025*'Business Case'!D13*$D1025-'Business Case'!D14*$E1025))*'Business Case'!$B$7-'Business Case'!$B$8*(('Business Case'!D11*$C1025*'Business Case'!D12*$B1025)-('Business Case'!C11*$C1025*'Business Case'!C12*$B1025))-'Business Case'!D15*$F1025</f>
        <v>199497803.190085</v>
      </c>
      <c r="K1025" s="39" t="n">
        <f aca="false">(('Business Case'!E11*$C1025*'Business Case'!E12*$B1025)-'Business Case'!E11*$C1025*'Business Case'!E13*$D1025-'Business Case'!E14*$E1025)-MAX(0,(('Business Case'!E11*$C1025*'Business Case'!E12*$B1025)-'Business Case'!E11*$C1025*'Business Case'!E13*$D1025-'Business Case'!E14*$E1025))*'Business Case'!$B$7-'Business Case'!$B$8*(('Business Case'!E11*$C1025*'Business Case'!E12*$B1025)-('Business Case'!D11*$C1025*'Business Case'!D12*$B1025))-'Business Case'!E15*$F1025</f>
        <v>493169750.552932</v>
      </c>
      <c r="L1025" s="39" t="n">
        <f aca="false">(('Business Case'!F11*$C1025*'Business Case'!F12*$B1025)-'Business Case'!F11*$C1025*'Business Case'!F13*$D1025-'Business Case'!F14*$E1025)-MAX(0,(('Business Case'!F11*$C1025*'Business Case'!F12*$B1025)-'Business Case'!F11*$C1025*'Business Case'!F13*$D1025-'Business Case'!F14*$E1025))*'Business Case'!$B$7-'Business Case'!$B$8*(('Business Case'!F11*$C1025*'Business Case'!F12*$B1025)-('Business Case'!E11*$C1025*'Business Case'!E12*$B1025))-'Business Case'!F15*$F1025</f>
        <v>607135828.30582</v>
      </c>
      <c r="M1025" s="39" t="n">
        <f aca="false">(('Business Case'!G11*$C1025*'Business Case'!G12*$B1025)-'Business Case'!G11*$C1025*'Business Case'!G13*$D1025-'Business Case'!G14*$E1025)-MAX(0,(('Business Case'!G11*$C1025*'Business Case'!G12*$B1025)-'Business Case'!G11*$C1025*'Business Case'!G13*$D1025-'Business Case'!G14*$E1025))*'Business Case'!$B$7-'Business Case'!$B$8*(('Business Case'!G11*$C1025*'Business Case'!G12*$B1025)-('Business Case'!F11*$C1025*'Business Case'!F12*$B1025))-'Business Case'!G15*$F1025+'Business Case'!$B$8*('Business Case'!G11*$C1025*'Business Case'!G12*$B1025)</f>
        <v>788551913.233622</v>
      </c>
      <c r="N1025" s="39" t="n">
        <f aca="false">IF(COUNT('Business Case'!B11:G11)=0,"",H1025+NPV(G1025,I1025:M1025))</f>
        <v>-538865233.445604</v>
      </c>
      <c r="P1025" s="40" t="n">
        <f aca="true">RAND()</f>
        <v>0.130263314241925</v>
      </c>
      <c r="Q1025" s="40" t="n">
        <f aca="true">RAND()</f>
        <v>0.713020509362884</v>
      </c>
      <c r="R1025" s="40" t="n">
        <f aca="true">RAND()</f>
        <v>0.769749316924283</v>
      </c>
      <c r="S1025" s="40" t="n">
        <f aca="true">RAND()</f>
        <v>0.110596091205208</v>
      </c>
      <c r="T1025" s="40" t="n">
        <f aca="true">RAND()</f>
        <v>0.260899500005724</v>
      </c>
      <c r="U1025" s="40" t="n">
        <f aca="true">RAND()</f>
        <v>0.00751273455908022</v>
      </c>
    </row>
    <row r="1026" customFormat="false" ht="15" hidden="false" customHeight="false" outlineLevel="0" collapsed="false">
      <c r="A1026" s="36" t="n">
        <v>946</v>
      </c>
      <c r="B1026" s="37" t="n">
        <f aca="false">1+IF($G$6=$E$6,$F$6,IF(P1026&lt;($F$6-$E$6)/($G$6-$E$6),$E$6+SQRT(P1026*($G$6-$E$6)*($F$6-$E$6)),$G$6-SQRT((1-P1026)*($G$6-$E$6)*($G$6-$F$6))))</f>
        <v>0.988081192597049</v>
      </c>
      <c r="C1026" s="37" t="n">
        <f aca="false">1+IF($G$7=$E$7,$F$7,IF(Q1026&lt;($F$7-$E$7)/($G$7-$E$7),$E$7+SQRT(Q1026*($G$7-$E$7)*($F$7-$E$7)),$G$7-SQRT((1-Q1026)*($G$7-$E$7)*($G$7-$F$7))))</f>
        <v>0.873872924462451</v>
      </c>
      <c r="D1026" s="37" t="n">
        <f aca="false">1+IF($G$8=$E$8,$F$8,IF(R1026&lt;($F$8-$E$8)/($G$8-$E$8),$E$8+SQRT(R1026*($G$8-$E$8)*($F$8-$E$8)),$G$8-SQRT((1-R1026)*($G$8-$E$8)*($G$8-$F$8))))</f>
        <v>0.962323490528064</v>
      </c>
      <c r="E1026" s="37" t="n">
        <f aca="false">1+IF($G$9=$E$9,$F$9,IF(S1026&lt;($F$9-$E$9)/($G$9-$E$9),$E$9+SQRT(S1026*($G$9-$E$9)*($F$9-$E$9)),$G$9-SQRT((1-S1026)*($G$9-$E$9)*($G$9-$F$9))))</f>
        <v>1.02219765469508</v>
      </c>
      <c r="F1026" s="37" t="n">
        <f aca="false">1+IF($G$10=$E$10,$F$10,IF(T1026&lt;($F$10-$E$10)/($G$10-$E$10),$E$10+SQRT(T1026*($G$10-$E$10)*($F$10-$E$10)),$G$10-SQRT((1-T1026)*($G$10-$E$10)*($G$10-$F$10))))</f>
        <v>1.13618942368621</v>
      </c>
      <c r="G1026" s="38" t="n">
        <f aca="false">IF($G$11=$E$11,$F$11,IF(U1026&lt;($F$11-$E$11)/($G$11-$E$11),$E$11+SQRT(U1026*($G$11-$E$11)*($F$11-$E$11)),$G$11-SQRT((1-U1026)*($G$11-$E$11)*($G$11-$F$11))))</f>
        <v>0.0876595280337469</v>
      </c>
      <c r="H1026" s="39" t="n">
        <f aca="false">(('Business Case'!B11*$C1026*'Business Case'!B12*$B1026)-'Business Case'!B11*$C1026*'Business Case'!B13*$D1026-'Business Case'!B14*$E1026)-MAX(0,(('Business Case'!B11*$C1026*'Business Case'!B12*$B1026)-'Business Case'!B11*$C1026*'Business Case'!B13*$D1026-'Business Case'!B14*$E1026))*'Business Case'!$B$7-'Business Case'!$B$8*('Business Case'!B11*$C1026*'Business Case'!B12*$B1026)-'Business Case'!B15*$F1026</f>
        <v>-2272378847.37241</v>
      </c>
      <c r="I1026" s="39" t="n">
        <f aca="false">(('Business Case'!C11*$C1026*'Business Case'!C12*$B1026)-'Business Case'!C11*$C1026*'Business Case'!C13*$D1026-'Business Case'!C14*$E1026)-MAX(0,(('Business Case'!C11*$C1026*'Business Case'!C12*$B1026)-'Business Case'!C11*$C1026*'Business Case'!C13*$D1026-'Business Case'!C14*$E1026))*'Business Case'!$B$7-'Business Case'!$B$8*(('Business Case'!C11*$C1026*'Business Case'!C12*$B1026)-('Business Case'!B11*$C1026*'Business Case'!B12*$B1026))-'Business Case'!C15*$F1026</f>
        <v>-27001626.8030747</v>
      </c>
      <c r="J1026" s="39" t="n">
        <f aca="false">(('Business Case'!D11*$C1026*'Business Case'!D12*$B1026)-'Business Case'!D11*$C1026*'Business Case'!D13*$D1026-'Business Case'!D14*$E1026)-MAX(0,(('Business Case'!D11*$C1026*'Business Case'!D12*$B1026)-'Business Case'!D11*$C1026*'Business Case'!D13*$D1026-'Business Case'!D14*$E1026))*'Business Case'!$B$7-'Business Case'!$B$8*(('Business Case'!D11*$C1026*'Business Case'!D12*$B1026)-('Business Case'!C11*$C1026*'Business Case'!C12*$B1026))-'Business Case'!D15*$F1026</f>
        <v>249733826.947709</v>
      </c>
      <c r="K1026" s="39" t="n">
        <f aca="false">(('Business Case'!E11*$C1026*'Business Case'!E12*$B1026)-'Business Case'!E11*$C1026*'Business Case'!E13*$D1026-'Business Case'!E14*$E1026)-MAX(0,(('Business Case'!E11*$C1026*'Business Case'!E12*$B1026)-'Business Case'!E11*$C1026*'Business Case'!E13*$D1026-'Business Case'!E14*$E1026))*'Business Case'!$B$7-'Business Case'!$B$8*(('Business Case'!E11*$C1026*'Business Case'!E12*$B1026)-('Business Case'!D11*$C1026*'Business Case'!D12*$B1026))-'Business Case'!E15*$F1026</f>
        <v>583278751.882803</v>
      </c>
      <c r="L1026" s="39" t="n">
        <f aca="false">(('Business Case'!F11*$C1026*'Business Case'!F12*$B1026)-'Business Case'!F11*$C1026*'Business Case'!F13*$D1026-'Business Case'!F14*$E1026)-MAX(0,(('Business Case'!F11*$C1026*'Business Case'!F12*$B1026)-'Business Case'!F11*$C1026*'Business Case'!F13*$D1026-'Business Case'!F14*$E1026))*'Business Case'!$B$7-'Business Case'!$B$8*(('Business Case'!F11*$C1026*'Business Case'!F12*$B1026)-('Business Case'!E11*$C1026*'Business Case'!E12*$B1026))-'Business Case'!F15*$F1026</f>
        <v>705364990.924797</v>
      </c>
      <c r="M1026" s="39" t="n">
        <f aca="false">(('Business Case'!G11*$C1026*'Business Case'!G12*$B1026)-'Business Case'!G11*$C1026*'Business Case'!G13*$D1026-'Business Case'!G14*$E1026)-MAX(0,(('Business Case'!G11*$C1026*'Business Case'!G12*$B1026)-'Business Case'!G11*$C1026*'Business Case'!G13*$D1026-'Business Case'!G14*$E1026))*'Business Case'!$B$7-'Business Case'!$B$8*(('Business Case'!G11*$C1026*'Business Case'!G12*$B1026)-('Business Case'!F11*$C1026*'Business Case'!F12*$B1026))-'Business Case'!G15*$F1026+'Business Case'!$B$8*('Business Case'!G11*$C1026*'Business Case'!G12*$B1026)</f>
        <v>869490973.779322</v>
      </c>
      <c r="N1026" s="39" t="n">
        <f aca="false">IF(COUNT('Business Case'!B11:G11)=0,"",H1026+NPV(G1026,I1026:M1026))</f>
        <v>-557561531.887667</v>
      </c>
      <c r="P1026" s="40" t="n">
        <f aca="true">RAND()</f>
        <v>0.517219765954568</v>
      </c>
      <c r="Q1026" s="40" t="n">
        <f aca="true">RAND()</f>
        <v>0.223939213786113</v>
      </c>
      <c r="R1026" s="40" t="n">
        <f aca="true">RAND()</f>
        <v>0.0202491225060386</v>
      </c>
      <c r="S1026" s="40" t="n">
        <f aca="true">RAND()</f>
        <v>0.564441614254982</v>
      </c>
      <c r="T1026" s="40" t="n">
        <f aca="true">RAND()</f>
        <v>0.827295369588293</v>
      </c>
      <c r="U1026" s="40" t="n">
        <f aca="true">RAND()</f>
        <v>0.0586683696997549</v>
      </c>
    </row>
    <row r="1027" customFormat="false" ht="15" hidden="false" customHeight="false" outlineLevel="0" collapsed="false">
      <c r="A1027" s="36" t="n">
        <v>947</v>
      </c>
      <c r="B1027" s="37" t="n">
        <f aca="false">1+IF($G$6=$E$6,$F$6,IF(P1027&lt;($F$6-$E$6)/($G$6-$E$6),$E$6+SQRT(P1027*($G$6-$E$6)*($F$6-$E$6)),$G$6-SQRT((1-P1027)*($G$6-$E$6)*($G$6-$F$6))))</f>
        <v>0.959278253172807</v>
      </c>
      <c r="C1027" s="37" t="n">
        <f aca="false">1+IF($G$7=$E$7,$F$7,IF(Q1027&lt;($F$7-$E$7)/($G$7-$E$7),$E$7+SQRT(Q1027*($G$7-$E$7)*($F$7-$E$7)),$G$7-SQRT((1-Q1027)*($G$7-$E$7)*($G$7-$F$7))))</f>
        <v>1.03336342491064</v>
      </c>
      <c r="D1027" s="37" t="n">
        <f aca="false">1+IF($G$8=$E$8,$F$8,IF(R1027&lt;($F$8-$E$8)/($G$8-$E$8),$E$8+SQRT(R1027*($G$8-$E$8)*($F$8-$E$8)),$G$8-SQRT((1-R1027)*($G$8-$E$8)*($G$8-$F$8))))</f>
        <v>1.03956240020482</v>
      </c>
      <c r="E1027" s="37" t="n">
        <f aca="false">1+IF($G$9=$E$9,$F$9,IF(S1027&lt;($F$9-$E$9)/($G$9-$E$9),$E$9+SQRT(S1027*($G$9-$E$9)*($F$9-$E$9)),$G$9-SQRT((1-S1027)*($G$9-$E$9)*($G$9-$F$9))))</f>
        <v>1.11880820047244</v>
      </c>
      <c r="F1027" s="37" t="n">
        <f aca="false">1+IF($G$10=$E$10,$F$10,IF(T1027&lt;($F$10-$E$10)/($G$10-$E$10),$E$10+SQRT(T1027*($G$10-$E$10)*($F$10-$E$10)),$G$10-SQRT((1-T1027)*($G$10-$E$10)*($G$10-$F$10))))</f>
        <v>1.09697166941591</v>
      </c>
      <c r="G1027" s="38" t="n">
        <f aca="false">IF($G$11=$E$11,$F$11,IF(U1027&lt;($F$11-$E$11)/($G$11-$E$11),$E$11+SQRT(U1027*($G$11-$E$11)*($F$11-$E$11)),$G$11-SQRT((1-U1027)*($G$11-$E$11)*($G$11-$F$11))))</f>
        <v>0.0958651723708548</v>
      </c>
      <c r="H1027" s="39" t="n">
        <f aca="false">(('Business Case'!B11*$C1027*'Business Case'!B12*$B1027)-'Business Case'!B11*$C1027*'Business Case'!B13*$D1027-'Business Case'!B14*$E1027)-MAX(0,(('Business Case'!B11*$C1027*'Business Case'!B12*$B1027)-'Business Case'!B11*$C1027*'Business Case'!B13*$D1027-'Business Case'!B14*$E1027))*'Business Case'!$B$7-'Business Case'!$B$8*('Business Case'!B11*$C1027*'Business Case'!B12*$B1027)-'Business Case'!B15*$F1027</f>
        <v>-2193943338.83181</v>
      </c>
      <c r="I1027" s="39" t="n">
        <f aca="false">(('Business Case'!C11*$C1027*'Business Case'!C12*$B1027)-'Business Case'!C11*$C1027*'Business Case'!C13*$D1027-'Business Case'!C14*$E1027)-MAX(0,(('Business Case'!C11*$C1027*'Business Case'!C12*$B1027)-'Business Case'!C11*$C1027*'Business Case'!C13*$D1027-'Business Case'!C14*$E1027))*'Business Case'!$B$7-'Business Case'!$B$8*(('Business Case'!C11*$C1027*'Business Case'!C12*$B1027)-('Business Case'!B11*$C1027*'Business Case'!B12*$B1027))-'Business Case'!C15*$F1027</f>
        <v>-58175498.1118957</v>
      </c>
      <c r="J1027" s="39" t="n">
        <f aca="false">(('Business Case'!D11*$C1027*'Business Case'!D12*$B1027)-'Business Case'!D11*$C1027*'Business Case'!D13*$D1027-'Business Case'!D14*$E1027)-MAX(0,(('Business Case'!D11*$C1027*'Business Case'!D12*$B1027)-'Business Case'!D11*$C1027*'Business Case'!D13*$D1027-'Business Case'!D14*$E1027))*'Business Case'!$B$7-'Business Case'!$B$8*(('Business Case'!D11*$C1027*'Business Case'!D12*$B1027)-('Business Case'!C11*$C1027*'Business Case'!C12*$B1027))-'Business Case'!D15*$F1027</f>
        <v>203828810.714527</v>
      </c>
      <c r="K1027" s="39" t="n">
        <f aca="false">(('Business Case'!E11*$C1027*'Business Case'!E12*$B1027)-'Business Case'!E11*$C1027*'Business Case'!E13*$D1027-'Business Case'!E14*$E1027)-MAX(0,(('Business Case'!E11*$C1027*'Business Case'!E12*$B1027)-'Business Case'!E11*$C1027*'Business Case'!E13*$D1027-'Business Case'!E14*$E1027))*'Business Case'!$B$7-'Business Case'!$B$8*(('Business Case'!E11*$C1027*'Business Case'!E12*$B1027)-('Business Case'!D11*$C1027*'Business Case'!D12*$B1027))-'Business Case'!E15*$F1027</f>
        <v>520681703.011745</v>
      </c>
      <c r="L1027" s="39" t="n">
        <f aca="false">(('Business Case'!F11*$C1027*'Business Case'!F12*$B1027)-'Business Case'!F11*$C1027*'Business Case'!F13*$D1027-'Business Case'!F14*$E1027)-MAX(0,(('Business Case'!F11*$C1027*'Business Case'!F12*$B1027)-'Business Case'!F11*$C1027*'Business Case'!F13*$D1027-'Business Case'!F14*$E1027))*'Business Case'!$B$7-'Business Case'!$B$8*(('Business Case'!F11*$C1027*'Business Case'!F12*$B1027)-('Business Case'!E11*$C1027*'Business Case'!E12*$B1027))-'Business Case'!F15*$F1027</f>
        <v>642275215.213584</v>
      </c>
      <c r="M1027" s="39" t="n">
        <f aca="false">(('Business Case'!G11*$C1027*'Business Case'!G12*$B1027)-'Business Case'!G11*$C1027*'Business Case'!G13*$D1027-'Business Case'!G14*$E1027)-MAX(0,(('Business Case'!G11*$C1027*'Business Case'!G12*$B1027)-'Business Case'!G11*$C1027*'Business Case'!G13*$D1027-'Business Case'!G14*$E1027))*'Business Case'!$B$7-'Business Case'!$B$8*(('Business Case'!G11*$C1027*'Business Case'!G12*$B1027)-('Business Case'!F11*$C1027*'Business Case'!F12*$B1027))-'Business Case'!G15*$F1027+'Business Case'!$B$8*('Business Case'!G11*$C1027*'Business Case'!G12*$B1027)</f>
        <v>830698299.475255</v>
      </c>
      <c r="N1027" s="39" t="n">
        <f aca="false">IF(COUNT('Business Case'!B11:G11)=0,"",H1027+NPV(G1027,I1027:M1027))</f>
        <v>-710718054.325682</v>
      </c>
      <c r="P1027" s="40" t="n">
        <f aca="true">RAND()</f>
        <v>0.234260753281295</v>
      </c>
      <c r="Q1027" s="40" t="n">
        <f aca="true">RAND()</f>
        <v>0.798457916317396</v>
      </c>
      <c r="R1027" s="40" t="n">
        <f aca="true">RAND()</f>
        <v>0.756486435399874</v>
      </c>
      <c r="S1027" s="40" t="n">
        <f aca="true">RAND()</f>
        <v>0.974055243792866</v>
      </c>
      <c r="T1027" s="40" t="n">
        <f aca="true">RAND()</f>
        <v>0.687764400515271</v>
      </c>
      <c r="U1027" s="40" t="n">
        <f aca="true">RAND()</f>
        <v>0.251703694356933</v>
      </c>
    </row>
    <row r="1028" customFormat="false" ht="15" hidden="false" customHeight="false" outlineLevel="0" collapsed="false">
      <c r="A1028" s="36" t="n">
        <v>948</v>
      </c>
      <c r="B1028" s="37" t="n">
        <f aca="false">1+IF($G$6=$E$6,$F$6,IF(P1028&lt;($F$6-$E$6)/($G$6-$E$6),$E$6+SQRT(P1028*($G$6-$E$6)*($F$6-$E$6)),$G$6-SQRT((1-P1028)*($G$6-$E$6)*($G$6-$F$6))))</f>
        <v>0.971819097706382</v>
      </c>
      <c r="C1028" s="37" t="n">
        <f aca="false">1+IF($G$7=$E$7,$F$7,IF(Q1028&lt;($F$7-$E$7)/($G$7-$E$7),$E$7+SQRT(Q1028*($G$7-$E$7)*($F$7-$E$7)),$G$7-SQRT((1-Q1028)*($G$7-$E$7)*($G$7-$F$7))))</f>
        <v>0.779914102758448</v>
      </c>
      <c r="D1028" s="37" t="n">
        <f aca="false">1+IF($G$8=$E$8,$F$8,IF(R1028&lt;($F$8-$E$8)/($G$8-$E$8),$E$8+SQRT(R1028*($G$8-$E$8)*($F$8-$E$8)),$G$8-SQRT((1-R1028)*($G$8-$E$8)*($G$8-$F$8))))</f>
        <v>1.00266490484608</v>
      </c>
      <c r="E1028" s="37" t="n">
        <f aca="false">1+IF($G$9=$E$9,$F$9,IF(S1028&lt;($F$9-$E$9)/($G$9-$E$9),$E$9+SQRT(S1028*($G$9-$E$9)*($F$9-$E$9)),$G$9-SQRT((1-S1028)*($G$9-$E$9)*($G$9-$F$9))))</f>
        <v>1.04424990490971</v>
      </c>
      <c r="F1028" s="37" t="n">
        <f aca="false">1+IF($G$10=$E$10,$F$10,IF(T1028&lt;($F$10-$E$10)/($G$10-$E$10),$E$10+SQRT(T1028*($G$10-$E$10)*($F$10-$E$10)),$G$10-SQRT((1-T1028)*($G$10-$E$10)*($G$10-$F$10))))</f>
        <v>1.05887448502773</v>
      </c>
      <c r="G1028" s="38" t="n">
        <f aca="false">IF($G$11=$E$11,$F$11,IF(U1028&lt;($F$11-$E$11)/($G$11-$E$11),$E$11+SQRT(U1028*($G$11-$E$11)*($F$11-$E$11)),$G$11-SQRT((1-U1028)*($G$11-$E$11)*($G$11-$F$11))))</f>
        <v>0.101258171327708</v>
      </c>
      <c r="H1028" s="39" t="n">
        <f aca="false">(('Business Case'!B11*$C1028*'Business Case'!B12*$B1028)-'Business Case'!B11*$C1028*'Business Case'!B13*$D1028-'Business Case'!B14*$E1028)-MAX(0,(('Business Case'!B11*$C1028*'Business Case'!B12*$B1028)-'Business Case'!B11*$C1028*'Business Case'!B13*$D1028-'Business Case'!B14*$E1028))*'Business Case'!$B$7-'Business Case'!$B$8*('Business Case'!B11*$C1028*'Business Case'!B12*$B1028)-'Business Case'!B15*$F1028</f>
        <v>-2117748970.05547</v>
      </c>
      <c r="I1028" s="39" t="n">
        <f aca="false">(('Business Case'!C11*$C1028*'Business Case'!C12*$B1028)-'Business Case'!C11*$C1028*'Business Case'!C13*$D1028-'Business Case'!C14*$E1028)-MAX(0,(('Business Case'!C11*$C1028*'Business Case'!C12*$B1028)-'Business Case'!C11*$C1028*'Business Case'!C13*$D1028-'Business Case'!C14*$E1028))*'Business Case'!$B$7-'Business Case'!$B$8*(('Business Case'!C11*$C1028*'Business Case'!C12*$B1028)-('Business Case'!B11*$C1028*'Business Case'!B12*$B1028))-'Business Case'!C15*$F1028</f>
        <v>-73185077.5172532</v>
      </c>
      <c r="J1028" s="39" t="n">
        <f aca="false">(('Business Case'!D11*$C1028*'Business Case'!D12*$B1028)-'Business Case'!D11*$C1028*'Business Case'!D13*$D1028-'Business Case'!D14*$E1028)-MAX(0,(('Business Case'!D11*$C1028*'Business Case'!D12*$B1028)-'Business Case'!D11*$C1028*'Business Case'!D13*$D1028-'Business Case'!D14*$E1028))*'Business Case'!$B$7-'Business Case'!$B$8*(('Business Case'!D11*$C1028*'Business Case'!D12*$B1028)-('Business Case'!C11*$C1028*'Business Case'!C12*$B1028))-'Business Case'!D15*$F1028</f>
        <v>147301002.100108</v>
      </c>
      <c r="K1028" s="39" t="n">
        <f aca="false">(('Business Case'!E11*$C1028*'Business Case'!E12*$B1028)-'Business Case'!E11*$C1028*'Business Case'!E13*$D1028-'Business Case'!E14*$E1028)-MAX(0,(('Business Case'!E11*$C1028*'Business Case'!E12*$B1028)-'Business Case'!E11*$C1028*'Business Case'!E13*$D1028-'Business Case'!E14*$E1028))*'Business Case'!$B$7-'Business Case'!$B$8*(('Business Case'!E11*$C1028*'Business Case'!E12*$B1028)-('Business Case'!D11*$C1028*'Business Case'!D12*$B1028))-'Business Case'!E15*$F1028</f>
        <v>420730805.968857</v>
      </c>
      <c r="L1028" s="39" t="n">
        <f aca="false">(('Business Case'!F11*$C1028*'Business Case'!F12*$B1028)-'Business Case'!F11*$C1028*'Business Case'!F13*$D1028-'Business Case'!F14*$E1028)-MAX(0,(('Business Case'!F11*$C1028*'Business Case'!F12*$B1028)-'Business Case'!F11*$C1028*'Business Case'!F13*$D1028-'Business Case'!F14*$E1028))*'Business Case'!$B$7-'Business Case'!$B$8*(('Business Case'!F11*$C1028*'Business Case'!F12*$B1028)-('Business Case'!E11*$C1028*'Business Case'!E12*$B1028))-'Business Case'!F15*$F1028</f>
        <v>520420413.943765</v>
      </c>
      <c r="M1028" s="39" t="n">
        <f aca="false">(('Business Case'!G11*$C1028*'Business Case'!G12*$B1028)-'Business Case'!G11*$C1028*'Business Case'!G13*$D1028-'Business Case'!G14*$E1028)-MAX(0,(('Business Case'!G11*$C1028*'Business Case'!G12*$B1028)-'Business Case'!G11*$C1028*'Business Case'!G13*$D1028-'Business Case'!G14*$E1028))*'Business Case'!$B$7-'Business Case'!$B$8*(('Business Case'!G11*$C1028*'Business Case'!G12*$B1028)-('Business Case'!F11*$C1028*'Business Case'!F12*$B1028))-'Business Case'!G15*$F1028+'Business Case'!$B$8*('Business Case'!G11*$C1028*'Business Case'!G12*$B1028)</f>
        <v>664488778.507263</v>
      </c>
      <c r="N1028" s="39" t="n">
        <f aca="false">IF(COUNT('Business Case'!B11:G11)=0,"",H1028+NPV(G1028,I1028:M1028))</f>
        <v>-983651158.039249</v>
      </c>
      <c r="P1028" s="40" t="n">
        <f aca="true">RAND()</f>
        <v>0.343865519690586</v>
      </c>
      <c r="Q1028" s="40" t="n">
        <f aca="true">RAND()</f>
        <v>0.0473056579236127</v>
      </c>
      <c r="R1028" s="40" t="n">
        <f aca="true">RAND()</f>
        <v>0.368391950091825</v>
      </c>
      <c r="S1028" s="40" t="n">
        <f aca="true">RAND()</f>
        <v>0.701784463690501</v>
      </c>
      <c r="T1028" s="40" t="n">
        <f aca="true">RAND()</f>
        <v>0.512947167021146</v>
      </c>
      <c r="U1028" s="40" t="n">
        <f aca="true">RAND()</f>
        <v>0.449271523048403</v>
      </c>
    </row>
    <row r="1029" customFormat="false" ht="15" hidden="false" customHeight="false" outlineLevel="0" collapsed="false">
      <c r="A1029" s="36" t="n">
        <v>949</v>
      </c>
      <c r="B1029" s="37" t="n">
        <f aca="false">1+IF($G$6=$E$6,$F$6,IF(P1029&lt;($F$6-$E$6)/($G$6-$E$6),$E$6+SQRT(P1029*($G$6-$E$6)*($F$6-$E$6)),$G$6-SQRT((1-P1029)*($G$6-$E$6)*($G$6-$F$6))))</f>
        <v>0.986119595249923</v>
      </c>
      <c r="C1029" s="37" t="n">
        <f aca="false">1+IF($G$7=$E$7,$F$7,IF(Q1029&lt;($F$7-$E$7)/($G$7-$E$7),$E$7+SQRT(Q1029*($G$7-$E$7)*($F$7-$E$7)),$G$7-SQRT((1-Q1029)*($G$7-$E$7)*($G$7-$F$7))))</f>
        <v>1.05254034176886</v>
      </c>
      <c r="D1029" s="37" t="n">
        <f aca="false">1+IF($G$8=$E$8,$F$8,IF(R1029&lt;($F$8-$E$8)/($G$8-$E$8),$E$8+SQRT(R1029*($G$8-$E$8)*($F$8-$E$8)),$G$8-SQRT((1-R1029)*($G$8-$E$8)*($G$8-$F$8))))</f>
        <v>0.991684313185865</v>
      </c>
      <c r="E1029" s="37" t="n">
        <f aca="false">1+IF($G$9=$E$9,$F$9,IF(S1029&lt;($F$9-$E$9)/($G$9-$E$9),$E$9+SQRT(S1029*($G$9-$E$9)*($F$9-$E$9)),$G$9-SQRT((1-S1029)*($G$9-$E$9)*($G$9-$F$9))))</f>
        <v>1.09591150152502</v>
      </c>
      <c r="F1029" s="37" t="n">
        <f aca="false">1+IF($G$10=$E$10,$F$10,IF(T1029&lt;($F$10-$E$10)/($G$10-$E$10),$E$10+SQRT(T1029*($G$10-$E$10)*($F$10-$E$10)),$G$10-SQRT((1-T1029)*($G$10-$E$10)*($G$10-$F$10))))</f>
        <v>0.981842800031901</v>
      </c>
      <c r="G1029" s="38" t="n">
        <f aca="false">IF($G$11=$E$11,$F$11,IF(U1029&lt;($F$11-$E$11)/($G$11-$E$11),$E$11+SQRT(U1029*($G$11-$E$11)*($F$11-$E$11)),$G$11-SQRT((1-U1029)*($G$11-$E$11)*($G$11-$F$11))))</f>
        <v>0.0978279554146413</v>
      </c>
      <c r="H1029" s="39" t="n">
        <f aca="false">(('Business Case'!B11*$C1029*'Business Case'!B12*$B1029)-'Business Case'!B11*$C1029*'Business Case'!B13*$D1029-'Business Case'!B14*$E1029)-MAX(0,(('Business Case'!B11*$C1029*'Business Case'!B12*$B1029)-'Business Case'!B11*$C1029*'Business Case'!B13*$D1029-'Business Case'!B14*$E1029))*'Business Case'!$B$7-'Business Case'!$B$8*('Business Case'!B11*$C1029*'Business Case'!B12*$B1029)-'Business Case'!B15*$F1029</f>
        <v>-1963685600.0638</v>
      </c>
      <c r="I1029" s="39" t="n">
        <f aca="false">(('Business Case'!C11*$C1029*'Business Case'!C12*$B1029)-'Business Case'!C11*$C1029*'Business Case'!C13*$D1029-'Business Case'!C14*$E1029)-MAX(0,(('Business Case'!C11*$C1029*'Business Case'!C12*$B1029)-'Business Case'!C11*$C1029*'Business Case'!C13*$D1029-'Business Case'!C14*$E1029))*'Business Case'!$B$7-'Business Case'!$B$8*(('Business Case'!C11*$C1029*'Business Case'!C12*$B1029)-('Business Case'!B11*$C1029*'Business Case'!B12*$B1029))-'Business Case'!C15*$F1029</f>
        <v>7974894.50266101</v>
      </c>
      <c r="J1029" s="39" t="n">
        <f aca="false">(('Business Case'!D11*$C1029*'Business Case'!D12*$B1029)-'Business Case'!D11*$C1029*'Business Case'!D13*$D1029-'Business Case'!D14*$E1029)-MAX(0,(('Business Case'!D11*$C1029*'Business Case'!D12*$B1029)-'Business Case'!D11*$C1029*'Business Case'!D13*$D1029-'Business Case'!D14*$E1029))*'Business Case'!$B$7-'Business Case'!$B$8*(('Business Case'!D11*$C1029*'Business Case'!D12*$B1029)-('Business Case'!C11*$C1029*'Business Case'!C12*$B1029))-'Business Case'!D15*$F1029</f>
        <v>323779009.722526</v>
      </c>
      <c r="K1029" s="39" t="n">
        <f aca="false">(('Business Case'!E11*$C1029*'Business Case'!E12*$B1029)-'Business Case'!E11*$C1029*'Business Case'!E13*$D1029-'Business Case'!E14*$E1029)-MAX(0,(('Business Case'!E11*$C1029*'Business Case'!E12*$B1029)-'Business Case'!E11*$C1029*'Business Case'!E13*$D1029-'Business Case'!E14*$E1029))*'Business Case'!$B$7-'Business Case'!$B$8*(('Business Case'!E11*$C1029*'Business Case'!E12*$B1029)-('Business Case'!D11*$C1029*'Business Case'!D12*$B1029))-'Business Case'!E15*$F1029</f>
        <v>688675264.943986</v>
      </c>
      <c r="L1029" s="39" t="n">
        <f aca="false">(('Business Case'!F11*$C1029*'Business Case'!F12*$B1029)-'Business Case'!F11*$C1029*'Business Case'!F13*$D1029-'Business Case'!F14*$E1029)-MAX(0,(('Business Case'!F11*$C1029*'Business Case'!F12*$B1029)-'Business Case'!F11*$C1029*'Business Case'!F13*$D1029-'Business Case'!F14*$E1029))*'Business Case'!$B$7-'Business Case'!$B$8*(('Business Case'!F11*$C1029*'Business Case'!F12*$B1029)-('Business Case'!E11*$C1029*'Business Case'!E12*$B1029))-'Business Case'!F15*$F1029</f>
        <v>829814186.815378</v>
      </c>
      <c r="M1029" s="39" t="n">
        <f aca="false">(('Business Case'!G11*$C1029*'Business Case'!G12*$B1029)-'Business Case'!G11*$C1029*'Business Case'!G13*$D1029-'Business Case'!G14*$E1029)-MAX(0,(('Business Case'!G11*$C1029*'Business Case'!G12*$B1029)-'Business Case'!G11*$C1029*'Business Case'!G13*$D1029-'Business Case'!G14*$E1029))*'Business Case'!$B$7-'Business Case'!$B$8*(('Business Case'!G11*$C1029*'Business Case'!G12*$B1029)-('Business Case'!F11*$C1029*'Business Case'!F12*$B1029))-'Business Case'!G15*$F1029+'Business Case'!$B$8*('Business Case'!G11*$C1029*'Business Case'!G12*$B1029)</f>
        <v>1027104045.87161</v>
      </c>
      <c r="N1029" s="39" t="n">
        <f aca="false">IF(COUNT('Business Case'!B11:G11)=0,"",H1029+NPV(G1029,I1029:M1029))</f>
        <v>48071336.7961605</v>
      </c>
      <c r="P1029" s="40" t="n">
        <f aca="true">RAND()</f>
        <v>0.494438979067366</v>
      </c>
      <c r="Q1029" s="40" t="n">
        <f aca="true">RAND()</f>
        <v>0.859283185443989</v>
      </c>
      <c r="R1029" s="40" t="n">
        <f aca="true">RAND()</f>
        <v>0.231677595436967</v>
      </c>
      <c r="S1029" s="40" t="n">
        <f aca="true">RAND()</f>
        <v>0.921984915539267</v>
      </c>
      <c r="T1029" s="40" t="n">
        <f aca="true">RAND()</f>
        <v>0.0675975942581107</v>
      </c>
      <c r="U1029" s="40" t="n">
        <f aca="true">RAND()</f>
        <v>0.317835994266438</v>
      </c>
    </row>
    <row r="1030" customFormat="false" ht="15" hidden="false" customHeight="false" outlineLevel="0" collapsed="false">
      <c r="A1030" s="36" t="n">
        <v>950</v>
      </c>
      <c r="B1030" s="37" t="n">
        <f aca="false">1+IF($G$6=$E$6,$F$6,IF(P1030&lt;($F$6-$E$6)/($G$6-$E$6),$E$6+SQRT(P1030*($G$6-$E$6)*($F$6-$E$6)),$G$6-SQRT((1-P1030)*($G$6-$E$6)*($G$6-$F$6))))</f>
        <v>1.00319363010382</v>
      </c>
      <c r="C1030" s="37" t="n">
        <f aca="false">1+IF($G$7=$E$7,$F$7,IF(Q1030&lt;($F$7-$E$7)/($G$7-$E$7),$E$7+SQRT(Q1030*($G$7-$E$7)*($F$7-$E$7)),$G$7-SQRT((1-Q1030)*($G$7-$E$7)*($G$7-$F$7))))</f>
        <v>0.992238911007175</v>
      </c>
      <c r="D1030" s="37" t="n">
        <f aca="false">1+IF($G$8=$E$8,$F$8,IF(R1030&lt;($F$8-$E$8)/($G$8-$E$8),$E$8+SQRT(R1030*($G$8-$E$8)*($F$8-$E$8)),$G$8-SQRT((1-R1030)*($G$8-$E$8)*($G$8-$F$8))))</f>
        <v>0.987271397171702</v>
      </c>
      <c r="E1030" s="37" t="n">
        <f aca="false">1+IF($G$9=$E$9,$F$9,IF(S1030&lt;($F$9-$E$9)/($G$9-$E$9),$E$9+SQRT(S1030*($G$9-$E$9)*($F$9-$E$9)),$G$9-SQRT((1-S1030)*($G$9-$E$9)*($G$9-$F$9))))</f>
        <v>0.987395767212986</v>
      </c>
      <c r="F1030" s="37" t="n">
        <f aca="false">1+IF($G$10=$E$10,$F$10,IF(T1030&lt;($F$10-$E$10)/($G$10-$E$10),$E$10+SQRT(T1030*($G$10-$E$10)*($F$10-$E$10)),$G$10-SQRT((1-T1030)*($G$10-$E$10)*($G$10-$F$10))))</f>
        <v>1.21793026973888</v>
      </c>
      <c r="G1030" s="38" t="n">
        <f aca="false">IF($G$11=$E$11,$F$11,IF(U1030&lt;($F$11-$E$11)/($G$11-$E$11),$E$11+SQRT(U1030*($G$11-$E$11)*($F$11-$E$11)),$G$11-SQRT((1-U1030)*($G$11-$E$11)*($G$11-$F$11))))</f>
        <v>0.0877149240911121</v>
      </c>
      <c r="H1030" s="39" t="n">
        <f aca="false">(('Business Case'!B11*$C1030*'Business Case'!B12*$B1030)-'Business Case'!B11*$C1030*'Business Case'!B13*$D1030-'Business Case'!B14*$E1030)-MAX(0,(('Business Case'!B11*$C1030*'Business Case'!B12*$B1030)-'Business Case'!B11*$C1030*'Business Case'!B13*$D1030-'Business Case'!B14*$E1030))*'Business Case'!$B$7-'Business Case'!$B$8*('Business Case'!B11*$C1030*'Business Case'!B12*$B1030)-'Business Case'!B15*$F1030</f>
        <v>-2435860539.47775</v>
      </c>
      <c r="I1030" s="39" t="n">
        <f aca="false">(('Business Case'!C11*$C1030*'Business Case'!C12*$B1030)-'Business Case'!C11*$C1030*'Business Case'!C13*$D1030-'Business Case'!C14*$E1030)-MAX(0,(('Business Case'!C11*$C1030*'Business Case'!C12*$B1030)-'Business Case'!C11*$C1030*'Business Case'!C13*$D1030-'Business Case'!C14*$E1030))*'Business Case'!$B$7-'Business Case'!$B$8*(('Business Case'!C11*$C1030*'Business Case'!C12*$B1030)-('Business Case'!B11*$C1030*'Business Case'!B12*$B1030))-'Business Case'!C15*$F1030</f>
        <v>26489.2379506975</v>
      </c>
      <c r="J1030" s="39" t="n">
        <f aca="false">(('Business Case'!D11*$C1030*'Business Case'!D12*$B1030)-'Business Case'!D11*$C1030*'Business Case'!D13*$D1030-'Business Case'!D14*$E1030)-MAX(0,(('Business Case'!D11*$C1030*'Business Case'!D12*$B1030)-'Business Case'!D11*$C1030*'Business Case'!D13*$D1030-'Business Case'!D14*$E1030))*'Business Case'!$B$7-'Business Case'!$B$8*(('Business Case'!D11*$C1030*'Business Case'!D12*$B1030)-('Business Case'!C11*$C1030*'Business Case'!C12*$B1030))-'Business Case'!D15*$F1030</f>
        <v>313855621.56997</v>
      </c>
      <c r="K1030" s="39" t="n">
        <f aca="false">(('Business Case'!E11*$C1030*'Business Case'!E12*$B1030)-'Business Case'!E11*$C1030*'Business Case'!E13*$D1030-'Business Case'!E14*$E1030)-MAX(0,(('Business Case'!E11*$C1030*'Business Case'!E12*$B1030)-'Business Case'!E11*$C1030*'Business Case'!E13*$D1030-'Business Case'!E14*$E1030))*'Business Case'!$B$7-'Business Case'!$B$8*(('Business Case'!E11*$C1030*'Business Case'!E12*$B1030)-('Business Case'!D11*$C1030*'Business Case'!D12*$B1030))-'Business Case'!E15*$F1030</f>
        <v>688581267.388933</v>
      </c>
      <c r="L1030" s="39" t="n">
        <f aca="false">(('Business Case'!F11*$C1030*'Business Case'!F12*$B1030)-'Business Case'!F11*$C1030*'Business Case'!F13*$D1030-'Business Case'!F14*$E1030)-MAX(0,(('Business Case'!F11*$C1030*'Business Case'!F12*$B1030)-'Business Case'!F11*$C1030*'Business Case'!F13*$D1030-'Business Case'!F14*$E1030))*'Business Case'!$B$7-'Business Case'!$B$8*(('Business Case'!F11*$C1030*'Business Case'!F12*$B1030)-('Business Case'!E11*$C1030*'Business Case'!E12*$B1030))-'Business Case'!F15*$F1030</f>
        <v>827592270.181269</v>
      </c>
      <c r="M1030" s="39" t="n">
        <f aca="false">(('Business Case'!G11*$C1030*'Business Case'!G12*$B1030)-'Business Case'!G11*$C1030*'Business Case'!G13*$D1030-'Business Case'!G14*$E1030)-MAX(0,(('Business Case'!G11*$C1030*'Business Case'!G12*$B1030)-'Business Case'!G11*$C1030*'Business Case'!G13*$D1030-'Business Case'!G14*$E1030))*'Business Case'!$B$7-'Business Case'!$B$8*(('Business Case'!G11*$C1030*'Business Case'!G12*$B1030)-('Business Case'!F11*$C1030*'Business Case'!F12*$B1030))-'Business Case'!G15*$F1030+'Business Case'!$B$8*('Business Case'!G11*$C1030*'Business Case'!G12*$B1030)</f>
        <v>1016799376.26375</v>
      </c>
      <c r="N1030" s="39" t="n">
        <f aca="false">IF(COUNT('Business Case'!B11:G11)=0,"",H1030+NPV(G1030,I1030:M1030))</f>
        <v>-376439805.418514</v>
      </c>
      <c r="P1030" s="40" t="n">
        <f aca="true">RAND()</f>
        <v>0.707888498285557</v>
      </c>
      <c r="Q1030" s="40" t="n">
        <f aca="true">RAND()</f>
        <v>0.632619119308588</v>
      </c>
      <c r="R1030" s="40" t="n">
        <f aca="true">RAND()</f>
        <v>0.185220939617438</v>
      </c>
      <c r="S1030" s="40" t="n">
        <f aca="true">RAND()</f>
        <v>0.30552080506986</v>
      </c>
      <c r="T1030" s="40" t="n">
        <f aca="true">RAND()</f>
        <v>0.986287098679718</v>
      </c>
      <c r="U1030" s="40" t="n">
        <f aca="true">RAND()</f>
        <v>0.059520053731622</v>
      </c>
    </row>
    <row r="1031" customFormat="false" ht="15" hidden="false" customHeight="false" outlineLevel="0" collapsed="false">
      <c r="A1031" s="36" t="n">
        <v>951</v>
      </c>
      <c r="B1031" s="37" t="n">
        <f aca="false">1+IF($G$6=$E$6,$F$6,IF(P1031&lt;($F$6-$E$6)/($G$6-$E$6),$E$6+SQRT(P1031*($G$6-$E$6)*($F$6-$E$6)),$G$6-SQRT((1-P1031)*($G$6-$E$6)*($G$6-$F$6))))</f>
        <v>1.02165747623319</v>
      </c>
      <c r="C1031" s="37" t="n">
        <f aca="false">1+IF($G$7=$E$7,$F$7,IF(Q1031&lt;($F$7-$E$7)/($G$7-$E$7),$E$7+SQRT(Q1031*($G$7-$E$7)*($F$7-$E$7)),$G$7-SQRT((1-Q1031)*($G$7-$E$7)*($G$7-$F$7))))</f>
        <v>1.02492398619036</v>
      </c>
      <c r="D1031" s="37" t="n">
        <f aca="false">1+IF($G$8=$E$8,$F$8,IF(R1031&lt;($F$8-$E$8)/($G$8-$E$8),$E$8+SQRT(R1031*($G$8-$E$8)*($F$8-$E$8)),$G$8-SQRT((1-R1031)*($G$8-$E$8)*($G$8-$F$8))))</f>
        <v>1.06593677306604</v>
      </c>
      <c r="E1031" s="37" t="n">
        <f aca="false">1+IF($G$9=$E$9,$F$9,IF(S1031&lt;($F$9-$E$9)/($G$9-$E$9),$E$9+SQRT(S1031*($G$9-$E$9)*($F$9-$E$9)),$G$9-SQRT((1-S1031)*($G$9-$E$9)*($G$9-$F$9))))</f>
        <v>1.04049633767821</v>
      </c>
      <c r="F1031" s="37" t="n">
        <f aca="false">1+IF($G$10=$E$10,$F$10,IF(T1031&lt;($F$10-$E$10)/($G$10-$E$10),$E$10+SQRT(T1031*($G$10-$E$10)*($F$10-$E$10)),$G$10-SQRT((1-T1031)*($G$10-$E$10)*($G$10-$F$10))))</f>
        <v>1.09665226338345</v>
      </c>
      <c r="G1031" s="38" t="n">
        <f aca="false">IF($G$11=$E$11,$F$11,IF(U1031&lt;($F$11-$E$11)/($G$11-$E$11),$E$11+SQRT(U1031*($G$11-$E$11)*($F$11-$E$11)),$G$11-SQRT((1-U1031)*($G$11-$E$11)*($G$11-$F$11))))</f>
        <v>0.105314717394234</v>
      </c>
      <c r="H1031" s="39" t="n">
        <f aca="false">(('Business Case'!B11*$C1031*'Business Case'!B12*$B1031)-'Business Case'!B11*$C1031*'Business Case'!B13*$D1031-'Business Case'!B14*$E1031)-MAX(0,(('Business Case'!B11*$C1031*'Business Case'!B12*$B1031)-'Business Case'!B11*$C1031*'Business Case'!B13*$D1031-'Business Case'!B14*$E1031))*'Business Case'!$B$7-'Business Case'!$B$8*('Business Case'!B11*$C1031*'Business Case'!B12*$B1031)-'Business Case'!B15*$F1031</f>
        <v>-2193304526.7669</v>
      </c>
      <c r="I1031" s="39" t="n">
        <f aca="false">(('Business Case'!C11*$C1031*'Business Case'!C12*$B1031)-'Business Case'!C11*$C1031*'Business Case'!C13*$D1031-'Business Case'!C14*$E1031)-MAX(0,(('Business Case'!C11*$C1031*'Business Case'!C12*$B1031)-'Business Case'!C11*$C1031*'Business Case'!C13*$D1031-'Business Case'!C14*$E1031))*'Business Case'!$B$7-'Business Case'!$B$8*(('Business Case'!C11*$C1031*'Business Case'!C12*$B1031)-('Business Case'!B11*$C1031*'Business Case'!B12*$B1031))-'Business Case'!C15*$F1031</f>
        <v>-13513605.2301213</v>
      </c>
      <c r="J1031" s="39" t="n">
        <f aca="false">(('Business Case'!D11*$C1031*'Business Case'!D12*$B1031)-'Business Case'!D11*$C1031*'Business Case'!D13*$D1031-'Business Case'!D14*$E1031)-MAX(0,(('Business Case'!D11*$C1031*'Business Case'!D12*$B1031)-'Business Case'!D11*$C1031*'Business Case'!D13*$D1031-'Business Case'!D14*$E1031))*'Business Case'!$B$7-'Business Case'!$B$8*(('Business Case'!D11*$C1031*'Business Case'!D12*$B1031)-('Business Case'!C11*$C1031*'Business Case'!C12*$B1031))-'Business Case'!D15*$F1031</f>
        <v>284879360.854684</v>
      </c>
      <c r="K1031" s="39" t="n">
        <f aca="false">(('Business Case'!E11*$C1031*'Business Case'!E12*$B1031)-'Business Case'!E11*$C1031*'Business Case'!E13*$D1031-'Business Case'!E14*$E1031)-MAX(0,(('Business Case'!E11*$C1031*'Business Case'!E12*$B1031)-'Business Case'!E11*$C1031*'Business Case'!E13*$D1031-'Business Case'!E14*$E1031))*'Business Case'!$B$7-'Business Case'!$B$8*(('Business Case'!E11*$C1031*'Business Case'!E12*$B1031)-('Business Case'!D11*$C1031*'Business Case'!D12*$B1031))-'Business Case'!E15*$F1031</f>
        <v>638104940.108662</v>
      </c>
      <c r="L1031" s="39" t="n">
        <f aca="false">(('Business Case'!F11*$C1031*'Business Case'!F12*$B1031)-'Business Case'!F11*$C1031*'Business Case'!F13*$D1031-'Business Case'!F14*$E1031)-MAX(0,(('Business Case'!F11*$C1031*'Business Case'!F12*$B1031)-'Business Case'!F11*$C1031*'Business Case'!F13*$D1031-'Business Case'!F14*$E1031))*'Business Case'!$B$7-'Business Case'!$B$8*(('Business Case'!F11*$C1031*'Business Case'!F12*$B1031)-('Business Case'!E11*$C1031*'Business Case'!E12*$B1031))-'Business Case'!F15*$F1031</f>
        <v>773757772.642757</v>
      </c>
      <c r="M1031" s="39" t="n">
        <f aca="false">(('Business Case'!G11*$C1031*'Business Case'!G12*$B1031)-'Business Case'!G11*$C1031*'Business Case'!G13*$D1031-'Business Case'!G14*$E1031)-MAX(0,(('Business Case'!G11*$C1031*'Business Case'!G12*$B1031)-'Business Case'!G11*$C1031*'Business Case'!G13*$D1031-'Business Case'!G14*$E1031))*'Business Case'!$B$7-'Business Case'!$B$8*(('Business Case'!G11*$C1031*'Business Case'!G12*$B1031)-('Business Case'!F11*$C1031*'Business Case'!F12*$B1031))-'Business Case'!G15*$F1031+'Business Case'!$B$8*('Business Case'!G11*$C1031*'Business Case'!G12*$B1031)</f>
        <v>972794580.424803</v>
      </c>
      <c r="N1031" s="39" t="n">
        <f aca="false">IF(COUNT('Business Case'!B11:G11)=0,"",H1031+NPV(G1031,I1031:M1031))</f>
        <v>-391774932.717135</v>
      </c>
      <c r="P1031" s="40" t="n">
        <f aca="true">RAND()</f>
        <v>0.892893512870392</v>
      </c>
      <c r="Q1031" s="40" t="n">
        <f aca="true">RAND()</f>
        <v>0.768236900288762</v>
      </c>
      <c r="R1031" s="40" t="n">
        <f aca="true">RAND()</f>
        <v>0.922646438056361</v>
      </c>
      <c r="S1031" s="40" t="n">
        <f aca="true">RAND()</f>
        <v>0.680238611683097</v>
      </c>
      <c r="T1031" s="40" t="n">
        <f aca="true">RAND()</f>
        <v>0.686459622327748</v>
      </c>
      <c r="U1031" s="40" t="n">
        <f aca="true">RAND()</f>
        <v>0.593757881782319</v>
      </c>
    </row>
    <row r="1032" customFormat="false" ht="15" hidden="false" customHeight="false" outlineLevel="0" collapsed="false">
      <c r="A1032" s="36" t="n">
        <v>952</v>
      </c>
      <c r="B1032" s="37" t="n">
        <f aca="false">1+IF($G$6=$E$6,$F$6,IF(P1032&lt;($F$6-$E$6)/($G$6-$E$6),$E$6+SQRT(P1032*($G$6-$E$6)*($F$6-$E$6)),$G$6-SQRT((1-P1032)*($G$6-$E$6)*($G$6-$F$6))))</f>
        <v>0.944956602532254</v>
      </c>
      <c r="C1032" s="37" t="n">
        <f aca="false">1+IF($G$7=$E$7,$F$7,IF(Q1032&lt;($F$7-$E$7)/($G$7-$E$7),$E$7+SQRT(Q1032*($G$7-$E$7)*($F$7-$E$7)),$G$7-SQRT((1-Q1032)*($G$7-$E$7)*($G$7-$F$7))))</f>
        <v>1.1318299894759</v>
      </c>
      <c r="D1032" s="37" t="n">
        <f aca="false">1+IF($G$8=$E$8,$F$8,IF(R1032&lt;($F$8-$E$8)/($G$8-$E$8),$E$8+SQRT(R1032*($G$8-$E$8)*($F$8-$E$8)),$G$8-SQRT((1-R1032)*($G$8-$E$8)*($G$8-$F$8))))</f>
        <v>1.03113436451109</v>
      </c>
      <c r="E1032" s="37" t="n">
        <f aca="false">1+IF($G$9=$E$9,$F$9,IF(S1032&lt;($F$9-$E$9)/($G$9-$E$9),$E$9+SQRT(S1032*($G$9-$E$9)*($F$9-$E$9)),$G$9-SQRT((1-S1032)*($G$9-$E$9)*($G$9-$F$9))))</f>
        <v>0.993352233858282</v>
      </c>
      <c r="F1032" s="37" t="n">
        <f aca="false">1+IF($G$10=$E$10,$F$10,IF(T1032&lt;($F$10-$E$10)/($G$10-$E$10),$E$10+SQRT(T1032*($G$10-$E$10)*($F$10-$E$10)),$G$10-SQRT((1-T1032)*($G$10-$E$10)*($G$10-$F$10))))</f>
        <v>1.19784086130555</v>
      </c>
      <c r="G1032" s="38" t="n">
        <f aca="false">IF($G$11=$E$11,$F$11,IF(U1032&lt;($F$11-$E$11)/($G$11-$E$11),$E$11+SQRT(U1032*($G$11-$E$11)*($F$11-$E$11)),$G$11-SQRT((1-U1032)*($G$11-$E$11)*($G$11-$F$11))))</f>
        <v>0.115484077979515</v>
      </c>
      <c r="H1032" s="39" t="n">
        <f aca="false">(('Business Case'!B11*$C1032*'Business Case'!B12*$B1032)-'Business Case'!B11*$C1032*'Business Case'!B13*$D1032-'Business Case'!B14*$E1032)-MAX(0,(('Business Case'!B11*$C1032*'Business Case'!B12*$B1032)-'Business Case'!B11*$C1032*'Business Case'!B13*$D1032-'Business Case'!B14*$E1032))*'Business Case'!$B$7-'Business Case'!$B$8*('Business Case'!B11*$C1032*'Business Case'!B12*$B1032)-'Business Case'!B15*$F1032</f>
        <v>-2395681722.61111</v>
      </c>
      <c r="I1032" s="39" t="n">
        <f aca="false">(('Business Case'!C11*$C1032*'Business Case'!C12*$B1032)-'Business Case'!C11*$C1032*'Business Case'!C13*$D1032-'Business Case'!C14*$E1032)-MAX(0,(('Business Case'!C11*$C1032*'Business Case'!C12*$B1032)-'Business Case'!C11*$C1032*'Business Case'!C13*$D1032-'Business Case'!C14*$E1032))*'Business Case'!$B$7-'Business Case'!$B$8*(('Business Case'!C11*$C1032*'Business Case'!C12*$B1032)-('Business Case'!B11*$C1032*'Business Case'!B12*$B1032))-'Business Case'!C15*$F1032</f>
        <v>-37906821.4097297</v>
      </c>
      <c r="J1032" s="39" t="n">
        <f aca="false">(('Business Case'!D11*$C1032*'Business Case'!D12*$B1032)-'Business Case'!D11*$C1032*'Business Case'!D13*$D1032-'Business Case'!D14*$E1032)-MAX(0,(('Business Case'!D11*$C1032*'Business Case'!D12*$B1032)-'Business Case'!D11*$C1032*'Business Case'!D13*$D1032-'Business Case'!D14*$E1032))*'Business Case'!$B$7-'Business Case'!$B$8*(('Business Case'!D11*$C1032*'Business Case'!D12*$B1032)-('Business Case'!C11*$C1032*'Business Case'!C12*$B1032))-'Business Case'!D15*$F1032</f>
        <v>240669577.648266</v>
      </c>
      <c r="K1032" s="39" t="n">
        <f aca="false">(('Business Case'!E11*$C1032*'Business Case'!E12*$B1032)-'Business Case'!E11*$C1032*'Business Case'!E13*$D1032-'Business Case'!E14*$E1032)-MAX(0,(('Business Case'!E11*$C1032*'Business Case'!E12*$B1032)-'Business Case'!E11*$C1032*'Business Case'!E13*$D1032-'Business Case'!E14*$E1032))*'Business Case'!$B$7-'Business Case'!$B$8*(('Business Case'!E11*$C1032*'Business Case'!E12*$B1032)-('Business Case'!D11*$C1032*'Business Case'!D12*$B1032))-'Business Case'!E15*$F1032</f>
        <v>579138019.771539</v>
      </c>
      <c r="L1032" s="39" t="n">
        <f aca="false">(('Business Case'!F11*$C1032*'Business Case'!F12*$B1032)-'Business Case'!F11*$C1032*'Business Case'!F13*$D1032-'Business Case'!F14*$E1032)-MAX(0,(('Business Case'!F11*$C1032*'Business Case'!F12*$B1032)-'Business Case'!F11*$C1032*'Business Case'!F13*$D1032-'Business Case'!F14*$E1032))*'Business Case'!$B$7-'Business Case'!$B$8*(('Business Case'!F11*$C1032*'Business Case'!F12*$B1032)-('Business Case'!E11*$C1032*'Business Case'!E12*$B1032))-'Business Case'!F15*$F1032</f>
        <v>708959783.912552</v>
      </c>
      <c r="M1032" s="39" t="n">
        <f aca="false">(('Business Case'!G11*$C1032*'Business Case'!G12*$B1032)-'Business Case'!G11*$C1032*'Business Case'!G13*$D1032-'Business Case'!G14*$E1032)-MAX(0,(('Business Case'!G11*$C1032*'Business Case'!G12*$B1032)-'Business Case'!G11*$C1032*'Business Case'!G13*$D1032-'Business Case'!G14*$E1032))*'Business Case'!$B$7-'Business Case'!$B$8*(('Business Case'!G11*$C1032*'Business Case'!G12*$B1032)-('Business Case'!F11*$C1032*'Business Case'!F12*$B1032))-'Business Case'!G15*$F1032+'Business Case'!$B$8*('Business Case'!G11*$C1032*'Business Case'!G12*$B1032)</f>
        <v>912256088.415133</v>
      </c>
      <c r="N1032" s="39" t="n">
        <f aca="false">IF(COUNT('Business Case'!B11:G11)=0,"",H1032+NPV(G1032,I1032:M1032))</f>
        <v>-832902295.780817</v>
      </c>
      <c r="P1032" s="40" t="n">
        <f aca="true">RAND()</f>
        <v>0.134739740749539</v>
      </c>
      <c r="Q1032" s="40" t="n">
        <f aca="true">RAND()</f>
        <v>0.995108899519322</v>
      </c>
      <c r="R1032" s="40" t="n">
        <f aca="true">RAND()</f>
        <v>0.683834949913878</v>
      </c>
      <c r="S1032" s="40" t="n">
        <f aca="true">RAND()</f>
        <v>0.348585582653258</v>
      </c>
      <c r="T1032" s="40" t="n">
        <f aca="true">RAND()</f>
        <v>0.96372565667538</v>
      </c>
      <c r="U1032" s="40" t="n">
        <f aca="true">RAND()</f>
        <v>0.859525338596808</v>
      </c>
    </row>
    <row r="1033" customFormat="false" ht="15" hidden="false" customHeight="false" outlineLevel="0" collapsed="false">
      <c r="A1033" s="36" t="n">
        <v>953</v>
      </c>
      <c r="B1033" s="37" t="n">
        <f aca="false">1+IF($G$6=$E$6,$F$6,IF(P1033&lt;($F$6-$E$6)/($G$6-$E$6),$E$6+SQRT(P1033*($G$6-$E$6)*($F$6-$E$6)),$G$6-SQRT((1-P1033)*($G$6-$E$6)*($G$6-$F$6))))</f>
        <v>1.0161544950072</v>
      </c>
      <c r="C1033" s="37" t="n">
        <f aca="false">1+IF($G$7=$E$7,$F$7,IF(Q1033&lt;($F$7-$E$7)/($G$7-$E$7),$E$7+SQRT(Q1033*($G$7-$E$7)*($F$7-$E$7)),$G$7-SQRT((1-Q1033)*($G$7-$E$7)*($G$7-$F$7))))</f>
        <v>0.983399122762523</v>
      </c>
      <c r="D1033" s="37" t="n">
        <f aca="false">1+IF($G$8=$E$8,$F$8,IF(R1033&lt;($F$8-$E$8)/($G$8-$E$8),$E$8+SQRT(R1033*($G$8-$E$8)*($F$8-$E$8)),$G$8-SQRT((1-R1033)*($G$8-$E$8)*($G$8-$F$8))))</f>
        <v>0.959043419142683</v>
      </c>
      <c r="E1033" s="37" t="n">
        <f aca="false">1+IF($G$9=$E$9,$F$9,IF(S1033&lt;($F$9-$E$9)/($G$9-$E$9),$E$9+SQRT(S1033*($G$9-$E$9)*($F$9-$E$9)),$G$9-SQRT((1-S1033)*($G$9-$E$9)*($G$9-$F$9))))</f>
        <v>0.953657991005785</v>
      </c>
      <c r="F1033" s="37" t="n">
        <f aca="false">1+IF($G$10=$E$10,$F$10,IF(T1033&lt;($F$10-$E$10)/($G$10-$E$10),$E$10+SQRT(T1033*($G$10-$E$10)*($F$10-$E$10)),$G$10-SQRT((1-T1033)*($G$10-$E$10)*($G$10-$F$10))))</f>
        <v>1.13142517138227</v>
      </c>
      <c r="G1033" s="38" t="n">
        <f aca="false">IF($G$11=$E$11,$F$11,IF(U1033&lt;($F$11-$E$11)/($G$11-$E$11),$E$11+SQRT(U1033*($G$11-$E$11)*($F$11-$E$11)),$G$11-SQRT((1-U1033)*($G$11-$E$11)*($G$11-$F$11))))</f>
        <v>0.114265706265138</v>
      </c>
      <c r="H1033" s="39" t="n">
        <f aca="false">(('Business Case'!B11*$C1033*'Business Case'!B12*$B1033)-'Business Case'!B11*$C1033*'Business Case'!B13*$D1033-'Business Case'!B14*$E1033)-MAX(0,(('Business Case'!B11*$C1033*'Business Case'!B12*$B1033)-'Business Case'!B11*$C1033*'Business Case'!B13*$D1033-'Business Case'!B14*$E1033))*'Business Case'!$B$7-'Business Case'!$B$8*('Business Case'!B11*$C1033*'Business Case'!B12*$B1033)-'Business Case'!B15*$F1033</f>
        <v>-2262850342.76453</v>
      </c>
      <c r="I1033" s="39" t="n">
        <f aca="false">(('Business Case'!C11*$C1033*'Business Case'!C12*$B1033)-'Business Case'!C11*$C1033*'Business Case'!C13*$D1033-'Business Case'!C14*$E1033)-MAX(0,(('Business Case'!C11*$C1033*'Business Case'!C12*$B1033)-'Business Case'!C11*$C1033*'Business Case'!C13*$D1033-'Business Case'!C14*$E1033))*'Business Case'!$B$7-'Business Case'!$B$8*(('Business Case'!C11*$C1033*'Business Case'!C12*$B1033)-('Business Case'!B11*$C1033*'Business Case'!B12*$B1033))-'Business Case'!C15*$F1033</f>
        <v>35127834.234844</v>
      </c>
      <c r="J1033" s="39" t="n">
        <f aca="false">(('Business Case'!D11*$C1033*'Business Case'!D12*$B1033)-'Business Case'!D11*$C1033*'Business Case'!D13*$D1033-'Business Case'!D14*$E1033)-MAX(0,(('Business Case'!D11*$C1033*'Business Case'!D12*$B1033)-'Business Case'!D11*$C1033*'Business Case'!D13*$D1033-'Business Case'!D14*$E1033))*'Business Case'!$B$7-'Business Case'!$B$8*(('Business Case'!D11*$C1033*'Business Case'!D12*$B1033)-('Business Case'!C11*$C1033*'Business Case'!C12*$B1033))-'Business Case'!D15*$F1033</f>
        <v>370811309.085727</v>
      </c>
      <c r="K1033" s="39" t="n">
        <f aca="false">(('Business Case'!E11*$C1033*'Business Case'!E12*$B1033)-'Business Case'!E11*$C1033*'Business Case'!E13*$D1033-'Business Case'!E14*$E1033)-MAX(0,(('Business Case'!E11*$C1033*'Business Case'!E12*$B1033)-'Business Case'!E11*$C1033*'Business Case'!E13*$D1033-'Business Case'!E14*$E1033))*'Business Case'!$B$7-'Business Case'!$B$8*(('Business Case'!E11*$C1033*'Business Case'!E12*$B1033)-('Business Case'!D11*$C1033*'Business Case'!D12*$B1033))-'Business Case'!E15*$F1033</f>
        <v>763066042.505722</v>
      </c>
      <c r="L1033" s="39" t="n">
        <f aca="false">(('Business Case'!F11*$C1033*'Business Case'!F12*$B1033)-'Business Case'!F11*$C1033*'Business Case'!F13*$D1033-'Business Case'!F14*$E1033)-MAX(0,(('Business Case'!F11*$C1033*'Business Case'!F12*$B1033)-'Business Case'!F11*$C1033*'Business Case'!F13*$D1033-'Business Case'!F14*$E1033))*'Business Case'!$B$7-'Business Case'!$B$8*(('Business Case'!F11*$C1033*'Business Case'!F12*$B1033)-('Business Case'!E11*$C1033*'Business Case'!E12*$B1033))-'Business Case'!F15*$F1033</f>
        <v>909495838.893876</v>
      </c>
      <c r="M1033" s="39" t="n">
        <f aca="false">(('Business Case'!G11*$C1033*'Business Case'!G12*$B1033)-'Business Case'!G11*$C1033*'Business Case'!G13*$D1033-'Business Case'!G14*$E1033)-MAX(0,(('Business Case'!G11*$C1033*'Business Case'!G12*$B1033)-'Business Case'!G11*$C1033*'Business Case'!G13*$D1033-'Business Case'!G14*$E1033))*'Business Case'!$B$7-'Business Case'!$B$8*(('Business Case'!G11*$C1033*'Business Case'!G12*$B1033)-('Business Case'!F11*$C1033*'Business Case'!F12*$B1033))-'Business Case'!G15*$F1033+'Business Case'!$B$8*('Business Case'!G11*$C1033*'Business Case'!G12*$B1033)</f>
        <v>1099440015.13544</v>
      </c>
      <c r="N1033" s="39" t="n">
        <f aca="false">IF(COUNT('Business Case'!B11:G11)=0,"",H1033+NPV(G1033,I1033:M1033))</f>
        <v>-151040280.025602</v>
      </c>
      <c r="P1033" s="40" t="n">
        <f aca="true">RAND()</f>
        <v>0.847264238904327</v>
      </c>
      <c r="Q1033" s="40" t="n">
        <f aca="true">RAND()</f>
        <v>0.594926390981982</v>
      </c>
      <c r="R1033" s="40" t="n">
        <f aca="true">RAND()</f>
        <v>0.0109044573053665</v>
      </c>
      <c r="S1033" s="40" t="n">
        <f aca="true">RAND()</f>
        <v>0.115167199951077</v>
      </c>
      <c r="T1033" s="40" t="n">
        <f aca="true">RAND()</f>
        <v>0.812533466910334</v>
      </c>
      <c r="U1033" s="40" t="n">
        <f aca="true">RAND()</f>
        <v>0.834954667110048</v>
      </c>
    </row>
    <row r="1034" customFormat="false" ht="15" hidden="false" customHeight="false" outlineLevel="0" collapsed="false">
      <c r="A1034" s="36" t="n">
        <v>954</v>
      </c>
      <c r="B1034" s="37" t="n">
        <f aca="false">1+IF($G$6=$E$6,$F$6,IF(P1034&lt;($F$6-$E$6)/($G$6-$E$6),$E$6+SQRT(P1034*($G$6-$E$6)*($F$6-$E$6)),$G$6-SQRT((1-P1034)*($G$6-$E$6)*($G$6-$F$6))))</f>
        <v>0.996190639105001</v>
      </c>
      <c r="C1034" s="37" t="n">
        <f aca="false">1+IF($G$7=$E$7,$F$7,IF(Q1034&lt;($F$7-$E$7)/($G$7-$E$7),$E$7+SQRT(Q1034*($G$7-$E$7)*($F$7-$E$7)),$G$7-SQRT((1-Q1034)*($G$7-$E$7)*($G$7-$F$7))))</f>
        <v>0.894906511906905</v>
      </c>
      <c r="D1034" s="37" t="n">
        <f aca="false">1+IF($G$8=$E$8,$F$8,IF(R1034&lt;($F$8-$E$8)/($G$8-$E$8),$E$8+SQRT(R1034*($G$8-$E$8)*($F$8-$E$8)),$G$8-SQRT((1-R1034)*($G$8-$E$8)*($G$8-$F$8))))</f>
        <v>1.0605820273154</v>
      </c>
      <c r="E1034" s="37" t="n">
        <f aca="false">1+IF($G$9=$E$9,$F$9,IF(S1034&lt;($F$9-$E$9)/($G$9-$E$9),$E$9+SQRT(S1034*($G$9-$E$9)*($F$9-$E$9)),$G$9-SQRT((1-S1034)*($G$9-$E$9)*($G$9-$F$9))))</f>
        <v>1.01504840695469</v>
      </c>
      <c r="F1034" s="37" t="n">
        <f aca="false">1+IF($G$10=$E$10,$F$10,IF(T1034&lt;($F$10-$E$10)/($G$10-$E$10),$E$10+SQRT(T1034*($G$10-$E$10)*($F$10-$E$10)),$G$10-SQRT((1-T1034)*($G$10-$E$10)*($G$10-$F$10))))</f>
        <v>1.11410799063643</v>
      </c>
      <c r="G1034" s="38" t="n">
        <f aca="false">IF($G$11=$E$11,$F$11,IF(U1034&lt;($F$11-$E$11)/($G$11-$E$11),$E$11+SQRT(U1034*($G$11-$E$11)*($F$11-$E$11)),$G$11-SQRT((1-U1034)*($G$11-$E$11)*($G$11-$F$11))))</f>
        <v>0.0884798315430941</v>
      </c>
      <c r="H1034" s="39" t="n">
        <f aca="false">(('Business Case'!B11*$C1034*'Business Case'!B12*$B1034)-'Business Case'!B11*$C1034*'Business Case'!B13*$D1034-'Business Case'!B14*$E1034)-MAX(0,(('Business Case'!B11*$C1034*'Business Case'!B12*$B1034)-'Business Case'!B11*$C1034*'Business Case'!B13*$D1034-'Business Case'!B14*$E1034))*'Business Case'!$B$7-'Business Case'!$B$8*('Business Case'!B11*$C1034*'Business Case'!B12*$B1034)-'Business Case'!B15*$F1034</f>
        <v>-2228215981.27286</v>
      </c>
      <c r="I1034" s="39" t="n">
        <f aca="false">(('Business Case'!C11*$C1034*'Business Case'!C12*$B1034)-'Business Case'!C11*$C1034*'Business Case'!C13*$D1034-'Business Case'!C14*$E1034)-MAX(0,(('Business Case'!C11*$C1034*'Business Case'!C12*$B1034)-'Business Case'!C11*$C1034*'Business Case'!C13*$D1034-'Business Case'!C14*$E1034))*'Business Case'!$B$7-'Business Case'!$B$8*(('Business Case'!C11*$C1034*'Business Case'!C12*$B1034)-('Business Case'!B11*$C1034*'Business Case'!B12*$B1034))-'Business Case'!C15*$F1034</f>
        <v>-57639692.9963271</v>
      </c>
      <c r="J1034" s="39" t="n">
        <f aca="false">(('Business Case'!D11*$C1034*'Business Case'!D12*$B1034)-'Business Case'!D11*$C1034*'Business Case'!D13*$D1034-'Business Case'!D14*$E1034)-MAX(0,(('Business Case'!D11*$C1034*'Business Case'!D12*$B1034)-'Business Case'!D11*$C1034*'Business Case'!D13*$D1034-'Business Case'!D14*$E1034))*'Business Case'!$B$7-'Business Case'!$B$8*(('Business Case'!D11*$C1034*'Business Case'!D12*$B1034)-('Business Case'!C11*$C1034*'Business Case'!C12*$B1034))-'Business Case'!D15*$F1034</f>
        <v>186686526.4234</v>
      </c>
      <c r="K1034" s="39" t="n">
        <f aca="false">(('Business Case'!E11*$C1034*'Business Case'!E12*$B1034)-'Business Case'!E11*$C1034*'Business Case'!E13*$D1034-'Business Case'!E14*$E1034)-MAX(0,(('Business Case'!E11*$C1034*'Business Case'!E12*$B1034)-'Business Case'!E11*$C1034*'Business Case'!E13*$D1034-'Business Case'!E14*$E1034))*'Business Case'!$B$7-'Business Case'!$B$8*(('Business Case'!E11*$C1034*'Business Case'!E12*$B1034)-('Business Case'!D11*$C1034*'Business Case'!D12*$B1034))-'Business Case'!E15*$F1034</f>
        <v>486718145.374949</v>
      </c>
      <c r="L1034" s="39" t="n">
        <f aca="false">(('Business Case'!F11*$C1034*'Business Case'!F12*$B1034)-'Business Case'!F11*$C1034*'Business Case'!F13*$D1034-'Business Case'!F14*$E1034)-MAX(0,(('Business Case'!F11*$C1034*'Business Case'!F12*$B1034)-'Business Case'!F11*$C1034*'Business Case'!F13*$D1034-'Business Case'!F14*$E1034))*'Business Case'!$B$7-'Business Case'!$B$8*(('Business Case'!F11*$C1034*'Business Case'!F12*$B1034)-('Business Case'!E11*$C1034*'Business Case'!E12*$B1034))-'Business Case'!F15*$F1034</f>
        <v>598970371.770494</v>
      </c>
      <c r="M1034" s="39" t="n">
        <f aca="false">(('Business Case'!G11*$C1034*'Business Case'!G12*$B1034)-'Business Case'!G11*$C1034*'Business Case'!G13*$D1034-'Business Case'!G14*$E1034)-MAX(0,(('Business Case'!G11*$C1034*'Business Case'!G12*$B1034)-'Business Case'!G11*$C1034*'Business Case'!G13*$D1034-'Business Case'!G14*$E1034))*'Business Case'!$B$7-'Business Case'!$B$8*(('Business Case'!G11*$C1034*'Business Case'!G12*$B1034)-('Business Case'!F11*$C1034*'Business Case'!F12*$B1034))-'Business Case'!G15*$F1034+'Business Case'!$B$8*('Business Case'!G11*$C1034*'Business Case'!G12*$B1034)</f>
        <v>768426214.676493</v>
      </c>
      <c r="N1034" s="39" t="n">
        <f aca="false">IF(COUNT('Business Case'!B11:G11)=0,"",H1034+NPV(G1034,I1034:M1034))</f>
        <v>-816565508.499708</v>
      </c>
      <c r="P1034" s="40" t="n">
        <f aca="true">RAND()</f>
        <v>0.616842603428563</v>
      </c>
      <c r="Q1034" s="40" t="n">
        <f aca="true">RAND()</f>
        <v>0.281396654694195</v>
      </c>
      <c r="R1034" s="40" t="n">
        <f aca="true">RAND()</f>
        <v>0.896414895295736</v>
      </c>
      <c r="S1034" s="40" t="n">
        <f aca="true">RAND()</f>
        <v>0.514348467587565</v>
      </c>
      <c r="T1034" s="40" t="n">
        <f aca="true">RAND()</f>
        <v>0.753778157215079</v>
      </c>
      <c r="U1034" s="40" t="n">
        <f aca="true">RAND()</f>
        <v>0.0719075429992529</v>
      </c>
    </row>
    <row r="1035" customFormat="false" ht="15" hidden="false" customHeight="false" outlineLevel="0" collapsed="false">
      <c r="A1035" s="36" t="n">
        <v>955</v>
      </c>
      <c r="B1035" s="37" t="n">
        <f aca="false">1+IF($G$6=$E$6,$F$6,IF(P1035&lt;($F$6-$E$6)/($G$6-$E$6),$E$6+SQRT(P1035*($G$6-$E$6)*($F$6-$E$6)),$G$6-SQRT((1-P1035)*($G$6-$E$6)*($G$6-$F$6))))</f>
        <v>0.967690972183772</v>
      </c>
      <c r="C1035" s="37" t="n">
        <f aca="false">1+IF($G$7=$E$7,$F$7,IF(Q1035&lt;($F$7-$E$7)/($G$7-$E$7),$E$7+SQRT(Q1035*($G$7-$E$7)*($F$7-$E$7)),$G$7-SQRT((1-Q1035)*($G$7-$E$7)*($G$7-$F$7))))</f>
        <v>0.911023893695742</v>
      </c>
      <c r="D1035" s="37" t="n">
        <f aca="false">1+IF($G$8=$E$8,$F$8,IF(R1035&lt;($F$8-$E$8)/($G$8-$E$8),$E$8+SQRT(R1035*($G$8-$E$8)*($F$8-$E$8)),$G$8-SQRT((1-R1035)*($G$8-$E$8)*($G$8-$F$8))))</f>
        <v>1.0104102910583</v>
      </c>
      <c r="E1035" s="37" t="n">
        <f aca="false">1+IF($G$9=$E$9,$F$9,IF(S1035&lt;($F$9-$E$9)/($G$9-$E$9),$E$9+SQRT(S1035*($G$9-$E$9)*($F$9-$E$9)),$G$9-SQRT((1-S1035)*($G$9-$E$9)*($G$9-$F$9))))</f>
        <v>1.07846929581682</v>
      </c>
      <c r="F1035" s="37" t="n">
        <f aca="false">1+IF($G$10=$E$10,$F$10,IF(T1035&lt;($F$10-$E$10)/($G$10-$E$10),$E$10+SQRT(T1035*($G$10-$E$10)*($F$10-$E$10)),$G$10-SQRT((1-T1035)*($G$10-$E$10)*($G$10-$F$10))))</f>
        <v>1.0851303578374</v>
      </c>
      <c r="G1035" s="38" t="n">
        <f aca="false">IF($G$11=$E$11,$F$11,IF(U1035&lt;($F$11-$E$11)/($G$11-$E$11),$E$11+SQRT(U1035*($G$11-$E$11)*($F$11-$E$11)),$G$11-SQRT((1-U1035)*($G$11-$E$11)*($G$11-$F$11))))</f>
        <v>0.120270876732104</v>
      </c>
      <c r="H1035" s="39" t="n">
        <f aca="false">(('Business Case'!B11*$C1035*'Business Case'!B12*$B1035)-'Business Case'!B11*$C1035*'Business Case'!B13*$D1035-'Business Case'!B14*$E1035)-MAX(0,(('Business Case'!B11*$C1035*'Business Case'!B12*$B1035)-'Business Case'!B11*$C1035*'Business Case'!B13*$D1035-'Business Case'!B14*$E1035))*'Business Case'!$B$7-'Business Case'!$B$8*('Business Case'!B11*$C1035*'Business Case'!B12*$B1035)-'Business Case'!B15*$F1035</f>
        <v>-2170260715.67481</v>
      </c>
      <c r="I1035" s="39" t="n">
        <f aca="false">(('Business Case'!C11*$C1035*'Business Case'!C12*$B1035)-'Business Case'!C11*$C1035*'Business Case'!C13*$D1035-'Business Case'!C14*$E1035)-MAX(0,(('Business Case'!C11*$C1035*'Business Case'!C12*$B1035)-'Business Case'!C11*$C1035*'Business Case'!C13*$D1035-'Business Case'!C14*$E1035))*'Business Case'!$B$7-'Business Case'!$B$8*(('Business Case'!C11*$C1035*'Business Case'!C12*$B1035)-('Business Case'!B11*$C1035*'Business Case'!B12*$B1035))-'Business Case'!C15*$F1035</f>
        <v>-56714032.8499129</v>
      </c>
      <c r="J1035" s="39" t="n">
        <f aca="false">(('Business Case'!D11*$C1035*'Business Case'!D12*$B1035)-'Business Case'!D11*$C1035*'Business Case'!D13*$D1035-'Business Case'!D14*$E1035)-MAX(0,(('Business Case'!D11*$C1035*'Business Case'!D12*$B1035)-'Business Case'!D11*$C1035*'Business Case'!D13*$D1035-'Business Case'!D14*$E1035))*'Business Case'!$B$7-'Business Case'!$B$8*(('Business Case'!D11*$C1035*'Business Case'!D12*$B1035)-('Business Case'!C11*$C1035*'Business Case'!C12*$B1035))-'Business Case'!D15*$F1035</f>
        <v>194144908.676886</v>
      </c>
      <c r="K1035" s="39" t="n">
        <f aca="false">(('Business Case'!E11*$C1035*'Business Case'!E12*$B1035)-'Business Case'!E11*$C1035*'Business Case'!E13*$D1035-'Business Case'!E14*$E1035)-MAX(0,(('Business Case'!E11*$C1035*'Business Case'!E12*$B1035)-'Business Case'!E11*$C1035*'Business Case'!E13*$D1035-'Business Case'!E14*$E1035))*'Business Case'!$B$7-'Business Case'!$B$8*(('Business Case'!E11*$C1035*'Business Case'!E12*$B1035)-('Business Case'!D11*$C1035*'Business Case'!D12*$B1035))-'Business Case'!E15*$F1035</f>
        <v>499260368.095555</v>
      </c>
      <c r="L1035" s="39" t="n">
        <f aca="false">(('Business Case'!F11*$C1035*'Business Case'!F12*$B1035)-'Business Case'!F11*$C1035*'Business Case'!F13*$D1035-'Business Case'!F14*$E1035)-MAX(0,(('Business Case'!F11*$C1035*'Business Case'!F12*$B1035)-'Business Case'!F11*$C1035*'Business Case'!F13*$D1035-'Business Case'!F14*$E1035))*'Business Case'!$B$7-'Business Case'!$B$8*(('Business Case'!F11*$C1035*'Business Case'!F12*$B1035)-('Business Case'!E11*$C1035*'Business Case'!E12*$B1035))-'Business Case'!F15*$F1035</f>
        <v>613347751.756368</v>
      </c>
      <c r="M1035" s="39" t="n">
        <f aca="false">(('Business Case'!G11*$C1035*'Business Case'!G12*$B1035)-'Business Case'!G11*$C1035*'Business Case'!G13*$D1035-'Business Case'!G14*$E1035)-MAX(0,(('Business Case'!G11*$C1035*'Business Case'!G12*$B1035)-'Business Case'!G11*$C1035*'Business Case'!G13*$D1035-'Business Case'!G14*$E1035))*'Business Case'!$B$7-'Business Case'!$B$8*(('Business Case'!G11*$C1035*'Business Case'!G12*$B1035)-('Business Case'!F11*$C1035*'Business Case'!F12*$B1035))-'Business Case'!G15*$F1035+'Business Case'!$B$8*('Business Case'!G11*$C1035*'Business Case'!G12*$B1035)</f>
        <v>780920302.425043</v>
      </c>
      <c r="N1035" s="39" t="n">
        <f aca="false">IF(COUNT('Business Case'!B11:G11)=0,"",H1035+NPV(G1035,I1035:M1035))</f>
        <v>-879087337.317558</v>
      </c>
      <c r="P1035" s="40" t="n">
        <f aca="true">RAND()</f>
        <v>0.305471181012282</v>
      </c>
      <c r="Q1035" s="40" t="n">
        <f aca="true">RAND()</f>
        <v>0.329859879337123</v>
      </c>
      <c r="R1035" s="40" t="n">
        <f aca="true">RAND()</f>
        <v>0.464912270116038</v>
      </c>
      <c r="S1035" s="40" t="n">
        <f aca="true">RAND()</f>
        <v>0.863556222908205</v>
      </c>
      <c r="T1035" s="40" t="n">
        <f aca="true">RAND()</f>
        <v>0.637573347909028</v>
      </c>
      <c r="U1035" s="40" t="n">
        <f aca="true">RAND()</f>
        <v>0.936896106958728</v>
      </c>
    </row>
    <row r="1036" customFormat="false" ht="15" hidden="false" customHeight="false" outlineLevel="0" collapsed="false">
      <c r="A1036" s="36" t="n">
        <v>956</v>
      </c>
      <c r="B1036" s="37" t="n">
        <f aca="false">1+IF($G$6=$E$6,$F$6,IF(P1036&lt;($F$6-$E$6)/($G$6-$E$6),$E$6+SQRT(P1036*($G$6-$E$6)*($F$6-$E$6)),$G$6-SQRT((1-P1036)*($G$6-$E$6)*($G$6-$F$6))))</f>
        <v>1.00693773933466</v>
      </c>
      <c r="C1036" s="37" t="n">
        <f aca="false">1+IF($G$7=$E$7,$F$7,IF(Q1036&lt;($F$7-$E$7)/($G$7-$E$7),$E$7+SQRT(Q1036*($G$7-$E$7)*($F$7-$E$7)),$G$7-SQRT((1-Q1036)*($G$7-$E$7)*($G$7-$F$7))))</f>
        <v>0.885849756127532</v>
      </c>
      <c r="D1036" s="37" t="n">
        <f aca="false">1+IF($G$8=$E$8,$F$8,IF(R1036&lt;($F$8-$E$8)/($G$8-$E$8),$E$8+SQRT(R1036*($G$8-$E$8)*($F$8-$E$8)),$G$8-SQRT((1-R1036)*($G$8-$E$8)*($G$8-$F$8))))</f>
        <v>1.02674983521359</v>
      </c>
      <c r="E1036" s="37" t="n">
        <f aca="false">1+IF($G$9=$E$9,$F$9,IF(S1036&lt;($F$9-$E$9)/($G$9-$E$9),$E$9+SQRT(S1036*($G$9-$E$9)*($F$9-$E$9)),$G$9-SQRT((1-S1036)*($G$9-$E$9)*($G$9-$F$9))))</f>
        <v>1.01858908447872</v>
      </c>
      <c r="F1036" s="37" t="n">
        <f aca="false">1+IF($G$10=$E$10,$F$10,IF(T1036&lt;($F$10-$E$10)/($G$10-$E$10),$E$10+SQRT(T1036*($G$10-$E$10)*($F$10-$E$10)),$G$10-SQRT((1-T1036)*($G$10-$E$10)*($G$10-$F$10))))</f>
        <v>1.21449527536632</v>
      </c>
      <c r="G1036" s="38" t="n">
        <f aca="false">IF($G$11=$E$11,$F$11,IF(U1036&lt;($F$11-$E$11)/($G$11-$E$11),$E$11+SQRT(U1036*($G$11-$E$11)*($F$11-$E$11)),$G$11-SQRT((1-U1036)*($G$11-$E$11)*($G$11-$F$11))))</f>
        <v>0.111766267516715</v>
      </c>
      <c r="H1036" s="39" t="n">
        <f aca="false">(('Business Case'!B11*$C1036*'Business Case'!B12*$B1036)-'Business Case'!B11*$C1036*'Business Case'!B13*$D1036-'Business Case'!B14*$E1036)-MAX(0,(('Business Case'!B11*$C1036*'Business Case'!B12*$B1036)-'Business Case'!B11*$C1036*'Business Case'!B13*$D1036-'Business Case'!B14*$E1036))*'Business Case'!$B$7-'Business Case'!$B$8*('Business Case'!B11*$C1036*'Business Case'!B12*$B1036)-'Business Case'!B15*$F1036</f>
        <v>-2428990550.73265</v>
      </c>
      <c r="I1036" s="39" t="n">
        <f aca="false">(('Business Case'!C11*$C1036*'Business Case'!C12*$B1036)-'Business Case'!C11*$C1036*'Business Case'!C13*$D1036-'Business Case'!C14*$E1036)-MAX(0,(('Business Case'!C11*$C1036*'Business Case'!C12*$B1036)-'Business Case'!C11*$C1036*'Business Case'!C13*$D1036-'Business Case'!C14*$E1036))*'Business Case'!$B$7-'Business Case'!$B$8*(('Business Case'!C11*$C1036*'Business Case'!C12*$B1036)-('Business Case'!B11*$C1036*'Business Case'!B12*$B1036))-'Business Case'!C15*$F1036</f>
        <v>-47540199.8689901</v>
      </c>
      <c r="J1036" s="39" t="n">
        <f aca="false">(('Business Case'!D11*$C1036*'Business Case'!D12*$B1036)-'Business Case'!D11*$C1036*'Business Case'!D13*$D1036-'Business Case'!D14*$E1036)-MAX(0,(('Business Case'!D11*$C1036*'Business Case'!D12*$B1036)-'Business Case'!D11*$C1036*'Business Case'!D13*$D1036-'Business Case'!D14*$E1036))*'Business Case'!$B$7-'Business Case'!$B$8*(('Business Case'!D11*$C1036*'Business Case'!D12*$B1036)-('Business Case'!C11*$C1036*'Business Case'!C12*$B1036))-'Business Case'!D15*$F1036</f>
        <v>217453544.966306</v>
      </c>
      <c r="K1036" s="39" t="n">
        <f aca="false">(('Business Case'!E11*$C1036*'Business Case'!E12*$B1036)-'Business Case'!E11*$C1036*'Business Case'!E13*$D1036-'Business Case'!E14*$E1036)-MAX(0,(('Business Case'!E11*$C1036*'Business Case'!E12*$B1036)-'Business Case'!E11*$C1036*'Business Case'!E13*$D1036-'Business Case'!E14*$E1036))*'Business Case'!$B$7-'Business Case'!$B$8*(('Business Case'!E11*$C1036*'Business Case'!E12*$B1036)-('Business Case'!D11*$C1036*'Business Case'!D12*$B1036))-'Business Case'!E15*$F1036</f>
        <v>543172053.569917</v>
      </c>
      <c r="L1036" s="39" t="n">
        <f aca="false">(('Business Case'!F11*$C1036*'Business Case'!F12*$B1036)-'Business Case'!F11*$C1036*'Business Case'!F13*$D1036-'Business Case'!F14*$E1036)-MAX(0,(('Business Case'!F11*$C1036*'Business Case'!F12*$B1036)-'Business Case'!F11*$C1036*'Business Case'!F13*$D1036-'Business Case'!F14*$E1036))*'Business Case'!$B$7-'Business Case'!$B$8*(('Business Case'!F11*$C1036*'Business Case'!F12*$B1036)-('Business Case'!E11*$C1036*'Business Case'!E12*$B1036))-'Business Case'!F15*$F1036</f>
        <v>662330668.084869</v>
      </c>
      <c r="M1036" s="39" t="n">
        <f aca="false">(('Business Case'!G11*$C1036*'Business Case'!G12*$B1036)-'Business Case'!G11*$C1036*'Business Case'!G13*$D1036-'Business Case'!G14*$E1036)-MAX(0,(('Business Case'!G11*$C1036*'Business Case'!G12*$B1036)-'Business Case'!G11*$C1036*'Business Case'!G13*$D1036-'Business Case'!G14*$E1036))*'Business Case'!$B$7-'Business Case'!$B$8*(('Business Case'!G11*$C1036*'Business Case'!G12*$B1036)-('Business Case'!F11*$C1036*'Business Case'!F12*$B1036))-'Business Case'!G15*$F1036+'Business Case'!$B$8*('Business Case'!G11*$C1036*'Business Case'!G12*$B1036)</f>
        <v>831881182.385727</v>
      </c>
      <c r="N1036" s="39" t="n">
        <f aca="false">IF(COUNT('Business Case'!B11:G11)=0,"",H1036+NPV(G1036,I1036:M1036))</f>
        <v>-977245266.81711</v>
      </c>
      <c r="P1036" s="40" t="n">
        <f aca="true">RAND()</f>
        <v>0.752752227518734</v>
      </c>
      <c r="Q1036" s="40" t="n">
        <f aca="true">RAND()</f>
        <v>0.255852828538246</v>
      </c>
      <c r="R1036" s="40" t="n">
        <f aca="true">RAND()</f>
        <v>0.642294223917626</v>
      </c>
      <c r="S1036" s="40" t="n">
        <f aca="true">RAND()</f>
        <v>0.539497900849572</v>
      </c>
      <c r="T1036" s="40" t="n">
        <f aca="true">RAND()</f>
        <v>0.983192193715825</v>
      </c>
      <c r="U1036" s="40" t="n">
        <f aca="true">RAND()</f>
        <v>0.778353999818661</v>
      </c>
    </row>
    <row r="1037" customFormat="false" ht="15" hidden="false" customHeight="false" outlineLevel="0" collapsed="false">
      <c r="A1037" s="36" t="n">
        <v>957</v>
      </c>
      <c r="B1037" s="37" t="n">
        <f aca="false">1+IF($G$6=$E$6,$F$6,IF(P1037&lt;($F$6-$E$6)/($G$6-$E$6),$E$6+SQRT(P1037*($G$6-$E$6)*($F$6-$E$6)),$G$6-SQRT((1-P1037)*($G$6-$E$6)*($G$6-$F$6))))</f>
        <v>0.994358679852507</v>
      </c>
      <c r="C1037" s="37" t="n">
        <f aca="false">1+IF($G$7=$E$7,$F$7,IF(Q1037&lt;($F$7-$E$7)/($G$7-$E$7),$E$7+SQRT(Q1037*($G$7-$E$7)*($F$7-$E$7)),$G$7-SQRT((1-Q1037)*($G$7-$E$7)*($G$7-$F$7))))</f>
        <v>1.04498599961231</v>
      </c>
      <c r="D1037" s="37" t="n">
        <f aca="false">1+IF($G$8=$E$8,$F$8,IF(R1037&lt;($F$8-$E$8)/($G$8-$E$8),$E$8+SQRT(R1037*($G$8-$E$8)*($F$8-$E$8)),$G$8-SQRT((1-R1037)*($G$8-$E$8)*($G$8-$F$8))))</f>
        <v>1.05106230949338</v>
      </c>
      <c r="E1037" s="37" t="n">
        <f aca="false">1+IF($G$9=$E$9,$F$9,IF(S1037&lt;($F$9-$E$9)/($G$9-$E$9),$E$9+SQRT(S1037*($G$9-$E$9)*($F$9-$E$9)),$G$9-SQRT((1-S1037)*($G$9-$E$9)*($G$9-$F$9))))</f>
        <v>1.01924828158092</v>
      </c>
      <c r="F1037" s="37" t="n">
        <f aca="false">1+IF($G$10=$E$10,$F$10,IF(T1037&lt;($F$10-$E$10)/($G$10-$E$10),$E$10+SQRT(T1037*($G$10-$E$10)*($F$10-$E$10)),$G$10-SQRT((1-T1037)*($G$10-$E$10)*($G$10-$F$10))))</f>
        <v>1.08379401391576</v>
      </c>
      <c r="G1037" s="38" t="n">
        <f aca="false">IF($G$11=$E$11,$F$11,IF(U1037&lt;($F$11-$E$11)/($G$11-$E$11),$E$11+SQRT(U1037*($G$11-$E$11)*($F$11-$E$11)),$G$11-SQRT((1-U1037)*($G$11-$E$11)*($G$11-$F$11))))</f>
        <v>0.123136452891349</v>
      </c>
      <c r="H1037" s="39" t="n">
        <f aca="false">(('Business Case'!B11*$C1037*'Business Case'!B12*$B1037)-'Business Case'!B11*$C1037*'Business Case'!B13*$D1037-'Business Case'!B14*$E1037)-MAX(0,(('Business Case'!B11*$C1037*'Business Case'!B12*$B1037)-'Business Case'!B11*$C1037*'Business Case'!B13*$D1037-'Business Case'!B14*$E1037))*'Business Case'!$B$7-'Business Case'!$B$8*('Business Case'!B11*$C1037*'Business Case'!B12*$B1037)-'Business Case'!B15*$F1037</f>
        <v>-2167588027.83152</v>
      </c>
      <c r="I1037" s="39" t="n">
        <f aca="false">(('Business Case'!C11*$C1037*'Business Case'!C12*$B1037)-'Business Case'!C11*$C1037*'Business Case'!C13*$D1037-'Business Case'!C14*$E1037)-MAX(0,(('Business Case'!C11*$C1037*'Business Case'!C12*$B1037)-'Business Case'!C11*$C1037*'Business Case'!C13*$D1037-'Business Case'!C14*$E1037))*'Business Case'!$B$7-'Business Case'!$B$8*(('Business Case'!C11*$C1037*'Business Case'!C12*$B1037)-('Business Case'!B11*$C1037*'Business Case'!B12*$B1037))-'Business Case'!C15*$F1037</f>
        <v>-18357694.5972269</v>
      </c>
      <c r="J1037" s="39" t="n">
        <f aca="false">(('Business Case'!D11*$C1037*'Business Case'!D12*$B1037)-'Business Case'!D11*$C1037*'Business Case'!D13*$D1037-'Business Case'!D14*$E1037)-MAX(0,(('Business Case'!D11*$C1037*'Business Case'!D12*$B1037)-'Business Case'!D11*$C1037*'Business Case'!D13*$D1037-'Business Case'!D14*$E1037))*'Business Case'!$B$7-'Business Case'!$B$8*(('Business Case'!D11*$C1037*'Business Case'!D12*$B1037)-('Business Case'!C11*$C1037*'Business Case'!C12*$B1037))-'Business Case'!D15*$F1037</f>
        <v>270467590.044102</v>
      </c>
      <c r="K1037" s="39" t="n">
        <f aca="false">(('Business Case'!E11*$C1037*'Business Case'!E12*$B1037)-'Business Case'!E11*$C1037*'Business Case'!E13*$D1037-'Business Case'!E14*$E1037)-MAX(0,(('Business Case'!E11*$C1037*'Business Case'!E12*$B1037)-'Business Case'!E11*$C1037*'Business Case'!E13*$D1037-'Business Case'!E14*$E1037))*'Business Case'!$B$7-'Business Case'!$B$8*(('Business Case'!E11*$C1037*'Business Case'!E12*$B1037)-('Business Case'!D11*$C1037*'Business Case'!D12*$B1037))-'Business Case'!E15*$F1037</f>
        <v>613482575.381219</v>
      </c>
      <c r="L1037" s="39" t="n">
        <f aca="false">(('Business Case'!F11*$C1037*'Business Case'!F12*$B1037)-'Business Case'!F11*$C1037*'Business Case'!F13*$D1037-'Business Case'!F14*$E1037)-MAX(0,(('Business Case'!F11*$C1037*'Business Case'!F12*$B1037)-'Business Case'!F11*$C1037*'Business Case'!F13*$D1037-'Business Case'!F14*$E1037))*'Business Case'!$B$7-'Business Case'!$B$8*(('Business Case'!F11*$C1037*'Business Case'!F12*$B1037)-('Business Case'!E11*$C1037*'Business Case'!E12*$B1037))-'Business Case'!F15*$F1037</f>
        <v>745668651.732444</v>
      </c>
      <c r="M1037" s="39" t="n">
        <f aca="false">(('Business Case'!G11*$C1037*'Business Case'!G12*$B1037)-'Business Case'!G11*$C1037*'Business Case'!G13*$D1037-'Business Case'!G14*$E1037)-MAX(0,(('Business Case'!G11*$C1037*'Business Case'!G12*$B1037)-'Business Case'!G11*$C1037*'Business Case'!G13*$D1037-'Business Case'!G14*$E1037))*'Business Case'!$B$7-'Business Case'!$B$8*(('Business Case'!G11*$C1037*'Business Case'!G12*$B1037)-('Business Case'!F11*$C1037*'Business Case'!F12*$B1037))-'Business Case'!G15*$F1037+'Business Case'!$B$8*('Business Case'!G11*$C1037*'Business Case'!G12*$B1037)</f>
        <v>943179049.821748</v>
      </c>
      <c r="N1037" s="39" t="n">
        <f aca="false">IF(COUNT('Business Case'!B11:G11)=0,"",H1037+NPV(G1037,I1037:M1037))</f>
        <v>-540135223.361418</v>
      </c>
      <c r="P1037" s="40" t="n">
        <f aca="true">RAND()</f>
        <v>0.593570697567198</v>
      </c>
      <c r="Q1037" s="40" t="n">
        <f aca="true">RAND()</f>
        <v>0.836623107001092</v>
      </c>
      <c r="R1037" s="40" t="n">
        <f aca="true">RAND()</f>
        <v>0.840340163191876</v>
      </c>
      <c r="S1037" s="40" t="n">
        <f aca="true">RAND()</f>
        <v>0.544106350145505</v>
      </c>
      <c r="T1037" s="40" t="n">
        <f aca="true">RAND()</f>
        <v>0.631674269196876</v>
      </c>
      <c r="U1037" s="40" t="n">
        <f aca="true">RAND()</f>
        <v>0.968594480724888</v>
      </c>
    </row>
    <row r="1038" customFormat="false" ht="15" hidden="false" customHeight="false" outlineLevel="0" collapsed="false">
      <c r="A1038" s="36" t="n">
        <v>958</v>
      </c>
      <c r="B1038" s="37" t="n">
        <f aca="false">1+IF($G$6=$E$6,$F$6,IF(P1038&lt;($F$6-$E$6)/($G$6-$E$6),$E$6+SQRT(P1038*($G$6-$E$6)*($F$6-$E$6)),$G$6-SQRT((1-P1038)*($G$6-$E$6)*($G$6-$F$6))))</f>
        <v>1.01341693837796</v>
      </c>
      <c r="C1038" s="37" t="n">
        <f aca="false">1+IF($G$7=$E$7,$F$7,IF(Q1038&lt;($F$7-$E$7)/($G$7-$E$7),$E$7+SQRT(Q1038*($G$7-$E$7)*($F$7-$E$7)),$G$7-SQRT((1-Q1038)*($G$7-$E$7)*($G$7-$F$7))))</f>
        <v>1.02051351257792</v>
      </c>
      <c r="D1038" s="37" t="n">
        <f aca="false">1+IF($G$8=$E$8,$F$8,IF(R1038&lt;($F$8-$E$8)/($G$8-$E$8),$E$8+SQRT(R1038*($G$8-$E$8)*($F$8-$E$8)),$G$8-SQRT((1-R1038)*($G$8-$E$8)*($G$8-$F$8))))</f>
        <v>1.02929228740474</v>
      </c>
      <c r="E1038" s="37" t="n">
        <f aca="false">1+IF($G$9=$E$9,$F$9,IF(S1038&lt;($F$9-$E$9)/($G$9-$E$9),$E$9+SQRT(S1038*($G$9-$E$9)*($F$9-$E$9)),$G$9-SQRT((1-S1038)*($G$9-$E$9)*($G$9-$F$9))))</f>
        <v>0.942555958962921</v>
      </c>
      <c r="F1038" s="37" t="n">
        <f aca="false">1+IF($G$10=$E$10,$F$10,IF(T1038&lt;($F$10-$E$10)/($G$10-$E$10),$E$10+SQRT(T1038*($G$10-$E$10)*($F$10-$E$10)),$G$10-SQRT((1-T1038)*($G$10-$E$10)*($G$10-$F$10))))</f>
        <v>1.02163991120706</v>
      </c>
      <c r="G1038" s="38" t="n">
        <f aca="false">IF($G$11=$E$11,$F$11,IF(U1038&lt;($F$11-$E$11)/($G$11-$E$11),$E$11+SQRT(U1038*($G$11-$E$11)*($F$11-$E$11)),$G$11-SQRT((1-U1038)*($G$11-$E$11)*($G$11-$F$11))))</f>
        <v>0.101676201143172</v>
      </c>
      <c r="H1038" s="39" t="n">
        <f aca="false">(('Business Case'!B11*$C1038*'Business Case'!B12*$B1038)-'Business Case'!B11*$C1038*'Business Case'!B13*$D1038-'Business Case'!B14*$E1038)-MAX(0,(('Business Case'!B11*$C1038*'Business Case'!B12*$B1038)-'Business Case'!B11*$C1038*'Business Case'!B13*$D1038-'Business Case'!B14*$E1038))*'Business Case'!$B$7-'Business Case'!$B$8*('Business Case'!B11*$C1038*'Business Case'!B12*$B1038)-'Business Case'!B15*$F1038</f>
        <v>-2043279822.41412</v>
      </c>
      <c r="I1038" s="39" t="n">
        <f aca="false">(('Business Case'!C11*$C1038*'Business Case'!C12*$B1038)-'Business Case'!C11*$C1038*'Business Case'!C13*$D1038-'Business Case'!C14*$E1038)-MAX(0,(('Business Case'!C11*$C1038*'Business Case'!C12*$B1038)-'Business Case'!C11*$C1038*'Business Case'!C13*$D1038-'Business Case'!C14*$E1038))*'Business Case'!$B$7-'Business Case'!$B$8*(('Business Case'!C11*$C1038*'Business Case'!C12*$B1038)-('Business Case'!B11*$C1038*'Business Case'!B12*$B1038))-'Business Case'!C15*$F1038</f>
        <v>19556051.8396434</v>
      </c>
      <c r="J1038" s="39" t="n">
        <f aca="false">(('Business Case'!D11*$C1038*'Business Case'!D12*$B1038)-'Business Case'!D11*$C1038*'Business Case'!D13*$D1038-'Business Case'!D14*$E1038)-MAX(0,(('Business Case'!D11*$C1038*'Business Case'!D12*$B1038)-'Business Case'!D11*$C1038*'Business Case'!D13*$D1038-'Business Case'!D14*$E1038))*'Business Case'!$B$7-'Business Case'!$B$8*(('Business Case'!D11*$C1038*'Business Case'!D12*$B1038)-('Business Case'!C11*$C1038*'Business Case'!C12*$B1038))-'Business Case'!D15*$F1038</f>
        <v>328920774.589285</v>
      </c>
      <c r="K1038" s="39" t="n">
        <f aca="false">(('Business Case'!E11*$C1038*'Business Case'!E12*$B1038)-'Business Case'!E11*$C1038*'Business Case'!E13*$D1038-'Business Case'!E14*$E1038)-MAX(0,(('Business Case'!E11*$C1038*'Business Case'!E12*$B1038)-'Business Case'!E11*$C1038*'Business Case'!E13*$D1038-'Business Case'!E14*$E1038))*'Business Case'!$B$7-'Business Case'!$B$8*(('Business Case'!E11*$C1038*'Business Case'!E12*$B1038)-('Business Case'!D11*$C1038*'Business Case'!D12*$B1038))-'Business Case'!E15*$F1038</f>
        <v>689367492.899279</v>
      </c>
      <c r="L1038" s="39" t="n">
        <f aca="false">(('Business Case'!F11*$C1038*'Business Case'!F12*$B1038)-'Business Case'!F11*$C1038*'Business Case'!F13*$D1038-'Business Case'!F14*$E1038)-MAX(0,(('Business Case'!F11*$C1038*'Business Case'!F12*$B1038)-'Business Case'!F11*$C1038*'Business Case'!F13*$D1038-'Business Case'!F14*$E1038))*'Business Case'!$B$7-'Business Case'!$B$8*(('Business Case'!F11*$C1038*'Business Case'!F12*$B1038)-('Business Case'!E11*$C1038*'Business Case'!E12*$B1038))-'Business Case'!F15*$F1038</f>
        <v>828231215.432335</v>
      </c>
      <c r="M1038" s="39" t="n">
        <f aca="false">(('Business Case'!G11*$C1038*'Business Case'!G12*$B1038)-'Business Case'!G11*$C1038*'Business Case'!G13*$D1038-'Business Case'!G14*$E1038)-MAX(0,(('Business Case'!G11*$C1038*'Business Case'!G12*$B1038)-'Business Case'!G11*$C1038*'Business Case'!G13*$D1038-'Business Case'!G14*$E1038))*'Business Case'!$B$7-'Business Case'!$B$8*(('Business Case'!G11*$C1038*'Business Case'!G12*$B1038)-('Business Case'!F11*$C1038*'Business Case'!F12*$B1038))-'Business Case'!G15*$F1038+'Business Case'!$B$8*('Business Case'!G11*$C1038*'Business Case'!G12*$B1038)</f>
        <v>1024813030.9898</v>
      </c>
      <c r="N1038" s="39" t="n">
        <f aca="false">IF(COUNT('Business Case'!B11:G11)=0,"",H1038+NPV(G1038,I1038:M1038))</f>
        <v>-45188158.2221274</v>
      </c>
      <c r="P1038" s="40" t="n">
        <f aca="true">RAND()</f>
        <v>0.821557280314395</v>
      </c>
      <c r="Q1038" s="40" t="n">
        <f aca="true">RAND()</f>
        <v>0.751603697408755</v>
      </c>
      <c r="R1038" s="40" t="n">
        <f aca="true">RAND()</f>
        <v>0.666694625303032</v>
      </c>
      <c r="S1038" s="40" t="n">
        <f aca="true">RAND()</f>
        <v>0.0724403857301528</v>
      </c>
      <c r="T1038" s="40" t="n">
        <f aca="true">RAND()</f>
        <v>0.304688931286419</v>
      </c>
      <c r="U1038" s="40" t="n">
        <f aca="true">RAND()</f>
        <v>0.465174945545284</v>
      </c>
    </row>
    <row r="1039" customFormat="false" ht="15" hidden="false" customHeight="false" outlineLevel="0" collapsed="false">
      <c r="A1039" s="36" t="n">
        <v>959</v>
      </c>
      <c r="B1039" s="37" t="n">
        <f aca="false">1+IF($G$6=$E$6,$F$6,IF(P1039&lt;($F$6-$E$6)/($G$6-$E$6),$E$6+SQRT(P1039*($G$6-$E$6)*($F$6-$E$6)),$G$6-SQRT((1-P1039)*($G$6-$E$6)*($G$6-$F$6))))</f>
        <v>0.991661131880635</v>
      </c>
      <c r="C1039" s="37" t="n">
        <f aca="false">1+IF($G$7=$E$7,$F$7,IF(Q1039&lt;($F$7-$E$7)/($G$7-$E$7),$E$7+SQRT(Q1039*($G$7-$E$7)*($F$7-$E$7)),$G$7-SQRT((1-Q1039)*($G$7-$E$7)*($G$7-$F$7))))</f>
        <v>0.859967465288979</v>
      </c>
      <c r="D1039" s="37" t="n">
        <f aca="false">1+IF($G$8=$E$8,$F$8,IF(R1039&lt;($F$8-$E$8)/($G$8-$E$8),$E$8+SQRT(R1039*($G$8-$E$8)*($F$8-$E$8)),$G$8-SQRT((1-R1039)*($G$8-$E$8)*($G$8-$F$8))))</f>
        <v>1.04285888721574</v>
      </c>
      <c r="E1039" s="37" t="n">
        <f aca="false">1+IF($G$9=$E$9,$F$9,IF(S1039&lt;($F$9-$E$9)/($G$9-$E$9),$E$9+SQRT(S1039*($G$9-$E$9)*($F$9-$E$9)),$G$9-SQRT((1-S1039)*($G$9-$E$9)*($G$9-$F$9))))</f>
        <v>0.988876297705935</v>
      </c>
      <c r="F1039" s="37" t="n">
        <f aca="false">1+IF($G$10=$E$10,$F$10,IF(T1039&lt;($F$10-$E$10)/($G$10-$E$10),$E$10+SQRT(T1039*($G$10-$E$10)*($F$10-$E$10)),$G$10-SQRT((1-T1039)*($G$10-$E$10)*($G$10-$F$10))))</f>
        <v>1.01637956346259</v>
      </c>
      <c r="G1039" s="38" t="n">
        <f aca="false">IF($G$11=$E$11,$F$11,IF(U1039&lt;($F$11-$E$11)/($G$11-$E$11),$E$11+SQRT(U1039*($G$11-$E$11)*($F$11-$E$11)),$G$11-SQRT((1-U1039)*($G$11-$E$11)*($G$11-$F$11))))</f>
        <v>0.103010206656537</v>
      </c>
      <c r="H1039" s="39" t="n">
        <f aca="false">(('Business Case'!B11*$C1039*'Business Case'!B12*$B1039)-'Business Case'!B11*$C1039*'Business Case'!B13*$D1039-'Business Case'!B14*$E1039)-MAX(0,(('Business Case'!B11*$C1039*'Business Case'!B12*$B1039)-'Business Case'!B11*$C1039*'Business Case'!B13*$D1039-'Business Case'!B14*$E1039))*'Business Case'!$B$7-'Business Case'!$B$8*('Business Case'!B11*$C1039*'Business Case'!B12*$B1039)-'Business Case'!B15*$F1039</f>
        <v>-2032759126.92518</v>
      </c>
      <c r="I1039" s="39" t="n">
        <f aca="false">(('Business Case'!C11*$C1039*'Business Case'!C12*$B1039)-'Business Case'!C11*$C1039*'Business Case'!C13*$D1039-'Business Case'!C14*$E1039)-MAX(0,(('Business Case'!C11*$C1039*'Business Case'!C12*$B1039)-'Business Case'!C11*$C1039*'Business Case'!C13*$D1039-'Business Case'!C14*$E1039))*'Business Case'!$B$7-'Business Case'!$B$8*(('Business Case'!C11*$C1039*'Business Case'!C12*$B1039)-('Business Case'!B11*$C1039*'Business Case'!B12*$B1039))-'Business Case'!C15*$F1039</f>
        <v>-47066054.8953306</v>
      </c>
      <c r="J1039" s="39" t="n">
        <f aca="false">(('Business Case'!D11*$C1039*'Business Case'!D12*$B1039)-'Business Case'!D11*$C1039*'Business Case'!D13*$D1039-'Business Case'!D14*$E1039)-MAX(0,(('Business Case'!D11*$C1039*'Business Case'!D12*$B1039)-'Business Case'!D11*$C1039*'Business Case'!D13*$D1039-'Business Case'!D14*$E1039))*'Business Case'!$B$7-'Business Case'!$B$8*(('Business Case'!D11*$C1039*'Business Case'!D12*$B1039)-('Business Case'!C11*$C1039*'Business Case'!C12*$B1039))-'Business Case'!D15*$F1039</f>
        <v>192333016.800248</v>
      </c>
      <c r="K1039" s="39" t="n">
        <f aca="false">(('Business Case'!E11*$C1039*'Business Case'!E12*$B1039)-'Business Case'!E11*$C1039*'Business Case'!E13*$D1039-'Business Case'!E14*$E1039)-MAX(0,(('Business Case'!E11*$C1039*'Business Case'!E12*$B1039)-'Business Case'!E11*$C1039*'Business Case'!E13*$D1039-'Business Case'!E14*$E1039))*'Business Case'!$B$7-'Business Case'!$B$8*(('Business Case'!E11*$C1039*'Business Case'!E12*$B1039)-('Business Case'!D11*$C1039*'Business Case'!D12*$B1039))-'Business Case'!E15*$F1039</f>
        <v>482551066.668955</v>
      </c>
      <c r="L1039" s="39" t="n">
        <f aca="false">(('Business Case'!F11*$C1039*'Business Case'!F12*$B1039)-'Business Case'!F11*$C1039*'Business Case'!F13*$D1039-'Business Case'!F14*$E1039)-MAX(0,(('Business Case'!F11*$C1039*'Business Case'!F12*$B1039)-'Business Case'!F11*$C1039*'Business Case'!F13*$D1039-'Business Case'!F14*$E1039))*'Business Case'!$B$7-'Business Case'!$B$8*(('Business Case'!F11*$C1039*'Business Case'!F12*$B1039)-('Business Case'!E11*$C1039*'Business Case'!E12*$B1039))-'Business Case'!F15*$F1039</f>
        <v>591823397.708058</v>
      </c>
      <c r="M1039" s="39" t="n">
        <f aca="false">(('Business Case'!G11*$C1039*'Business Case'!G12*$B1039)-'Business Case'!G11*$C1039*'Business Case'!G13*$D1039-'Business Case'!G14*$E1039)-MAX(0,(('Business Case'!G11*$C1039*'Business Case'!G12*$B1039)-'Business Case'!G11*$C1039*'Business Case'!G13*$D1039-'Business Case'!G14*$E1039))*'Business Case'!$B$7-'Business Case'!$B$8*(('Business Case'!G11*$C1039*'Business Case'!G12*$B1039)-('Business Case'!F11*$C1039*'Business Case'!F12*$B1039))-'Business Case'!G15*$F1039+'Business Case'!$B$8*('Business Case'!G11*$C1039*'Business Case'!G12*$B1039)</f>
        <v>753922920.314567</v>
      </c>
      <c r="N1039" s="39" t="n">
        <f aca="false">IF(COUNT('Business Case'!B11:G11)=0,"",H1039+NPV(G1039,I1039:M1039))</f>
        <v>-696153057.075921</v>
      </c>
      <c r="P1039" s="40" t="n">
        <f aca="true">RAND()</f>
        <v>0.560117539842611</v>
      </c>
      <c r="Q1039" s="40" t="n">
        <f aca="true">RAND()</f>
        <v>0.189552518155413</v>
      </c>
      <c r="R1039" s="40" t="n">
        <f aca="true">RAND()</f>
        <v>0.782326215318395</v>
      </c>
      <c r="S1039" s="40" t="n">
        <f aca="true">RAND()</f>
        <v>0.31595985175656</v>
      </c>
      <c r="T1039" s="40" t="n">
        <f aca="true">RAND()</f>
        <v>0.272286555094251</v>
      </c>
      <c r="U1039" s="40" t="n">
        <f aca="true">RAND()</f>
        <v>0.514367370184784</v>
      </c>
    </row>
    <row r="1040" customFormat="false" ht="15" hidden="false" customHeight="false" outlineLevel="0" collapsed="false">
      <c r="A1040" s="36" t="n">
        <v>960</v>
      </c>
      <c r="B1040" s="37" t="n">
        <f aca="false">1+IF($G$6=$E$6,$F$6,IF(P1040&lt;($F$6-$E$6)/($G$6-$E$6),$E$6+SQRT(P1040*($G$6-$E$6)*($F$6-$E$6)),$G$6-SQRT((1-P1040)*($G$6-$E$6)*($G$6-$F$6))))</f>
        <v>1.00974242990863</v>
      </c>
      <c r="C1040" s="37" t="n">
        <f aca="false">1+IF($G$7=$E$7,$F$7,IF(Q1040&lt;($F$7-$E$7)/($G$7-$E$7),$E$7+SQRT(Q1040*($G$7-$E$7)*($F$7-$E$7)),$G$7-SQRT((1-Q1040)*($G$7-$E$7)*($G$7-$F$7))))</f>
        <v>0.879335718073306</v>
      </c>
      <c r="D1040" s="37" t="n">
        <f aca="false">1+IF($G$8=$E$8,$F$8,IF(R1040&lt;($F$8-$E$8)/($G$8-$E$8),$E$8+SQRT(R1040*($G$8-$E$8)*($F$8-$E$8)),$G$8-SQRT((1-R1040)*($G$8-$E$8)*($G$8-$F$8))))</f>
        <v>1.00963775417069</v>
      </c>
      <c r="E1040" s="37" t="n">
        <f aca="false">1+IF($G$9=$E$9,$F$9,IF(S1040&lt;($F$9-$E$9)/($G$9-$E$9),$E$9+SQRT(S1040*($G$9-$E$9)*($F$9-$E$9)),$G$9-SQRT((1-S1040)*($G$9-$E$9)*($G$9-$F$9))))</f>
        <v>1.03678985863288</v>
      </c>
      <c r="F1040" s="37" t="n">
        <f aca="false">1+IF($G$10=$E$10,$F$10,IF(T1040&lt;($F$10-$E$10)/($G$10-$E$10),$E$10+SQRT(T1040*($G$10-$E$10)*($F$10-$E$10)),$G$10-SQRT((1-T1040)*($G$10-$E$10)*($G$10-$F$10))))</f>
        <v>0.973367486055582</v>
      </c>
      <c r="G1040" s="38" t="n">
        <f aca="false">IF($G$11=$E$11,$F$11,IF(U1040&lt;($F$11-$E$11)/($G$11-$E$11),$E$11+SQRT(U1040*($G$11-$E$11)*($F$11-$E$11)),$G$11-SQRT((1-U1040)*($G$11-$E$11)*($G$11-$F$11))))</f>
        <v>0.0996088645575585</v>
      </c>
      <c r="H1040" s="39" t="n">
        <f aca="false">(('Business Case'!B11*$C1040*'Business Case'!B12*$B1040)-'Business Case'!B11*$C1040*'Business Case'!B13*$D1040-'Business Case'!B14*$E1040)-MAX(0,(('Business Case'!B11*$C1040*'Business Case'!B12*$B1040)-'Business Case'!B11*$C1040*'Business Case'!B13*$D1040-'Business Case'!B14*$E1040))*'Business Case'!$B$7-'Business Case'!$B$8*('Business Case'!B11*$C1040*'Business Case'!B12*$B1040)-'Business Case'!B15*$F1040</f>
        <v>-1946734972.11116</v>
      </c>
      <c r="I1040" s="39" t="n">
        <f aca="false">(('Business Case'!C11*$C1040*'Business Case'!C12*$B1040)-'Business Case'!C11*$C1040*'Business Case'!C13*$D1040-'Business Case'!C14*$E1040)-MAX(0,(('Business Case'!C11*$C1040*'Business Case'!C12*$B1040)-'Business Case'!C11*$C1040*'Business Case'!C13*$D1040-'Business Case'!C14*$E1040))*'Business Case'!$B$7-'Business Case'!$B$8*(('Business Case'!C11*$C1040*'Business Case'!C12*$B1040)-('Business Case'!B11*$C1040*'Business Case'!B12*$B1040))-'Business Case'!C15*$F1040</f>
        <v>-18028962.0698088</v>
      </c>
      <c r="J1040" s="39" t="n">
        <f aca="false">(('Business Case'!D11*$C1040*'Business Case'!D12*$B1040)-'Business Case'!D11*$C1040*'Business Case'!D13*$D1040-'Business Case'!D14*$E1040)-MAX(0,(('Business Case'!D11*$C1040*'Business Case'!D12*$B1040)-'Business Case'!D11*$C1040*'Business Case'!D13*$D1040-'Business Case'!D14*$E1040))*'Business Case'!$B$7-'Business Case'!$B$8*(('Business Case'!D11*$C1040*'Business Case'!D12*$B1040)-('Business Case'!C11*$C1040*'Business Case'!C12*$B1040))-'Business Case'!D15*$F1040</f>
        <v>254739212.352973</v>
      </c>
      <c r="K1040" s="39" t="n">
        <f aca="false">(('Business Case'!E11*$C1040*'Business Case'!E12*$B1040)-'Business Case'!E11*$C1040*'Business Case'!E13*$D1040-'Business Case'!E14*$E1040)-MAX(0,(('Business Case'!E11*$C1040*'Business Case'!E12*$B1040)-'Business Case'!E11*$C1040*'Business Case'!E13*$D1040-'Business Case'!E14*$E1040))*'Business Case'!$B$7-'Business Case'!$B$8*(('Business Case'!E11*$C1040*'Business Case'!E12*$B1040)-('Business Case'!D11*$C1040*'Business Case'!D12*$B1040))-'Business Case'!E15*$F1040</f>
        <v>576175761.078534</v>
      </c>
      <c r="L1040" s="39" t="n">
        <f aca="false">(('Business Case'!F11*$C1040*'Business Case'!F12*$B1040)-'Business Case'!F11*$C1040*'Business Case'!F13*$D1040-'Business Case'!F14*$E1040)-MAX(0,(('Business Case'!F11*$C1040*'Business Case'!F12*$B1040)-'Business Case'!F11*$C1040*'Business Case'!F13*$D1040-'Business Case'!F14*$E1040))*'Business Case'!$B$7-'Business Case'!$B$8*(('Business Case'!F11*$C1040*'Business Case'!F12*$B1040)-('Business Case'!E11*$C1040*'Business Case'!E12*$B1040))-'Business Case'!F15*$F1040</f>
        <v>697784399.212419</v>
      </c>
      <c r="M1040" s="39" t="n">
        <f aca="false">(('Business Case'!G11*$C1040*'Business Case'!G12*$B1040)-'Business Case'!G11*$C1040*'Business Case'!G13*$D1040-'Business Case'!G14*$E1040)-MAX(0,(('Business Case'!G11*$C1040*'Business Case'!G12*$B1040)-'Business Case'!G11*$C1040*'Business Case'!G13*$D1040-'Business Case'!G14*$E1040))*'Business Case'!$B$7-'Business Case'!$B$8*(('Business Case'!G11*$C1040*'Business Case'!G12*$B1040)-('Business Case'!F11*$C1040*'Business Case'!F12*$B1040))-'Business Case'!G15*$F1040+'Business Case'!$B$8*('Business Case'!G11*$C1040*'Business Case'!G12*$B1040)</f>
        <v>866556922.507023</v>
      </c>
      <c r="N1040" s="39" t="n">
        <f aca="false">IF(COUNT('Business Case'!B11:G11)=0,"",H1040+NPV(G1040,I1040:M1040))</f>
        <v>-302805297.852328</v>
      </c>
      <c r="P1040" s="40" t="n">
        <f aca="true">RAND()</f>
        <v>0.783910406711762</v>
      </c>
      <c r="Q1040" s="40" t="n">
        <f aca="true">RAND()</f>
        <v>0.238231850199025</v>
      </c>
      <c r="R1040" s="40" t="n">
        <f aca="true">RAND()</f>
        <v>0.455644301912206</v>
      </c>
      <c r="S1040" s="40" t="n">
        <f aca="true">RAND()</f>
        <v>0.658225703776957</v>
      </c>
      <c r="T1040" s="40" t="n">
        <f aca="true">RAND()</f>
        <v>0.0364026269705225</v>
      </c>
      <c r="U1040" s="40" t="n">
        <f aca="true">RAND()</f>
        <v>0.384507569236673</v>
      </c>
    </row>
    <row r="1041" customFormat="false" ht="15" hidden="false" customHeight="false" outlineLevel="0" collapsed="false">
      <c r="A1041" s="36" t="n">
        <v>961</v>
      </c>
      <c r="B1041" s="37" t="n">
        <f aca="false">1+IF($G$6=$E$6,$F$6,IF(P1041&lt;($F$6-$E$6)/($G$6-$E$6),$E$6+SQRT(P1041*($G$6-$E$6)*($F$6-$E$6)),$G$6-SQRT((1-P1041)*($G$6-$E$6)*($G$6-$F$6))))</f>
        <v>1.01812469323132</v>
      </c>
      <c r="C1041" s="37" t="n">
        <f aca="false">1+IF($G$7=$E$7,$F$7,IF(Q1041&lt;($F$7-$E$7)/($G$7-$E$7),$E$7+SQRT(Q1041*($G$7-$E$7)*($F$7-$E$7)),$G$7-SQRT((1-Q1041)*($G$7-$E$7)*($G$7-$F$7))))</f>
        <v>0.875315195572748</v>
      </c>
      <c r="D1041" s="37" t="n">
        <f aca="false">1+IF($G$8=$E$8,$F$8,IF(R1041&lt;($F$8-$E$8)/($G$8-$E$8),$E$8+SQRT(R1041*($G$8-$E$8)*($F$8-$E$8)),$G$8-SQRT((1-R1041)*($G$8-$E$8)*($G$8-$F$8))))</f>
        <v>1.05029005779979</v>
      </c>
      <c r="E1041" s="37" t="n">
        <f aca="false">1+IF($G$9=$E$9,$F$9,IF(S1041&lt;($F$9-$E$9)/($G$9-$E$9),$E$9+SQRT(S1041*($G$9-$E$9)*($F$9-$E$9)),$G$9-SQRT((1-S1041)*($G$9-$E$9)*($G$9-$F$9))))</f>
        <v>0.979784995881927</v>
      </c>
      <c r="F1041" s="37" t="n">
        <f aca="false">1+IF($G$10=$E$10,$F$10,IF(T1041&lt;($F$10-$E$10)/($G$10-$E$10),$E$10+SQRT(T1041*($G$10-$E$10)*($F$10-$E$10)),$G$10-SQRT((1-T1041)*($G$10-$E$10)*($G$10-$F$10))))</f>
        <v>1.08552096566788</v>
      </c>
      <c r="G1041" s="38" t="n">
        <f aca="false">IF($G$11=$E$11,$F$11,IF(U1041&lt;($F$11-$E$11)/($G$11-$E$11),$E$11+SQRT(U1041*($G$11-$E$11)*($F$11-$E$11)),$G$11-SQRT((1-U1041)*($G$11-$E$11)*($G$11-$F$11))))</f>
        <v>0.104111527981465</v>
      </c>
      <c r="H1041" s="39" t="n">
        <f aca="false">(('Business Case'!B11*$C1041*'Business Case'!B12*$B1041)-'Business Case'!B11*$C1041*'Business Case'!B13*$D1041-'Business Case'!B14*$E1041)-MAX(0,(('Business Case'!B11*$C1041*'Business Case'!B12*$B1041)-'Business Case'!B11*$C1041*'Business Case'!B13*$D1041-'Business Case'!B14*$E1041))*'Business Case'!$B$7-'Business Case'!$B$8*('Business Case'!B11*$C1041*'Business Case'!B12*$B1041)-'Business Case'!B15*$F1041</f>
        <v>-2171041931.33576</v>
      </c>
      <c r="I1041" s="39" t="n">
        <f aca="false">(('Business Case'!C11*$C1041*'Business Case'!C12*$B1041)-'Business Case'!C11*$C1041*'Business Case'!C13*$D1041-'Business Case'!C14*$E1041)-MAX(0,(('Business Case'!C11*$C1041*'Business Case'!C12*$B1041)-'Business Case'!C11*$C1041*'Business Case'!C13*$D1041-'Business Case'!C14*$E1041))*'Business Case'!$B$7-'Business Case'!$B$8*(('Business Case'!C11*$C1041*'Business Case'!C12*$B1041)-('Business Case'!B11*$C1041*'Business Case'!B12*$B1041))-'Business Case'!C15*$F1041</f>
        <v>-34761592.7892649</v>
      </c>
      <c r="J1041" s="39" t="n">
        <f aca="false">(('Business Case'!D11*$C1041*'Business Case'!D12*$B1041)-'Business Case'!D11*$C1041*'Business Case'!D13*$D1041-'Business Case'!D14*$E1041)-MAX(0,(('Business Case'!D11*$C1041*'Business Case'!D12*$B1041)-'Business Case'!D11*$C1041*'Business Case'!D13*$D1041-'Business Case'!D14*$E1041))*'Business Case'!$B$7-'Business Case'!$B$8*(('Business Case'!D11*$C1041*'Business Case'!D12*$B1041)-('Business Case'!C11*$C1041*'Business Case'!C12*$B1041))-'Business Case'!D15*$F1041</f>
        <v>224553109.37888</v>
      </c>
      <c r="K1041" s="39" t="n">
        <f aca="false">(('Business Case'!E11*$C1041*'Business Case'!E12*$B1041)-'Business Case'!E11*$C1041*'Business Case'!E13*$D1041-'Business Case'!E14*$E1041)-MAX(0,(('Business Case'!E11*$C1041*'Business Case'!E12*$B1041)-'Business Case'!E11*$C1041*'Business Case'!E13*$D1041-'Business Case'!E14*$E1041))*'Business Case'!$B$7-'Business Case'!$B$8*(('Business Case'!E11*$C1041*'Business Case'!E12*$B1041)-('Business Case'!D11*$C1041*'Business Case'!D12*$B1041))-'Business Case'!E15*$F1041</f>
        <v>538143859.830418</v>
      </c>
      <c r="L1041" s="39" t="n">
        <f aca="false">(('Business Case'!F11*$C1041*'Business Case'!F12*$B1041)-'Business Case'!F11*$C1041*'Business Case'!F13*$D1041-'Business Case'!F14*$E1041)-MAX(0,(('Business Case'!F11*$C1041*'Business Case'!F12*$B1041)-'Business Case'!F11*$C1041*'Business Case'!F13*$D1041-'Business Case'!F14*$E1041))*'Business Case'!$B$7-'Business Case'!$B$8*(('Business Case'!F11*$C1041*'Business Case'!F12*$B1041)-('Business Case'!E11*$C1041*'Business Case'!E12*$B1041))-'Business Case'!F15*$F1041</f>
        <v>655381275.20394</v>
      </c>
      <c r="M1041" s="39" t="n">
        <f aca="false">(('Business Case'!G11*$C1041*'Business Case'!G12*$B1041)-'Business Case'!G11*$C1041*'Business Case'!G13*$D1041-'Business Case'!G14*$E1041)-MAX(0,(('Business Case'!G11*$C1041*'Business Case'!G12*$B1041)-'Business Case'!G11*$C1041*'Business Case'!G13*$D1041-'Business Case'!G14*$E1041))*'Business Case'!$B$7-'Business Case'!$B$8*(('Business Case'!G11*$C1041*'Business Case'!G12*$B1041)-('Business Case'!F11*$C1041*'Business Case'!F12*$B1041))-'Business Case'!G15*$F1041+'Business Case'!$B$8*('Business Case'!G11*$C1041*'Business Case'!G12*$B1041)</f>
        <v>824776772.450048</v>
      </c>
      <c r="N1041" s="39" t="n">
        <f aca="false">IF(COUNT('Business Case'!B11:G11)=0,"",H1041+NPV(G1041,I1041:M1041))</f>
        <v>-674848078.040782</v>
      </c>
      <c r="P1041" s="40" t="n">
        <f aca="true">RAND()</f>
        <v>0.864528642453638</v>
      </c>
      <c r="Q1041" s="40" t="n">
        <f aca="true">RAND()</f>
        <v>0.227669761471933</v>
      </c>
      <c r="R1041" s="40" t="n">
        <f aca="true">RAND()</f>
        <v>0.835261443096815</v>
      </c>
      <c r="S1041" s="40" t="n">
        <f aca="true">RAND()</f>
        <v>0.254625822715162</v>
      </c>
      <c r="T1041" s="40" t="n">
        <f aca="true">RAND()</f>
        <v>0.639288630202306</v>
      </c>
      <c r="U1041" s="40" t="n">
        <f aca="true">RAND()</f>
        <v>0.553191344363699</v>
      </c>
    </row>
    <row r="1042" customFormat="false" ht="15" hidden="false" customHeight="false" outlineLevel="0" collapsed="false">
      <c r="A1042" s="36" t="n">
        <v>962</v>
      </c>
      <c r="B1042" s="37" t="n">
        <f aca="false">1+IF($G$6=$E$6,$F$6,IF(P1042&lt;($F$6-$E$6)/($G$6-$E$6),$E$6+SQRT(P1042*($G$6-$E$6)*($F$6-$E$6)),$G$6-SQRT((1-P1042)*($G$6-$E$6)*($G$6-$F$6))))</f>
        <v>0.987951068427267</v>
      </c>
      <c r="C1042" s="37" t="n">
        <f aca="false">1+IF($G$7=$E$7,$F$7,IF(Q1042&lt;($F$7-$E$7)/($G$7-$E$7),$E$7+SQRT(Q1042*($G$7-$E$7)*($F$7-$E$7)),$G$7-SQRT((1-Q1042)*($G$7-$E$7)*($G$7-$F$7))))</f>
        <v>0.99229987149924</v>
      </c>
      <c r="D1042" s="37" t="n">
        <f aca="false">1+IF($G$8=$E$8,$F$8,IF(R1042&lt;($F$8-$E$8)/($G$8-$E$8),$E$8+SQRT(R1042*($G$8-$E$8)*($F$8-$E$8)),$G$8-SQRT((1-R1042)*($G$8-$E$8)*($G$8-$F$8))))</f>
        <v>1.01654097474004</v>
      </c>
      <c r="E1042" s="37" t="n">
        <f aca="false">1+IF($G$9=$E$9,$F$9,IF(S1042&lt;($F$9-$E$9)/($G$9-$E$9),$E$9+SQRT(S1042*($G$9-$E$9)*($F$9-$E$9)),$G$9-SQRT((1-S1042)*($G$9-$E$9)*($G$9-$F$9))))</f>
        <v>1.01289997579702</v>
      </c>
      <c r="F1042" s="37" t="n">
        <f aca="false">1+IF($G$10=$E$10,$F$10,IF(T1042&lt;($F$10-$E$10)/($G$10-$E$10),$E$10+SQRT(T1042*($G$10-$E$10)*($F$10-$E$10)),$G$10-SQRT((1-T1042)*($G$10-$E$10)*($G$10-$F$10))))</f>
        <v>1.01098059783319</v>
      </c>
      <c r="G1042" s="38" t="n">
        <f aca="false">IF($G$11=$E$11,$F$11,IF(U1042&lt;($F$11-$E$11)/($G$11-$E$11),$E$11+SQRT(U1042*($G$11-$E$11)*($F$11-$E$11)),$G$11-SQRT((1-U1042)*($G$11-$E$11)*($G$11-$F$11))))</f>
        <v>0.0886764924911682</v>
      </c>
      <c r="H1042" s="39" t="n">
        <f aca="false">(('Business Case'!B11*$C1042*'Business Case'!B12*$B1042)-'Business Case'!B11*$C1042*'Business Case'!B13*$D1042-'Business Case'!B14*$E1042)-MAX(0,(('Business Case'!B11*$C1042*'Business Case'!B12*$B1042)-'Business Case'!B11*$C1042*'Business Case'!B13*$D1042-'Business Case'!B14*$E1042))*'Business Case'!$B$7-'Business Case'!$B$8*('Business Case'!B11*$C1042*'Business Case'!B12*$B1042)-'Business Case'!B15*$F1042</f>
        <v>-2021961195.66639</v>
      </c>
      <c r="I1042" s="39" t="n">
        <f aca="false">(('Business Case'!C11*$C1042*'Business Case'!C12*$B1042)-'Business Case'!C11*$C1042*'Business Case'!C13*$D1042-'Business Case'!C14*$E1042)-MAX(0,(('Business Case'!C11*$C1042*'Business Case'!C12*$B1042)-'Business Case'!C11*$C1042*'Business Case'!C13*$D1042-'Business Case'!C14*$E1042))*'Business Case'!$B$7-'Business Case'!$B$8*(('Business Case'!C11*$C1042*'Business Case'!C12*$B1042)-('Business Case'!B11*$C1042*'Business Case'!B12*$B1042))-'Business Case'!C15*$F1042</f>
        <v>-9361968.67200722</v>
      </c>
      <c r="J1042" s="39" t="n">
        <f aca="false">(('Business Case'!D11*$C1042*'Business Case'!D12*$B1042)-'Business Case'!D11*$C1042*'Business Case'!D13*$D1042-'Business Case'!D14*$E1042)-MAX(0,(('Business Case'!D11*$C1042*'Business Case'!D12*$B1042)-'Business Case'!D11*$C1042*'Business Case'!D13*$D1042-'Business Case'!D14*$E1042))*'Business Case'!$B$7-'Business Case'!$B$8*(('Business Case'!D11*$C1042*'Business Case'!D12*$B1042)-('Business Case'!C11*$C1042*'Business Case'!C12*$B1042))-'Business Case'!D15*$F1042</f>
        <v>277229517.351613</v>
      </c>
      <c r="K1042" s="39" t="n">
        <f aca="false">(('Business Case'!E11*$C1042*'Business Case'!E12*$B1042)-'Business Case'!E11*$C1042*'Business Case'!E13*$D1042-'Business Case'!E14*$E1042)-MAX(0,(('Business Case'!E11*$C1042*'Business Case'!E12*$B1042)-'Business Case'!E11*$C1042*'Business Case'!E13*$D1042-'Business Case'!E14*$E1042))*'Business Case'!$B$7-'Business Case'!$B$8*(('Business Case'!E11*$C1042*'Business Case'!E12*$B1042)-('Business Case'!D11*$C1042*'Business Case'!D12*$B1042))-'Business Case'!E15*$F1042</f>
        <v>614370033.266894</v>
      </c>
      <c r="L1042" s="39" t="n">
        <f aca="false">(('Business Case'!F11*$C1042*'Business Case'!F12*$B1042)-'Business Case'!F11*$C1042*'Business Case'!F13*$D1042-'Business Case'!F14*$E1042)-MAX(0,(('Business Case'!F11*$C1042*'Business Case'!F12*$B1042)-'Business Case'!F11*$C1042*'Business Case'!F13*$D1042-'Business Case'!F14*$E1042))*'Business Case'!$B$7-'Business Case'!$B$8*(('Business Case'!F11*$C1042*'Business Case'!F12*$B1042)-('Business Case'!E11*$C1042*'Business Case'!E12*$B1042))-'Business Case'!F15*$F1042</f>
        <v>743781207.510748</v>
      </c>
      <c r="M1042" s="39" t="n">
        <f aca="false">(('Business Case'!G11*$C1042*'Business Case'!G12*$B1042)-'Business Case'!G11*$C1042*'Business Case'!G13*$D1042-'Business Case'!G14*$E1042)-MAX(0,(('Business Case'!G11*$C1042*'Business Case'!G12*$B1042)-'Business Case'!G11*$C1042*'Business Case'!G13*$D1042-'Business Case'!G14*$E1042))*'Business Case'!$B$7-'Business Case'!$B$8*(('Business Case'!G11*$C1042*'Business Case'!G12*$B1042)-('Business Case'!F11*$C1042*'Business Case'!F12*$B1042))-'Business Case'!G15*$F1042+'Business Case'!$B$8*('Business Case'!G11*$C1042*'Business Case'!G12*$B1042)</f>
        <v>930124941.475312</v>
      </c>
      <c r="N1042" s="39" t="n">
        <f aca="false">IF(COUNT('Business Case'!B11:G11)=0,"",H1042+NPV(G1042,I1042:M1042))</f>
        <v>-182834445.895485</v>
      </c>
      <c r="P1042" s="40" t="n">
        <f aca="true">RAND()</f>
        <v>0.515692695833192</v>
      </c>
      <c r="Q1042" s="40" t="n">
        <f aca="true">RAND()</f>
        <v>0.632883073173866</v>
      </c>
      <c r="R1042" s="40" t="n">
        <f aca="true">RAND()</f>
        <v>0.535639406843769</v>
      </c>
      <c r="S1042" s="40" t="n">
        <f aca="true">RAND()</f>
        <v>0.498762223027816</v>
      </c>
      <c r="T1042" s="40" t="n">
        <f aca="true">RAND()</f>
        <v>0.238263005170966</v>
      </c>
      <c r="U1042" s="40" t="n">
        <f aca="true">RAND()</f>
        <v>0.0752815219492984</v>
      </c>
    </row>
    <row r="1043" customFormat="false" ht="15" hidden="false" customHeight="false" outlineLevel="0" collapsed="false">
      <c r="A1043" s="36" t="n">
        <v>963</v>
      </c>
      <c r="B1043" s="37" t="n">
        <f aca="false">1+IF($G$6=$E$6,$F$6,IF(P1043&lt;($F$6-$E$6)/($G$6-$E$6),$E$6+SQRT(P1043*($G$6-$E$6)*($F$6-$E$6)),$G$6-SQRT((1-P1043)*($G$6-$E$6)*($G$6-$F$6))))</f>
        <v>0.941670871707745</v>
      </c>
      <c r="C1043" s="37" t="n">
        <f aca="false">1+IF($G$7=$E$7,$F$7,IF(Q1043&lt;($F$7-$E$7)/($G$7-$E$7),$E$7+SQRT(Q1043*($G$7-$E$7)*($F$7-$E$7)),$G$7-SQRT((1-Q1043)*($G$7-$E$7)*($G$7-$F$7))))</f>
        <v>0.887626395081546</v>
      </c>
      <c r="D1043" s="37" t="n">
        <f aca="false">1+IF($G$8=$E$8,$F$8,IF(R1043&lt;($F$8-$E$8)/($G$8-$E$8),$E$8+SQRT(R1043*($G$8-$E$8)*($F$8-$E$8)),$G$8-SQRT((1-R1043)*($G$8-$E$8)*($G$8-$F$8))))</f>
        <v>0.976465582811725</v>
      </c>
      <c r="E1043" s="37" t="n">
        <f aca="false">1+IF($G$9=$E$9,$F$9,IF(S1043&lt;($F$9-$E$9)/($G$9-$E$9),$E$9+SQRT(S1043*($G$9-$E$9)*($F$9-$E$9)),$G$9-SQRT((1-S1043)*($G$9-$E$9)*($G$9-$F$9))))</f>
        <v>0.924552949491698</v>
      </c>
      <c r="F1043" s="37" t="n">
        <f aca="false">1+IF($G$10=$E$10,$F$10,IF(T1043&lt;($F$10-$E$10)/($G$10-$E$10),$E$10+SQRT(T1043*($G$10-$E$10)*($F$10-$E$10)),$G$10-SQRT((1-T1043)*($G$10-$E$10)*($G$10-$F$10))))</f>
        <v>1.21516326697933</v>
      </c>
      <c r="G1043" s="38" t="n">
        <f aca="false">IF($G$11=$E$11,$F$11,IF(U1043&lt;($F$11-$E$11)/($G$11-$E$11),$E$11+SQRT(U1043*($G$11-$E$11)*($F$11-$E$11)),$G$11-SQRT((1-U1043)*($G$11-$E$11)*($G$11-$F$11))))</f>
        <v>0.110314640731597</v>
      </c>
      <c r="H1043" s="39" t="n">
        <f aca="false">(('Business Case'!B11*$C1043*'Business Case'!B12*$B1043)-'Business Case'!B11*$C1043*'Business Case'!B13*$D1043-'Business Case'!B14*$E1043)-MAX(0,(('Business Case'!B11*$C1043*'Business Case'!B12*$B1043)-'Business Case'!B11*$C1043*'Business Case'!B13*$D1043-'Business Case'!B14*$E1043))*'Business Case'!$B$7-'Business Case'!$B$8*('Business Case'!B11*$C1043*'Business Case'!B12*$B1043)-'Business Case'!B15*$F1043</f>
        <v>-2430326533.95865</v>
      </c>
      <c r="I1043" s="39" t="n">
        <f aca="false">(('Business Case'!C11*$C1043*'Business Case'!C12*$B1043)-'Business Case'!C11*$C1043*'Business Case'!C13*$D1043-'Business Case'!C14*$E1043)-MAX(0,(('Business Case'!C11*$C1043*'Business Case'!C12*$B1043)-'Business Case'!C11*$C1043*'Business Case'!C13*$D1043-'Business Case'!C14*$E1043))*'Business Case'!$B$7-'Business Case'!$B$8*(('Business Case'!C11*$C1043*'Business Case'!C12*$B1043)-('Business Case'!B11*$C1043*'Business Case'!B12*$B1043))-'Business Case'!C15*$F1043</f>
        <v>-55395228.072456</v>
      </c>
      <c r="J1043" s="39" t="n">
        <f aca="false">(('Business Case'!D11*$C1043*'Business Case'!D12*$B1043)-'Business Case'!D11*$C1043*'Business Case'!D13*$D1043-'Business Case'!D14*$E1043)-MAX(0,(('Business Case'!D11*$C1043*'Business Case'!D12*$B1043)-'Business Case'!D11*$C1043*'Business Case'!D13*$D1043-'Business Case'!D14*$E1043))*'Business Case'!$B$7-'Business Case'!$B$8*(('Business Case'!D11*$C1043*'Business Case'!D12*$B1043)-('Business Case'!C11*$C1043*'Business Case'!C12*$B1043))-'Business Case'!D15*$F1043</f>
        <v>185527863.566123</v>
      </c>
      <c r="K1043" s="39" t="n">
        <f aca="false">(('Business Case'!E11*$C1043*'Business Case'!E12*$B1043)-'Business Case'!E11*$C1043*'Business Case'!E13*$D1043-'Business Case'!E14*$E1043)-MAX(0,(('Business Case'!E11*$C1043*'Business Case'!E12*$B1043)-'Business Case'!E11*$C1043*'Business Case'!E13*$D1043-'Business Case'!E14*$E1043))*'Business Case'!$B$7-'Business Case'!$B$8*(('Business Case'!E11*$C1043*'Business Case'!E12*$B1043)-('Business Case'!D11*$C1043*'Business Case'!D12*$B1043))-'Business Case'!E15*$F1043</f>
        <v>487209118.55367</v>
      </c>
      <c r="L1043" s="39" t="n">
        <f aca="false">(('Business Case'!F11*$C1043*'Business Case'!F12*$B1043)-'Business Case'!F11*$C1043*'Business Case'!F13*$D1043-'Business Case'!F14*$E1043)-MAX(0,(('Business Case'!F11*$C1043*'Business Case'!F12*$B1043)-'Business Case'!F11*$C1043*'Business Case'!F13*$D1043-'Business Case'!F14*$E1043))*'Business Case'!$B$7-'Business Case'!$B$8*(('Business Case'!F11*$C1043*'Business Case'!F12*$B1043)-('Business Case'!E11*$C1043*'Business Case'!E12*$B1043))-'Business Case'!F15*$F1043</f>
        <v>596403858.163452</v>
      </c>
      <c r="M1043" s="39" t="n">
        <f aca="false">(('Business Case'!G11*$C1043*'Business Case'!G12*$B1043)-'Business Case'!G11*$C1043*'Business Case'!G13*$D1043-'Business Case'!G14*$E1043)-MAX(0,(('Business Case'!G11*$C1043*'Business Case'!G12*$B1043)-'Business Case'!G11*$C1043*'Business Case'!G13*$D1043-'Business Case'!G14*$E1043))*'Business Case'!$B$7-'Business Case'!$B$8*(('Business Case'!G11*$C1043*'Business Case'!G12*$B1043)-('Business Case'!F11*$C1043*'Business Case'!F12*$B1043))-'Business Case'!G15*$F1043+'Business Case'!$B$8*('Business Case'!G11*$C1043*'Business Case'!G12*$B1043)</f>
        <v>755282591.346525</v>
      </c>
      <c r="N1043" s="39" t="n">
        <f aca="false">IF(COUNT('Business Case'!B11:G11)=0,"",H1043+NPV(G1043,I1043:M1043))</f>
        <v>-1133771130.60416</v>
      </c>
      <c r="P1043" s="40" t="n">
        <f aca="true">RAND()</f>
        <v>0.11576410325889</v>
      </c>
      <c r="Q1043" s="40" t="n">
        <f aca="true">RAND()</f>
        <v>0.260767882454048</v>
      </c>
      <c r="R1043" s="40" t="n">
        <f aca="true">RAND()</f>
        <v>0.0933902764752349</v>
      </c>
      <c r="S1043" s="40" t="n">
        <f aca="true">RAND()</f>
        <v>0.0241138931496749</v>
      </c>
      <c r="T1043" s="40" t="n">
        <f aca="true">RAND()</f>
        <v>0.983818693765951</v>
      </c>
      <c r="U1043" s="40" t="n">
        <f aca="true">RAND()</f>
        <v>0.741657753649258</v>
      </c>
    </row>
    <row r="1044" customFormat="false" ht="15" hidden="false" customHeight="false" outlineLevel="0" collapsed="false">
      <c r="A1044" s="36" t="n">
        <v>964</v>
      </c>
      <c r="B1044" s="37" t="n">
        <f aca="false">1+IF($G$6=$E$6,$F$6,IF(P1044&lt;($F$6-$E$6)/($G$6-$E$6),$E$6+SQRT(P1044*($G$6-$E$6)*($F$6-$E$6)),$G$6-SQRT((1-P1044)*($G$6-$E$6)*($G$6-$F$6))))</f>
        <v>0.990845443023171</v>
      </c>
      <c r="C1044" s="37" t="n">
        <f aca="false">1+IF($G$7=$E$7,$F$7,IF(Q1044&lt;($F$7-$E$7)/($G$7-$E$7),$E$7+SQRT(Q1044*($G$7-$E$7)*($F$7-$E$7)),$G$7-SQRT((1-Q1044)*($G$7-$E$7)*($G$7-$F$7))))</f>
        <v>0.882357803465556</v>
      </c>
      <c r="D1044" s="37" t="n">
        <f aca="false">1+IF($G$8=$E$8,$F$8,IF(R1044&lt;($F$8-$E$8)/($G$8-$E$8),$E$8+SQRT(R1044*($G$8-$E$8)*($F$8-$E$8)),$G$8-SQRT((1-R1044)*($G$8-$E$8)*($G$8-$F$8))))</f>
        <v>0.978444697680381</v>
      </c>
      <c r="E1044" s="37" t="n">
        <f aca="false">1+IF($G$9=$E$9,$F$9,IF(S1044&lt;($F$9-$E$9)/($G$9-$E$9),$E$9+SQRT(S1044*($G$9-$E$9)*($F$9-$E$9)),$G$9-SQRT((1-S1044)*($G$9-$E$9)*($G$9-$F$9))))</f>
        <v>0.979468450535428</v>
      </c>
      <c r="F1044" s="37" t="n">
        <f aca="false">1+IF($G$10=$E$10,$F$10,IF(T1044&lt;($F$10-$E$10)/($G$10-$E$10),$E$10+SQRT(T1044*($G$10-$E$10)*($F$10-$E$10)),$G$10-SQRT((1-T1044)*($G$10-$E$10)*($G$10-$F$10))))</f>
        <v>1.13101646405454</v>
      </c>
      <c r="G1044" s="38" t="n">
        <f aca="false">IF($G$11=$E$11,$F$11,IF(U1044&lt;($F$11-$E$11)/($G$11-$E$11),$E$11+SQRT(U1044*($G$11-$E$11)*($F$11-$E$11)),$G$11-SQRT((1-U1044)*($G$11-$E$11)*($G$11-$F$11))))</f>
        <v>0.0920885208366696</v>
      </c>
      <c r="H1044" s="39" t="n">
        <f aca="false">(('Business Case'!B11*$C1044*'Business Case'!B12*$B1044)-'Business Case'!B11*$C1044*'Business Case'!B13*$D1044-'Business Case'!B14*$E1044)-MAX(0,(('Business Case'!B11*$C1044*'Business Case'!B12*$B1044)-'Business Case'!B11*$C1044*'Business Case'!B13*$D1044-'Business Case'!B14*$E1044))*'Business Case'!$B$7-'Business Case'!$B$8*('Business Case'!B11*$C1044*'Business Case'!B12*$B1044)-'Business Case'!B15*$F1044</f>
        <v>-2262032928.10908</v>
      </c>
      <c r="I1044" s="39" t="n">
        <f aca="false">(('Business Case'!C11*$C1044*'Business Case'!C12*$B1044)-'Business Case'!C11*$C1044*'Business Case'!C13*$D1044-'Business Case'!C14*$E1044)-MAX(0,(('Business Case'!C11*$C1044*'Business Case'!C12*$B1044)-'Business Case'!C11*$C1044*'Business Case'!C13*$D1044-'Business Case'!C14*$E1044))*'Business Case'!$B$7-'Business Case'!$B$8*(('Business Case'!C11*$C1044*'Business Case'!C12*$B1044)-('Business Case'!B11*$C1044*'Business Case'!B12*$B1044))-'Business Case'!C15*$F1044</f>
        <v>-23566456.8406293</v>
      </c>
      <c r="J1044" s="39" t="n">
        <f aca="false">(('Business Case'!D11*$C1044*'Business Case'!D12*$B1044)-'Business Case'!D11*$C1044*'Business Case'!D13*$D1044-'Business Case'!D14*$E1044)-MAX(0,(('Business Case'!D11*$C1044*'Business Case'!D12*$B1044)-'Business Case'!D11*$C1044*'Business Case'!D13*$D1044-'Business Case'!D14*$E1044))*'Business Case'!$B$7-'Business Case'!$B$8*(('Business Case'!D11*$C1044*'Business Case'!D12*$B1044)-('Business Case'!C11*$C1044*'Business Case'!C12*$B1044))-'Business Case'!D15*$F1044</f>
        <v>250571832.408293</v>
      </c>
      <c r="K1044" s="39" t="n">
        <f aca="false">(('Business Case'!E11*$C1044*'Business Case'!E12*$B1044)-'Business Case'!E11*$C1044*'Business Case'!E13*$D1044-'Business Case'!E14*$E1044)-MAX(0,(('Business Case'!E11*$C1044*'Business Case'!E12*$B1044)-'Business Case'!E11*$C1044*'Business Case'!E13*$D1044-'Business Case'!E14*$E1044))*'Business Case'!$B$7-'Business Case'!$B$8*(('Business Case'!E11*$C1044*'Business Case'!E12*$B1044)-('Business Case'!D11*$C1044*'Business Case'!D12*$B1044))-'Business Case'!E15*$F1044</f>
        <v>581260944.859942</v>
      </c>
      <c r="L1044" s="39" t="n">
        <f aca="false">(('Business Case'!F11*$C1044*'Business Case'!F12*$B1044)-'Business Case'!F11*$C1044*'Business Case'!F13*$D1044-'Business Case'!F14*$E1044)-MAX(0,(('Business Case'!F11*$C1044*'Business Case'!F12*$B1044)-'Business Case'!F11*$C1044*'Business Case'!F13*$D1044-'Business Case'!F14*$E1044))*'Business Case'!$B$7-'Business Case'!$B$8*(('Business Case'!F11*$C1044*'Business Case'!F12*$B1044)-('Business Case'!E11*$C1044*'Business Case'!E12*$B1044))-'Business Case'!F15*$F1044</f>
        <v>702855498.621556</v>
      </c>
      <c r="M1044" s="39" t="n">
        <f aca="false">(('Business Case'!G11*$C1044*'Business Case'!G12*$B1044)-'Business Case'!G11*$C1044*'Business Case'!G13*$D1044-'Business Case'!G14*$E1044)-MAX(0,(('Business Case'!G11*$C1044*'Business Case'!G12*$B1044)-'Business Case'!G11*$C1044*'Business Case'!G13*$D1044-'Business Case'!G14*$E1044))*'Business Case'!$B$7-'Business Case'!$B$8*(('Business Case'!G11*$C1044*'Business Case'!G12*$B1044)-('Business Case'!F11*$C1044*'Business Case'!F12*$B1044))-'Business Case'!G15*$F1044+'Business Case'!$B$8*('Business Case'!G11*$C1044*'Business Case'!G12*$B1044)</f>
        <v>869038680.687408</v>
      </c>
      <c r="N1044" s="39" t="n">
        <f aca="false">IF(COUNT('Business Case'!B11:G11)=0,"",H1044+NPV(G1044,I1044:M1044))</f>
        <v>-573688958.102212</v>
      </c>
      <c r="P1044" s="40" t="n">
        <f aca="true">RAND()</f>
        <v>0.550192967871745</v>
      </c>
      <c r="Q1044" s="40" t="n">
        <f aca="true">RAND()</f>
        <v>0.246328655442832</v>
      </c>
      <c r="R1044" s="40" t="n">
        <f aca="true">RAND()</f>
        <v>0.107880110150434</v>
      </c>
      <c r="S1044" s="40" t="n">
        <f aca="true">RAND()</f>
        <v>0.25260938522007</v>
      </c>
      <c r="T1044" s="40" t="n">
        <f aca="true">RAND()</f>
        <v>0.811238908985534</v>
      </c>
      <c r="U1044" s="40" t="n">
        <f aca="true">RAND()</f>
        <v>0.146132336018595</v>
      </c>
    </row>
    <row r="1045" customFormat="false" ht="15" hidden="false" customHeight="false" outlineLevel="0" collapsed="false">
      <c r="A1045" s="36" t="n">
        <v>965</v>
      </c>
      <c r="B1045" s="37" t="n">
        <f aca="false">1+IF($G$6=$E$6,$F$6,IF(P1045&lt;($F$6-$E$6)/($G$6-$E$6),$E$6+SQRT(P1045*($G$6-$E$6)*($F$6-$E$6)),$G$6-SQRT((1-P1045)*($G$6-$E$6)*($G$6-$F$6))))</f>
        <v>1.00310927191532</v>
      </c>
      <c r="C1045" s="37" t="n">
        <f aca="false">1+IF($G$7=$E$7,$F$7,IF(Q1045&lt;($F$7-$E$7)/($G$7-$E$7),$E$7+SQRT(Q1045*($G$7-$E$7)*($F$7-$E$7)),$G$7-SQRT((1-Q1045)*($G$7-$E$7)*($G$7-$F$7))))</f>
        <v>0.937209474964159</v>
      </c>
      <c r="D1045" s="37" t="n">
        <f aca="false">1+IF($G$8=$E$8,$F$8,IF(R1045&lt;($F$8-$E$8)/($G$8-$E$8),$E$8+SQRT(R1045*($G$8-$E$8)*($F$8-$E$8)),$G$8-SQRT((1-R1045)*($G$8-$E$8)*($G$8-$F$8))))</f>
        <v>1.03328676125522</v>
      </c>
      <c r="E1045" s="37" t="n">
        <f aca="false">1+IF($G$9=$E$9,$F$9,IF(S1045&lt;($F$9-$E$9)/($G$9-$E$9),$E$9+SQRT(S1045*($G$9-$E$9)*($F$9-$E$9)),$G$9-SQRT((1-S1045)*($G$9-$E$9)*($G$9-$F$9))))</f>
        <v>1.00961135470281</v>
      </c>
      <c r="F1045" s="37" t="n">
        <f aca="false">1+IF($G$10=$E$10,$F$10,IF(T1045&lt;($F$10-$E$10)/($G$10-$E$10),$E$10+SQRT(T1045*($G$10-$E$10)*($F$10-$E$10)),$G$10-SQRT((1-T1045)*($G$10-$E$10)*($G$10-$F$10))))</f>
        <v>1.17105920766432</v>
      </c>
      <c r="G1045" s="38" t="n">
        <f aca="false">IF($G$11=$E$11,$F$11,IF(U1045&lt;($F$11-$E$11)/($G$11-$E$11),$E$11+SQRT(U1045*($G$11-$E$11)*($F$11-$E$11)),$G$11-SQRT((1-U1045)*($G$11-$E$11)*($G$11-$F$11))))</f>
        <v>0.0972670202055085</v>
      </c>
      <c r="H1045" s="39" t="n">
        <f aca="false">(('Business Case'!B11*$C1045*'Business Case'!B12*$B1045)-'Business Case'!B11*$C1045*'Business Case'!B13*$D1045-'Business Case'!B14*$E1045)-MAX(0,(('Business Case'!B11*$C1045*'Business Case'!B12*$B1045)-'Business Case'!B11*$C1045*'Business Case'!B13*$D1045-'Business Case'!B14*$E1045))*'Business Case'!$B$7-'Business Case'!$B$8*('Business Case'!B11*$C1045*'Business Case'!B12*$B1045)-'Business Case'!B15*$F1045</f>
        <v>-2342118415.32863</v>
      </c>
      <c r="I1045" s="39" t="n">
        <f aca="false">(('Business Case'!C11*$C1045*'Business Case'!C12*$B1045)-'Business Case'!C11*$C1045*'Business Case'!C13*$D1045-'Business Case'!C14*$E1045)-MAX(0,(('Business Case'!C11*$C1045*'Business Case'!C12*$B1045)-'Business Case'!C11*$C1045*'Business Case'!C13*$D1045-'Business Case'!C14*$E1045))*'Business Case'!$B$7-'Business Case'!$B$8*(('Business Case'!C11*$C1045*'Business Case'!C12*$B1045)-('Business Case'!B11*$C1045*'Business Case'!B12*$B1045))-'Business Case'!C15*$F1045</f>
        <v>-35126284.1895619</v>
      </c>
      <c r="J1045" s="39" t="n">
        <f aca="false">(('Business Case'!D11*$C1045*'Business Case'!D12*$B1045)-'Business Case'!D11*$C1045*'Business Case'!D13*$D1045-'Business Case'!D14*$E1045)-MAX(0,(('Business Case'!D11*$C1045*'Business Case'!D12*$B1045)-'Business Case'!D11*$C1045*'Business Case'!D13*$D1045-'Business Case'!D14*$E1045))*'Business Case'!$B$7-'Business Case'!$B$8*(('Business Case'!D11*$C1045*'Business Case'!D12*$B1045)-('Business Case'!C11*$C1045*'Business Case'!C12*$B1045))-'Business Case'!D15*$F1045</f>
        <v>239156089.995096</v>
      </c>
      <c r="K1045" s="39" t="n">
        <f aca="false">(('Business Case'!E11*$C1045*'Business Case'!E12*$B1045)-'Business Case'!E11*$C1045*'Business Case'!E13*$D1045-'Business Case'!E14*$E1045)-MAX(0,(('Business Case'!E11*$C1045*'Business Case'!E12*$B1045)-'Business Case'!E11*$C1045*'Business Case'!E13*$D1045-'Business Case'!E14*$E1045))*'Business Case'!$B$7-'Business Case'!$B$8*(('Business Case'!E11*$C1045*'Business Case'!E12*$B1045)-('Business Case'!D11*$C1045*'Business Case'!D12*$B1045))-'Business Case'!E15*$F1045</f>
        <v>571991424.56297</v>
      </c>
      <c r="L1045" s="39" t="n">
        <f aca="false">(('Business Case'!F11*$C1045*'Business Case'!F12*$B1045)-'Business Case'!F11*$C1045*'Business Case'!F13*$D1045-'Business Case'!F14*$E1045)-MAX(0,(('Business Case'!F11*$C1045*'Business Case'!F12*$B1045)-'Business Case'!F11*$C1045*'Business Case'!F13*$D1045-'Business Case'!F14*$E1045))*'Business Case'!$B$7-'Business Case'!$B$8*(('Business Case'!F11*$C1045*'Business Case'!F12*$B1045)-('Business Case'!E11*$C1045*'Business Case'!E12*$B1045))-'Business Case'!F15*$F1045</f>
        <v>695909551.270555</v>
      </c>
      <c r="M1045" s="39" t="n">
        <f aca="false">(('Business Case'!G11*$C1045*'Business Case'!G12*$B1045)-'Business Case'!G11*$C1045*'Business Case'!G13*$D1045-'Business Case'!G14*$E1045)-MAX(0,(('Business Case'!G11*$C1045*'Business Case'!G12*$B1045)-'Business Case'!G11*$C1045*'Business Case'!G13*$D1045-'Business Case'!G14*$E1045))*'Business Case'!$B$7-'Business Case'!$B$8*(('Business Case'!G11*$C1045*'Business Case'!G12*$B1045)-('Business Case'!F11*$C1045*'Business Case'!F12*$B1045))-'Business Case'!G15*$F1045+'Business Case'!$B$8*('Business Case'!G11*$C1045*'Business Case'!G12*$B1045)</f>
        <v>874608228.823733</v>
      </c>
      <c r="N1045" s="39" t="n">
        <f aca="false">IF(COUNT('Business Case'!B11:G11)=0,"",H1045+NPV(G1045,I1045:M1045))</f>
        <v>-712602161.644299</v>
      </c>
      <c r="P1045" s="40" t="n">
        <f aca="true">RAND()</f>
        <v>0.706834615958519</v>
      </c>
      <c r="Q1045" s="40" t="n">
        <f aca="true">RAND()</f>
        <v>0.416802481576087</v>
      </c>
      <c r="R1045" s="40" t="n">
        <f aca="true">RAND()</f>
        <v>0.703289585078806</v>
      </c>
      <c r="S1045" s="40" t="n">
        <f aca="true">RAND()</f>
        <v>0.474427420576516</v>
      </c>
      <c r="T1045" s="40" t="n">
        <f aca="true">RAND()</f>
        <v>0.916911350738859</v>
      </c>
      <c r="U1045" s="40" t="n">
        <f aca="true">RAND()</f>
        <v>0.29814998677744</v>
      </c>
    </row>
    <row r="1046" customFormat="false" ht="15" hidden="false" customHeight="false" outlineLevel="0" collapsed="false">
      <c r="A1046" s="36" t="n">
        <v>966</v>
      </c>
      <c r="B1046" s="37" t="n">
        <f aca="false">1+IF($G$6=$E$6,$F$6,IF(P1046&lt;($F$6-$E$6)/($G$6-$E$6),$E$6+SQRT(P1046*($G$6-$E$6)*($F$6-$E$6)),$G$6-SQRT((1-P1046)*($G$6-$E$6)*($G$6-$F$6))))</f>
        <v>0.983089799312442</v>
      </c>
      <c r="C1046" s="37" t="n">
        <f aca="false">1+IF($G$7=$E$7,$F$7,IF(Q1046&lt;($F$7-$E$7)/($G$7-$E$7),$E$7+SQRT(Q1046*($G$7-$E$7)*($F$7-$E$7)),$G$7-SQRT((1-Q1046)*($G$7-$E$7)*($G$7-$F$7))))</f>
        <v>1.10502640313712</v>
      </c>
      <c r="D1046" s="37" t="n">
        <f aca="false">1+IF($G$8=$E$8,$F$8,IF(R1046&lt;($F$8-$E$8)/($G$8-$E$8),$E$8+SQRT(R1046*($G$8-$E$8)*($F$8-$E$8)),$G$8-SQRT((1-R1046)*($G$8-$E$8)*($G$8-$F$8))))</f>
        <v>0.970088773774773</v>
      </c>
      <c r="E1046" s="37" t="n">
        <f aca="false">1+IF($G$9=$E$9,$F$9,IF(S1046&lt;($F$9-$E$9)/($G$9-$E$9),$E$9+SQRT(S1046*($G$9-$E$9)*($F$9-$E$9)),$G$9-SQRT((1-S1046)*($G$9-$E$9)*($G$9-$F$9))))</f>
        <v>0.980678345804648</v>
      </c>
      <c r="F1046" s="37" t="n">
        <f aca="false">1+IF($G$10=$E$10,$F$10,IF(T1046&lt;($F$10-$E$10)/($G$10-$E$10),$E$10+SQRT(T1046*($G$10-$E$10)*($F$10-$E$10)),$G$10-SQRT((1-T1046)*($G$10-$E$10)*($G$10-$F$10))))</f>
        <v>0.981753558274415</v>
      </c>
      <c r="G1046" s="38" t="n">
        <f aca="false">IF($G$11=$E$11,$F$11,IF(U1046&lt;($F$11-$E$11)/($G$11-$E$11),$E$11+SQRT(U1046*($G$11-$E$11)*($F$11-$E$11)),$G$11-SQRT((1-U1046)*($G$11-$E$11)*($G$11-$F$11))))</f>
        <v>0.11139970778286</v>
      </c>
      <c r="H1046" s="39" t="n">
        <f aca="false">(('Business Case'!B11*$C1046*'Business Case'!B12*$B1046)-'Business Case'!B11*$C1046*'Business Case'!B13*$D1046-'Business Case'!B14*$E1046)-MAX(0,(('Business Case'!B11*$C1046*'Business Case'!B12*$B1046)-'Business Case'!B11*$C1046*'Business Case'!B13*$D1046-'Business Case'!B14*$E1046))*'Business Case'!$B$7-'Business Case'!$B$8*('Business Case'!B11*$C1046*'Business Case'!B12*$B1046)-'Business Case'!B15*$F1046</f>
        <v>-1963507116.54883</v>
      </c>
      <c r="I1046" s="39" t="n">
        <f aca="false">(('Business Case'!C11*$C1046*'Business Case'!C12*$B1046)-'Business Case'!C11*$C1046*'Business Case'!C13*$D1046-'Business Case'!C14*$E1046)-MAX(0,(('Business Case'!C11*$C1046*'Business Case'!C12*$B1046)-'Business Case'!C11*$C1046*'Business Case'!C13*$D1046-'Business Case'!C14*$E1046))*'Business Case'!$B$7-'Business Case'!$B$8*(('Business Case'!C11*$C1046*'Business Case'!C12*$B1046)-('Business Case'!B11*$C1046*'Business Case'!B12*$B1046))-'Business Case'!C15*$F1046</f>
        <v>47082355.3282714</v>
      </c>
      <c r="J1046" s="39" t="n">
        <f aca="false">(('Business Case'!D11*$C1046*'Business Case'!D12*$B1046)-'Business Case'!D11*$C1046*'Business Case'!D13*$D1046-'Business Case'!D14*$E1046)-MAX(0,(('Business Case'!D11*$C1046*'Business Case'!D12*$B1046)-'Business Case'!D11*$C1046*'Business Case'!D13*$D1046-'Business Case'!D14*$E1046))*'Business Case'!$B$7-'Business Case'!$B$8*(('Business Case'!D11*$C1046*'Business Case'!D12*$B1046)-('Business Case'!C11*$C1046*'Business Case'!C12*$B1046))-'Business Case'!D15*$F1046</f>
        <v>388108402.442363</v>
      </c>
      <c r="K1046" s="39" t="n">
        <f aca="false">(('Business Case'!E11*$C1046*'Business Case'!E12*$B1046)-'Business Case'!E11*$C1046*'Business Case'!E13*$D1046-'Business Case'!E14*$E1046)-MAX(0,(('Business Case'!E11*$C1046*'Business Case'!E12*$B1046)-'Business Case'!E11*$C1046*'Business Case'!E13*$D1046-'Business Case'!E14*$E1046))*'Business Case'!$B$7-'Business Case'!$B$8*(('Business Case'!E11*$C1046*'Business Case'!E12*$B1046)-('Business Case'!D11*$C1046*'Business Case'!D12*$B1046))-'Business Case'!E15*$F1046</f>
        <v>778222127.470176</v>
      </c>
      <c r="L1046" s="39" t="n">
        <f aca="false">(('Business Case'!F11*$C1046*'Business Case'!F12*$B1046)-'Business Case'!F11*$C1046*'Business Case'!F13*$D1046-'Business Case'!F14*$E1046)-MAX(0,(('Business Case'!F11*$C1046*'Business Case'!F12*$B1046)-'Business Case'!F11*$C1046*'Business Case'!F13*$D1046-'Business Case'!F14*$E1046))*'Business Case'!$B$7-'Business Case'!$B$8*(('Business Case'!F11*$C1046*'Business Case'!F12*$B1046)-('Business Case'!E11*$C1046*'Business Case'!E12*$B1046))-'Business Case'!F15*$F1046</f>
        <v>929441393.298178</v>
      </c>
      <c r="M1046" s="39" t="n">
        <f aca="false">(('Business Case'!G11*$C1046*'Business Case'!G12*$B1046)-'Business Case'!G11*$C1046*'Business Case'!G13*$D1046-'Business Case'!G14*$E1046)-MAX(0,(('Business Case'!G11*$C1046*'Business Case'!G12*$B1046)-'Business Case'!G11*$C1046*'Business Case'!G13*$D1046-'Business Case'!G14*$E1046))*'Business Case'!$B$7-'Business Case'!$B$8*(('Business Case'!G11*$C1046*'Business Case'!G12*$B1046)-('Business Case'!F11*$C1046*'Business Case'!F12*$B1046))-'Business Case'!G15*$F1046+'Business Case'!$B$8*('Business Case'!G11*$C1046*'Business Case'!G12*$B1046)</f>
        <v>1135932935.64302</v>
      </c>
      <c r="N1046" s="39" t="n">
        <f aca="false">IF(COUNT('Business Case'!B11:G11)=0,"",H1046+NPV(G1046,I1046:M1046))</f>
        <v>239002626.547137</v>
      </c>
      <c r="P1046" s="40" t="n">
        <f aca="true">RAND()</f>
        <v>0.460260983318789</v>
      </c>
      <c r="Q1046" s="40" t="n">
        <f aca="true">RAND()</f>
        <v>0.970035193855036</v>
      </c>
      <c r="R1046" s="40" t="n">
        <f aca="true">RAND()</f>
        <v>0.0538078442365328</v>
      </c>
      <c r="S1046" s="40" t="n">
        <f aca="true">RAND()</f>
        <v>0.260359819270975</v>
      </c>
      <c r="T1046" s="40" t="n">
        <f aca="true">RAND()</f>
        <v>0.0672192308724459</v>
      </c>
      <c r="U1046" s="40" t="n">
        <f aca="true">RAND()</f>
        <v>0.76935275295799</v>
      </c>
    </row>
    <row r="1047" customFormat="false" ht="15" hidden="false" customHeight="false" outlineLevel="0" collapsed="false">
      <c r="A1047" s="36" t="n">
        <v>967</v>
      </c>
      <c r="B1047" s="37" t="n">
        <f aca="false">1+IF($G$6=$E$6,$F$6,IF(P1047&lt;($F$6-$E$6)/($G$6-$E$6),$E$6+SQRT(P1047*($G$6-$E$6)*($F$6-$E$6)),$G$6-SQRT((1-P1047)*($G$6-$E$6)*($G$6-$F$6))))</f>
        <v>0.991807712724773</v>
      </c>
      <c r="C1047" s="37" t="n">
        <f aca="false">1+IF($G$7=$E$7,$F$7,IF(Q1047&lt;($F$7-$E$7)/($G$7-$E$7),$E$7+SQRT(Q1047*($G$7-$E$7)*($F$7-$E$7)),$G$7-SQRT((1-Q1047)*($G$7-$E$7)*($G$7-$F$7))))</f>
        <v>0.988366913229983</v>
      </c>
      <c r="D1047" s="37" t="n">
        <f aca="false">1+IF($G$8=$E$8,$F$8,IF(R1047&lt;($F$8-$E$8)/($G$8-$E$8),$E$8+SQRT(R1047*($G$8-$E$8)*($F$8-$E$8)),$G$8-SQRT((1-R1047)*($G$8-$E$8)*($G$8-$F$8))))</f>
        <v>1.01379786498674</v>
      </c>
      <c r="E1047" s="37" t="n">
        <f aca="false">1+IF($G$9=$E$9,$F$9,IF(S1047&lt;($F$9-$E$9)/($G$9-$E$9),$E$9+SQRT(S1047*($G$9-$E$9)*($F$9-$E$9)),$G$9-SQRT((1-S1047)*($G$9-$E$9)*($G$9-$F$9))))</f>
        <v>1.01170903483494</v>
      </c>
      <c r="F1047" s="37" t="n">
        <f aca="false">1+IF($G$10=$E$10,$F$10,IF(T1047&lt;($F$10-$E$10)/($G$10-$E$10),$E$10+SQRT(T1047*($G$10-$E$10)*($F$10-$E$10)),$G$10-SQRT((1-T1047)*($G$10-$E$10)*($G$10-$F$10))))</f>
        <v>1.00334327838432</v>
      </c>
      <c r="G1047" s="38" t="n">
        <f aca="false">IF($G$11=$E$11,$F$11,IF(U1047&lt;($F$11-$E$11)/($G$11-$E$11),$E$11+SQRT(U1047*($G$11-$E$11)*($F$11-$E$11)),$G$11-SQRT((1-U1047)*($G$11-$E$11)*($G$11-$F$11))))</f>
        <v>0.124147521299101</v>
      </c>
      <c r="H1047" s="39" t="n">
        <f aca="false">(('Business Case'!B11*$C1047*'Business Case'!B12*$B1047)-'Business Case'!B11*$C1047*'Business Case'!B13*$D1047-'Business Case'!B14*$E1047)-MAX(0,(('Business Case'!B11*$C1047*'Business Case'!B12*$B1047)-'Business Case'!B11*$C1047*'Business Case'!B13*$D1047-'Business Case'!B14*$E1047))*'Business Case'!$B$7-'Business Case'!$B$8*('Business Case'!B11*$C1047*'Business Case'!B12*$B1047)-'Business Case'!B15*$F1047</f>
        <v>-2006686556.76865</v>
      </c>
      <c r="I1047" s="39" t="n">
        <f aca="false">(('Business Case'!C11*$C1047*'Business Case'!C12*$B1047)-'Business Case'!C11*$C1047*'Business Case'!C13*$D1047-'Business Case'!C14*$E1047)-MAX(0,(('Business Case'!C11*$C1047*'Business Case'!C12*$B1047)-'Business Case'!C11*$C1047*'Business Case'!C13*$D1047-'Business Case'!C14*$E1047))*'Business Case'!$B$7-'Business Case'!$B$8*(('Business Case'!C11*$C1047*'Business Case'!C12*$B1047)-('Business Case'!B11*$C1047*'Business Case'!B12*$B1047))-'Business Case'!C15*$F1047</f>
        <v>-5050919.62712786</v>
      </c>
      <c r="J1047" s="39" t="n">
        <f aca="false">(('Business Case'!D11*$C1047*'Business Case'!D12*$B1047)-'Business Case'!D11*$C1047*'Business Case'!D13*$D1047-'Business Case'!D14*$E1047)-MAX(0,(('Business Case'!D11*$C1047*'Business Case'!D12*$B1047)-'Business Case'!D11*$C1047*'Business Case'!D13*$D1047-'Business Case'!D14*$E1047))*'Business Case'!$B$7-'Business Case'!$B$8*(('Business Case'!D11*$C1047*'Business Case'!D12*$B1047)-('Business Case'!C11*$C1047*'Business Case'!C12*$B1047))-'Business Case'!D15*$F1047</f>
        <v>284914706.381558</v>
      </c>
      <c r="K1047" s="39" t="n">
        <f aca="false">(('Business Case'!E11*$C1047*'Business Case'!E12*$B1047)-'Business Case'!E11*$C1047*'Business Case'!E13*$D1047-'Business Case'!E14*$E1047)-MAX(0,(('Business Case'!E11*$C1047*'Business Case'!E12*$B1047)-'Business Case'!E11*$C1047*'Business Case'!E13*$D1047-'Business Case'!E14*$E1047))*'Business Case'!$B$7-'Business Case'!$B$8*(('Business Case'!E11*$C1047*'Business Case'!E12*$B1047)-('Business Case'!D11*$C1047*'Business Case'!D12*$B1047))-'Business Case'!E15*$F1047</f>
        <v>625047496.309461</v>
      </c>
      <c r="L1047" s="39" t="n">
        <f aca="false">(('Business Case'!F11*$C1047*'Business Case'!F12*$B1047)-'Business Case'!F11*$C1047*'Business Case'!F13*$D1047-'Business Case'!F14*$E1047)-MAX(0,(('Business Case'!F11*$C1047*'Business Case'!F12*$B1047)-'Business Case'!F11*$C1047*'Business Case'!F13*$D1047-'Business Case'!F14*$E1047))*'Business Case'!$B$7-'Business Case'!$B$8*(('Business Case'!F11*$C1047*'Business Case'!F12*$B1047)-('Business Case'!E11*$C1047*'Business Case'!E12*$B1047))-'Business Case'!F15*$F1047</f>
        <v>755580833.674925</v>
      </c>
      <c r="M1047" s="39" t="n">
        <f aca="false">(('Business Case'!G11*$C1047*'Business Case'!G12*$B1047)-'Business Case'!G11*$C1047*'Business Case'!G13*$D1047-'Business Case'!G14*$E1047)-MAX(0,(('Business Case'!G11*$C1047*'Business Case'!G12*$B1047)-'Business Case'!G11*$C1047*'Business Case'!G13*$D1047-'Business Case'!G14*$E1047))*'Business Case'!$B$7-'Business Case'!$B$8*(('Business Case'!G11*$C1047*'Business Case'!G12*$B1047)-('Business Case'!F11*$C1047*'Business Case'!F12*$B1047))-'Business Case'!G15*$F1047+'Business Case'!$B$8*('Business Case'!G11*$C1047*'Business Case'!G12*$B1047)</f>
        <v>941910541.502388</v>
      </c>
      <c r="N1047" s="39" t="n">
        <f aca="false">IF(COUNT('Business Case'!B11:G11)=0,"",H1047+NPV(G1047,I1047:M1047))</f>
        <v>-347913835.322512</v>
      </c>
      <c r="P1047" s="40" t="n">
        <f aca="true">RAND()</f>
        <v>0.561910407716961</v>
      </c>
      <c r="Q1047" s="40" t="n">
        <f aca="true">RAND()</f>
        <v>0.615966493672509</v>
      </c>
      <c r="R1047" s="40" t="n">
        <f aca="true">RAND()</f>
        <v>0.504612794610372</v>
      </c>
      <c r="S1047" s="40" t="n">
        <f aca="true">RAND()</f>
        <v>0.490016238765733</v>
      </c>
      <c r="T1047" s="40" t="n">
        <f aca="true">RAND()</f>
        <v>0.188806155757421</v>
      </c>
      <c r="U1047" s="40" t="n">
        <f aca="true">RAND()</f>
        <v>0.977165662037013</v>
      </c>
    </row>
    <row r="1048" customFormat="false" ht="15" hidden="false" customHeight="false" outlineLevel="0" collapsed="false">
      <c r="A1048" s="36" t="n">
        <v>968</v>
      </c>
      <c r="B1048" s="37" t="n">
        <f aca="false">1+IF($G$6=$E$6,$F$6,IF(P1048&lt;($F$6-$E$6)/($G$6-$E$6),$E$6+SQRT(P1048*($G$6-$E$6)*($F$6-$E$6)),$G$6-SQRT((1-P1048)*($G$6-$E$6)*($G$6-$F$6))))</f>
        <v>0.991690426420243</v>
      </c>
      <c r="C1048" s="37" t="n">
        <f aca="false">1+IF($G$7=$E$7,$F$7,IF(Q1048&lt;($F$7-$E$7)/($G$7-$E$7),$E$7+SQRT(Q1048*($G$7-$E$7)*($F$7-$E$7)),$G$7-SQRT((1-Q1048)*($G$7-$E$7)*($G$7-$F$7))))</f>
        <v>0.879538305933864</v>
      </c>
      <c r="D1048" s="37" t="n">
        <f aca="false">1+IF($G$8=$E$8,$F$8,IF(R1048&lt;($F$8-$E$8)/($G$8-$E$8),$E$8+SQRT(R1048*($G$8-$E$8)*($F$8-$E$8)),$G$8-SQRT((1-R1048)*($G$8-$E$8)*($G$8-$F$8))))</f>
        <v>1.00346740142068</v>
      </c>
      <c r="E1048" s="37" t="n">
        <f aca="false">1+IF($G$9=$E$9,$F$9,IF(S1048&lt;($F$9-$E$9)/($G$9-$E$9),$E$9+SQRT(S1048*($G$9-$E$9)*($F$9-$E$9)),$G$9-SQRT((1-S1048)*($G$9-$E$9)*($G$9-$F$9))))</f>
        <v>0.984499411784048</v>
      </c>
      <c r="F1048" s="37" t="n">
        <f aca="false">1+IF($G$10=$E$10,$F$10,IF(T1048&lt;($F$10-$E$10)/($G$10-$E$10),$E$10+SQRT(T1048*($G$10-$E$10)*($F$10-$E$10)),$G$10-SQRT((1-T1048)*($G$10-$E$10)*($G$10-$F$10))))</f>
        <v>1.09826332246165</v>
      </c>
      <c r="G1048" s="38" t="n">
        <f aca="false">IF($G$11=$E$11,$F$11,IF(U1048&lt;($F$11-$E$11)/($G$11-$E$11),$E$11+SQRT(U1048*($G$11-$E$11)*($F$11-$E$11)),$G$11-SQRT((1-U1048)*($G$11-$E$11)*($G$11-$F$11))))</f>
        <v>0.120094993811215</v>
      </c>
      <c r="H1048" s="39" t="n">
        <f aca="false">(('Business Case'!B11*$C1048*'Business Case'!B12*$B1048)-'Business Case'!B11*$C1048*'Business Case'!B13*$D1048-'Business Case'!B14*$E1048)-MAX(0,(('Business Case'!B11*$C1048*'Business Case'!B12*$B1048)-'Business Case'!B11*$C1048*'Business Case'!B13*$D1048-'Business Case'!B14*$E1048))*'Business Case'!$B$7-'Business Case'!$B$8*('Business Case'!B11*$C1048*'Business Case'!B12*$B1048)-'Business Case'!B15*$F1048</f>
        <v>-2196526644.92331</v>
      </c>
      <c r="I1048" s="39" t="n">
        <f aca="false">(('Business Case'!C11*$C1048*'Business Case'!C12*$B1048)-'Business Case'!C11*$C1048*'Business Case'!C13*$D1048-'Business Case'!C14*$E1048)-MAX(0,(('Business Case'!C11*$C1048*'Business Case'!C12*$B1048)-'Business Case'!C11*$C1048*'Business Case'!C13*$D1048-'Business Case'!C14*$E1048))*'Business Case'!$B$7-'Business Case'!$B$8*(('Business Case'!C11*$C1048*'Business Case'!C12*$B1048)-('Business Case'!B11*$C1048*'Business Case'!B12*$B1048))-'Business Case'!C15*$F1048</f>
        <v>-32434056.1895967</v>
      </c>
      <c r="J1048" s="39" t="n">
        <f aca="false">(('Business Case'!D11*$C1048*'Business Case'!D12*$B1048)-'Business Case'!D11*$C1048*'Business Case'!D13*$D1048-'Business Case'!D14*$E1048)-MAX(0,(('Business Case'!D11*$C1048*'Business Case'!D12*$B1048)-'Business Case'!D11*$C1048*'Business Case'!D13*$D1048-'Business Case'!D14*$E1048))*'Business Case'!$B$7-'Business Case'!$B$8*(('Business Case'!D11*$C1048*'Business Case'!D12*$B1048)-('Business Case'!C11*$C1048*'Business Case'!C12*$B1048))-'Business Case'!D15*$F1048</f>
        <v>230170424.786391</v>
      </c>
      <c r="K1048" s="39" t="n">
        <f aca="false">(('Business Case'!E11*$C1048*'Business Case'!E12*$B1048)-'Business Case'!E11*$C1048*'Business Case'!E13*$D1048-'Business Case'!E14*$E1048)-MAX(0,(('Business Case'!E11*$C1048*'Business Case'!E12*$B1048)-'Business Case'!E11*$C1048*'Business Case'!E13*$D1048-'Business Case'!E14*$E1048))*'Business Case'!$B$7-'Business Case'!$B$8*(('Business Case'!E11*$C1048*'Business Case'!E12*$B1048)-('Business Case'!D11*$C1048*'Business Case'!D12*$B1048))-'Business Case'!E15*$F1048</f>
        <v>547688071.885461</v>
      </c>
      <c r="L1048" s="39" t="n">
        <f aca="false">(('Business Case'!F11*$C1048*'Business Case'!F12*$B1048)-'Business Case'!F11*$C1048*'Business Case'!F13*$D1048-'Business Case'!F14*$E1048)-MAX(0,(('Business Case'!F11*$C1048*'Business Case'!F12*$B1048)-'Business Case'!F11*$C1048*'Business Case'!F13*$D1048-'Business Case'!F14*$E1048))*'Business Case'!$B$7-'Business Case'!$B$8*(('Business Case'!F11*$C1048*'Business Case'!F12*$B1048)-('Business Case'!E11*$C1048*'Business Case'!E12*$B1048))-'Business Case'!F15*$F1048</f>
        <v>665367157.919942</v>
      </c>
      <c r="M1048" s="39" t="n">
        <f aca="false">(('Business Case'!G11*$C1048*'Business Case'!G12*$B1048)-'Business Case'!G11*$C1048*'Business Case'!G13*$D1048-'Business Case'!G14*$E1048)-MAX(0,(('Business Case'!G11*$C1048*'Business Case'!G12*$B1048)-'Business Case'!G11*$C1048*'Business Case'!G13*$D1048-'Business Case'!G14*$E1048))*'Business Case'!$B$7-'Business Case'!$B$8*(('Business Case'!G11*$C1048*'Business Case'!G12*$B1048)-('Business Case'!F11*$C1048*'Business Case'!F12*$B1048))-'Business Case'!G15*$F1048+'Business Case'!$B$8*('Business Case'!G11*$C1048*'Business Case'!G12*$B1048)</f>
        <v>831160582.653608</v>
      </c>
      <c r="N1048" s="39" t="n">
        <f aca="false">IF(COUNT('Business Case'!B11:G11)=0,"",H1048+NPV(G1048,I1048:M1048))</f>
        <v>-758157149.242749</v>
      </c>
      <c r="P1048" s="40" t="n">
        <f aca="true">RAND()</f>
        <v>0.560475619808398</v>
      </c>
      <c r="Q1048" s="40" t="n">
        <f aca="true">RAND()</f>
        <v>0.238770394797049</v>
      </c>
      <c r="R1048" s="40" t="n">
        <f aca="true">RAND()</f>
        <v>0.378763827434973</v>
      </c>
      <c r="S1048" s="40" t="n">
        <f aca="true">RAND()</f>
        <v>0.285606023674001</v>
      </c>
      <c r="T1048" s="40" t="n">
        <f aca="true">RAND()</f>
        <v>0.693013075861657</v>
      </c>
      <c r="U1048" s="40" t="n">
        <f aca="true">RAND()</f>
        <v>0.934593901600093</v>
      </c>
    </row>
    <row r="1049" customFormat="false" ht="15" hidden="false" customHeight="false" outlineLevel="0" collapsed="false">
      <c r="A1049" s="36" t="n">
        <v>969</v>
      </c>
      <c r="B1049" s="37" t="n">
        <f aca="false">1+IF($G$6=$E$6,$F$6,IF(P1049&lt;($F$6-$E$6)/($G$6-$E$6),$E$6+SQRT(P1049*($G$6-$E$6)*($F$6-$E$6)),$G$6-SQRT((1-P1049)*($G$6-$E$6)*($G$6-$F$6))))</f>
        <v>0.974651417771529</v>
      </c>
      <c r="C1049" s="37" t="n">
        <f aca="false">1+IF($G$7=$E$7,$F$7,IF(Q1049&lt;($F$7-$E$7)/($G$7-$E$7),$E$7+SQRT(Q1049*($G$7-$E$7)*($F$7-$E$7)),$G$7-SQRT((1-Q1049)*($G$7-$E$7)*($G$7-$F$7))))</f>
        <v>0.75143104869386</v>
      </c>
      <c r="D1049" s="37" t="n">
        <f aca="false">1+IF($G$8=$E$8,$F$8,IF(R1049&lt;($F$8-$E$8)/($G$8-$E$8),$E$8+SQRT(R1049*($G$8-$E$8)*($F$8-$E$8)),$G$8-SQRT((1-R1049)*($G$8-$E$8)*($G$8-$F$8))))</f>
        <v>1.05447817324983</v>
      </c>
      <c r="E1049" s="37" t="n">
        <f aca="false">1+IF($G$9=$E$9,$F$9,IF(S1049&lt;($F$9-$E$9)/($G$9-$E$9),$E$9+SQRT(S1049*($G$9-$E$9)*($F$9-$E$9)),$G$9-SQRT((1-S1049)*($G$9-$E$9)*($G$9-$F$9))))</f>
        <v>0.951033507422318</v>
      </c>
      <c r="F1049" s="37" t="n">
        <f aca="false">1+IF($G$10=$E$10,$F$10,IF(T1049&lt;($F$10-$E$10)/($G$10-$E$10),$E$10+SQRT(T1049*($G$10-$E$10)*($F$10-$E$10)),$G$10-SQRT((1-T1049)*($G$10-$E$10)*($G$10-$F$10))))</f>
        <v>1.08896796150529</v>
      </c>
      <c r="G1049" s="38" t="n">
        <f aca="false">IF($G$11=$E$11,$F$11,IF(U1049&lt;($F$11-$E$11)/($G$11-$E$11),$E$11+SQRT(U1049*($G$11-$E$11)*($F$11-$E$11)),$G$11-SQRT((1-U1049)*($G$11-$E$11)*($G$11-$F$11))))</f>
        <v>0.119901797352516</v>
      </c>
      <c r="H1049" s="39" t="n">
        <f aca="false">(('Business Case'!B11*$C1049*'Business Case'!B12*$B1049)-'Business Case'!B11*$C1049*'Business Case'!B13*$D1049-'Business Case'!B14*$E1049)-MAX(0,(('Business Case'!B11*$C1049*'Business Case'!B12*$B1049)-'Business Case'!B11*$C1049*'Business Case'!B13*$D1049-'Business Case'!B14*$E1049))*'Business Case'!$B$7-'Business Case'!$B$8*('Business Case'!B11*$C1049*'Business Case'!B12*$B1049)-'Business Case'!B15*$F1049</f>
        <v>-2177935923.01058</v>
      </c>
      <c r="I1049" s="39" t="n">
        <f aca="false">(('Business Case'!C11*$C1049*'Business Case'!C12*$B1049)-'Business Case'!C11*$C1049*'Business Case'!C13*$D1049-'Business Case'!C14*$E1049)-MAX(0,(('Business Case'!C11*$C1049*'Business Case'!C12*$B1049)-'Business Case'!C11*$C1049*'Business Case'!C13*$D1049-'Business Case'!C14*$E1049))*'Business Case'!$B$7-'Business Case'!$B$8*(('Business Case'!C11*$C1049*'Business Case'!C12*$B1049)-('Business Case'!B11*$C1049*'Business Case'!B12*$B1049))-'Business Case'!C15*$F1049</f>
        <v>-87854670.5564927</v>
      </c>
      <c r="J1049" s="39" t="n">
        <f aca="false">(('Business Case'!D11*$C1049*'Business Case'!D12*$B1049)-'Business Case'!D11*$C1049*'Business Case'!D13*$D1049-'Business Case'!D14*$E1049)-MAX(0,(('Business Case'!D11*$C1049*'Business Case'!D12*$B1049)-'Business Case'!D11*$C1049*'Business Case'!D13*$D1049-'Business Case'!D14*$E1049))*'Business Case'!$B$7-'Business Case'!$B$8*(('Business Case'!D11*$C1049*'Business Case'!D12*$B1049)-('Business Case'!C11*$C1049*'Business Case'!C12*$B1049))-'Business Case'!D15*$F1049</f>
        <v>106391171.981367</v>
      </c>
      <c r="K1049" s="39" t="n">
        <f aca="false">(('Business Case'!E11*$C1049*'Business Case'!E12*$B1049)-'Business Case'!E11*$C1049*'Business Case'!E13*$D1049-'Business Case'!E14*$E1049)-MAX(0,(('Business Case'!E11*$C1049*'Business Case'!E12*$B1049)-'Business Case'!E11*$C1049*'Business Case'!E13*$D1049-'Business Case'!E14*$E1049))*'Business Case'!$B$7-'Business Case'!$B$8*(('Business Case'!E11*$C1049*'Business Case'!E12*$B1049)-('Business Case'!D11*$C1049*'Business Case'!D12*$B1049))-'Business Case'!E15*$F1049</f>
        <v>355085412.594492</v>
      </c>
      <c r="L1049" s="39" t="n">
        <f aca="false">(('Business Case'!F11*$C1049*'Business Case'!F12*$B1049)-'Business Case'!F11*$C1049*'Business Case'!F13*$D1049-'Business Case'!F14*$E1049)-MAX(0,(('Business Case'!F11*$C1049*'Business Case'!F12*$B1049)-'Business Case'!F11*$C1049*'Business Case'!F13*$D1049-'Business Case'!F14*$E1049))*'Business Case'!$B$7-'Business Case'!$B$8*(('Business Case'!F11*$C1049*'Business Case'!F12*$B1049)-('Business Case'!E11*$C1049*'Business Case'!E12*$B1049))-'Business Case'!F15*$F1049</f>
        <v>445145194.899359</v>
      </c>
      <c r="M1049" s="39" t="n">
        <f aca="false">(('Business Case'!G11*$C1049*'Business Case'!G12*$B1049)-'Business Case'!G11*$C1049*'Business Case'!G13*$D1049-'Business Case'!G14*$E1049)-MAX(0,(('Business Case'!G11*$C1049*'Business Case'!G12*$B1049)-'Business Case'!G11*$C1049*'Business Case'!G13*$D1049-'Business Case'!G14*$E1049))*'Business Case'!$B$7-'Business Case'!$B$8*(('Business Case'!G11*$C1049*'Business Case'!G12*$B1049)-('Business Case'!F11*$C1049*'Business Case'!F12*$B1049))-'Business Case'!G15*$F1049+'Business Case'!$B$8*('Business Case'!G11*$C1049*'Business Case'!G12*$B1049)</f>
        <v>584356619.59005</v>
      </c>
      <c r="N1049" s="39" t="n">
        <f aca="false">IF(COUNT('Business Case'!B11:G11)=0,"",H1049+NPV(G1049,I1049:M1049))</f>
        <v>-1304023825.50458</v>
      </c>
      <c r="P1049" s="40" t="n">
        <f aca="true">RAND()</f>
        <v>0.371522278353295</v>
      </c>
      <c r="Q1049" s="40" t="n">
        <f aca="true">RAND()</f>
        <v>0.0195937242203721</v>
      </c>
      <c r="R1049" s="40" t="n">
        <f aca="true">RAND()</f>
        <v>0.861850885955192</v>
      </c>
      <c r="S1049" s="40" t="n">
        <f aca="true">RAND()</f>
        <v>0.104176755192949</v>
      </c>
      <c r="T1049" s="40" t="n">
        <f aca="true">RAND()</f>
        <v>0.65424910104318</v>
      </c>
      <c r="U1049" s="40" t="n">
        <f aca="true">RAND()</f>
        <v>0.932017535526898</v>
      </c>
    </row>
    <row r="1050" customFormat="false" ht="15" hidden="false" customHeight="false" outlineLevel="0" collapsed="false">
      <c r="A1050" s="36" t="n">
        <v>970</v>
      </c>
      <c r="B1050" s="37" t="n">
        <f aca="false">1+IF($G$6=$E$6,$F$6,IF(P1050&lt;($F$6-$E$6)/($G$6-$E$6),$E$6+SQRT(P1050*($G$6-$E$6)*($F$6-$E$6)),$G$6-SQRT((1-P1050)*($G$6-$E$6)*($G$6-$F$6))))</f>
        <v>0.940599771291561</v>
      </c>
      <c r="C1050" s="37" t="n">
        <f aca="false">1+IF($G$7=$E$7,$F$7,IF(Q1050&lt;($F$7-$E$7)/($G$7-$E$7),$E$7+SQRT(Q1050*($G$7-$E$7)*($F$7-$E$7)),$G$7-SQRT((1-Q1050)*($G$7-$E$7)*($G$7-$F$7))))</f>
        <v>1.03695915113564</v>
      </c>
      <c r="D1050" s="37" t="n">
        <f aca="false">1+IF($G$8=$E$8,$F$8,IF(R1050&lt;($F$8-$E$8)/($G$8-$E$8),$E$8+SQRT(R1050*($G$8-$E$8)*($F$8-$E$8)),$G$8-SQRT((1-R1050)*($G$8-$E$8)*($G$8-$F$8))))</f>
        <v>1.06959490165382</v>
      </c>
      <c r="E1050" s="37" t="n">
        <f aca="false">1+IF($G$9=$E$9,$F$9,IF(S1050&lt;($F$9-$E$9)/($G$9-$E$9),$E$9+SQRT(S1050*($G$9-$E$9)*($F$9-$E$9)),$G$9-SQRT((1-S1050)*($G$9-$E$9)*($G$9-$F$9))))</f>
        <v>1.09619684403392</v>
      </c>
      <c r="F1050" s="37" t="n">
        <f aca="false">1+IF($G$10=$E$10,$F$10,IF(T1050&lt;($F$10-$E$10)/($G$10-$E$10),$E$10+SQRT(T1050*($G$10-$E$10)*($F$10-$E$10)),$G$10-SQRT((1-T1050)*($G$10-$E$10)*($G$10-$F$10))))</f>
        <v>1.18561069162881</v>
      </c>
      <c r="G1050" s="38" t="n">
        <f aca="false">IF($G$11=$E$11,$F$11,IF(U1050&lt;($F$11-$E$11)/($G$11-$E$11),$E$11+SQRT(U1050*($G$11-$E$11)*($F$11-$E$11)),$G$11-SQRT((1-U1050)*($G$11-$E$11)*($G$11-$F$11))))</f>
        <v>0.0974797102611962</v>
      </c>
      <c r="H1050" s="39" t="n">
        <f aca="false">(('Business Case'!B11*$C1050*'Business Case'!B12*$B1050)-'Business Case'!B11*$C1050*'Business Case'!B13*$D1050-'Business Case'!B14*$E1050)-MAX(0,(('Business Case'!B11*$C1050*'Business Case'!B12*$B1050)-'Business Case'!B11*$C1050*'Business Case'!B13*$D1050-'Business Case'!B14*$E1050))*'Business Case'!$B$7-'Business Case'!$B$8*('Business Case'!B11*$C1050*'Business Case'!B12*$B1050)-'Business Case'!B15*$F1050</f>
        <v>-2371221383.25762</v>
      </c>
      <c r="I1050" s="39" t="n">
        <f aca="false">(('Business Case'!C11*$C1050*'Business Case'!C12*$B1050)-'Business Case'!C11*$C1050*'Business Case'!C13*$D1050-'Business Case'!C14*$E1050)-MAX(0,(('Business Case'!C11*$C1050*'Business Case'!C12*$B1050)-'Business Case'!C11*$C1050*'Business Case'!C13*$D1050-'Business Case'!C14*$E1050))*'Business Case'!$B$7-'Business Case'!$B$8*(('Business Case'!C11*$C1050*'Business Case'!C12*$B1050)-('Business Case'!B11*$C1050*'Business Case'!B12*$B1050))-'Business Case'!C15*$F1050</f>
        <v>-93894035.7553368</v>
      </c>
      <c r="J1050" s="39" t="n">
        <f aca="false">(('Business Case'!D11*$C1050*'Business Case'!D12*$B1050)-'Business Case'!D11*$C1050*'Business Case'!D13*$D1050-'Business Case'!D14*$E1050)-MAX(0,(('Business Case'!D11*$C1050*'Business Case'!D12*$B1050)-'Business Case'!D11*$C1050*'Business Case'!D13*$D1050-'Business Case'!D14*$E1050))*'Business Case'!$B$7-'Business Case'!$B$8*(('Business Case'!D11*$C1050*'Business Case'!D12*$B1050)-('Business Case'!C11*$C1050*'Business Case'!C12*$B1050))-'Business Case'!D15*$F1050</f>
        <v>137215034.808005</v>
      </c>
      <c r="K1050" s="39" t="n">
        <f aca="false">(('Business Case'!E11*$C1050*'Business Case'!E12*$B1050)-'Business Case'!E11*$C1050*'Business Case'!E13*$D1050-'Business Case'!E14*$E1050)-MAX(0,(('Business Case'!E11*$C1050*'Business Case'!E12*$B1050)-'Business Case'!E11*$C1050*'Business Case'!E13*$D1050-'Business Case'!E14*$E1050))*'Business Case'!$B$7-'Business Case'!$B$8*(('Business Case'!E11*$C1050*'Business Case'!E12*$B1050)-('Business Case'!D11*$C1050*'Business Case'!D12*$B1050))-'Business Case'!E15*$F1050</f>
        <v>427604639.952786</v>
      </c>
      <c r="L1050" s="39" t="n">
        <f aca="false">(('Business Case'!F11*$C1050*'Business Case'!F12*$B1050)-'Business Case'!F11*$C1050*'Business Case'!F13*$D1050-'Business Case'!F14*$E1050)-MAX(0,(('Business Case'!F11*$C1050*'Business Case'!F12*$B1050)-'Business Case'!F11*$C1050*'Business Case'!F13*$D1050-'Business Case'!F14*$E1050))*'Business Case'!$B$7-'Business Case'!$B$8*(('Business Case'!F11*$C1050*'Business Case'!F12*$B1050)-('Business Case'!E11*$C1050*'Business Case'!E12*$B1050))-'Business Case'!F15*$F1050</f>
        <v>538349560.76335</v>
      </c>
      <c r="M1050" s="39" t="n">
        <f aca="false">(('Business Case'!G11*$C1050*'Business Case'!G12*$B1050)-'Business Case'!G11*$C1050*'Business Case'!G13*$D1050-'Business Case'!G14*$E1050)-MAX(0,(('Business Case'!G11*$C1050*'Business Case'!G12*$B1050)-'Business Case'!G11*$C1050*'Business Case'!G13*$D1050-'Business Case'!G14*$E1050))*'Business Case'!$B$7-'Business Case'!$B$8*(('Business Case'!G11*$C1050*'Business Case'!G12*$B1050)-('Business Case'!F11*$C1050*'Business Case'!F12*$B1050))-'Business Case'!G15*$F1050+'Business Case'!$B$8*('Business Case'!G11*$C1050*'Business Case'!G12*$B1050)</f>
        <v>723746662.521988</v>
      </c>
      <c r="N1050" s="39" t="n">
        <f aca="false">IF(COUNT('Business Case'!B11:G11)=0,"",H1050+NPV(G1050,I1050:M1050))</f>
        <v>-1193706551.34579</v>
      </c>
      <c r="P1050" s="40" t="n">
        <f aca="true">RAND()</f>
        <v>0.109889428595136</v>
      </c>
      <c r="Q1050" s="40" t="n">
        <f aca="true">RAND()</f>
        <v>0.810692836859637</v>
      </c>
      <c r="R1050" s="40" t="n">
        <f aca="true">RAND()</f>
        <v>0.938368666303921</v>
      </c>
      <c r="S1050" s="40" t="n">
        <f aca="true">RAND()</f>
        <v>0.922805877549052</v>
      </c>
      <c r="T1050" s="40" t="n">
        <f aca="true">RAND()</f>
        <v>0.944720226233064</v>
      </c>
      <c r="U1050" s="40" t="n">
        <f aca="true">RAND()</f>
        <v>0.305540270815367</v>
      </c>
    </row>
    <row r="1051" customFormat="false" ht="15" hidden="false" customHeight="false" outlineLevel="0" collapsed="false">
      <c r="A1051" s="36" t="n">
        <v>971</v>
      </c>
      <c r="B1051" s="37" t="n">
        <f aca="false">1+IF($G$6=$E$6,$F$6,IF(P1051&lt;($F$6-$E$6)/($G$6-$E$6),$E$6+SQRT(P1051*($G$6-$E$6)*($F$6-$E$6)),$G$6-SQRT((1-P1051)*($G$6-$E$6)*($G$6-$F$6))))</f>
        <v>1.00690961691976</v>
      </c>
      <c r="C1051" s="37" t="n">
        <f aca="false">1+IF($G$7=$E$7,$F$7,IF(Q1051&lt;($F$7-$E$7)/($G$7-$E$7),$E$7+SQRT(Q1051*($G$7-$E$7)*($F$7-$E$7)),$G$7-SQRT((1-Q1051)*($G$7-$E$7)*($G$7-$F$7))))</f>
        <v>1.07006015138346</v>
      </c>
      <c r="D1051" s="37" t="n">
        <f aca="false">1+IF($G$8=$E$8,$F$8,IF(R1051&lt;($F$8-$E$8)/($G$8-$E$8),$E$8+SQRT(R1051*($G$8-$E$8)*($F$8-$E$8)),$G$8-SQRT((1-R1051)*($G$8-$E$8)*($G$8-$F$8))))</f>
        <v>1.02158357204627</v>
      </c>
      <c r="E1051" s="37" t="n">
        <f aca="false">1+IF($G$9=$E$9,$F$9,IF(S1051&lt;($F$9-$E$9)/($G$9-$E$9),$E$9+SQRT(S1051*($G$9-$E$9)*($F$9-$E$9)),$G$9-SQRT((1-S1051)*($G$9-$E$9)*($G$9-$F$9))))</f>
        <v>0.944082913342613</v>
      </c>
      <c r="F1051" s="37" t="n">
        <f aca="false">1+IF($G$10=$E$10,$F$10,IF(T1051&lt;($F$10-$E$10)/($G$10-$E$10),$E$10+SQRT(T1051*($G$10-$E$10)*($F$10-$E$10)),$G$10-SQRT((1-T1051)*($G$10-$E$10)*($G$10-$F$10))))</f>
        <v>0.974172816728902</v>
      </c>
      <c r="G1051" s="38" t="n">
        <f aca="false">IF($G$11=$E$11,$F$11,IF(U1051&lt;($F$11-$E$11)/($G$11-$E$11),$E$11+SQRT(U1051*($G$11-$E$11)*($F$11-$E$11)),$G$11-SQRT((1-U1051)*($G$11-$E$11)*($G$11-$F$11))))</f>
        <v>0.104792490119416</v>
      </c>
      <c r="H1051" s="39" t="n">
        <f aca="false">(('Business Case'!B11*$C1051*'Business Case'!B12*$B1051)-'Business Case'!B11*$C1051*'Business Case'!B13*$D1051-'Business Case'!B14*$E1051)-MAX(0,(('Business Case'!B11*$C1051*'Business Case'!B12*$B1051)-'Business Case'!B11*$C1051*'Business Case'!B13*$D1051-'Business Case'!B14*$E1051))*'Business Case'!$B$7-'Business Case'!$B$8*('Business Case'!B11*$C1051*'Business Case'!B12*$B1051)-'Business Case'!B15*$F1051</f>
        <v>-1948345633.4578</v>
      </c>
      <c r="I1051" s="39" t="n">
        <f aca="false">(('Business Case'!C11*$C1051*'Business Case'!C12*$B1051)-'Business Case'!C11*$C1051*'Business Case'!C13*$D1051-'Business Case'!C14*$E1051)-MAX(0,(('Business Case'!C11*$C1051*'Business Case'!C12*$B1051)-'Business Case'!C11*$C1051*'Business Case'!C13*$D1051-'Business Case'!C14*$E1051))*'Business Case'!$B$7-'Business Case'!$B$8*(('Business Case'!C11*$C1051*'Business Case'!C12*$B1051)-('Business Case'!B11*$C1051*'Business Case'!B12*$B1051))-'Business Case'!C15*$F1051</f>
        <v>35382851.8798284</v>
      </c>
      <c r="J1051" s="39" t="n">
        <f aca="false">(('Business Case'!D11*$C1051*'Business Case'!D12*$B1051)-'Business Case'!D11*$C1051*'Business Case'!D13*$D1051-'Business Case'!D14*$E1051)-MAX(0,(('Business Case'!D11*$C1051*'Business Case'!D12*$B1051)-'Business Case'!D11*$C1051*'Business Case'!D13*$D1051-'Business Case'!D14*$E1051))*'Business Case'!$B$7-'Business Case'!$B$8*(('Business Case'!D11*$C1051*'Business Case'!D12*$B1051)-('Business Case'!C11*$C1051*'Business Case'!C12*$B1051))-'Business Case'!D15*$F1051</f>
        <v>358286783.662481</v>
      </c>
      <c r="K1051" s="39" t="n">
        <f aca="false">(('Business Case'!E11*$C1051*'Business Case'!E12*$B1051)-'Business Case'!E11*$C1051*'Business Case'!E13*$D1051-'Business Case'!E14*$E1051)-MAX(0,(('Business Case'!E11*$C1051*'Business Case'!E12*$B1051)-'Business Case'!E11*$C1051*'Business Case'!E13*$D1051-'Business Case'!E14*$E1051))*'Business Case'!$B$7-'Business Case'!$B$8*(('Business Case'!E11*$C1051*'Business Case'!E12*$B1051)-('Business Case'!D11*$C1051*'Business Case'!D12*$B1051))-'Business Case'!E15*$F1051</f>
        <v>729899356.281579</v>
      </c>
      <c r="L1051" s="39" t="n">
        <f aca="false">(('Business Case'!F11*$C1051*'Business Case'!F12*$B1051)-'Business Case'!F11*$C1051*'Business Case'!F13*$D1051-'Business Case'!F14*$E1051)-MAX(0,(('Business Case'!F11*$C1051*'Business Case'!F12*$B1051)-'Business Case'!F11*$C1051*'Business Case'!F13*$D1051-'Business Case'!F14*$E1051))*'Business Case'!$B$7-'Business Case'!$B$8*(('Business Case'!F11*$C1051*'Business Case'!F12*$B1051)-('Business Case'!E11*$C1051*'Business Case'!E12*$B1051))-'Business Case'!F15*$F1051</f>
        <v>874770805.510872</v>
      </c>
      <c r="M1051" s="39" t="n">
        <f aca="false">(('Business Case'!G11*$C1051*'Business Case'!G12*$B1051)-'Business Case'!G11*$C1051*'Business Case'!G13*$D1051-'Business Case'!G14*$E1051)-MAX(0,(('Business Case'!G11*$C1051*'Business Case'!G12*$B1051)-'Business Case'!G11*$C1051*'Business Case'!G13*$D1051-'Business Case'!G14*$E1051))*'Business Case'!$B$7-'Business Case'!$B$8*(('Business Case'!G11*$C1051*'Business Case'!G12*$B1051)-('Business Case'!F11*$C1051*'Business Case'!F12*$B1051))-'Business Case'!G15*$F1051+'Business Case'!$B$8*('Business Case'!G11*$C1051*'Business Case'!G12*$B1051)</f>
        <v>1079573234.67046</v>
      </c>
      <c r="N1051" s="39" t="n">
        <f aca="false">IF(COUNT('Business Case'!B11:G11)=0,"",H1051+NPV(G1051,I1051:M1051))</f>
        <v>161597751.449705</v>
      </c>
      <c r="P1051" s="40" t="n">
        <f aca="true">RAND()</f>
        <v>0.75242918479976</v>
      </c>
      <c r="Q1051" s="40" t="n">
        <f aca="true">RAND()</f>
        <v>0.90532771263947</v>
      </c>
      <c r="R1051" s="40" t="n">
        <f aca="true">RAND()</f>
        <v>0.590057588465111</v>
      </c>
      <c r="S1051" s="40" t="n">
        <f aca="true">RAND()</f>
        <v>0.0777321299508932</v>
      </c>
      <c r="T1051" s="40" t="n">
        <f aca="true">RAND()</f>
        <v>0.0389550045739375</v>
      </c>
      <c r="U1051" s="40" t="n">
        <f aca="true">RAND()</f>
        <v>0.576387630413497</v>
      </c>
    </row>
    <row r="1052" customFormat="false" ht="15" hidden="false" customHeight="false" outlineLevel="0" collapsed="false">
      <c r="A1052" s="36" t="n">
        <v>972</v>
      </c>
      <c r="B1052" s="37" t="n">
        <f aca="false">1+IF($G$6=$E$6,$F$6,IF(P1052&lt;($F$6-$E$6)/($G$6-$E$6),$E$6+SQRT(P1052*($G$6-$E$6)*($F$6-$E$6)),$G$6-SQRT((1-P1052)*($G$6-$E$6)*($G$6-$F$6))))</f>
        <v>0.967022553767823</v>
      </c>
      <c r="C1052" s="37" t="n">
        <f aca="false">1+IF($G$7=$E$7,$F$7,IF(Q1052&lt;($F$7-$E$7)/($G$7-$E$7),$E$7+SQRT(Q1052*($G$7-$E$7)*($F$7-$E$7)),$G$7-SQRT((1-Q1052)*($G$7-$E$7)*($G$7-$F$7))))</f>
        <v>0.87246826548973</v>
      </c>
      <c r="D1052" s="37" t="n">
        <f aca="false">1+IF($G$8=$E$8,$F$8,IF(R1052&lt;($F$8-$E$8)/($G$8-$E$8),$E$8+SQRT(R1052*($G$8-$E$8)*($F$8-$E$8)),$G$8-SQRT((1-R1052)*($G$8-$E$8)*($G$8-$F$8))))</f>
        <v>1.01830043309915</v>
      </c>
      <c r="E1052" s="37" t="n">
        <f aca="false">1+IF($G$9=$E$9,$F$9,IF(S1052&lt;($F$9-$E$9)/($G$9-$E$9),$E$9+SQRT(S1052*($G$9-$E$9)*($F$9-$E$9)),$G$9-SQRT((1-S1052)*($G$9-$E$9)*($G$9-$F$9))))</f>
        <v>1.06190910965193</v>
      </c>
      <c r="F1052" s="37" t="n">
        <f aca="false">1+IF($G$10=$E$10,$F$10,IF(T1052&lt;($F$10-$E$10)/($G$10-$E$10),$E$10+SQRT(T1052*($G$10-$E$10)*($F$10-$E$10)),$G$10-SQRT((1-T1052)*($G$10-$E$10)*($G$10-$F$10))))</f>
        <v>1.08732668635123</v>
      </c>
      <c r="G1052" s="38" t="n">
        <f aca="false">IF($G$11=$E$11,$F$11,IF(U1052&lt;($F$11-$E$11)/($G$11-$E$11),$E$11+SQRT(U1052*($G$11-$E$11)*($F$11-$E$11)),$G$11-SQRT((1-U1052)*($G$11-$E$11)*($G$11-$F$11))))</f>
        <v>0.102775031839863</v>
      </c>
      <c r="H1052" s="39" t="n">
        <f aca="false">(('Business Case'!B11*$C1052*'Business Case'!B12*$B1052)-'Business Case'!B11*$C1052*'Business Case'!B13*$D1052-'Business Case'!B14*$E1052)-MAX(0,(('Business Case'!B11*$C1052*'Business Case'!B12*$B1052)-'Business Case'!B11*$C1052*'Business Case'!B13*$D1052-'Business Case'!B14*$E1052))*'Business Case'!$B$7-'Business Case'!$B$8*('Business Case'!B11*$C1052*'Business Case'!B12*$B1052)-'Business Case'!B15*$F1052</f>
        <v>-2174653372.70246</v>
      </c>
      <c r="I1052" s="39" t="n">
        <f aca="false">(('Business Case'!C11*$C1052*'Business Case'!C12*$B1052)-'Business Case'!C11*$C1052*'Business Case'!C13*$D1052-'Business Case'!C14*$E1052)-MAX(0,(('Business Case'!C11*$C1052*'Business Case'!C12*$B1052)-'Business Case'!C11*$C1052*'Business Case'!C13*$D1052-'Business Case'!C14*$E1052))*'Business Case'!$B$7-'Business Case'!$B$8*(('Business Case'!C11*$C1052*'Business Case'!C12*$B1052)-('Business Case'!B11*$C1052*'Business Case'!B12*$B1052))-'Business Case'!C15*$F1052</f>
        <v>-67232747.7505634</v>
      </c>
      <c r="J1052" s="39" t="n">
        <f aca="false">(('Business Case'!D11*$C1052*'Business Case'!D12*$B1052)-'Business Case'!D11*$C1052*'Business Case'!D13*$D1052-'Business Case'!D14*$E1052)-MAX(0,(('Business Case'!D11*$C1052*'Business Case'!D12*$B1052)-'Business Case'!D11*$C1052*'Business Case'!D13*$D1052-'Business Case'!D14*$E1052))*'Business Case'!$B$7-'Business Case'!$B$8*(('Business Case'!D11*$C1052*'Business Case'!D12*$B1052)-('Business Case'!C11*$C1052*'Business Case'!C12*$B1052))-'Business Case'!D15*$F1052</f>
        <v>169007874.577187</v>
      </c>
      <c r="K1052" s="39" t="n">
        <f aca="false">(('Business Case'!E11*$C1052*'Business Case'!E12*$B1052)-'Business Case'!E11*$C1052*'Business Case'!E13*$D1052-'Business Case'!E14*$E1052)-MAX(0,(('Business Case'!E11*$C1052*'Business Case'!E12*$B1052)-'Business Case'!E11*$C1052*'Business Case'!E13*$D1052-'Business Case'!E14*$E1052))*'Business Case'!$B$7-'Business Case'!$B$8*(('Business Case'!E11*$C1052*'Business Case'!E12*$B1052)-('Business Case'!D11*$C1052*'Business Case'!D12*$B1052))-'Business Case'!E15*$F1052</f>
        <v>459614831.222498</v>
      </c>
      <c r="L1052" s="39" t="n">
        <f aca="false">(('Business Case'!F11*$C1052*'Business Case'!F12*$B1052)-'Business Case'!F11*$C1052*'Business Case'!F13*$D1052-'Business Case'!F14*$E1052)-MAX(0,(('Business Case'!F11*$C1052*'Business Case'!F12*$B1052)-'Business Case'!F11*$C1052*'Business Case'!F13*$D1052-'Business Case'!F14*$E1052))*'Business Case'!$B$7-'Business Case'!$B$8*(('Business Case'!F11*$C1052*'Business Case'!F12*$B1052)-('Business Case'!E11*$C1052*'Business Case'!E12*$B1052))-'Business Case'!F15*$F1052</f>
        <v>567519856.032205</v>
      </c>
      <c r="M1052" s="39" t="n">
        <f aca="false">(('Business Case'!G11*$C1052*'Business Case'!G12*$B1052)-'Business Case'!G11*$C1052*'Business Case'!G13*$D1052-'Business Case'!G14*$E1052)-MAX(0,(('Business Case'!G11*$C1052*'Business Case'!G12*$B1052)-'Business Case'!G11*$C1052*'Business Case'!G13*$D1052-'Business Case'!G14*$E1052))*'Business Case'!$B$7-'Business Case'!$B$8*(('Business Case'!G11*$C1052*'Business Case'!G12*$B1052)-('Business Case'!F11*$C1052*'Business Case'!F12*$B1052))-'Business Case'!G15*$F1052+'Business Case'!$B$8*('Business Case'!G11*$C1052*'Business Case'!G12*$B1052)</f>
        <v>727889684.884719</v>
      </c>
      <c r="N1052" s="39" t="n">
        <f aca="false">IF(COUNT('Business Case'!B11:G11)=0,"",H1052+NPV(G1052,I1052:M1052))</f>
        <v>-923890390.536207</v>
      </c>
      <c r="P1052" s="40" t="n">
        <f aca="true">RAND()</f>
        <v>0.299468180904048</v>
      </c>
      <c r="Q1052" s="40" t="n">
        <f aca="true">RAND()</f>
        <v>0.220335574822489</v>
      </c>
      <c r="R1052" s="40" t="n">
        <f aca="true">RAND()</f>
        <v>0.555012051214265</v>
      </c>
      <c r="S1052" s="40" t="n">
        <f aca="true">RAND()</f>
        <v>0.793066534338268</v>
      </c>
      <c r="T1052" s="40" t="n">
        <f aca="true">RAND()</f>
        <v>0.647165240353713</v>
      </c>
      <c r="U1052" s="40" t="n">
        <f aca="true">RAND()</f>
        <v>0.50586740578636</v>
      </c>
    </row>
    <row r="1053" customFormat="false" ht="15" hidden="false" customHeight="false" outlineLevel="0" collapsed="false">
      <c r="A1053" s="36" t="n">
        <v>973</v>
      </c>
      <c r="B1053" s="37" t="n">
        <f aca="false">1+IF($G$6=$E$6,$F$6,IF(P1053&lt;($F$6-$E$6)/($G$6-$E$6),$E$6+SQRT(P1053*($G$6-$E$6)*($F$6-$E$6)),$G$6-SQRT((1-P1053)*($G$6-$E$6)*($G$6-$F$6))))</f>
        <v>1.01967248989905</v>
      </c>
      <c r="C1053" s="37" t="n">
        <f aca="false">1+IF($G$7=$E$7,$F$7,IF(Q1053&lt;($F$7-$E$7)/($G$7-$E$7),$E$7+SQRT(Q1053*($G$7-$E$7)*($F$7-$E$7)),$G$7-SQRT((1-Q1053)*($G$7-$E$7)*($G$7-$F$7))))</f>
        <v>0.969427018693569</v>
      </c>
      <c r="D1053" s="37" t="n">
        <f aca="false">1+IF($G$8=$E$8,$F$8,IF(R1053&lt;($F$8-$E$8)/($G$8-$E$8),$E$8+SQRT(R1053*($G$8-$E$8)*($F$8-$E$8)),$G$8-SQRT((1-R1053)*($G$8-$E$8)*($G$8-$F$8))))</f>
        <v>1.03767877882169</v>
      </c>
      <c r="E1053" s="37" t="n">
        <f aca="false">1+IF($G$9=$E$9,$F$9,IF(S1053&lt;($F$9-$E$9)/($G$9-$E$9),$E$9+SQRT(S1053*($G$9-$E$9)*($F$9-$E$9)),$G$9-SQRT((1-S1053)*($G$9-$E$9)*($G$9-$F$9))))</f>
        <v>1.07715175980815</v>
      </c>
      <c r="F1053" s="37" t="n">
        <f aca="false">1+IF($G$10=$E$10,$F$10,IF(T1053&lt;($F$10-$E$10)/($G$10-$E$10),$E$10+SQRT(T1053*($G$10-$E$10)*($F$10-$E$10)),$G$10-SQRT((1-T1053)*($G$10-$E$10)*($G$10-$F$10))))</f>
        <v>1.07118052469667</v>
      </c>
      <c r="G1053" s="38" t="n">
        <f aca="false">IF($G$11=$E$11,$F$11,IF(U1053&lt;($F$11-$E$11)/($G$11-$E$11),$E$11+SQRT(U1053*($G$11-$E$11)*($F$11-$E$11)),$G$11-SQRT((1-U1053)*($G$11-$E$11)*($G$11-$F$11))))</f>
        <v>0.107335025643362</v>
      </c>
      <c r="H1053" s="39" t="n">
        <f aca="false">(('Business Case'!B11*$C1053*'Business Case'!B12*$B1053)-'Business Case'!B11*$C1053*'Business Case'!B13*$D1053-'Business Case'!B14*$E1053)-MAX(0,(('Business Case'!B11*$C1053*'Business Case'!B12*$B1053)-'Business Case'!B11*$C1053*'Business Case'!B13*$D1053-'Business Case'!B14*$E1053))*'Business Case'!$B$7-'Business Case'!$B$8*('Business Case'!B11*$C1053*'Business Case'!B12*$B1053)-'Business Case'!B15*$F1053</f>
        <v>-2142361049.39334</v>
      </c>
      <c r="I1053" s="39" t="n">
        <f aca="false">(('Business Case'!C11*$C1053*'Business Case'!C12*$B1053)-'Business Case'!C11*$C1053*'Business Case'!C13*$D1053-'Business Case'!C14*$E1053)-MAX(0,(('Business Case'!C11*$C1053*'Business Case'!C12*$B1053)-'Business Case'!C11*$C1053*'Business Case'!C13*$D1053-'Business Case'!C14*$E1053))*'Business Case'!$B$7-'Business Case'!$B$8*(('Business Case'!C11*$C1053*'Business Case'!C12*$B1053)-('Business Case'!B11*$C1053*'Business Case'!B12*$B1053))-'Business Case'!C15*$F1053</f>
        <v>-16849579.9549789</v>
      </c>
      <c r="J1053" s="39" t="n">
        <f aca="false">(('Business Case'!D11*$C1053*'Business Case'!D12*$B1053)-'Business Case'!D11*$C1053*'Business Case'!D13*$D1053-'Business Case'!D14*$E1053)-MAX(0,(('Business Case'!D11*$C1053*'Business Case'!D12*$B1053)-'Business Case'!D11*$C1053*'Business Case'!D13*$D1053-'Business Case'!D14*$E1053))*'Business Case'!$B$7-'Business Case'!$B$8*(('Business Case'!D11*$C1053*'Business Case'!D12*$B1053)-('Business Case'!C11*$C1053*'Business Case'!C12*$B1053))-'Business Case'!D15*$F1053</f>
        <v>277833612.334707</v>
      </c>
      <c r="K1053" s="39" t="n">
        <f aca="false">(('Business Case'!E11*$C1053*'Business Case'!E12*$B1053)-'Business Case'!E11*$C1053*'Business Case'!E13*$D1053-'Business Case'!E14*$E1053)-MAX(0,(('Business Case'!E11*$C1053*'Business Case'!E12*$B1053)-'Business Case'!E11*$C1053*'Business Case'!E13*$D1053-'Business Case'!E14*$E1053))*'Business Case'!$B$7-'Business Case'!$B$8*(('Business Case'!E11*$C1053*'Business Case'!E12*$B1053)-('Business Case'!D11*$C1053*'Business Case'!D12*$B1053))-'Business Case'!E15*$F1053</f>
        <v>626075830.859226</v>
      </c>
      <c r="L1053" s="39" t="n">
        <f aca="false">(('Business Case'!F11*$C1053*'Business Case'!F12*$B1053)-'Business Case'!F11*$C1053*'Business Case'!F13*$D1053-'Business Case'!F14*$E1053)-MAX(0,(('Business Case'!F11*$C1053*'Business Case'!F12*$B1053)-'Business Case'!F11*$C1053*'Business Case'!F13*$D1053-'Business Case'!F14*$E1053))*'Business Case'!$B$7-'Business Case'!$B$8*(('Business Case'!F11*$C1053*'Business Case'!F12*$B1053)-('Business Case'!E11*$C1053*'Business Case'!E12*$B1053))-'Business Case'!F15*$F1053</f>
        <v>758466054.642641</v>
      </c>
      <c r="M1053" s="39" t="n">
        <f aca="false">(('Business Case'!G11*$C1053*'Business Case'!G12*$B1053)-'Business Case'!G11*$C1053*'Business Case'!G13*$D1053-'Business Case'!G14*$E1053)-MAX(0,(('Business Case'!G11*$C1053*'Business Case'!G12*$B1053)-'Business Case'!G11*$C1053*'Business Case'!G13*$D1053-'Business Case'!G14*$E1053))*'Business Case'!$B$7-'Business Case'!$B$8*(('Business Case'!G11*$C1053*'Business Case'!G12*$B1053)-('Business Case'!F11*$C1053*'Business Case'!F12*$B1053))-'Business Case'!G15*$F1053+'Business Case'!$B$8*('Business Case'!G11*$C1053*'Business Case'!G12*$B1053)</f>
        <v>946359766.253666</v>
      </c>
      <c r="N1053" s="39" t="n">
        <f aca="false">IF(COUNT('Business Case'!B11:G11)=0,"",H1053+NPV(G1053,I1053:M1053))</f>
        <v>-397038968.78868</v>
      </c>
      <c r="P1053" s="40" t="n">
        <f aca="true">RAND()</f>
        <v>0.877365617476931</v>
      </c>
      <c r="Q1053" s="40" t="n">
        <f aca="true">RAND()</f>
        <v>0.537710506682258</v>
      </c>
      <c r="R1053" s="40" t="n">
        <f aca="true">RAND()</f>
        <v>0.741071026056278</v>
      </c>
      <c r="S1053" s="40" t="n">
        <f aca="true">RAND()</f>
        <v>0.858483570691996</v>
      </c>
      <c r="T1053" s="40" t="n">
        <f aca="true">RAND()</f>
        <v>0.57364793669655</v>
      </c>
      <c r="U1053" s="40" t="n">
        <f aca="true">RAND()</f>
        <v>0.657532624941962</v>
      </c>
    </row>
    <row r="1054" customFormat="false" ht="15" hidden="false" customHeight="false" outlineLevel="0" collapsed="false">
      <c r="A1054" s="36" t="n">
        <v>974</v>
      </c>
      <c r="B1054" s="37" t="n">
        <f aca="false">1+IF($G$6=$E$6,$F$6,IF(P1054&lt;($F$6-$E$6)/($G$6-$E$6),$E$6+SQRT(P1054*($G$6-$E$6)*($F$6-$E$6)),$G$6-SQRT((1-P1054)*($G$6-$E$6)*($G$6-$F$6))))</f>
        <v>0.974778303001628</v>
      </c>
      <c r="C1054" s="37" t="n">
        <f aca="false">1+IF($G$7=$E$7,$F$7,IF(Q1054&lt;($F$7-$E$7)/($G$7-$E$7),$E$7+SQRT(Q1054*($G$7-$E$7)*($F$7-$E$7)),$G$7-SQRT((1-Q1054)*($G$7-$E$7)*($G$7-$F$7))))</f>
        <v>0.958105337923419</v>
      </c>
      <c r="D1054" s="37" t="n">
        <f aca="false">1+IF($G$8=$E$8,$F$8,IF(R1054&lt;($F$8-$E$8)/($G$8-$E$8),$E$8+SQRT(R1054*($G$8-$E$8)*($F$8-$E$8)),$G$8-SQRT((1-R1054)*($G$8-$E$8)*($G$8-$F$8))))</f>
        <v>1.03038222004797</v>
      </c>
      <c r="E1054" s="37" t="n">
        <f aca="false">1+IF($G$9=$E$9,$F$9,IF(S1054&lt;($F$9-$E$9)/($G$9-$E$9),$E$9+SQRT(S1054*($G$9-$E$9)*($F$9-$E$9)),$G$9-SQRT((1-S1054)*($G$9-$E$9)*($G$9-$F$9))))</f>
        <v>1.00362215809579</v>
      </c>
      <c r="F1054" s="37" t="n">
        <f aca="false">1+IF($G$10=$E$10,$F$10,IF(T1054&lt;($F$10-$E$10)/($G$10-$E$10),$E$10+SQRT(T1054*($G$10-$E$10)*($F$10-$E$10)),$G$10-SQRT((1-T1054)*($G$10-$E$10)*($G$10-$F$10))))</f>
        <v>1.04521991864333</v>
      </c>
      <c r="G1054" s="38" t="n">
        <f aca="false">IF($G$11=$E$11,$F$11,IF(U1054&lt;($F$11-$E$11)/($G$11-$E$11),$E$11+SQRT(U1054*($G$11-$E$11)*($F$11-$E$11)),$G$11-SQRT((1-U1054)*($G$11-$E$11)*($G$11-$F$11))))</f>
        <v>0.104279877409495</v>
      </c>
      <c r="H1054" s="39" t="n">
        <f aca="false">(('Business Case'!B11*$C1054*'Business Case'!B12*$B1054)-'Business Case'!B11*$C1054*'Business Case'!B13*$D1054-'Business Case'!B14*$E1054)-MAX(0,(('Business Case'!B11*$C1054*'Business Case'!B12*$B1054)-'Business Case'!B11*$C1054*'Business Case'!B13*$D1054-'Business Case'!B14*$E1054))*'Business Case'!$B$7-'Business Case'!$B$8*('Business Case'!B11*$C1054*'Business Case'!B12*$B1054)-'Business Case'!B15*$F1054</f>
        <v>-2090439837.28666</v>
      </c>
      <c r="I1054" s="39" t="n">
        <f aca="false">(('Business Case'!C11*$C1054*'Business Case'!C12*$B1054)-'Business Case'!C11*$C1054*'Business Case'!C13*$D1054-'Business Case'!C14*$E1054)-MAX(0,(('Business Case'!C11*$C1054*'Business Case'!C12*$B1054)-'Business Case'!C11*$C1054*'Business Case'!C13*$D1054-'Business Case'!C14*$E1054))*'Business Case'!$B$7-'Business Case'!$B$8*(('Business Case'!C11*$C1054*'Business Case'!C12*$B1054)-('Business Case'!B11*$C1054*'Business Case'!B12*$B1054))-'Business Case'!C15*$F1054</f>
        <v>-36063133.8767274</v>
      </c>
      <c r="J1054" s="39" t="n">
        <f aca="false">(('Business Case'!D11*$C1054*'Business Case'!D12*$B1054)-'Business Case'!D11*$C1054*'Business Case'!D13*$D1054-'Business Case'!D14*$E1054)-MAX(0,(('Business Case'!D11*$C1054*'Business Case'!D12*$B1054)-'Business Case'!D11*$C1054*'Business Case'!D13*$D1054-'Business Case'!D14*$E1054))*'Business Case'!$B$7-'Business Case'!$B$8*(('Business Case'!D11*$C1054*'Business Case'!D12*$B1054)-('Business Case'!C11*$C1054*'Business Case'!C12*$B1054))-'Business Case'!D15*$F1054</f>
        <v>223526259.905521</v>
      </c>
      <c r="K1054" s="39" t="n">
        <f aca="false">(('Business Case'!E11*$C1054*'Business Case'!E12*$B1054)-'Business Case'!E11*$C1054*'Business Case'!E13*$D1054-'Business Case'!E14*$E1054)-MAX(0,(('Business Case'!E11*$C1054*'Business Case'!E12*$B1054)-'Business Case'!E11*$C1054*'Business Case'!E13*$D1054-'Business Case'!E14*$E1054))*'Business Case'!$B$7-'Business Case'!$B$8*(('Business Case'!E11*$C1054*'Business Case'!E12*$B1054)-('Business Case'!D11*$C1054*'Business Case'!D12*$B1054))-'Business Case'!E15*$F1054</f>
        <v>535376649.619935</v>
      </c>
      <c r="L1054" s="39" t="n">
        <f aca="false">(('Business Case'!F11*$C1054*'Business Case'!F12*$B1054)-'Business Case'!F11*$C1054*'Business Case'!F13*$D1054-'Business Case'!F14*$E1054)-MAX(0,(('Business Case'!F11*$C1054*'Business Case'!F12*$B1054)-'Business Case'!F11*$C1054*'Business Case'!F13*$D1054-'Business Case'!F14*$E1054))*'Business Case'!$B$7-'Business Case'!$B$8*(('Business Case'!F11*$C1054*'Business Case'!F12*$B1054)-('Business Case'!E11*$C1054*'Business Case'!E12*$B1054))-'Business Case'!F15*$F1054</f>
        <v>654183424.156299</v>
      </c>
      <c r="M1054" s="39" t="n">
        <f aca="false">(('Business Case'!G11*$C1054*'Business Case'!G12*$B1054)-'Business Case'!G11*$C1054*'Business Case'!G13*$D1054-'Business Case'!G14*$E1054)-MAX(0,(('Business Case'!G11*$C1054*'Business Case'!G12*$B1054)-'Business Case'!G11*$C1054*'Business Case'!G13*$D1054-'Business Case'!G14*$E1054))*'Business Case'!$B$7-'Business Case'!$B$8*(('Business Case'!G11*$C1054*'Business Case'!G12*$B1054)-('Business Case'!F11*$C1054*'Business Case'!F12*$B1054))-'Business Case'!G15*$F1054+'Business Case'!$B$8*('Business Case'!G11*$C1054*'Business Case'!G12*$B1054)</f>
        <v>831706795.505511</v>
      </c>
      <c r="N1054" s="39" t="n">
        <f aca="false">IF(COUNT('Business Case'!B11:G11)=0,"",H1054+NPV(G1054,I1054:M1054))</f>
        <v>-595793028.556406</v>
      </c>
      <c r="P1054" s="40" t="n">
        <f aca="true">RAND()</f>
        <v>0.37278630665355</v>
      </c>
      <c r="Q1054" s="40" t="n">
        <f aca="true">RAND()</f>
        <v>0.493469373811573</v>
      </c>
      <c r="R1054" s="40" t="n">
        <f aca="true">RAND()</f>
        <v>0.676890980970022</v>
      </c>
      <c r="S1054" s="40" t="n">
        <f aca="true">RAND()</f>
        <v>0.428627397319064</v>
      </c>
      <c r="T1054" s="40" t="n">
        <f aca="true">RAND()</f>
        <v>0.440868243727417</v>
      </c>
      <c r="U1054" s="40" t="n">
        <f aca="true">RAND()</f>
        <v>0.558983529286256</v>
      </c>
    </row>
    <row r="1055" customFormat="false" ht="15" hidden="false" customHeight="false" outlineLevel="0" collapsed="false">
      <c r="A1055" s="36" t="n">
        <v>975</v>
      </c>
      <c r="B1055" s="37" t="n">
        <f aca="false">1+IF($G$6=$E$6,$F$6,IF(P1055&lt;($F$6-$E$6)/($G$6-$E$6),$E$6+SQRT(P1055*($G$6-$E$6)*($F$6-$E$6)),$G$6-SQRT((1-P1055)*($G$6-$E$6)*($G$6-$F$6))))</f>
        <v>0.957645978819133</v>
      </c>
      <c r="C1055" s="37" t="n">
        <f aca="false">1+IF($G$7=$E$7,$F$7,IF(Q1055&lt;($F$7-$E$7)/($G$7-$E$7),$E$7+SQRT(Q1055*($G$7-$E$7)*($F$7-$E$7)),$G$7-SQRT((1-Q1055)*($G$7-$E$7)*($G$7-$F$7))))</f>
        <v>1.08714821935931</v>
      </c>
      <c r="D1055" s="37" t="n">
        <f aca="false">1+IF($G$8=$E$8,$F$8,IF(R1055&lt;($F$8-$E$8)/($G$8-$E$8),$E$8+SQRT(R1055*($G$8-$E$8)*($F$8-$E$8)),$G$8-SQRT((1-R1055)*($G$8-$E$8)*($G$8-$F$8))))</f>
        <v>1.00520420224244</v>
      </c>
      <c r="E1055" s="37" t="n">
        <f aca="false">1+IF($G$9=$E$9,$F$9,IF(S1055&lt;($F$9-$E$9)/($G$9-$E$9),$E$9+SQRT(S1055*($G$9-$E$9)*($F$9-$E$9)),$G$9-SQRT((1-S1055)*($G$9-$E$9)*($G$9-$F$9))))</f>
        <v>1.07084671812049</v>
      </c>
      <c r="F1055" s="37" t="n">
        <f aca="false">1+IF($G$10=$E$10,$F$10,IF(T1055&lt;($F$10-$E$10)/($G$10-$E$10),$E$10+SQRT(T1055*($G$10-$E$10)*($F$10-$E$10)),$G$10-SQRT((1-T1055)*($G$10-$E$10)*($G$10-$F$10))))</f>
        <v>1.04170762614983</v>
      </c>
      <c r="G1055" s="38" t="n">
        <f aca="false">IF($G$11=$E$11,$F$11,IF(U1055&lt;($F$11-$E$11)/($G$11-$E$11),$E$11+SQRT(U1055*($G$11-$E$11)*($F$11-$E$11)),$G$11-SQRT((1-U1055)*($G$11-$E$11)*($G$11-$F$11))))</f>
        <v>0.105792621965079</v>
      </c>
      <c r="H1055" s="39" t="n">
        <f aca="false">(('Business Case'!B11*$C1055*'Business Case'!B12*$B1055)-'Business Case'!B11*$C1055*'Business Case'!B13*$D1055-'Business Case'!B14*$E1055)-MAX(0,(('Business Case'!B11*$C1055*'Business Case'!B12*$B1055)-'Business Case'!B11*$C1055*'Business Case'!B13*$D1055-'Business Case'!B14*$E1055))*'Business Case'!$B$7-'Business Case'!$B$8*('Business Case'!B11*$C1055*'Business Case'!B12*$B1055)-'Business Case'!B15*$F1055</f>
        <v>-2083415252.29965</v>
      </c>
      <c r="I1055" s="39" t="n">
        <f aca="false">(('Business Case'!C11*$C1055*'Business Case'!C12*$B1055)-'Business Case'!C11*$C1055*'Business Case'!C13*$D1055-'Business Case'!C14*$E1055)-MAX(0,(('Business Case'!C11*$C1055*'Business Case'!C12*$B1055)-'Business Case'!C11*$C1055*'Business Case'!C13*$D1055-'Business Case'!C14*$E1055))*'Business Case'!$B$7-'Business Case'!$B$8*(('Business Case'!C11*$C1055*'Business Case'!C12*$B1055)-('Business Case'!B11*$C1055*'Business Case'!B12*$B1055))-'Business Case'!C15*$F1055</f>
        <v>-17106762.7755311</v>
      </c>
      <c r="J1055" s="39" t="n">
        <f aca="false">(('Business Case'!D11*$C1055*'Business Case'!D12*$B1055)-'Business Case'!D11*$C1055*'Business Case'!D13*$D1055-'Business Case'!D14*$E1055)-MAX(0,(('Business Case'!D11*$C1055*'Business Case'!D12*$B1055)-'Business Case'!D11*$C1055*'Business Case'!D13*$D1055-'Business Case'!D14*$E1055))*'Business Case'!$B$7-'Business Case'!$B$8*(('Business Case'!D11*$C1055*'Business Case'!D12*$B1055)-('Business Case'!C11*$C1055*'Business Case'!C12*$B1055))-'Business Case'!D15*$F1055</f>
        <v>276202426.155141</v>
      </c>
      <c r="K1055" s="39" t="n">
        <f aca="false">(('Business Case'!E11*$C1055*'Business Case'!E12*$B1055)-'Business Case'!E11*$C1055*'Business Case'!E13*$D1055-'Business Case'!E14*$E1055)-MAX(0,(('Business Case'!E11*$C1055*'Business Case'!E12*$B1055)-'Business Case'!E11*$C1055*'Business Case'!E13*$D1055-'Business Case'!E14*$E1055))*'Business Case'!$B$7-'Business Case'!$B$8*(('Business Case'!E11*$C1055*'Business Case'!E12*$B1055)-('Business Case'!D11*$C1055*'Business Case'!D12*$B1055))-'Business Case'!E15*$F1055</f>
        <v>621596996.393303</v>
      </c>
      <c r="L1055" s="39" t="n">
        <f aca="false">(('Business Case'!F11*$C1055*'Business Case'!F12*$B1055)-'Business Case'!F11*$C1055*'Business Case'!F13*$D1055-'Business Case'!F14*$E1055)-MAX(0,(('Business Case'!F11*$C1055*'Business Case'!F12*$B1055)-'Business Case'!F11*$C1055*'Business Case'!F13*$D1055-'Business Case'!F14*$E1055))*'Business Case'!$B$7-'Business Case'!$B$8*(('Business Case'!F11*$C1055*'Business Case'!F12*$B1055)-('Business Case'!E11*$C1055*'Business Case'!E12*$B1055))-'Business Case'!F15*$F1055</f>
        <v>755347249.886518</v>
      </c>
      <c r="M1055" s="39" t="n">
        <f aca="false">(('Business Case'!G11*$C1055*'Business Case'!G12*$B1055)-'Business Case'!G11*$C1055*'Business Case'!G13*$D1055-'Business Case'!G14*$E1055)-MAX(0,(('Business Case'!G11*$C1055*'Business Case'!G12*$B1055)-'Business Case'!G11*$C1055*'Business Case'!G13*$D1055-'Business Case'!G14*$E1055))*'Business Case'!$B$7-'Business Case'!$B$8*(('Business Case'!G11*$C1055*'Business Case'!G12*$B1055)-('Business Case'!F11*$C1055*'Business Case'!F12*$B1055))-'Business Case'!G15*$F1055+'Business Case'!$B$8*('Business Case'!G11*$C1055*'Business Case'!G12*$B1055)</f>
        <v>953240131.059636</v>
      </c>
      <c r="N1055" s="39" t="n">
        <f aca="false">IF(COUNT('Business Case'!B11:G11)=0,"",H1055+NPV(G1055,I1055:M1055))</f>
        <v>-331557476.789048</v>
      </c>
      <c r="P1055" s="40" t="n">
        <f aca="true">RAND()</f>
        <v>0.221537258267732</v>
      </c>
      <c r="Q1055" s="40" t="n">
        <f aca="true">RAND()</f>
        <v>0.941476350671027</v>
      </c>
      <c r="R1055" s="40" t="n">
        <f aca="true">RAND()</f>
        <v>0.400917115167165</v>
      </c>
      <c r="S1055" s="40" t="n">
        <f aca="true">RAND()</f>
        <v>0.832926879138729</v>
      </c>
      <c r="T1055" s="40" t="n">
        <f aca="true">RAND()</f>
        <v>0.421523826611462</v>
      </c>
      <c r="U1055" s="40" t="n">
        <f aca="true">RAND()</f>
        <v>0.60933523244962</v>
      </c>
    </row>
    <row r="1056" customFormat="false" ht="15" hidden="false" customHeight="false" outlineLevel="0" collapsed="false">
      <c r="A1056" s="36" t="n">
        <v>976</v>
      </c>
      <c r="B1056" s="37" t="n">
        <f aca="false">1+IF($G$6=$E$6,$F$6,IF(P1056&lt;($F$6-$E$6)/($G$6-$E$6),$E$6+SQRT(P1056*($G$6-$E$6)*($F$6-$E$6)),$G$6-SQRT((1-P1056)*($G$6-$E$6)*($G$6-$F$6))))</f>
        <v>1.00848713640073</v>
      </c>
      <c r="C1056" s="37" t="n">
        <f aca="false">1+IF($G$7=$E$7,$F$7,IF(Q1056&lt;($F$7-$E$7)/($G$7-$E$7),$E$7+SQRT(Q1056*($G$7-$E$7)*($F$7-$E$7)),$G$7-SQRT((1-Q1056)*($G$7-$E$7)*($G$7-$F$7))))</f>
        <v>1.00524584752575</v>
      </c>
      <c r="D1056" s="37" t="n">
        <f aca="false">1+IF($G$8=$E$8,$F$8,IF(R1056&lt;($F$8-$E$8)/($G$8-$E$8),$E$8+SQRT(R1056*($G$8-$E$8)*($F$8-$E$8)),$G$8-SQRT((1-R1056)*($G$8-$E$8)*($G$8-$F$8))))</f>
        <v>1.07037997493562</v>
      </c>
      <c r="E1056" s="37" t="n">
        <f aca="false">1+IF($G$9=$E$9,$F$9,IF(S1056&lt;($F$9-$E$9)/($G$9-$E$9),$E$9+SQRT(S1056*($G$9-$E$9)*($F$9-$E$9)),$G$9-SQRT((1-S1056)*($G$9-$E$9)*($G$9-$F$9))))</f>
        <v>1.03605595132033</v>
      </c>
      <c r="F1056" s="37" t="n">
        <f aca="false">1+IF($G$10=$E$10,$F$10,IF(T1056&lt;($F$10-$E$10)/($G$10-$E$10),$E$10+SQRT(T1056*($G$10-$E$10)*($F$10-$E$10)),$G$10-SQRT((1-T1056)*($G$10-$E$10)*($G$10-$F$10))))</f>
        <v>1.19098834279237</v>
      </c>
      <c r="G1056" s="38" t="n">
        <f aca="false">IF($G$11=$E$11,$F$11,IF(U1056&lt;($F$11-$E$11)/($G$11-$E$11),$E$11+SQRT(U1056*($G$11-$E$11)*($F$11-$E$11)),$G$11-SQRT((1-U1056)*($G$11-$E$11)*($G$11-$F$11))))</f>
        <v>0.109403423510388</v>
      </c>
      <c r="H1056" s="39" t="n">
        <f aca="false">(('Business Case'!B11*$C1056*'Business Case'!B12*$B1056)-'Business Case'!B11*$C1056*'Business Case'!B13*$D1056-'Business Case'!B14*$E1056)-MAX(0,(('Business Case'!B11*$C1056*'Business Case'!B12*$B1056)-'Business Case'!B11*$C1056*'Business Case'!B13*$D1056-'Business Case'!B14*$E1056))*'Business Case'!$B$7-'Business Case'!$B$8*('Business Case'!B11*$C1056*'Business Case'!B12*$B1056)-'Business Case'!B15*$F1056</f>
        <v>-2381976685.58474</v>
      </c>
      <c r="I1056" s="39" t="n">
        <f aca="false">(('Business Case'!C11*$C1056*'Business Case'!C12*$B1056)-'Business Case'!C11*$C1056*'Business Case'!C13*$D1056-'Business Case'!C14*$E1056)-MAX(0,(('Business Case'!C11*$C1056*'Business Case'!C12*$B1056)-'Business Case'!C11*$C1056*'Business Case'!C13*$D1056-'Business Case'!C14*$E1056))*'Business Case'!$B$7-'Business Case'!$B$8*(('Business Case'!C11*$C1056*'Business Case'!C12*$B1056)-('Business Case'!B11*$C1056*'Business Case'!B12*$B1056))-'Business Case'!C15*$F1056</f>
        <v>-39446820.1968465</v>
      </c>
      <c r="J1056" s="39" t="n">
        <f aca="false">(('Business Case'!D11*$C1056*'Business Case'!D12*$B1056)-'Business Case'!D11*$C1056*'Business Case'!D13*$D1056-'Business Case'!D14*$E1056)-MAX(0,(('Business Case'!D11*$C1056*'Business Case'!D12*$B1056)-'Business Case'!D11*$C1056*'Business Case'!D13*$D1056-'Business Case'!D14*$E1056))*'Business Case'!$B$7-'Business Case'!$B$8*(('Business Case'!D11*$C1056*'Business Case'!D12*$B1056)-('Business Case'!C11*$C1056*'Business Case'!C12*$B1056))-'Business Case'!D15*$F1056</f>
        <v>240086576.08211</v>
      </c>
      <c r="K1056" s="39" t="n">
        <f aca="false">(('Business Case'!E11*$C1056*'Business Case'!E12*$B1056)-'Business Case'!E11*$C1056*'Business Case'!E13*$D1056-'Business Case'!E14*$E1056)-MAX(0,(('Business Case'!E11*$C1056*'Business Case'!E12*$B1056)-'Business Case'!E11*$C1056*'Business Case'!E13*$D1056-'Business Case'!E14*$E1056))*'Business Case'!$B$7-'Business Case'!$B$8*(('Business Case'!E11*$C1056*'Business Case'!E12*$B1056)-('Business Case'!D11*$C1056*'Business Case'!D12*$B1056))-'Business Case'!E15*$F1056</f>
        <v>579169389.500685</v>
      </c>
      <c r="L1056" s="39" t="n">
        <f aca="false">(('Business Case'!F11*$C1056*'Business Case'!F12*$B1056)-'Business Case'!F11*$C1056*'Business Case'!F13*$D1056-'Business Case'!F14*$E1056)-MAX(0,(('Business Case'!F11*$C1056*'Business Case'!F12*$B1056)-'Business Case'!F11*$C1056*'Business Case'!F13*$D1056-'Business Case'!F14*$E1056))*'Business Case'!$B$7-'Business Case'!$B$8*(('Business Case'!F11*$C1056*'Business Case'!F12*$B1056)-('Business Case'!E11*$C1056*'Business Case'!E12*$B1056))-'Business Case'!F15*$F1056</f>
        <v>707383338.87288</v>
      </c>
      <c r="M1056" s="39" t="n">
        <f aca="false">(('Business Case'!G11*$C1056*'Business Case'!G12*$B1056)-'Business Case'!G11*$C1056*'Business Case'!G13*$D1056-'Business Case'!G14*$E1056)-MAX(0,(('Business Case'!G11*$C1056*'Business Case'!G12*$B1056)-'Business Case'!G11*$C1056*'Business Case'!G13*$D1056-'Business Case'!G14*$E1056))*'Business Case'!$B$7-'Business Case'!$B$8*(('Business Case'!G11*$C1056*'Business Case'!G12*$B1056)-('Business Case'!F11*$C1056*'Business Case'!F12*$B1056))-'Business Case'!G15*$F1056+'Business Case'!$B$8*('Business Case'!G11*$C1056*'Business Case'!G12*$B1056)</f>
        <v>900082167.241867</v>
      </c>
      <c r="N1056" s="39" t="n">
        <f aca="false">IF(COUNT('Business Case'!B11:G11)=0,"",H1056+NPV(G1056,I1056:M1056))</f>
        <v>-795725853.665817</v>
      </c>
      <c r="P1056" s="40" t="n">
        <f aca="true">RAND()</f>
        <v>0.770224287438463</v>
      </c>
      <c r="Q1056" s="40" t="n">
        <f aca="true">RAND()</f>
        <v>0.689573856910559</v>
      </c>
      <c r="R1056" s="40" t="n">
        <f aca="true">RAND()</f>
        <v>0.941510274345697</v>
      </c>
      <c r="S1056" s="40" t="n">
        <f aca="true">RAND()</f>
        <v>0.653780100546283</v>
      </c>
      <c r="T1056" s="40" t="n">
        <f aca="true">RAND()</f>
        <v>0.953568324181454</v>
      </c>
      <c r="U1056" s="40" t="n">
        <f aca="true">RAND()</f>
        <v>0.717187357938379</v>
      </c>
    </row>
    <row r="1057" customFormat="false" ht="15" hidden="false" customHeight="false" outlineLevel="0" collapsed="false">
      <c r="A1057" s="36" t="n">
        <v>977</v>
      </c>
      <c r="B1057" s="37" t="n">
        <f aca="false">1+IF($G$6=$E$6,$F$6,IF(P1057&lt;($F$6-$E$6)/($G$6-$E$6),$E$6+SQRT(P1057*($G$6-$E$6)*($F$6-$E$6)),$G$6-SQRT((1-P1057)*($G$6-$E$6)*($G$6-$F$6))))</f>
        <v>0.960234478451093</v>
      </c>
      <c r="C1057" s="37" t="n">
        <f aca="false">1+IF($G$7=$E$7,$F$7,IF(Q1057&lt;($F$7-$E$7)/($G$7-$E$7),$E$7+SQRT(Q1057*($G$7-$E$7)*($F$7-$E$7)),$G$7-SQRT((1-Q1057)*($G$7-$E$7)*($G$7-$F$7))))</f>
        <v>1.00261418273635</v>
      </c>
      <c r="D1057" s="37" t="n">
        <f aca="false">1+IF($G$8=$E$8,$F$8,IF(R1057&lt;($F$8-$E$8)/($G$8-$E$8),$E$8+SQRT(R1057*($G$8-$E$8)*($F$8-$E$8)),$G$8-SQRT((1-R1057)*($G$8-$E$8)*($G$8-$F$8))))</f>
        <v>0.977698081338502</v>
      </c>
      <c r="E1057" s="37" t="n">
        <f aca="false">1+IF($G$9=$E$9,$F$9,IF(S1057&lt;($F$9-$E$9)/($G$9-$E$9),$E$9+SQRT(S1057*($G$9-$E$9)*($F$9-$E$9)),$G$9-SQRT((1-S1057)*($G$9-$E$9)*($G$9-$F$9))))</f>
        <v>0.967533771253851</v>
      </c>
      <c r="F1057" s="37" t="n">
        <f aca="false">1+IF($G$10=$E$10,$F$10,IF(T1057&lt;($F$10-$E$10)/($G$10-$E$10),$E$10+SQRT(T1057*($G$10-$E$10)*($F$10-$E$10)),$G$10-SQRT((1-T1057)*($G$10-$E$10)*($G$10-$F$10))))</f>
        <v>1.08294433917976</v>
      </c>
      <c r="G1057" s="38" t="n">
        <f aca="false">IF($G$11=$E$11,$F$11,IF(U1057&lt;($F$11-$E$11)/($G$11-$E$11),$E$11+SQRT(U1057*($G$11-$E$11)*($F$11-$E$11)),$G$11-SQRT((1-U1057)*($G$11-$E$11)*($G$11-$F$11))))</f>
        <v>0.127597214162204</v>
      </c>
      <c r="H1057" s="39" t="n">
        <f aca="false">(('Business Case'!B11*$C1057*'Business Case'!B12*$B1057)-'Business Case'!B11*$C1057*'Business Case'!B13*$D1057-'Business Case'!B14*$E1057)-MAX(0,(('Business Case'!B11*$C1057*'Business Case'!B12*$B1057)-'Business Case'!B11*$C1057*'Business Case'!B13*$D1057-'Business Case'!B14*$E1057))*'Business Case'!$B$7-'Business Case'!$B$8*('Business Case'!B11*$C1057*'Business Case'!B12*$B1057)-'Business Case'!B15*$F1057</f>
        <v>-2165888678.35953</v>
      </c>
      <c r="I1057" s="39" t="n">
        <f aca="false">(('Business Case'!C11*$C1057*'Business Case'!C12*$B1057)-'Business Case'!C11*$C1057*'Business Case'!C13*$D1057-'Business Case'!C14*$E1057)-MAX(0,(('Business Case'!C11*$C1057*'Business Case'!C12*$B1057)-'Business Case'!C11*$C1057*'Business Case'!C13*$D1057-'Business Case'!C14*$E1057))*'Business Case'!$B$7-'Business Case'!$B$8*(('Business Case'!C11*$C1057*'Business Case'!C12*$B1057)-('Business Case'!B11*$C1057*'Business Case'!B12*$B1057))-'Business Case'!C15*$F1057</f>
        <v>-9040797.8946835</v>
      </c>
      <c r="J1057" s="39" t="n">
        <f aca="false">(('Business Case'!D11*$C1057*'Business Case'!D12*$B1057)-'Business Case'!D11*$C1057*'Business Case'!D13*$D1057-'Business Case'!D14*$E1057)-MAX(0,(('Business Case'!D11*$C1057*'Business Case'!D12*$B1057)-'Business Case'!D11*$C1057*'Business Case'!D13*$D1057-'Business Case'!D14*$E1057))*'Business Case'!$B$7-'Business Case'!$B$8*(('Business Case'!D11*$C1057*'Business Case'!D12*$B1057)-('Business Case'!C11*$C1057*'Business Case'!C12*$B1057))-'Business Case'!D15*$F1057</f>
        <v>277704826.003882</v>
      </c>
      <c r="K1057" s="39" t="n">
        <f aca="false">(('Business Case'!E11*$C1057*'Business Case'!E12*$B1057)-'Business Case'!E11*$C1057*'Business Case'!E13*$D1057-'Business Case'!E14*$E1057)-MAX(0,(('Business Case'!E11*$C1057*'Business Case'!E12*$B1057)-'Business Case'!E11*$C1057*'Business Case'!E13*$D1057-'Business Case'!E14*$E1057))*'Business Case'!$B$7-'Business Case'!$B$8*(('Business Case'!E11*$C1057*'Business Case'!E12*$B1057)-('Business Case'!D11*$C1057*'Business Case'!D12*$B1057))-'Business Case'!E15*$F1057</f>
        <v>618597666.861435</v>
      </c>
      <c r="L1057" s="39" t="n">
        <f aca="false">(('Business Case'!F11*$C1057*'Business Case'!F12*$B1057)-'Business Case'!F11*$C1057*'Business Case'!F13*$D1057-'Business Case'!F14*$E1057)-MAX(0,(('Business Case'!F11*$C1057*'Business Case'!F12*$B1057)-'Business Case'!F11*$C1057*'Business Case'!F13*$D1057-'Business Case'!F14*$E1057))*'Business Case'!$B$7-'Business Case'!$B$8*(('Business Case'!F11*$C1057*'Business Case'!F12*$B1057)-('Business Case'!E11*$C1057*'Business Case'!E12*$B1057))-'Business Case'!F15*$F1057</f>
        <v>747451998.56294</v>
      </c>
      <c r="M1057" s="39" t="n">
        <f aca="false">(('Business Case'!G11*$C1057*'Business Case'!G12*$B1057)-'Business Case'!G11*$C1057*'Business Case'!G13*$D1057-'Business Case'!G14*$E1057)-MAX(0,(('Business Case'!G11*$C1057*'Business Case'!G12*$B1057)-'Business Case'!G11*$C1057*'Business Case'!G13*$D1057-'Business Case'!G14*$E1057))*'Business Case'!$B$7-'Business Case'!$B$8*(('Business Case'!G11*$C1057*'Business Case'!G12*$B1057)-('Business Case'!F11*$C1057*'Business Case'!F12*$B1057))-'Business Case'!G15*$F1057+'Business Case'!$B$8*('Business Case'!G11*$C1057*'Business Case'!G12*$B1057)</f>
        <v>930450512.440513</v>
      </c>
      <c r="N1057" s="39" t="n">
        <f aca="false">IF(COUNT('Business Case'!B11:G11)=0,"",H1057+NPV(G1057,I1057:M1057))</f>
        <v>-551268147.786421</v>
      </c>
      <c r="P1057" s="40" t="n">
        <f aca="true">RAND()</f>
        <v>0.241879492951682</v>
      </c>
      <c r="Q1057" s="40" t="n">
        <f aca="true">RAND()</f>
        <v>0.678184012881848</v>
      </c>
      <c r="R1057" s="40" t="n">
        <f aca="true">RAND()</f>
        <v>0.102291161311234</v>
      </c>
      <c r="S1057" s="40" t="n">
        <f aca="true">RAND()</f>
        <v>0.182432410390701</v>
      </c>
      <c r="T1057" s="40" t="n">
        <f aca="true">RAND()</f>
        <v>0.627898749172188</v>
      </c>
      <c r="U1057" s="40" t="n">
        <f aca="true">RAND()</f>
        <v>0.996151080145124</v>
      </c>
    </row>
    <row r="1058" customFormat="false" ht="15" hidden="false" customHeight="false" outlineLevel="0" collapsed="false">
      <c r="A1058" s="36" t="n">
        <v>978</v>
      </c>
      <c r="B1058" s="37" t="n">
        <f aca="false">1+IF($G$6=$E$6,$F$6,IF(P1058&lt;($F$6-$E$6)/($G$6-$E$6),$E$6+SQRT(P1058*($G$6-$E$6)*($F$6-$E$6)),$G$6-SQRT((1-P1058)*($G$6-$E$6)*($G$6-$F$6))))</f>
        <v>0.989744767725879</v>
      </c>
      <c r="C1058" s="37" t="n">
        <f aca="false">1+IF($G$7=$E$7,$F$7,IF(Q1058&lt;($F$7-$E$7)/($G$7-$E$7),$E$7+SQRT(Q1058*($G$7-$E$7)*($F$7-$E$7)),$G$7-SQRT((1-Q1058)*($G$7-$E$7)*($G$7-$F$7))))</f>
        <v>1.05404892997278</v>
      </c>
      <c r="D1058" s="37" t="n">
        <f aca="false">1+IF($G$8=$E$8,$F$8,IF(R1058&lt;($F$8-$E$8)/($G$8-$E$8),$E$8+SQRT(R1058*($G$8-$E$8)*($F$8-$E$8)),$G$8-SQRT((1-R1058)*($G$8-$E$8)*($G$8-$F$8))))</f>
        <v>1.02165070749628</v>
      </c>
      <c r="E1058" s="37" t="n">
        <f aca="false">1+IF($G$9=$E$9,$F$9,IF(S1058&lt;($F$9-$E$9)/($G$9-$E$9),$E$9+SQRT(S1058*($G$9-$E$9)*($F$9-$E$9)),$G$9-SQRT((1-S1058)*($G$9-$E$9)*($G$9-$F$9))))</f>
        <v>1.01134626026964</v>
      </c>
      <c r="F1058" s="37" t="n">
        <f aca="false">1+IF($G$10=$E$10,$F$10,IF(T1058&lt;($F$10-$E$10)/($G$10-$E$10),$E$10+SQRT(T1058*($G$10-$E$10)*($F$10-$E$10)),$G$10-SQRT((1-T1058)*($G$10-$E$10)*($G$10-$F$10))))</f>
        <v>1.05374168985252</v>
      </c>
      <c r="G1058" s="38" t="n">
        <f aca="false">IF($G$11=$E$11,$F$11,IF(U1058&lt;($F$11-$E$11)/($G$11-$E$11),$E$11+SQRT(U1058*($G$11-$E$11)*($F$11-$E$11)),$G$11-SQRT((1-U1058)*($G$11-$E$11)*($G$11-$F$11))))</f>
        <v>0.10706679151802</v>
      </c>
      <c r="H1058" s="39" t="n">
        <f aca="false">(('Business Case'!B11*$C1058*'Business Case'!B12*$B1058)-'Business Case'!B11*$C1058*'Business Case'!B13*$D1058-'Business Case'!B14*$E1058)-MAX(0,(('Business Case'!B11*$C1058*'Business Case'!B12*$B1058)-'Business Case'!B11*$C1058*'Business Case'!B13*$D1058-'Business Case'!B14*$E1058))*'Business Case'!$B$7-'Business Case'!$B$8*('Business Case'!B11*$C1058*'Business Case'!B12*$B1058)-'Business Case'!B15*$F1058</f>
        <v>-2107483379.70504</v>
      </c>
      <c r="I1058" s="39" t="n">
        <f aca="false">(('Business Case'!C11*$C1058*'Business Case'!C12*$B1058)-'Business Case'!C11*$C1058*'Business Case'!C13*$D1058-'Business Case'!C14*$E1058)-MAX(0,(('Business Case'!C11*$C1058*'Business Case'!C12*$B1058)-'Business Case'!C11*$C1058*'Business Case'!C13*$D1058-'Business Case'!C14*$E1058))*'Business Case'!$B$7-'Business Case'!$B$8*(('Business Case'!C11*$C1058*'Business Case'!C12*$B1058)-('Business Case'!B11*$C1058*'Business Case'!B12*$B1058))-'Business Case'!C15*$F1058</f>
        <v>-52151.5536256433</v>
      </c>
      <c r="J1058" s="39" t="n">
        <f aca="false">(('Business Case'!D11*$C1058*'Business Case'!D12*$B1058)-'Business Case'!D11*$C1058*'Business Case'!D13*$D1058-'Business Case'!D14*$E1058)-MAX(0,(('Business Case'!D11*$C1058*'Business Case'!D12*$B1058)-'Business Case'!D11*$C1058*'Business Case'!D13*$D1058-'Business Case'!D14*$E1058))*'Business Case'!$B$7-'Business Case'!$B$8*(('Business Case'!D11*$C1058*'Business Case'!D12*$B1058)-('Business Case'!C11*$C1058*'Business Case'!C12*$B1058))-'Business Case'!D15*$F1058</f>
        <v>303164835.277321</v>
      </c>
      <c r="K1058" s="39" t="n">
        <f aca="false">(('Business Case'!E11*$C1058*'Business Case'!E12*$B1058)-'Business Case'!E11*$C1058*'Business Case'!E13*$D1058-'Business Case'!E14*$E1058)-MAX(0,(('Business Case'!E11*$C1058*'Business Case'!E12*$B1058)-'Business Case'!E11*$C1058*'Business Case'!E13*$D1058-'Business Case'!E14*$E1058))*'Business Case'!$B$7-'Business Case'!$B$8*(('Business Case'!E11*$C1058*'Business Case'!E12*$B1058)-('Business Case'!D11*$C1058*'Business Case'!D12*$B1058))-'Business Case'!E15*$F1058</f>
        <v>659068906.600893</v>
      </c>
      <c r="L1058" s="39" t="n">
        <f aca="false">(('Business Case'!F11*$C1058*'Business Case'!F12*$B1058)-'Business Case'!F11*$C1058*'Business Case'!F13*$D1058-'Business Case'!F14*$E1058)-MAX(0,(('Business Case'!F11*$C1058*'Business Case'!F12*$B1058)-'Business Case'!F11*$C1058*'Business Case'!F13*$D1058-'Business Case'!F14*$E1058))*'Business Case'!$B$7-'Business Case'!$B$8*(('Business Case'!F11*$C1058*'Business Case'!F12*$B1058)-('Business Case'!E11*$C1058*'Business Case'!E12*$B1058))-'Business Case'!F15*$F1058</f>
        <v>796195589.670526</v>
      </c>
      <c r="M1058" s="39" t="n">
        <f aca="false">(('Business Case'!G11*$C1058*'Business Case'!G12*$B1058)-'Business Case'!G11*$C1058*'Business Case'!G13*$D1058-'Business Case'!G14*$E1058)-MAX(0,(('Business Case'!G11*$C1058*'Business Case'!G12*$B1058)-'Business Case'!G11*$C1058*'Business Case'!G13*$D1058-'Business Case'!G14*$E1058))*'Business Case'!$B$7-'Business Case'!$B$8*(('Business Case'!G11*$C1058*'Business Case'!G12*$B1058)-('Business Case'!F11*$C1058*'Business Case'!F12*$B1058))-'Business Case'!G15*$F1058+'Business Case'!$B$8*('Business Case'!G11*$C1058*'Business Case'!G12*$B1058)</f>
        <v>994494537.363443</v>
      </c>
      <c r="N1058" s="39" t="n">
        <f aca="false">IF(COUNT('Business Case'!B11:G11)=0,"",H1058+NPV(G1058,I1058:M1058))</f>
        <v>-246319861.930912</v>
      </c>
      <c r="P1058" s="40" t="n">
        <f aca="true">RAND()</f>
        <v>0.536941555611461</v>
      </c>
      <c r="Q1058" s="40" t="n">
        <f aca="true">RAND()</f>
        <v>0.863605809787129</v>
      </c>
      <c r="R1058" s="40" t="n">
        <f aca="true">RAND()</f>
        <v>0.590759224277717</v>
      </c>
      <c r="S1058" s="40" t="n">
        <f aca="true">RAND()</f>
        <v>0.487337078900961</v>
      </c>
      <c r="T1058" s="40" t="n">
        <f aca="true">RAND()</f>
        <v>0.486435675974061</v>
      </c>
      <c r="U1058" s="40" t="n">
        <f aca="true">RAND()</f>
        <v>0.649378632481363</v>
      </c>
    </row>
    <row r="1059" customFormat="false" ht="15" hidden="false" customHeight="false" outlineLevel="0" collapsed="false">
      <c r="A1059" s="36" t="n">
        <v>979</v>
      </c>
      <c r="B1059" s="37" t="n">
        <f aca="false">1+IF($G$6=$E$6,$F$6,IF(P1059&lt;($F$6-$E$6)/($G$6-$E$6),$E$6+SQRT(P1059*($G$6-$E$6)*($F$6-$E$6)),$G$6-SQRT((1-P1059)*($G$6-$E$6)*($G$6-$F$6))))</f>
        <v>0.956954473343036</v>
      </c>
      <c r="C1059" s="37" t="n">
        <f aca="false">1+IF($G$7=$E$7,$F$7,IF(Q1059&lt;($F$7-$E$7)/($G$7-$E$7),$E$7+SQRT(Q1059*($G$7-$E$7)*($F$7-$E$7)),$G$7-SQRT((1-Q1059)*($G$7-$E$7)*($G$7-$F$7))))</f>
        <v>1.0892687942358</v>
      </c>
      <c r="D1059" s="37" t="n">
        <f aca="false">1+IF($G$8=$E$8,$F$8,IF(R1059&lt;($F$8-$E$8)/($G$8-$E$8),$E$8+SQRT(R1059*($G$8-$E$8)*($F$8-$E$8)),$G$8-SQRT((1-R1059)*($G$8-$E$8)*($G$8-$F$8))))</f>
        <v>1.01724513923176</v>
      </c>
      <c r="E1059" s="37" t="n">
        <f aca="false">1+IF($G$9=$E$9,$F$9,IF(S1059&lt;($F$9-$E$9)/($G$9-$E$9),$E$9+SQRT(S1059*($G$9-$E$9)*($F$9-$E$9)),$G$9-SQRT((1-S1059)*($G$9-$E$9)*($G$9-$F$9))))</f>
        <v>1.12350493123189</v>
      </c>
      <c r="F1059" s="37" t="n">
        <f aca="false">1+IF($G$10=$E$10,$F$10,IF(T1059&lt;($F$10-$E$10)/($G$10-$E$10),$E$10+SQRT(T1059*($G$10-$E$10)*($F$10-$E$10)),$G$10-SQRT((1-T1059)*($G$10-$E$10)*($G$10-$F$10))))</f>
        <v>1.01023215868337</v>
      </c>
      <c r="G1059" s="38" t="n">
        <f aca="false">IF($G$11=$E$11,$F$11,IF(U1059&lt;($F$11-$E$11)/($G$11-$E$11),$E$11+SQRT(U1059*($G$11-$E$11)*($F$11-$E$11)),$G$11-SQRT((1-U1059)*($G$11-$E$11)*($G$11-$F$11))))</f>
        <v>0.098116153726446</v>
      </c>
      <c r="H1059" s="39" t="n">
        <f aca="false">(('Business Case'!B11*$C1059*'Business Case'!B12*$B1059)-'Business Case'!B11*$C1059*'Business Case'!B13*$D1059-'Business Case'!B14*$E1059)-MAX(0,(('Business Case'!B11*$C1059*'Business Case'!B12*$B1059)-'Business Case'!B11*$C1059*'Business Case'!B13*$D1059-'Business Case'!B14*$E1059))*'Business Case'!$B$7-'Business Case'!$B$8*('Business Case'!B11*$C1059*'Business Case'!B12*$B1059)-'Business Case'!B15*$F1059</f>
        <v>-2020464317.36675</v>
      </c>
      <c r="I1059" s="39" t="n">
        <f aca="false">(('Business Case'!C11*$C1059*'Business Case'!C12*$B1059)-'Business Case'!C11*$C1059*'Business Case'!C13*$D1059-'Business Case'!C14*$E1059)-MAX(0,(('Business Case'!C11*$C1059*'Business Case'!C12*$B1059)-'Business Case'!C11*$C1059*'Business Case'!C13*$D1059-'Business Case'!C14*$E1059))*'Business Case'!$B$7-'Business Case'!$B$8*(('Business Case'!C11*$C1059*'Business Case'!C12*$B1059)-('Business Case'!B11*$C1059*'Business Case'!B12*$B1059))-'Business Case'!C15*$F1059</f>
        <v>-28272519.3124599</v>
      </c>
      <c r="J1059" s="39" t="n">
        <f aca="false">(('Business Case'!D11*$C1059*'Business Case'!D12*$B1059)-'Business Case'!D11*$C1059*'Business Case'!D13*$D1059-'Business Case'!D14*$E1059)-MAX(0,(('Business Case'!D11*$C1059*'Business Case'!D12*$B1059)-'Business Case'!D11*$C1059*'Business Case'!D13*$D1059-'Business Case'!D14*$E1059))*'Business Case'!$B$7-'Business Case'!$B$8*(('Business Case'!D11*$C1059*'Business Case'!D12*$B1059)-('Business Case'!C11*$C1059*'Business Case'!C12*$B1059))-'Business Case'!D15*$F1059</f>
        <v>258277591.117822</v>
      </c>
      <c r="K1059" s="39" t="n">
        <f aca="false">(('Business Case'!E11*$C1059*'Business Case'!E12*$B1059)-'Business Case'!E11*$C1059*'Business Case'!E13*$D1059-'Business Case'!E14*$E1059)-MAX(0,(('Business Case'!E11*$C1059*'Business Case'!E12*$B1059)-'Business Case'!E11*$C1059*'Business Case'!E13*$D1059-'Business Case'!E14*$E1059))*'Business Case'!$B$7-'Business Case'!$B$8*(('Business Case'!E11*$C1059*'Business Case'!E12*$B1059)-('Business Case'!D11*$C1059*'Business Case'!D12*$B1059))-'Business Case'!E15*$F1059</f>
        <v>595339309.482273</v>
      </c>
      <c r="L1059" s="39" t="n">
        <f aca="false">(('Business Case'!F11*$C1059*'Business Case'!F12*$B1059)-'Business Case'!F11*$C1059*'Business Case'!F13*$D1059-'Business Case'!F14*$E1059)-MAX(0,(('Business Case'!F11*$C1059*'Business Case'!F12*$B1059)-'Business Case'!F11*$C1059*'Business Case'!F13*$D1059-'Business Case'!F14*$E1059))*'Business Case'!$B$7-'Business Case'!$B$8*(('Business Case'!F11*$C1059*'Business Case'!F12*$B1059)-('Business Case'!E11*$C1059*'Business Case'!E12*$B1059))-'Business Case'!F15*$F1059</f>
        <v>726880688.061186</v>
      </c>
      <c r="M1059" s="39" t="n">
        <f aca="false">(('Business Case'!G11*$C1059*'Business Case'!G12*$B1059)-'Business Case'!G11*$C1059*'Business Case'!G13*$D1059-'Business Case'!G14*$E1059)-MAX(0,(('Business Case'!G11*$C1059*'Business Case'!G12*$B1059)-'Business Case'!G11*$C1059*'Business Case'!G13*$D1059-'Business Case'!G14*$E1059))*'Business Case'!$B$7-'Business Case'!$B$8*(('Business Case'!G11*$C1059*'Business Case'!G12*$B1059)-('Business Case'!F11*$C1059*'Business Case'!F12*$B1059))-'Business Case'!G15*$F1059+'Business Case'!$B$8*('Business Case'!G11*$C1059*'Business Case'!G12*$B1059)</f>
        <v>925016401.123028</v>
      </c>
      <c r="N1059" s="39" t="n">
        <f aca="false">IF(COUNT('Business Case'!B11:G11)=0,"",H1059+NPV(G1059,I1059:M1059))</f>
        <v>-303241069.789227</v>
      </c>
      <c r="P1059" s="40" t="n">
        <f aca="true">RAND()</f>
        <v>0.216254135585506</v>
      </c>
      <c r="Q1059" s="40" t="n">
        <f aca="true">RAND()</f>
        <v>0.945358824391508</v>
      </c>
      <c r="R1059" s="40" t="n">
        <f aca="true">RAND()</f>
        <v>0.543442201281953</v>
      </c>
      <c r="S1059" s="40" t="n">
        <f aca="true">RAND()</f>
        <v>0.981280302159284</v>
      </c>
      <c r="T1059" s="40" t="n">
        <f aca="true">RAND()</f>
        <v>0.233485096938205</v>
      </c>
      <c r="U1059" s="40" t="n">
        <f aca="true">RAND()</f>
        <v>0.328195025840222</v>
      </c>
    </row>
    <row r="1060" customFormat="false" ht="15" hidden="false" customHeight="false" outlineLevel="0" collapsed="false">
      <c r="A1060" s="36" t="n">
        <v>980</v>
      </c>
      <c r="B1060" s="37" t="n">
        <f aca="false">1+IF($G$6=$E$6,$F$6,IF(P1060&lt;($F$6-$E$6)/($G$6-$E$6),$E$6+SQRT(P1060*($G$6-$E$6)*($F$6-$E$6)),$G$6-SQRT((1-P1060)*($G$6-$E$6)*($G$6-$F$6))))</f>
        <v>1.03264052344396</v>
      </c>
      <c r="C1060" s="37" t="n">
        <f aca="false">1+IF($G$7=$E$7,$F$7,IF(Q1060&lt;($F$7-$E$7)/($G$7-$E$7),$E$7+SQRT(Q1060*($G$7-$E$7)*($F$7-$E$7)),$G$7-SQRT((1-Q1060)*($G$7-$E$7)*($G$7-$F$7))))</f>
        <v>0.881808684893051</v>
      </c>
      <c r="D1060" s="37" t="n">
        <f aca="false">1+IF($G$8=$E$8,$F$8,IF(R1060&lt;($F$8-$E$8)/($G$8-$E$8),$E$8+SQRT(R1060*($G$8-$E$8)*($F$8-$E$8)),$G$8-SQRT((1-R1060)*($G$8-$E$8)*($G$8-$F$8))))</f>
        <v>0.974912006486393</v>
      </c>
      <c r="E1060" s="37" t="n">
        <f aca="false">1+IF($G$9=$E$9,$F$9,IF(S1060&lt;($F$9-$E$9)/($G$9-$E$9),$E$9+SQRT(S1060*($G$9-$E$9)*($F$9-$E$9)),$G$9-SQRT((1-S1060)*($G$9-$E$9)*($G$9-$F$9))))</f>
        <v>1.00481448002321</v>
      </c>
      <c r="F1060" s="37" t="n">
        <f aca="false">1+IF($G$10=$E$10,$F$10,IF(T1060&lt;($F$10-$E$10)/($G$10-$E$10),$E$10+SQRT(T1060*($G$10-$E$10)*($F$10-$E$10)),$G$10-SQRT((1-T1060)*($G$10-$E$10)*($G$10-$F$10))))</f>
        <v>1.11796436284658</v>
      </c>
      <c r="G1060" s="38" t="n">
        <f aca="false">IF($G$11=$E$11,$F$11,IF(U1060&lt;($F$11-$E$11)/($G$11-$E$11),$E$11+SQRT(U1060*($G$11-$E$11)*($F$11-$E$11)),$G$11-SQRT((1-U1060)*($G$11-$E$11)*($G$11-$F$11))))</f>
        <v>0.1154606450337</v>
      </c>
      <c r="H1060" s="39" t="n">
        <f aca="false">(('Business Case'!B11*$C1060*'Business Case'!B12*$B1060)-'Business Case'!B11*$C1060*'Business Case'!B13*$D1060-'Business Case'!B14*$E1060)-MAX(0,(('Business Case'!B11*$C1060*'Business Case'!B12*$B1060)-'Business Case'!B11*$C1060*'Business Case'!B13*$D1060-'Business Case'!B14*$E1060))*'Business Case'!$B$7-'Business Case'!$B$8*('Business Case'!B11*$C1060*'Business Case'!B12*$B1060)-'Business Case'!B15*$F1060</f>
        <v>-2235928725.69315</v>
      </c>
      <c r="I1060" s="39" t="n">
        <f aca="false">(('Business Case'!C11*$C1060*'Business Case'!C12*$B1060)-'Business Case'!C11*$C1060*'Business Case'!C13*$D1060-'Business Case'!C14*$E1060)-MAX(0,(('Business Case'!C11*$C1060*'Business Case'!C12*$B1060)-'Business Case'!C11*$C1060*'Business Case'!C13*$D1060-'Business Case'!C14*$E1060))*'Business Case'!$B$7-'Business Case'!$B$8*(('Business Case'!C11*$C1060*'Business Case'!C12*$B1060)-('Business Case'!B11*$C1060*'Business Case'!B12*$B1060))-'Business Case'!C15*$F1060</f>
        <v>3863399.02369039</v>
      </c>
      <c r="J1060" s="39" t="n">
        <f aca="false">(('Business Case'!D11*$C1060*'Business Case'!D12*$B1060)-'Business Case'!D11*$C1060*'Business Case'!D13*$D1060-'Business Case'!D14*$E1060)-MAX(0,(('Business Case'!D11*$C1060*'Business Case'!D12*$B1060)-'Business Case'!D11*$C1060*'Business Case'!D13*$D1060-'Business Case'!D14*$E1060))*'Business Case'!$B$7-'Business Case'!$B$8*(('Business Case'!D11*$C1060*'Business Case'!D12*$B1060)-('Business Case'!C11*$C1060*'Business Case'!C12*$B1060))-'Business Case'!D15*$F1060</f>
        <v>309612910.631388</v>
      </c>
      <c r="K1060" s="39" t="n">
        <f aca="false">(('Business Case'!E11*$C1060*'Business Case'!E12*$B1060)-'Business Case'!E11*$C1060*'Business Case'!E13*$D1060-'Business Case'!E14*$E1060)-MAX(0,(('Business Case'!E11*$C1060*'Business Case'!E12*$B1060)-'Business Case'!E11*$C1060*'Business Case'!E13*$D1060-'Business Case'!E14*$E1060))*'Business Case'!$B$7-'Business Case'!$B$8*(('Business Case'!E11*$C1060*'Business Case'!E12*$B1060)-('Business Case'!D11*$C1060*'Business Case'!D12*$B1060))-'Business Case'!E15*$F1060</f>
        <v>671260640.381415</v>
      </c>
      <c r="L1060" s="39" t="n">
        <f aca="false">(('Business Case'!F11*$C1060*'Business Case'!F12*$B1060)-'Business Case'!F11*$C1060*'Business Case'!F13*$D1060-'Business Case'!F14*$E1060)-MAX(0,(('Business Case'!F11*$C1060*'Business Case'!F12*$B1060)-'Business Case'!F11*$C1060*'Business Case'!F13*$D1060-'Business Case'!F14*$E1060))*'Business Case'!$B$7-'Business Case'!$B$8*(('Business Case'!F11*$C1060*'Business Case'!F12*$B1060)-('Business Case'!E11*$C1060*'Business Case'!E12*$B1060))-'Business Case'!F15*$F1060</f>
        <v>804647182.41068</v>
      </c>
      <c r="M1060" s="39" t="n">
        <f aca="false">(('Business Case'!G11*$C1060*'Business Case'!G12*$B1060)-'Business Case'!G11*$C1060*'Business Case'!G13*$D1060-'Business Case'!G14*$E1060)-MAX(0,(('Business Case'!G11*$C1060*'Business Case'!G12*$B1060)-'Business Case'!G11*$C1060*'Business Case'!G13*$D1060-'Business Case'!G14*$E1060))*'Business Case'!$B$7-'Business Case'!$B$8*(('Business Case'!G11*$C1060*'Business Case'!G12*$B1060)-('Business Case'!F11*$C1060*'Business Case'!F12*$B1060))-'Business Case'!G15*$F1060+'Business Case'!$B$8*('Business Case'!G11*$C1060*'Business Case'!G12*$B1060)</f>
        <v>977732392.29086</v>
      </c>
      <c r="N1060" s="39" t="n">
        <f aca="false">IF(COUNT('Business Case'!B11:G11)=0,"",H1060+NPV(G1060,I1060:M1060))</f>
        <v>-414068560.327858</v>
      </c>
      <c r="P1060" s="40" t="n">
        <f aca="true">RAND()</f>
        <v>0.959819809826689</v>
      </c>
      <c r="Q1060" s="40" t="n">
        <f aca="true">RAND()</f>
        <v>0.244847391870673</v>
      </c>
      <c r="R1060" s="40" t="n">
        <f aca="true">RAND()</f>
        <v>0.0827477422904089</v>
      </c>
      <c r="S1060" s="40" t="n">
        <f aca="true">RAND()</f>
        <v>0.437897727708542</v>
      </c>
      <c r="T1060" s="40" t="n">
        <f aca="true">RAND()</f>
        <v>0.767554540286522</v>
      </c>
      <c r="U1060" s="40" t="n">
        <f aca="true">RAND()</f>
        <v>0.859071438109291</v>
      </c>
    </row>
    <row r="1061" customFormat="false" ht="15" hidden="false" customHeight="false" outlineLevel="0" collapsed="false">
      <c r="A1061" s="36" t="n">
        <v>981</v>
      </c>
      <c r="B1061" s="37" t="n">
        <f aca="false">1+IF($G$6=$E$6,$F$6,IF(P1061&lt;($F$6-$E$6)/($G$6-$E$6),$E$6+SQRT(P1061*($G$6-$E$6)*($F$6-$E$6)),$G$6-SQRT((1-P1061)*($G$6-$E$6)*($G$6-$F$6))))</f>
        <v>0.943264004867734</v>
      </c>
      <c r="C1061" s="37" t="n">
        <f aca="false">1+IF($G$7=$E$7,$F$7,IF(Q1061&lt;($F$7-$E$7)/($G$7-$E$7),$E$7+SQRT(Q1061*($G$7-$E$7)*($F$7-$E$7)),$G$7-SQRT((1-Q1061)*($G$7-$E$7)*($G$7-$F$7))))</f>
        <v>0.948072641998261</v>
      </c>
      <c r="D1061" s="37" t="n">
        <f aca="false">1+IF($G$8=$E$8,$F$8,IF(R1061&lt;($F$8-$E$8)/($G$8-$E$8),$E$8+SQRT(R1061*($G$8-$E$8)*($F$8-$E$8)),$G$8-SQRT((1-R1061)*($G$8-$E$8)*($G$8-$F$8))))</f>
        <v>1.02499493978183</v>
      </c>
      <c r="E1061" s="37" t="n">
        <f aca="false">1+IF($G$9=$E$9,$F$9,IF(S1061&lt;($F$9-$E$9)/($G$9-$E$9),$E$9+SQRT(S1061*($G$9-$E$9)*($F$9-$E$9)),$G$9-SQRT((1-S1061)*($G$9-$E$9)*($G$9-$F$9))))</f>
        <v>1.04139353871479</v>
      </c>
      <c r="F1061" s="37" t="n">
        <f aca="false">1+IF($G$10=$E$10,$F$10,IF(T1061&lt;($F$10-$E$10)/($G$10-$E$10),$E$10+SQRT(T1061*($G$10-$E$10)*($F$10-$E$10)),$G$10-SQRT((1-T1061)*($G$10-$E$10)*($G$10-$F$10))))</f>
        <v>0.998725027650477</v>
      </c>
      <c r="G1061" s="38" t="n">
        <f aca="false">IF($G$11=$E$11,$F$11,IF(U1061&lt;($F$11-$E$11)/($G$11-$E$11),$E$11+SQRT(U1061*($G$11-$E$11)*($F$11-$E$11)),$G$11-SQRT((1-U1061)*($G$11-$E$11)*($G$11-$F$11))))</f>
        <v>0.111945369257549</v>
      </c>
      <c r="H1061" s="39" t="n">
        <f aca="false">(('Business Case'!B11*$C1061*'Business Case'!B12*$B1061)-'Business Case'!B11*$C1061*'Business Case'!B13*$D1061-'Business Case'!B14*$E1061)-MAX(0,(('Business Case'!B11*$C1061*'Business Case'!B12*$B1061)-'Business Case'!B11*$C1061*'Business Case'!B13*$D1061-'Business Case'!B14*$E1061))*'Business Case'!$B$7-'Business Case'!$B$8*('Business Case'!B11*$C1061*'Business Case'!B12*$B1061)-'Business Case'!B15*$F1061</f>
        <v>-1997450055.30095</v>
      </c>
      <c r="I1061" s="39" t="n">
        <f aca="false">(('Business Case'!C11*$C1061*'Business Case'!C12*$B1061)-'Business Case'!C11*$C1061*'Business Case'!C13*$D1061-'Business Case'!C14*$E1061)-MAX(0,(('Business Case'!C11*$C1061*'Business Case'!C12*$B1061)-'Business Case'!C11*$C1061*'Business Case'!C13*$D1061-'Business Case'!C14*$E1061))*'Business Case'!$B$7-'Business Case'!$B$8*(('Business Case'!C11*$C1061*'Business Case'!C12*$B1061)-('Business Case'!B11*$C1061*'Business Case'!B12*$B1061))-'Business Case'!C15*$F1061</f>
        <v>-59304609.5625684</v>
      </c>
      <c r="J1061" s="39" t="n">
        <f aca="false">(('Business Case'!D11*$C1061*'Business Case'!D12*$B1061)-'Business Case'!D11*$C1061*'Business Case'!D13*$D1061-'Business Case'!D14*$E1061)-MAX(0,(('Business Case'!D11*$C1061*'Business Case'!D12*$B1061)-'Business Case'!D11*$C1061*'Business Case'!D13*$D1061-'Business Case'!D14*$E1061))*'Business Case'!$B$7-'Business Case'!$B$8*(('Business Case'!D11*$C1061*'Business Case'!D12*$B1061)-('Business Case'!C11*$C1061*'Business Case'!C12*$B1061))-'Business Case'!D15*$F1061</f>
        <v>175709065.051837</v>
      </c>
      <c r="K1061" s="39" t="n">
        <f aca="false">(('Business Case'!E11*$C1061*'Business Case'!E12*$B1061)-'Business Case'!E11*$C1061*'Business Case'!E13*$D1061-'Business Case'!E14*$E1061)-MAX(0,(('Business Case'!E11*$C1061*'Business Case'!E12*$B1061)-'Business Case'!E11*$C1061*'Business Case'!E13*$D1061-'Business Case'!E14*$E1061))*'Business Case'!$B$7-'Business Case'!$B$8*(('Business Case'!E11*$C1061*'Business Case'!E12*$B1061)-('Business Case'!D11*$C1061*'Business Case'!D12*$B1061))-'Business Case'!E15*$F1061</f>
        <v>460658991.048766</v>
      </c>
      <c r="L1061" s="39" t="n">
        <f aca="false">(('Business Case'!F11*$C1061*'Business Case'!F12*$B1061)-'Business Case'!F11*$C1061*'Business Case'!F13*$D1061-'Business Case'!F14*$E1061)-MAX(0,(('Business Case'!F11*$C1061*'Business Case'!F12*$B1061)-'Business Case'!F11*$C1061*'Business Case'!F13*$D1061-'Business Case'!F14*$E1061))*'Business Case'!$B$7-'Business Case'!$B$8*(('Business Case'!F11*$C1061*'Business Case'!F12*$B1061)-('Business Case'!E11*$C1061*'Business Case'!E12*$B1061))-'Business Case'!F15*$F1061</f>
        <v>569903296.058022</v>
      </c>
      <c r="M1061" s="39" t="n">
        <f aca="false">(('Business Case'!G11*$C1061*'Business Case'!G12*$B1061)-'Business Case'!G11*$C1061*'Business Case'!G13*$D1061-'Business Case'!G14*$E1061)-MAX(0,(('Business Case'!G11*$C1061*'Business Case'!G12*$B1061)-'Business Case'!G11*$C1061*'Business Case'!G13*$D1061-'Business Case'!G14*$E1061))*'Business Case'!$B$7-'Business Case'!$B$8*(('Business Case'!G11*$C1061*'Business Case'!G12*$B1061)-('Business Case'!F11*$C1061*'Business Case'!F12*$B1061))-'Business Case'!G15*$F1061+'Business Case'!$B$8*('Business Case'!G11*$C1061*'Business Case'!G12*$B1061)</f>
        <v>739888570.149193</v>
      </c>
      <c r="N1061" s="39" t="n">
        <f aca="false">IF(COUNT('Business Case'!B11:G11)=0,"",H1061+NPV(G1061,I1061:M1061))</f>
        <v>-765555214.319133</v>
      </c>
      <c r="P1061" s="40" t="n">
        <f aca="true">RAND()</f>
        <v>0.124784941146352</v>
      </c>
      <c r="Q1061" s="40" t="n">
        <f aca="true">RAND()</f>
        <v>0.455852116355536</v>
      </c>
      <c r="R1061" s="40" t="n">
        <f aca="true">RAND()</f>
        <v>0.62494939611126</v>
      </c>
      <c r="S1061" s="40" t="n">
        <f aca="true">RAND()</f>
        <v>0.685456975122765</v>
      </c>
      <c r="T1061" s="40" t="n">
        <f aca="true">RAND()</f>
        <v>0.158275221302651</v>
      </c>
      <c r="U1061" s="40" t="n">
        <f aca="true">RAND()</f>
        <v>0.782686872502496</v>
      </c>
    </row>
    <row r="1062" customFormat="false" ht="15" hidden="false" customHeight="false" outlineLevel="0" collapsed="false">
      <c r="A1062" s="36" t="n">
        <v>982</v>
      </c>
      <c r="B1062" s="37" t="n">
        <f aca="false">1+IF($G$6=$E$6,$F$6,IF(P1062&lt;($F$6-$E$6)/($G$6-$E$6),$E$6+SQRT(P1062*($G$6-$E$6)*($F$6-$E$6)),$G$6-SQRT((1-P1062)*($G$6-$E$6)*($G$6-$F$6))))</f>
        <v>0.986574363186873</v>
      </c>
      <c r="C1062" s="37" t="n">
        <f aca="false">1+IF($G$7=$E$7,$F$7,IF(Q1062&lt;($F$7-$E$7)/($G$7-$E$7),$E$7+SQRT(Q1062*($G$7-$E$7)*($F$7-$E$7)),$G$7-SQRT((1-Q1062)*($G$7-$E$7)*($G$7-$F$7))))</f>
        <v>0.775481016768415</v>
      </c>
      <c r="D1062" s="37" t="n">
        <f aca="false">1+IF($G$8=$E$8,$F$8,IF(R1062&lt;($F$8-$E$8)/($G$8-$E$8),$E$8+SQRT(R1062*($G$8-$E$8)*($F$8-$E$8)),$G$8-SQRT((1-R1062)*($G$8-$E$8)*($G$8-$F$8))))</f>
        <v>1.02083779840786</v>
      </c>
      <c r="E1062" s="37" t="n">
        <f aca="false">1+IF($G$9=$E$9,$F$9,IF(S1062&lt;($F$9-$E$9)/($G$9-$E$9),$E$9+SQRT(S1062*($G$9-$E$9)*($F$9-$E$9)),$G$9-SQRT((1-S1062)*($G$9-$E$9)*($G$9-$F$9))))</f>
        <v>0.982394970493854</v>
      </c>
      <c r="F1062" s="37" t="n">
        <f aca="false">1+IF($G$10=$E$10,$F$10,IF(T1062&lt;($F$10-$E$10)/($G$10-$E$10),$E$10+SQRT(T1062*($G$10-$E$10)*($F$10-$E$10)),$G$10-SQRT((1-T1062)*($G$10-$E$10)*($G$10-$F$10))))</f>
        <v>1.01783759011113</v>
      </c>
      <c r="G1062" s="38" t="n">
        <f aca="false">IF($G$11=$E$11,$F$11,IF(U1062&lt;($F$11-$E$11)/($G$11-$E$11),$E$11+SQRT(U1062*($G$11-$E$11)*($F$11-$E$11)),$G$11-SQRT((1-U1062)*($G$11-$E$11)*($G$11-$F$11))))</f>
        <v>0.110181668827117</v>
      </c>
      <c r="H1062" s="39" t="n">
        <f aca="false">(('Business Case'!B11*$C1062*'Business Case'!B12*$B1062)-'Business Case'!B11*$C1062*'Business Case'!B13*$D1062-'Business Case'!B14*$E1062)-MAX(0,(('Business Case'!B11*$C1062*'Business Case'!B12*$B1062)-'Business Case'!B11*$C1062*'Business Case'!B13*$D1062-'Business Case'!B14*$E1062))*'Business Case'!$B$7-'Business Case'!$B$8*('Business Case'!B11*$C1062*'Business Case'!B12*$B1062)-'Business Case'!B15*$F1062</f>
        <v>-2035675180.22225</v>
      </c>
      <c r="I1062" s="39" t="n">
        <f aca="false">(('Business Case'!C11*$C1062*'Business Case'!C12*$B1062)-'Business Case'!C11*$C1062*'Business Case'!C13*$D1062-'Business Case'!C14*$E1062)-MAX(0,(('Business Case'!C11*$C1062*'Business Case'!C12*$B1062)-'Business Case'!C11*$C1062*'Business Case'!C13*$D1062-'Business Case'!C14*$E1062))*'Business Case'!$B$7-'Business Case'!$B$8*(('Business Case'!C11*$C1062*'Business Case'!C12*$B1062)-('Business Case'!B11*$C1062*'Business Case'!B12*$B1062))-'Business Case'!C15*$F1062</f>
        <v>-59750894.9131969</v>
      </c>
      <c r="J1062" s="39" t="n">
        <f aca="false">(('Business Case'!D11*$C1062*'Business Case'!D12*$B1062)-'Business Case'!D11*$C1062*'Business Case'!D13*$D1062-'Business Case'!D14*$E1062)-MAX(0,(('Business Case'!D11*$C1062*'Business Case'!D12*$B1062)-'Business Case'!D11*$C1062*'Business Case'!D13*$D1062-'Business Case'!D14*$E1062))*'Business Case'!$B$7-'Business Case'!$B$8*(('Business Case'!D11*$C1062*'Business Case'!D12*$B1062)-('Business Case'!C11*$C1062*'Business Case'!C12*$B1062))-'Business Case'!D15*$F1062</f>
        <v>161639746.733154</v>
      </c>
      <c r="K1062" s="39" t="n">
        <f aca="false">(('Business Case'!E11*$C1062*'Business Case'!E12*$B1062)-'Business Case'!E11*$C1062*'Business Case'!E13*$D1062-'Business Case'!E14*$E1062)-MAX(0,(('Business Case'!E11*$C1062*'Business Case'!E12*$B1062)-'Business Case'!E11*$C1062*'Business Case'!E13*$D1062-'Business Case'!E14*$E1062))*'Business Case'!$B$7-'Business Case'!$B$8*(('Business Case'!E11*$C1062*'Business Case'!E12*$B1062)-('Business Case'!D11*$C1062*'Business Case'!D12*$B1062))-'Business Case'!E15*$F1062</f>
        <v>433922267.885061</v>
      </c>
      <c r="L1062" s="39" t="n">
        <f aca="false">(('Business Case'!F11*$C1062*'Business Case'!F12*$B1062)-'Business Case'!F11*$C1062*'Business Case'!F13*$D1062-'Business Case'!F14*$E1062)-MAX(0,(('Business Case'!F11*$C1062*'Business Case'!F12*$B1062)-'Business Case'!F11*$C1062*'Business Case'!F13*$D1062-'Business Case'!F14*$E1062))*'Business Case'!$B$7-'Business Case'!$B$8*(('Business Case'!F11*$C1062*'Business Case'!F12*$B1062)-('Business Case'!E11*$C1062*'Business Case'!E12*$B1062))-'Business Case'!F15*$F1062</f>
        <v>534159956.929984</v>
      </c>
      <c r="M1062" s="39" t="n">
        <f aca="false">(('Business Case'!G11*$C1062*'Business Case'!G12*$B1062)-'Business Case'!G11*$C1062*'Business Case'!G13*$D1062-'Business Case'!G14*$E1062)-MAX(0,(('Business Case'!G11*$C1062*'Business Case'!G12*$B1062)-'Business Case'!G11*$C1062*'Business Case'!G13*$D1062-'Business Case'!G14*$E1062))*'Business Case'!$B$7-'Business Case'!$B$8*(('Business Case'!G11*$C1062*'Business Case'!G12*$B1062)-('Business Case'!F11*$C1062*'Business Case'!F12*$B1062))-'Business Case'!G15*$F1062+'Business Case'!$B$8*('Business Case'!G11*$C1062*'Business Case'!G12*$B1062)</f>
        <v>679584403.65875</v>
      </c>
      <c r="N1062" s="39" t="n">
        <f aca="false">IF(COUNT('Business Case'!B11:G11)=0,"",H1062+NPV(G1062,I1062:M1062))</f>
        <v>-886616159.101053</v>
      </c>
      <c r="P1062" s="40" t="n">
        <f aca="true">RAND()</f>
        <v>0.499674690747511</v>
      </c>
      <c r="Q1062" s="40" t="n">
        <f aca="true">RAND()</f>
        <v>0.042202843647361</v>
      </c>
      <c r="R1062" s="40" t="n">
        <f aca="true">RAND()</f>
        <v>0.582223055939058</v>
      </c>
      <c r="S1062" s="40" t="n">
        <f aca="true">RAND()</f>
        <v>0.271557246507324</v>
      </c>
      <c r="T1062" s="40" t="n">
        <f aca="true">RAND()</f>
        <v>0.28134153912788</v>
      </c>
      <c r="U1062" s="40" t="n">
        <f aca="true">RAND()</f>
        <v>0.738155833014617</v>
      </c>
    </row>
    <row r="1063" customFormat="false" ht="15" hidden="false" customHeight="false" outlineLevel="0" collapsed="false">
      <c r="A1063" s="36" t="n">
        <v>983</v>
      </c>
      <c r="B1063" s="37" t="n">
        <f aca="false">1+IF($G$6=$E$6,$F$6,IF(P1063&lt;($F$6-$E$6)/($G$6-$E$6),$E$6+SQRT(P1063*($G$6-$E$6)*($F$6-$E$6)),$G$6-SQRT((1-P1063)*($G$6-$E$6)*($G$6-$F$6))))</f>
        <v>1.01962047790039</v>
      </c>
      <c r="C1063" s="37" t="n">
        <f aca="false">1+IF($G$7=$E$7,$F$7,IF(Q1063&lt;($F$7-$E$7)/($G$7-$E$7),$E$7+SQRT(Q1063*($G$7-$E$7)*($F$7-$E$7)),$G$7-SQRT((1-Q1063)*($G$7-$E$7)*($G$7-$F$7))))</f>
        <v>0.769216072178177</v>
      </c>
      <c r="D1063" s="37" t="n">
        <f aca="false">1+IF($G$8=$E$8,$F$8,IF(R1063&lt;($F$8-$E$8)/($G$8-$E$8),$E$8+SQRT(R1063*($G$8-$E$8)*($F$8-$E$8)),$G$8-SQRT((1-R1063)*($G$8-$E$8)*($G$8-$F$8))))</f>
        <v>1.02472956262297</v>
      </c>
      <c r="E1063" s="37" t="n">
        <f aca="false">1+IF($G$9=$E$9,$F$9,IF(S1063&lt;($F$9-$E$9)/($G$9-$E$9),$E$9+SQRT(S1063*($G$9-$E$9)*($F$9-$E$9)),$G$9-SQRT((1-S1063)*($G$9-$E$9)*($G$9-$F$9))))</f>
        <v>1.09283667344688</v>
      </c>
      <c r="F1063" s="37" t="n">
        <f aca="false">1+IF($G$10=$E$10,$F$10,IF(T1063&lt;($F$10-$E$10)/($G$10-$E$10),$E$10+SQRT(T1063*($G$10-$E$10)*($F$10-$E$10)),$G$10-SQRT((1-T1063)*($G$10-$E$10)*($G$10-$F$10))))</f>
        <v>1.0049494576124</v>
      </c>
      <c r="G1063" s="38" t="n">
        <f aca="false">IF($G$11=$E$11,$F$11,IF(U1063&lt;($F$11-$E$11)/($G$11-$E$11),$E$11+SQRT(U1063*($G$11-$E$11)*($F$11-$E$11)),$G$11-SQRT((1-U1063)*($G$11-$E$11)*($G$11-$F$11))))</f>
        <v>0.0961758709758728</v>
      </c>
      <c r="H1063" s="39" t="n">
        <f aca="false">(('Business Case'!B11*$C1063*'Business Case'!B12*$B1063)-'Business Case'!B11*$C1063*'Business Case'!B13*$D1063-'Business Case'!B14*$E1063)-MAX(0,(('Business Case'!B11*$C1063*'Business Case'!B12*$B1063)-'Business Case'!B11*$C1063*'Business Case'!B13*$D1063-'Business Case'!B14*$E1063))*'Business Case'!$B$7-'Business Case'!$B$8*('Business Case'!B11*$C1063*'Business Case'!B12*$B1063)-'Business Case'!B15*$F1063</f>
        <v>-2009898915.2248</v>
      </c>
      <c r="I1063" s="39" t="n">
        <f aca="false">(('Business Case'!C11*$C1063*'Business Case'!C12*$B1063)-'Business Case'!C11*$C1063*'Business Case'!C13*$D1063-'Business Case'!C14*$E1063)-MAX(0,(('Business Case'!C11*$C1063*'Business Case'!C12*$B1063)-'Business Case'!C11*$C1063*'Business Case'!C13*$D1063-'Business Case'!C14*$E1063))*'Business Case'!$B$7-'Business Case'!$B$8*(('Business Case'!C11*$C1063*'Business Case'!C12*$B1063)-('Business Case'!B11*$C1063*'Business Case'!B12*$B1063))-'Business Case'!C15*$F1063</f>
        <v>-57664799.9329313</v>
      </c>
      <c r="J1063" s="39" t="n">
        <f aca="false">(('Business Case'!D11*$C1063*'Business Case'!D12*$B1063)-'Business Case'!D11*$C1063*'Business Case'!D13*$D1063-'Business Case'!D14*$E1063)-MAX(0,(('Business Case'!D11*$C1063*'Business Case'!D12*$B1063)-'Business Case'!D11*$C1063*'Business Case'!D13*$D1063-'Business Case'!D14*$E1063))*'Business Case'!$B$7-'Business Case'!$B$8*(('Business Case'!D11*$C1063*'Business Case'!D12*$B1063)-('Business Case'!C11*$C1063*'Business Case'!C12*$B1063))-'Business Case'!D15*$F1063</f>
        <v>181225271.380459</v>
      </c>
      <c r="K1063" s="39" t="n">
        <f aca="false">(('Business Case'!E11*$C1063*'Business Case'!E12*$B1063)-'Business Case'!E11*$C1063*'Business Case'!E13*$D1063-'Business Case'!E14*$E1063)-MAX(0,(('Business Case'!E11*$C1063*'Business Case'!E12*$B1063)-'Business Case'!E11*$C1063*'Business Case'!E13*$D1063-'Business Case'!E14*$E1063))*'Business Case'!$B$7-'Business Case'!$B$8*(('Business Case'!E11*$C1063*'Business Case'!E12*$B1063)-('Business Case'!D11*$C1063*'Business Case'!D12*$B1063))-'Business Case'!E15*$F1063</f>
        <v>470362815.574469</v>
      </c>
      <c r="L1063" s="39" t="n">
        <f aca="false">(('Business Case'!F11*$C1063*'Business Case'!F12*$B1063)-'Business Case'!F11*$C1063*'Business Case'!F13*$D1063-'Business Case'!F14*$E1063)-MAX(0,(('Business Case'!F11*$C1063*'Business Case'!F12*$B1063)-'Business Case'!F11*$C1063*'Business Case'!F13*$D1063-'Business Case'!F14*$E1063))*'Business Case'!$B$7-'Business Case'!$B$8*(('Business Case'!F11*$C1063*'Business Case'!F12*$B1063)-('Business Case'!E11*$C1063*'Business Case'!E12*$B1063))-'Business Case'!F15*$F1063</f>
        <v>577098539.692889</v>
      </c>
      <c r="M1063" s="39" t="n">
        <f aca="false">(('Business Case'!G11*$C1063*'Business Case'!G12*$B1063)-'Business Case'!G11*$C1063*'Business Case'!G13*$D1063-'Business Case'!G14*$E1063)-MAX(0,(('Business Case'!G11*$C1063*'Business Case'!G12*$B1063)-'Business Case'!G11*$C1063*'Business Case'!G13*$D1063-'Business Case'!G14*$E1063))*'Business Case'!$B$7-'Business Case'!$B$8*(('Business Case'!G11*$C1063*'Business Case'!G12*$B1063)-('Business Case'!F11*$C1063*'Business Case'!F12*$B1063))-'Business Case'!G15*$F1063+'Business Case'!$B$8*('Business Case'!G11*$C1063*'Business Case'!G12*$B1063)</f>
        <v>726179891.602984</v>
      </c>
      <c r="N1063" s="39" t="n">
        <f aca="false">IF(COUNT('Business Case'!B11:G11)=0,"",H1063+NPV(G1063,I1063:M1063))</f>
        <v>-696066573.180547</v>
      </c>
      <c r="P1063" s="40" t="n">
        <f aca="true">RAND()</f>
        <v>0.876944618266573</v>
      </c>
      <c r="Q1063" s="40" t="n">
        <f aca="true">RAND()</f>
        <v>0.0354878862798118</v>
      </c>
      <c r="R1063" s="40" t="n">
        <f aca="true">RAND()</f>
        <v>0.622290750471354</v>
      </c>
      <c r="S1063" s="40" t="n">
        <f aca="true">RAND()</f>
        <v>0.912862775930166</v>
      </c>
      <c r="T1063" s="40" t="n">
        <f aca="true">RAND()</f>
        <v>0.199336422340582</v>
      </c>
      <c r="U1063" s="40" t="n">
        <f aca="true">RAND()</f>
        <v>0.261658801828084</v>
      </c>
    </row>
    <row r="1064" customFormat="false" ht="15" hidden="false" customHeight="false" outlineLevel="0" collapsed="false">
      <c r="A1064" s="36" t="n">
        <v>984</v>
      </c>
      <c r="B1064" s="37" t="n">
        <f aca="false">1+IF($G$6=$E$6,$F$6,IF(P1064&lt;($F$6-$E$6)/($G$6-$E$6),$E$6+SQRT(P1064*($G$6-$E$6)*($F$6-$E$6)),$G$6-SQRT((1-P1064)*($G$6-$E$6)*($G$6-$F$6))))</f>
        <v>1.02697397022484</v>
      </c>
      <c r="C1064" s="37" t="n">
        <f aca="false">1+IF($G$7=$E$7,$F$7,IF(Q1064&lt;($F$7-$E$7)/($G$7-$E$7),$E$7+SQRT(Q1064*($G$7-$E$7)*($F$7-$E$7)),$G$7-SQRT((1-Q1064)*($G$7-$E$7)*($G$7-$F$7))))</f>
        <v>1.02627739016916</v>
      </c>
      <c r="D1064" s="37" t="n">
        <f aca="false">1+IF($G$8=$E$8,$F$8,IF(R1064&lt;($F$8-$E$8)/($G$8-$E$8),$E$8+SQRT(R1064*($G$8-$E$8)*($F$8-$E$8)),$G$8-SQRT((1-R1064)*($G$8-$E$8)*($G$8-$F$8))))</f>
        <v>1.033603754567</v>
      </c>
      <c r="E1064" s="37" t="n">
        <f aca="false">1+IF($G$9=$E$9,$F$9,IF(S1064&lt;($F$9-$E$9)/($G$9-$E$9),$E$9+SQRT(S1064*($G$9-$E$9)*($F$9-$E$9)),$G$9-SQRT((1-S1064)*($G$9-$E$9)*($G$9-$F$9))))</f>
        <v>0.983383625896611</v>
      </c>
      <c r="F1064" s="37" t="n">
        <f aca="false">1+IF($G$10=$E$10,$F$10,IF(T1064&lt;($F$10-$E$10)/($G$10-$E$10),$E$10+SQRT(T1064*($G$10-$E$10)*($F$10-$E$10)),$G$10-SQRT((1-T1064)*($G$10-$E$10)*($G$10-$F$10))))</f>
        <v>1.12245307181431</v>
      </c>
      <c r="G1064" s="38" t="n">
        <f aca="false">IF($G$11=$E$11,$F$11,IF(U1064&lt;($F$11-$E$11)/($G$11-$E$11),$E$11+SQRT(U1064*($G$11-$E$11)*($F$11-$E$11)),$G$11-SQRT((1-U1064)*($G$11-$E$11)*($G$11-$F$11))))</f>
        <v>0.103668570703158</v>
      </c>
      <c r="H1064" s="39" t="n">
        <f aca="false">(('Business Case'!B11*$C1064*'Business Case'!B12*$B1064)-'Business Case'!B11*$C1064*'Business Case'!B13*$D1064-'Business Case'!B14*$E1064)-MAX(0,(('Business Case'!B11*$C1064*'Business Case'!B12*$B1064)-'Business Case'!B11*$C1064*'Business Case'!B13*$D1064-'Business Case'!B14*$E1064))*'Business Case'!$B$7-'Business Case'!$B$8*('Business Case'!B11*$C1064*'Business Case'!B12*$B1064)-'Business Case'!B15*$F1064</f>
        <v>-2244906143.62862</v>
      </c>
      <c r="I1064" s="39" t="n">
        <f aca="false">(('Business Case'!C11*$C1064*'Business Case'!C12*$B1064)-'Business Case'!C11*$C1064*'Business Case'!C13*$D1064-'Business Case'!C14*$E1064)-MAX(0,(('Business Case'!C11*$C1064*'Business Case'!C12*$B1064)-'Business Case'!C11*$C1064*'Business Case'!C13*$D1064-'Business Case'!C14*$E1064))*'Business Case'!$B$7-'Business Case'!$B$8*(('Business Case'!C11*$C1064*'Business Case'!C12*$B1064)-('Business Case'!B11*$C1064*'Business Case'!B12*$B1064))-'Business Case'!C15*$F1064</f>
        <v>13523116.5615472</v>
      </c>
      <c r="J1064" s="39" t="n">
        <f aca="false">(('Business Case'!D11*$C1064*'Business Case'!D12*$B1064)-'Business Case'!D11*$C1064*'Business Case'!D13*$D1064-'Business Case'!D14*$E1064)-MAX(0,(('Business Case'!D11*$C1064*'Business Case'!D12*$B1064)-'Business Case'!D11*$C1064*'Business Case'!D13*$D1064-'Business Case'!D14*$E1064))*'Business Case'!$B$7-'Business Case'!$B$8*(('Business Case'!D11*$C1064*'Business Case'!D12*$B1064)-('Business Case'!C11*$C1064*'Business Case'!C12*$B1064))-'Business Case'!D15*$F1064</f>
        <v>333765986.909043</v>
      </c>
      <c r="K1064" s="39" t="n">
        <f aca="false">(('Business Case'!E11*$C1064*'Business Case'!E12*$B1064)-'Business Case'!E11*$C1064*'Business Case'!E13*$D1064-'Business Case'!E14*$E1064)-MAX(0,(('Business Case'!E11*$C1064*'Business Case'!E12*$B1064)-'Business Case'!E11*$C1064*'Business Case'!E13*$D1064-'Business Case'!E14*$E1064))*'Business Case'!$B$7-'Business Case'!$B$8*(('Business Case'!E11*$C1064*'Business Case'!E12*$B1064)-('Business Case'!D11*$C1064*'Business Case'!D12*$B1064))-'Business Case'!E15*$F1064</f>
        <v>710131510.847254</v>
      </c>
      <c r="L1064" s="39" t="n">
        <f aca="false">(('Business Case'!F11*$C1064*'Business Case'!F12*$B1064)-'Business Case'!F11*$C1064*'Business Case'!F13*$D1064-'Business Case'!F14*$E1064)-MAX(0,(('Business Case'!F11*$C1064*'Business Case'!F12*$B1064)-'Business Case'!F11*$C1064*'Business Case'!F13*$D1064-'Business Case'!F14*$E1064))*'Business Case'!$B$7-'Business Case'!$B$8*(('Business Case'!F11*$C1064*'Business Case'!F12*$B1064)-('Business Case'!E11*$C1064*'Business Case'!E12*$B1064))-'Business Case'!F15*$F1064</f>
        <v>853303997.631099</v>
      </c>
      <c r="M1064" s="39" t="n">
        <f aca="false">(('Business Case'!G11*$C1064*'Business Case'!G12*$B1064)-'Business Case'!G11*$C1064*'Business Case'!G13*$D1064-'Business Case'!G14*$E1064)-MAX(0,(('Business Case'!G11*$C1064*'Business Case'!G12*$B1064)-'Business Case'!G11*$C1064*'Business Case'!G13*$D1064-'Business Case'!G14*$E1064))*'Business Case'!$B$7-'Business Case'!$B$8*(('Business Case'!G11*$C1064*'Business Case'!G12*$B1064)-('Business Case'!F11*$C1064*'Business Case'!F12*$B1064))-'Business Case'!G15*$F1064+'Business Case'!$B$8*('Business Case'!G11*$C1064*'Business Case'!G12*$B1064)</f>
        <v>1053640745.97184</v>
      </c>
      <c r="N1064" s="39" t="n">
        <f aca="false">IF(COUNT('Business Case'!B11:G11)=0,"",H1064+NPV(G1064,I1064:M1064))</f>
        <v>-211880284.849753</v>
      </c>
      <c r="P1064" s="40" t="n">
        <f aca="true">RAND()</f>
        <v>0.929306927039138</v>
      </c>
      <c r="Q1064" s="40" t="n">
        <f aca="true">RAND()</f>
        <v>0.773225419505877</v>
      </c>
      <c r="R1064" s="40" t="n">
        <f aca="true">RAND()</f>
        <v>0.706102572826703</v>
      </c>
      <c r="S1064" s="40" t="n">
        <f aca="true">RAND()</f>
        <v>0.278113162706641</v>
      </c>
      <c r="T1064" s="40" t="n">
        <f aca="true">RAND()</f>
        <v>0.783090414805258</v>
      </c>
      <c r="U1064" s="40" t="n">
        <f aca="true">RAND()</f>
        <v>0.537770554123605</v>
      </c>
    </row>
    <row r="1065" customFormat="false" ht="15" hidden="false" customHeight="false" outlineLevel="0" collapsed="false">
      <c r="A1065" s="36" t="n">
        <v>985</v>
      </c>
      <c r="B1065" s="37" t="n">
        <f aca="false">1+IF($G$6=$E$6,$F$6,IF(P1065&lt;($F$6-$E$6)/($G$6-$E$6),$E$6+SQRT(P1065*($G$6-$E$6)*($F$6-$E$6)),$G$6-SQRT((1-P1065)*($G$6-$E$6)*($G$6-$F$6))))</f>
        <v>0.961860033332157</v>
      </c>
      <c r="C1065" s="37" t="n">
        <f aca="false">1+IF($G$7=$E$7,$F$7,IF(Q1065&lt;($F$7-$E$7)/($G$7-$E$7),$E$7+SQRT(Q1065*($G$7-$E$7)*($F$7-$E$7)),$G$7-SQRT((1-Q1065)*($G$7-$E$7)*($G$7-$F$7))))</f>
        <v>0.861541806066572</v>
      </c>
      <c r="D1065" s="37" t="n">
        <f aca="false">1+IF($G$8=$E$8,$F$8,IF(R1065&lt;($F$8-$E$8)/($G$8-$E$8),$E$8+SQRT(R1065*($G$8-$E$8)*($F$8-$E$8)),$G$8-SQRT((1-R1065)*($G$8-$E$8)*($G$8-$F$8))))</f>
        <v>1.02783647244783</v>
      </c>
      <c r="E1065" s="37" t="n">
        <f aca="false">1+IF($G$9=$E$9,$F$9,IF(S1065&lt;($F$9-$E$9)/($G$9-$E$9),$E$9+SQRT(S1065*($G$9-$E$9)*($F$9-$E$9)),$G$9-SQRT((1-S1065)*($G$9-$E$9)*($G$9-$F$9))))</f>
        <v>0.931468170485428</v>
      </c>
      <c r="F1065" s="37" t="n">
        <f aca="false">1+IF($G$10=$E$10,$F$10,IF(T1065&lt;($F$10-$E$10)/($G$10-$E$10),$E$10+SQRT(T1065*($G$10-$E$10)*($F$10-$E$10)),$G$10-SQRT((1-T1065)*($G$10-$E$10)*($G$10-$F$10))))</f>
        <v>1.06669639921379</v>
      </c>
      <c r="G1065" s="38" t="n">
        <f aca="false">IF($G$11=$E$11,$F$11,IF(U1065&lt;($F$11-$E$11)/($G$11-$E$11),$E$11+SQRT(U1065*($G$11-$E$11)*($F$11-$E$11)),$G$11-SQRT((1-U1065)*($G$11-$E$11)*($G$11-$F$11))))</f>
        <v>0.105217164237536</v>
      </c>
      <c r="H1065" s="39" t="n">
        <f aca="false">(('Business Case'!B11*$C1065*'Business Case'!B12*$B1065)-'Business Case'!B11*$C1065*'Business Case'!B13*$D1065-'Business Case'!B14*$E1065)-MAX(0,(('Business Case'!B11*$C1065*'Business Case'!B12*$B1065)-'Business Case'!B11*$C1065*'Business Case'!B13*$D1065-'Business Case'!B14*$E1065))*'Business Case'!$B$7-'Business Case'!$B$8*('Business Case'!B11*$C1065*'Business Case'!B12*$B1065)-'Business Case'!B15*$F1065</f>
        <v>-2133392798.42758</v>
      </c>
      <c r="I1065" s="39" t="n">
        <f aca="false">(('Business Case'!C11*$C1065*'Business Case'!C12*$B1065)-'Business Case'!C11*$C1065*'Business Case'!C13*$D1065-'Business Case'!C14*$E1065)-MAX(0,(('Business Case'!C11*$C1065*'Business Case'!C12*$B1065)-'Business Case'!C11*$C1065*'Business Case'!C13*$D1065-'Business Case'!C14*$E1065))*'Business Case'!$B$7-'Business Case'!$B$8*(('Business Case'!C11*$C1065*'Business Case'!C12*$B1065)-('Business Case'!B11*$C1065*'Business Case'!B12*$B1065))-'Business Case'!C15*$F1065</f>
        <v>-56650074.5232912</v>
      </c>
      <c r="J1065" s="39" t="n">
        <f aca="false">(('Business Case'!D11*$C1065*'Business Case'!D12*$B1065)-'Business Case'!D11*$C1065*'Business Case'!D13*$D1065-'Business Case'!D14*$E1065)-MAX(0,(('Business Case'!D11*$C1065*'Business Case'!D12*$B1065)-'Business Case'!D11*$C1065*'Business Case'!D13*$D1065-'Business Case'!D14*$E1065))*'Business Case'!$B$7-'Business Case'!$B$8*(('Business Case'!D11*$C1065*'Business Case'!D12*$B1065)-('Business Case'!C11*$C1065*'Business Case'!C12*$B1065))-'Business Case'!D15*$F1065</f>
        <v>168783172.272589</v>
      </c>
      <c r="K1065" s="39" t="n">
        <f aca="false">(('Business Case'!E11*$C1065*'Business Case'!E12*$B1065)-'Business Case'!E11*$C1065*'Business Case'!E13*$D1065-'Business Case'!E14*$E1065)-MAX(0,(('Business Case'!E11*$C1065*'Business Case'!E12*$B1065)-'Business Case'!E11*$C1065*'Business Case'!E13*$D1065-'Business Case'!E14*$E1065))*'Business Case'!$B$7-'Business Case'!$B$8*(('Business Case'!E11*$C1065*'Business Case'!E12*$B1065)-('Business Case'!D11*$C1065*'Business Case'!D12*$B1065))-'Business Case'!E15*$F1065</f>
        <v>447551239.029159</v>
      </c>
      <c r="L1065" s="39" t="n">
        <f aca="false">(('Business Case'!F11*$C1065*'Business Case'!F12*$B1065)-'Business Case'!F11*$C1065*'Business Case'!F13*$D1065-'Business Case'!F14*$E1065)-MAX(0,(('Business Case'!F11*$C1065*'Business Case'!F12*$B1065)-'Business Case'!F11*$C1065*'Business Case'!F13*$D1065-'Business Case'!F14*$E1065))*'Business Case'!$B$7-'Business Case'!$B$8*(('Business Case'!F11*$C1065*'Business Case'!F12*$B1065)-('Business Case'!E11*$C1065*'Business Case'!E12*$B1065))-'Business Case'!F15*$F1065</f>
        <v>551334926.330962</v>
      </c>
      <c r="M1065" s="39" t="n">
        <f aca="false">(('Business Case'!G11*$C1065*'Business Case'!G12*$B1065)-'Business Case'!G11*$C1065*'Business Case'!G13*$D1065-'Business Case'!G14*$E1065)-MAX(0,(('Business Case'!G11*$C1065*'Business Case'!G12*$B1065)-'Business Case'!G11*$C1065*'Business Case'!G13*$D1065-'Business Case'!G14*$E1065))*'Business Case'!$B$7-'Business Case'!$B$8*(('Business Case'!G11*$C1065*'Business Case'!G12*$B1065)-('Business Case'!F11*$C1065*'Business Case'!F12*$B1065))-'Business Case'!G15*$F1065+'Business Case'!$B$8*('Business Case'!G11*$C1065*'Business Case'!G12*$B1065)</f>
        <v>708850920.698432</v>
      </c>
      <c r="N1065" s="39" t="n">
        <f aca="false">IF(COUNT('Business Case'!B11:G11)=0,"",H1065+NPV(G1065,I1065:M1065))</f>
        <v>-915601983.474502</v>
      </c>
      <c r="P1065" s="40" t="n">
        <f aca="true">RAND()</f>
        <v>0.255110914923704</v>
      </c>
      <c r="Q1065" s="40" t="n">
        <f aca="true">RAND()</f>
        <v>0.193301889683333</v>
      </c>
      <c r="R1065" s="40" t="n">
        <f aca="true">RAND()</f>
        <v>0.652828352748443</v>
      </c>
      <c r="S1065" s="40" t="n">
        <f aca="true">RAND()</f>
        <v>0.0396098301479983</v>
      </c>
      <c r="T1065" s="40" t="n">
        <f aca="true">RAND()</f>
        <v>0.55199719918414</v>
      </c>
      <c r="U1065" s="40" t="n">
        <f aca="true">RAND()</f>
        <v>0.590540701047155</v>
      </c>
    </row>
    <row r="1066" customFormat="false" ht="15" hidden="false" customHeight="false" outlineLevel="0" collapsed="false">
      <c r="A1066" s="36" t="n">
        <v>986</v>
      </c>
      <c r="B1066" s="37" t="n">
        <f aca="false">1+IF($G$6=$E$6,$F$6,IF(P1066&lt;($F$6-$E$6)/($G$6-$E$6),$E$6+SQRT(P1066*($G$6-$E$6)*($F$6-$E$6)),$G$6-SQRT((1-P1066)*($G$6-$E$6)*($G$6-$F$6))))</f>
        <v>0.944330425213094</v>
      </c>
      <c r="C1066" s="37" t="n">
        <f aca="false">1+IF($G$7=$E$7,$F$7,IF(Q1066&lt;($F$7-$E$7)/($G$7-$E$7),$E$7+SQRT(Q1066*($G$7-$E$7)*($F$7-$E$7)),$G$7-SQRT((1-Q1066)*($G$7-$E$7)*($G$7-$F$7))))</f>
        <v>1.01372091051478</v>
      </c>
      <c r="D1066" s="37" t="n">
        <f aca="false">1+IF($G$8=$E$8,$F$8,IF(R1066&lt;($F$8-$E$8)/($G$8-$E$8),$E$8+SQRT(R1066*($G$8-$E$8)*($F$8-$E$8)),$G$8-SQRT((1-R1066)*($G$8-$E$8)*($G$8-$F$8))))</f>
        <v>1.01132920655304</v>
      </c>
      <c r="E1066" s="37" t="n">
        <f aca="false">1+IF($G$9=$E$9,$F$9,IF(S1066&lt;($F$9-$E$9)/($G$9-$E$9),$E$9+SQRT(S1066*($G$9-$E$9)*($F$9-$E$9)),$G$9-SQRT((1-S1066)*($G$9-$E$9)*($G$9-$F$9))))</f>
        <v>1.00704307824398</v>
      </c>
      <c r="F1066" s="37" t="n">
        <f aca="false">1+IF($G$10=$E$10,$F$10,IF(T1066&lt;($F$10-$E$10)/($G$10-$E$10),$E$10+SQRT(T1066*($G$10-$E$10)*($F$10-$E$10)),$G$10-SQRT((1-T1066)*($G$10-$E$10)*($G$10-$F$10))))</f>
        <v>1.03063641014747</v>
      </c>
      <c r="G1066" s="38" t="n">
        <f aca="false">IF($G$11=$E$11,$F$11,IF(U1066&lt;($F$11-$E$11)/($G$11-$E$11),$E$11+SQRT(U1066*($G$11-$E$11)*($F$11-$E$11)),$G$11-SQRT((1-U1066)*($G$11-$E$11)*($G$11-$F$11))))</f>
        <v>0.118486815213467</v>
      </c>
      <c r="H1066" s="39" t="n">
        <f aca="false">(('Business Case'!B11*$C1066*'Business Case'!B12*$B1066)-'Business Case'!B11*$C1066*'Business Case'!B13*$D1066-'Business Case'!B14*$E1066)-MAX(0,(('Business Case'!B11*$C1066*'Business Case'!B12*$B1066)-'Business Case'!B11*$C1066*'Business Case'!B13*$D1066-'Business Case'!B14*$E1066))*'Business Case'!$B$7-'Business Case'!$B$8*('Business Case'!B11*$C1066*'Business Case'!B12*$B1066)-'Business Case'!B15*$F1066</f>
        <v>-2061272820.29494</v>
      </c>
      <c r="I1066" s="39" t="n">
        <f aca="false">(('Business Case'!C11*$C1066*'Business Case'!C12*$B1066)-'Business Case'!C11*$C1066*'Business Case'!C13*$D1066-'Business Case'!C14*$E1066)-MAX(0,(('Business Case'!C11*$C1066*'Business Case'!C12*$B1066)-'Business Case'!C11*$C1066*'Business Case'!C13*$D1066-'Business Case'!C14*$E1066))*'Business Case'!$B$7-'Business Case'!$B$8*(('Business Case'!C11*$C1066*'Business Case'!C12*$B1066)-('Business Case'!B11*$C1066*'Business Case'!B12*$B1066))-'Business Case'!C15*$F1066</f>
        <v>-36626797.08458</v>
      </c>
      <c r="J1066" s="39" t="n">
        <f aca="false">(('Business Case'!D11*$C1066*'Business Case'!D12*$B1066)-'Business Case'!D11*$C1066*'Business Case'!D13*$D1066-'Business Case'!D14*$E1066)-MAX(0,(('Business Case'!D11*$C1066*'Business Case'!D12*$B1066)-'Business Case'!D11*$C1066*'Business Case'!D13*$D1066-'Business Case'!D14*$E1066))*'Business Case'!$B$7-'Business Case'!$B$8*(('Business Case'!D11*$C1066*'Business Case'!D12*$B1066)-('Business Case'!C11*$C1066*'Business Case'!C12*$B1066))-'Business Case'!D15*$F1066</f>
        <v>222637356.492765</v>
      </c>
      <c r="K1066" s="39" t="n">
        <f aca="false">(('Business Case'!E11*$C1066*'Business Case'!E12*$B1066)-'Business Case'!E11*$C1066*'Business Case'!E13*$D1066-'Business Case'!E14*$E1066)-MAX(0,(('Business Case'!E11*$C1066*'Business Case'!E12*$B1066)-'Business Case'!E11*$C1066*'Business Case'!E13*$D1066-'Business Case'!E14*$E1066))*'Business Case'!$B$7-'Business Case'!$B$8*(('Business Case'!E11*$C1066*'Business Case'!E12*$B1066)-('Business Case'!D11*$C1066*'Business Case'!D12*$B1066))-'Business Case'!E15*$F1066</f>
        <v>533433330.577483</v>
      </c>
      <c r="L1066" s="39" t="n">
        <f aca="false">(('Business Case'!F11*$C1066*'Business Case'!F12*$B1066)-'Business Case'!F11*$C1066*'Business Case'!F13*$D1066-'Business Case'!F14*$E1066)-MAX(0,(('Business Case'!F11*$C1066*'Business Case'!F12*$B1066)-'Business Case'!F11*$C1066*'Business Case'!F13*$D1066-'Business Case'!F14*$E1066))*'Business Case'!$B$7-'Business Case'!$B$8*(('Business Case'!F11*$C1066*'Business Case'!F12*$B1066)-('Business Case'!E11*$C1066*'Business Case'!E12*$B1066))-'Business Case'!F15*$F1066</f>
        <v>652938571.05052</v>
      </c>
      <c r="M1066" s="39" t="n">
        <f aca="false">(('Business Case'!G11*$C1066*'Business Case'!G12*$B1066)-'Business Case'!G11*$C1066*'Business Case'!G13*$D1066-'Business Case'!G14*$E1066)-MAX(0,(('Business Case'!G11*$C1066*'Business Case'!G12*$B1066)-'Business Case'!G11*$C1066*'Business Case'!G13*$D1066-'Business Case'!G14*$E1066))*'Business Case'!$B$7-'Business Case'!$B$8*(('Business Case'!G11*$C1066*'Business Case'!G12*$B1066)-('Business Case'!F11*$C1066*'Business Case'!F12*$B1066))-'Business Case'!G15*$F1066+'Business Case'!$B$8*('Business Case'!G11*$C1066*'Business Case'!G12*$B1066)</f>
        <v>834899778.760425</v>
      </c>
      <c r="N1066" s="39" t="n">
        <f aca="false">IF(COUNT('Business Case'!B11:G11)=0,"",H1066+NPV(G1066,I1066:M1066))</f>
        <v>-640661229.452113</v>
      </c>
      <c r="P1066" s="40" t="n">
        <f aca="true">RAND()</f>
        <v>0.131012439971579</v>
      </c>
      <c r="Q1066" s="40" t="n">
        <f aca="true">RAND()</f>
        <v>0.724859403986359</v>
      </c>
      <c r="R1066" s="40" t="n">
        <f aca="true">RAND()</f>
        <v>0.475832692632494</v>
      </c>
      <c r="S1066" s="40" t="n">
        <f aca="true">RAND()</f>
        <v>0.455021827254508</v>
      </c>
      <c r="T1066" s="40" t="n">
        <f aca="true">RAND()</f>
        <v>0.358394872626816</v>
      </c>
      <c r="U1066" s="40" t="n">
        <f aca="true">RAND()</f>
        <v>0.911631050714097</v>
      </c>
    </row>
    <row r="1067" customFormat="false" ht="15" hidden="false" customHeight="false" outlineLevel="0" collapsed="false">
      <c r="A1067" s="36" t="n">
        <v>987</v>
      </c>
      <c r="B1067" s="37" t="n">
        <f aca="false">1+IF($G$6=$E$6,$F$6,IF(P1067&lt;($F$6-$E$6)/($G$6-$E$6),$E$6+SQRT(P1067*($G$6-$E$6)*($F$6-$E$6)),$G$6-SQRT((1-P1067)*($G$6-$E$6)*($G$6-$F$6))))</f>
        <v>0.949279624643727</v>
      </c>
      <c r="C1067" s="37" t="n">
        <f aca="false">1+IF($G$7=$E$7,$F$7,IF(Q1067&lt;($F$7-$E$7)/($G$7-$E$7),$E$7+SQRT(Q1067*($G$7-$E$7)*($F$7-$E$7)),$G$7-SQRT((1-Q1067)*($G$7-$E$7)*($G$7-$F$7))))</f>
        <v>0.886909567004731</v>
      </c>
      <c r="D1067" s="37" t="n">
        <f aca="false">1+IF($G$8=$E$8,$F$8,IF(R1067&lt;($F$8-$E$8)/($G$8-$E$8),$E$8+SQRT(R1067*($G$8-$E$8)*($F$8-$E$8)),$G$8-SQRT((1-R1067)*($G$8-$E$8)*($G$8-$F$8))))</f>
        <v>1.07925958357748</v>
      </c>
      <c r="E1067" s="37" t="n">
        <f aca="false">1+IF($G$9=$E$9,$F$9,IF(S1067&lt;($F$9-$E$9)/($G$9-$E$9),$E$9+SQRT(S1067*($G$9-$E$9)*($F$9-$E$9)),$G$9-SQRT((1-S1067)*($G$9-$E$9)*($G$9-$F$9))))</f>
        <v>1.04556323210162</v>
      </c>
      <c r="F1067" s="37" t="n">
        <f aca="false">1+IF($G$10=$E$10,$F$10,IF(T1067&lt;($F$10-$E$10)/($G$10-$E$10),$E$10+SQRT(T1067*($G$10-$E$10)*($F$10-$E$10)),$G$10-SQRT((1-T1067)*($G$10-$E$10)*($G$10-$F$10))))</f>
        <v>1.07305038190368</v>
      </c>
      <c r="G1067" s="38" t="n">
        <f aca="false">IF($G$11=$E$11,$F$11,IF(U1067&lt;($F$11-$E$11)/($G$11-$E$11),$E$11+SQRT(U1067*($G$11-$E$11)*($F$11-$E$11)),$G$11-SQRT((1-U1067)*($G$11-$E$11)*($G$11-$F$11))))</f>
        <v>0.0964724463619276</v>
      </c>
      <c r="H1067" s="39" t="n">
        <f aca="false">(('Business Case'!B11*$C1067*'Business Case'!B12*$B1067)-'Business Case'!B11*$C1067*'Business Case'!B13*$D1067-'Business Case'!B14*$E1067)-MAX(0,(('Business Case'!B11*$C1067*'Business Case'!B12*$B1067)-'Business Case'!B11*$C1067*'Business Case'!B13*$D1067-'Business Case'!B14*$E1067))*'Business Case'!$B$7-'Business Case'!$B$8*('Business Case'!B11*$C1067*'Business Case'!B12*$B1067)-'Business Case'!B15*$F1067</f>
        <v>-2146100763.80736</v>
      </c>
      <c r="I1067" s="39" t="n">
        <f aca="false">(('Business Case'!C11*$C1067*'Business Case'!C12*$B1067)-'Business Case'!C11*$C1067*'Business Case'!C13*$D1067-'Business Case'!C14*$E1067)-MAX(0,(('Business Case'!C11*$C1067*'Business Case'!C12*$B1067)-'Business Case'!C11*$C1067*'Business Case'!C13*$D1067-'Business Case'!C14*$E1067))*'Business Case'!$B$7-'Business Case'!$B$8*(('Business Case'!C11*$C1067*'Business Case'!C12*$B1067)-('Business Case'!B11*$C1067*'Business Case'!B12*$B1067))-'Business Case'!C15*$F1067</f>
        <v>-100044905.759952</v>
      </c>
      <c r="J1067" s="39" t="n">
        <f aca="false">(('Business Case'!D11*$C1067*'Business Case'!D12*$B1067)-'Business Case'!D11*$C1067*'Business Case'!D13*$D1067-'Business Case'!D14*$E1067)-MAX(0,(('Business Case'!D11*$C1067*'Business Case'!D12*$B1067)-'Business Case'!D11*$C1067*'Business Case'!D13*$D1067-'Business Case'!D14*$E1067))*'Business Case'!$B$7-'Business Case'!$B$8*(('Business Case'!D11*$C1067*'Business Case'!D12*$B1067)-('Business Case'!C11*$C1067*'Business Case'!C12*$B1067))-'Business Case'!D15*$F1067</f>
        <v>99539719.6510539</v>
      </c>
      <c r="K1067" s="39" t="n">
        <f aca="false">(('Business Case'!E11*$C1067*'Business Case'!E12*$B1067)-'Business Case'!E11*$C1067*'Business Case'!E13*$D1067-'Business Case'!E14*$E1067)-MAX(0,(('Business Case'!E11*$C1067*'Business Case'!E12*$B1067)-'Business Case'!E11*$C1067*'Business Case'!E13*$D1067-'Business Case'!E14*$E1067))*'Business Case'!$B$7-'Business Case'!$B$8*(('Business Case'!E11*$C1067*'Business Case'!E12*$B1067)-('Business Case'!D11*$C1067*'Business Case'!D12*$B1067))-'Business Case'!E15*$F1067</f>
        <v>352776864.157244</v>
      </c>
      <c r="L1067" s="39" t="n">
        <f aca="false">(('Business Case'!F11*$C1067*'Business Case'!F12*$B1067)-'Business Case'!F11*$C1067*'Business Case'!F13*$D1067-'Business Case'!F14*$E1067)-MAX(0,(('Business Case'!F11*$C1067*'Business Case'!F12*$B1067)-'Business Case'!F11*$C1067*'Business Case'!F13*$D1067-'Business Case'!F14*$E1067))*'Business Case'!$B$7-'Business Case'!$B$8*(('Business Case'!F11*$C1067*'Business Case'!F12*$B1067)-('Business Case'!E11*$C1067*'Business Case'!E12*$B1067))-'Business Case'!F15*$F1067</f>
        <v>448402006.878072</v>
      </c>
      <c r="M1067" s="39" t="n">
        <f aca="false">(('Business Case'!G11*$C1067*'Business Case'!G12*$B1067)-'Business Case'!G11*$C1067*'Business Case'!G13*$D1067-'Business Case'!G14*$E1067)-MAX(0,(('Business Case'!G11*$C1067*'Business Case'!G12*$B1067)-'Business Case'!G11*$C1067*'Business Case'!G13*$D1067-'Business Case'!G14*$E1067))*'Business Case'!$B$7-'Business Case'!$B$8*(('Business Case'!G11*$C1067*'Business Case'!G12*$B1067)-('Business Case'!F11*$C1067*'Business Case'!F12*$B1067))-'Business Case'!G15*$F1067+'Business Case'!$B$8*('Business Case'!G11*$C1067*'Business Case'!G12*$B1067)</f>
        <v>608435145.255786</v>
      </c>
      <c r="N1067" s="39" t="n">
        <f aca="false">IF(COUNT('Business Case'!B11:G11)=0,"",H1067+NPV(G1067,I1067:M1067))</f>
        <v>-1192804459.70011</v>
      </c>
      <c r="P1067" s="40" t="n">
        <f aca="true">RAND()</f>
        <v>0.161898760335107</v>
      </c>
      <c r="Q1067" s="40" t="n">
        <f aca="true">RAND()</f>
        <v>0.258779157317748</v>
      </c>
      <c r="R1067" s="40" t="n">
        <f aca="true">RAND()</f>
        <v>0.971322341774701</v>
      </c>
      <c r="S1067" s="40" t="n">
        <f aca="true">RAND()</f>
        <v>0.709145640291704</v>
      </c>
      <c r="T1067" s="40" t="n">
        <f aca="true">RAND()</f>
        <v>0.582517768740893</v>
      </c>
      <c r="U1067" s="40" t="n">
        <f aca="true">RAND()</f>
        <v>0.271341489146582</v>
      </c>
    </row>
    <row r="1068" customFormat="false" ht="15" hidden="false" customHeight="false" outlineLevel="0" collapsed="false">
      <c r="A1068" s="36" t="n">
        <v>988</v>
      </c>
      <c r="B1068" s="37" t="n">
        <f aca="false">1+IF($G$6=$E$6,$F$6,IF(P1068&lt;($F$6-$E$6)/($G$6-$E$6),$E$6+SQRT(P1068*($G$6-$E$6)*($F$6-$E$6)),$G$6-SQRT((1-P1068)*($G$6-$E$6)*($G$6-$F$6))))</f>
        <v>0.988908287276955</v>
      </c>
      <c r="C1068" s="37" t="n">
        <f aca="false">1+IF($G$7=$E$7,$F$7,IF(Q1068&lt;($F$7-$E$7)/($G$7-$E$7),$E$7+SQRT(Q1068*($G$7-$E$7)*($F$7-$E$7)),$G$7-SQRT((1-Q1068)*($G$7-$E$7)*($G$7-$F$7))))</f>
        <v>1.05134951237453</v>
      </c>
      <c r="D1068" s="37" t="n">
        <f aca="false">1+IF($G$8=$E$8,$F$8,IF(R1068&lt;($F$8-$E$8)/($G$8-$E$8),$E$8+SQRT(R1068*($G$8-$E$8)*($F$8-$E$8)),$G$8-SQRT((1-R1068)*($G$8-$E$8)*($G$8-$F$8))))</f>
        <v>1.00367938032432</v>
      </c>
      <c r="E1068" s="37" t="n">
        <f aca="false">1+IF($G$9=$E$9,$F$9,IF(S1068&lt;($F$9-$E$9)/($G$9-$E$9),$E$9+SQRT(S1068*($G$9-$E$9)*($F$9-$E$9)),$G$9-SQRT((1-S1068)*($G$9-$E$9)*($G$9-$F$9))))</f>
        <v>0.982756294688548</v>
      </c>
      <c r="F1068" s="37" t="n">
        <f aca="false">1+IF($G$10=$E$10,$F$10,IF(T1068&lt;($F$10-$E$10)/($G$10-$E$10),$E$10+SQRT(T1068*($G$10-$E$10)*($F$10-$E$10)),$G$10-SQRT((1-T1068)*($G$10-$E$10)*($G$10-$F$10))))</f>
        <v>1.13289771558649</v>
      </c>
      <c r="G1068" s="38" t="n">
        <f aca="false">IF($G$11=$E$11,$F$11,IF(U1068&lt;($F$11-$E$11)/($G$11-$E$11),$E$11+SQRT(U1068*($G$11-$E$11)*($F$11-$E$11)),$G$11-SQRT((1-U1068)*($G$11-$E$11)*($G$11-$F$11))))</f>
        <v>0.0878236999899221</v>
      </c>
      <c r="H1068" s="39" t="n">
        <f aca="false">(('Business Case'!B11*$C1068*'Business Case'!B12*$B1068)-'Business Case'!B11*$C1068*'Business Case'!B13*$D1068-'Business Case'!B14*$E1068)-MAX(0,(('Business Case'!B11*$C1068*'Business Case'!B12*$B1068)-'Business Case'!B11*$C1068*'Business Case'!B13*$D1068-'Business Case'!B14*$E1068))*'Business Case'!$B$7-'Business Case'!$B$8*('Business Case'!B11*$C1068*'Business Case'!B12*$B1068)-'Business Case'!B15*$F1068</f>
        <v>-2265795431.17299</v>
      </c>
      <c r="I1068" s="39" t="n">
        <f aca="false">(('Business Case'!C11*$C1068*'Business Case'!C12*$B1068)-'Business Case'!C11*$C1068*'Business Case'!C13*$D1068-'Business Case'!C14*$E1068)-MAX(0,(('Business Case'!C11*$C1068*'Business Case'!C12*$B1068)-'Business Case'!C11*$C1068*'Business Case'!C13*$D1068-'Business Case'!C14*$E1068))*'Business Case'!$B$7-'Business Case'!$B$8*(('Business Case'!C11*$C1068*'Business Case'!C12*$B1068)-('Business Case'!B11*$C1068*'Business Case'!B12*$B1068))-'Business Case'!C15*$F1068</f>
        <v>4457265.35282287</v>
      </c>
      <c r="J1068" s="39" t="n">
        <f aca="false">(('Business Case'!D11*$C1068*'Business Case'!D12*$B1068)-'Business Case'!D11*$C1068*'Business Case'!D13*$D1068-'Business Case'!D14*$E1068)-MAX(0,(('Business Case'!D11*$C1068*'Business Case'!D12*$B1068)-'Business Case'!D11*$C1068*'Business Case'!D13*$D1068-'Business Case'!D14*$E1068))*'Business Case'!$B$7-'Business Case'!$B$8*(('Business Case'!D11*$C1068*'Business Case'!D12*$B1068)-('Business Case'!C11*$C1068*'Business Case'!C12*$B1068))-'Business Case'!D15*$F1068</f>
        <v>315849686.02152</v>
      </c>
      <c r="K1068" s="39" t="n">
        <f aca="false">(('Business Case'!E11*$C1068*'Business Case'!E12*$B1068)-'Business Case'!E11*$C1068*'Business Case'!E13*$D1068-'Business Case'!E14*$E1068)-MAX(0,(('Business Case'!E11*$C1068*'Business Case'!E12*$B1068)-'Business Case'!E11*$C1068*'Business Case'!E13*$D1068-'Business Case'!E14*$E1068))*'Business Case'!$B$7-'Business Case'!$B$8*(('Business Case'!E11*$C1068*'Business Case'!E12*$B1068)-('Business Case'!D11*$C1068*'Business Case'!D12*$B1068))-'Business Case'!E15*$F1068</f>
        <v>683886992.469541</v>
      </c>
      <c r="L1068" s="39" t="n">
        <f aca="false">(('Business Case'!F11*$C1068*'Business Case'!F12*$B1068)-'Business Case'!F11*$C1068*'Business Case'!F13*$D1068-'Business Case'!F14*$E1068)-MAX(0,(('Business Case'!F11*$C1068*'Business Case'!F12*$B1068)-'Business Case'!F11*$C1068*'Business Case'!F13*$D1068-'Business Case'!F14*$E1068))*'Business Case'!$B$7-'Business Case'!$B$8*(('Business Case'!F11*$C1068*'Business Case'!F12*$B1068)-('Business Case'!E11*$C1068*'Business Case'!E12*$B1068))-'Business Case'!F15*$F1068</f>
        <v>823616091.794116</v>
      </c>
      <c r="M1068" s="39" t="n">
        <f aca="false">(('Business Case'!G11*$C1068*'Business Case'!G12*$B1068)-'Business Case'!G11*$C1068*'Business Case'!G13*$D1068-'Business Case'!G14*$E1068)-MAX(0,(('Business Case'!G11*$C1068*'Business Case'!G12*$B1068)-'Business Case'!G11*$C1068*'Business Case'!G13*$D1068-'Business Case'!G14*$E1068))*'Business Case'!$B$7-'Business Case'!$B$8*(('Business Case'!G11*$C1068*'Business Case'!G12*$B1068)-('Business Case'!F11*$C1068*'Business Case'!F12*$B1068))-'Business Case'!G15*$F1068+'Business Case'!$B$8*('Business Case'!G11*$C1068*'Business Case'!G12*$B1068)</f>
        <v>1021240033.52</v>
      </c>
      <c r="N1068" s="39" t="n">
        <f aca="false">IF(COUNT('Business Case'!B11:G11)=0,"",H1068+NPV(G1068,I1068:M1068))</f>
        <v>-204971326.017637</v>
      </c>
      <c r="P1068" s="40" t="n">
        <f aca="true">RAND()</f>
        <v>0.526978903101437</v>
      </c>
      <c r="Q1068" s="40" t="n">
        <f aca="true">RAND()</f>
        <v>0.855823426537128</v>
      </c>
      <c r="R1068" s="40" t="n">
        <f aca="true">RAND()</f>
        <v>0.381489215019495</v>
      </c>
      <c r="S1068" s="40" t="n">
        <f aca="true">RAND()</f>
        <v>0.273944172423111</v>
      </c>
      <c r="T1068" s="40" t="n">
        <f aca="true">RAND()</f>
        <v>0.817160733135174</v>
      </c>
      <c r="U1068" s="40" t="n">
        <f aca="true">RAND()</f>
        <v>0.0612102815323062</v>
      </c>
    </row>
    <row r="1069" customFormat="false" ht="15" hidden="false" customHeight="false" outlineLevel="0" collapsed="false">
      <c r="A1069" s="36" t="n">
        <v>989</v>
      </c>
      <c r="B1069" s="37" t="n">
        <f aca="false">1+IF($G$6=$E$6,$F$6,IF(P1069&lt;($F$6-$E$6)/($G$6-$E$6),$E$6+SQRT(P1069*($G$6-$E$6)*($F$6-$E$6)),$G$6-SQRT((1-P1069)*($G$6-$E$6)*($G$6-$F$6))))</f>
        <v>0.965110702513502</v>
      </c>
      <c r="C1069" s="37" t="n">
        <f aca="false">1+IF($G$7=$E$7,$F$7,IF(Q1069&lt;($F$7-$E$7)/($G$7-$E$7),$E$7+SQRT(Q1069*($G$7-$E$7)*($F$7-$E$7)),$G$7-SQRT((1-Q1069)*($G$7-$E$7)*($G$7-$F$7))))</f>
        <v>0.989062122137248</v>
      </c>
      <c r="D1069" s="37" t="n">
        <f aca="false">1+IF($G$8=$E$8,$F$8,IF(R1069&lt;($F$8-$E$8)/($G$8-$E$8),$E$8+SQRT(R1069*($G$8-$E$8)*($F$8-$E$8)),$G$8-SQRT((1-R1069)*($G$8-$E$8)*($G$8-$F$8))))</f>
        <v>0.969752574523218</v>
      </c>
      <c r="E1069" s="37" t="n">
        <f aca="false">1+IF($G$9=$E$9,$F$9,IF(S1069&lt;($F$9-$E$9)/($G$9-$E$9),$E$9+SQRT(S1069*($G$9-$E$9)*($F$9-$E$9)),$G$9-SQRT((1-S1069)*($G$9-$E$9)*($G$9-$F$9))))</f>
        <v>0.948739763686067</v>
      </c>
      <c r="F1069" s="37" t="n">
        <f aca="false">1+IF($G$10=$E$10,$F$10,IF(T1069&lt;($F$10-$E$10)/($G$10-$E$10),$E$10+SQRT(T1069*($G$10-$E$10)*($F$10-$E$10)),$G$10-SQRT((1-T1069)*($G$10-$E$10)*($G$10-$F$10))))</f>
        <v>0.972238926491396</v>
      </c>
      <c r="G1069" s="38" t="n">
        <f aca="false">IF($G$11=$E$11,$F$11,IF(U1069&lt;($F$11-$E$11)/($G$11-$E$11),$E$11+SQRT(U1069*($G$11-$E$11)*($F$11-$E$11)),$G$11-SQRT((1-U1069)*($G$11-$E$11)*($G$11-$F$11))))</f>
        <v>0.103560852471273</v>
      </c>
      <c r="H1069" s="39" t="n">
        <f aca="false">(('Business Case'!B11*$C1069*'Business Case'!B12*$B1069)-'Business Case'!B11*$C1069*'Business Case'!B13*$D1069-'Business Case'!B14*$E1069)-MAX(0,(('Business Case'!B11*$C1069*'Business Case'!B12*$B1069)-'Business Case'!B11*$C1069*'Business Case'!B13*$D1069-'Business Case'!B14*$E1069))*'Business Case'!$B$7-'Business Case'!$B$8*('Business Case'!B11*$C1069*'Business Case'!B12*$B1069)-'Business Case'!B15*$F1069</f>
        <v>-1944477852.98279</v>
      </c>
      <c r="I1069" s="39" t="n">
        <f aca="false">(('Business Case'!C11*$C1069*'Business Case'!C12*$B1069)-'Business Case'!C11*$C1069*'Business Case'!C13*$D1069-'Business Case'!C14*$E1069)-MAX(0,(('Business Case'!C11*$C1069*'Business Case'!C12*$B1069)-'Business Case'!C11*$C1069*'Business Case'!C13*$D1069-'Business Case'!C14*$E1069))*'Business Case'!$B$7-'Business Case'!$B$8*(('Business Case'!C11*$C1069*'Business Case'!C12*$B1069)-('Business Case'!B11*$C1069*'Business Case'!B12*$B1069))-'Business Case'!C15*$F1069</f>
        <v>9224240.21910974</v>
      </c>
      <c r="J1069" s="39" t="n">
        <f aca="false">(('Business Case'!D11*$C1069*'Business Case'!D12*$B1069)-'Business Case'!D11*$C1069*'Business Case'!D13*$D1069-'Business Case'!D14*$E1069)-MAX(0,(('Business Case'!D11*$C1069*'Business Case'!D12*$B1069)-'Business Case'!D11*$C1069*'Business Case'!D13*$D1069-'Business Case'!D14*$E1069))*'Business Case'!$B$7-'Business Case'!$B$8*(('Business Case'!D11*$C1069*'Business Case'!D12*$B1069)-('Business Case'!C11*$C1069*'Business Case'!C12*$B1069))-'Business Case'!D15*$F1069</f>
        <v>300067269.628513</v>
      </c>
      <c r="K1069" s="39" t="n">
        <f aca="false">(('Business Case'!E11*$C1069*'Business Case'!E12*$B1069)-'Business Case'!E11*$C1069*'Business Case'!E13*$D1069-'Business Case'!E14*$E1069)-MAX(0,(('Business Case'!E11*$C1069*'Business Case'!E12*$B1069)-'Business Case'!E11*$C1069*'Business Case'!E13*$D1069-'Business Case'!E14*$E1069))*'Business Case'!$B$7-'Business Case'!$B$8*(('Business Case'!E11*$C1069*'Business Case'!E12*$B1069)-('Business Case'!D11*$C1069*'Business Case'!D12*$B1069))-'Business Case'!E15*$F1069</f>
        <v>639522245.362486</v>
      </c>
      <c r="L1069" s="39" t="n">
        <f aca="false">(('Business Case'!F11*$C1069*'Business Case'!F12*$B1069)-'Business Case'!F11*$C1069*'Business Case'!F13*$D1069-'Business Case'!F14*$E1069)-MAX(0,(('Business Case'!F11*$C1069*'Business Case'!F12*$B1069)-'Business Case'!F11*$C1069*'Business Case'!F13*$D1069-'Business Case'!F14*$E1069))*'Business Case'!$B$7-'Business Case'!$B$8*(('Business Case'!F11*$C1069*'Business Case'!F12*$B1069)-('Business Case'!E11*$C1069*'Business Case'!E12*$B1069))-'Business Case'!F15*$F1069</f>
        <v>769459323.262285</v>
      </c>
      <c r="M1069" s="39" t="n">
        <f aca="false">(('Business Case'!G11*$C1069*'Business Case'!G12*$B1069)-'Business Case'!G11*$C1069*'Business Case'!G13*$D1069-'Business Case'!G14*$E1069)-MAX(0,(('Business Case'!G11*$C1069*'Business Case'!G12*$B1069)-'Business Case'!G11*$C1069*'Business Case'!G13*$D1069-'Business Case'!G14*$E1069))*'Business Case'!$B$7-'Business Case'!$B$8*(('Business Case'!G11*$C1069*'Business Case'!G12*$B1069)-('Business Case'!F11*$C1069*'Business Case'!F12*$B1069))-'Business Case'!G15*$F1069+'Business Case'!$B$8*('Business Case'!G11*$C1069*'Business Case'!G12*$B1069)</f>
        <v>950901031.127268</v>
      </c>
      <c r="N1069" s="39" t="n">
        <f aca="false">IF(COUNT('Business Case'!B11:G11)=0,"",H1069+NPV(G1069,I1069:M1069))</f>
        <v>-114110232.954835</v>
      </c>
      <c r="P1069" s="40" t="n">
        <f aca="true">RAND()</f>
        <v>0.28262690545345</v>
      </c>
      <c r="Q1069" s="40" t="n">
        <f aca="true">RAND()</f>
        <v>0.618940077440662</v>
      </c>
      <c r="R1069" s="40" t="n">
        <f aca="true">RAND()</f>
        <v>0.0520218933727014</v>
      </c>
      <c r="S1069" s="40" t="n">
        <f aca="true">RAND()</f>
        <v>0.0950225825669475</v>
      </c>
      <c r="T1069" s="40" t="n">
        <f aca="true">RAND()</f>
        <v>0.032971323432647</v>
      </c>
      <c r="U1069" s="40" t="n">
        <f aca="true">RAND()</f>
        <v>0.533980985302788</v>
      </c>
    </row>
    <row r="1070" customFormat="false" ht="15" hidden="false" customHeight="false" outlineLevel="0" collapsed="false">
      <c r="A1070" s="36" t="n">
        <v>990</v>
      </c>
      <c r="B1070" s="37" t="n">
        <f aca="false">1+IF($G$6=$E$6,$F$6,IF(P1070&lt;($F$6-$E$6)/($G$6-$E$6),$E$6+SQRT(P1070*($G$6-$E$6)*($F$6-$E$6)),$G$6-SQRT((1-P1070)*($G$6-$E$6)*($G$6-$F$6))))</f>
        <v>0.956430288945947</v>
      </c>
      <c r="C1070" s="37" t="n">
        <f aca="false">1+IF($G$7=$E$7,$F$7,IF(Q1070&lt;($F$7-$E$7)/($G$7-$E$7),$E$7+SQRT(Q1070*($G$7-$E$7)*($F$7-$E$7)),$G$7-SQRT((1-Q1070)*($G$7-$E$7)*($G$7-$F$7))))</f>
        <v>0.944706952433733</v>
      </c>
      <c r="D1070" s="37" t="n">
        <f aca="false">1+IF($G$8=$E$8,$F$8,IF(R1070&lt;($F$8-$E$8)/($G$8-$E$8),$E$8+SQRT(R1070*($G$8-$E$8)*($F$8-$E$8)),$G$8-SQRT((1-R1070)*($G$8-$E$8)*($G$8-$F$8))))</f>
        <v>1.02116056275839</v>
      </c>
      <c r="E1070" s="37" t="n">
        <f aca="false">1+IF($G$9=$E$9,$F$9,IF(S1070&lt;($F$9-$E$9)/($G$9-$E$9),$E$9+SQRT(S1070*($G$9-$E$9)*($F$9-$E$9)),$G$9-SQRT((1-S1070)*($G$9-$E$9)*($G$9-$F$9))))</f>
        <v>0.981322312093751</v>
      </c>
      <c r="F1070" s="37" t="n">
        <f aca="false">1+IF($G$10=$E$10,$F$10,IF(T1070&lt;($F$10-$E$10)/($G$10-$E$10),$E$10+SQRT(T1070*($G$10-$E$10)*($F$10-$E$10)),$G$10-SQRT((1-T1070)*($G$10-$E$10)*($G$10-$F$10))))</f>
        <v>1.09094307671929</v>
      </c>
      <c r="G1070" s="38" t="n">
        <f aca="false">IF($G$11=$E$11,$F$11,IF(U1070&lt;($F$11-$E$11)/($G$11-$E$11),$E$11+SQRT(U1070*($G$11-$E$11)*($F$11-$E$11)),$G$11-SQRT((1-U1070)*($G$11-$E$11)*($G$11-$F$11))))</f>
        <v>0.108824648224658</v>
      </c>
      <c r="H1070" s="39" t="n">
        <f aca="false">(('Business Case'!B11*$C1070*'Business Case'!B12*$B1070)-'Business Case'!B11*$C1070*'Business Case'!B13*$D1070-'Business Case'!B14*$E1070)-MAX(0,(('Business Case'!B11*$C1070*'Business Case'!B12*$B1070)-'Business Case'!B11*$C1070*'Business Case'!B13*$D1070-'Business Case'!B14*$E1070))*'Business Case'!$B$7-'Business Case'!$B$8*('Business Case'!B11*$C1070*'Business Case'!B12*$B1070)-'Business Case'!B15*$F1070</f>
        <v>-2181886153.43858</v>
      </c>
      <c r="I1070" s="39" t="n">
        <f aca="false">(('Business Case'!C11*$C1070*'Business Case'!C12*$B1070)-'Business Case'!C11*$C1070*'Business Case'!C13*$D1070-'Business Case'!C14*$E1070)-MAX(0,(('Business Case'!C11*$C1070*'Business Case'!C12*$B1070)-'Business Case'!C11*$C1070*'Business Case'!C13*$D1070-'Business Case'!C14*$E1070))*'Business Case'!$B$7-'Business Case'!$B$8*(('Business Case'!C11*$C1070*'Business Case'!C12*$B1070)-('Business Case'!B11*$C1070*'Business Case'!B12*$B1070))-'Business Case'!C15*$F1070</f>
        <v>-49256607.8407474</v>
      </c>
      <c r="J1070" s="39" t="n">
        <f aca="false">(('Business Case'!D11*$C1070*'Business Case'!D12*$B1070)-'Business Case'!D11*$C1070*'Business Case'!D13*$D1070-'Business Case'!D14*$E1070)-MAX(0,(('Business Case'!D11*$C1070*'Business Case'!D12*$B1070)-'Business Case'!D11*$C1070*'Business Case'!D13*$D1070-'Business Case'!D14*$E1070))*'Business Case'!$B$7-'Business Case'!$B$8*(('Business Case'!D11*$C1070*'Business Case'!D12*$B1070)-('Business Case'!C11*$C1070*'Business Case'!C12*$B1070))-'Business Case'!D15*$F1070</f>
        <v>196964967.216451</v>
      </c>
      <c r="K1070" s="39" t="n">
        <f aca="false">(('Business Case'!E11*$C1070*'Business Case'!E12*$B1070)-'Business Case'!E11*$C1070*'Business Case'!E13*$D1070-'Business Case'!E14*$E1070)-MAX(0,(('Business Case'!E11*$C1070*'Business Case'!E12*$B1070)-'Business Case'!E11*$C1070*'Business Case'!E13*$D1070-'Business Case'!E14*$E1070))*'Business Case'!$B$7-'Business Case'!$B$8*(('Business Case'!E11*$C1070*'Business Case'!E12*$B1070)-('Business Case'!D11*$C1070*'Business Case'!D12*$B1070))-'Business Case'!E15*$F1070</f>
        <v>497733696.109614</v>
      </c>
      <c r="L1070" s="39" t="n">
        <f aca="false">(('Business Case'!F11*$C1070*'Business Case'!F12*$B1070)-'Business Case'!F11*$C1070*'Business Case'!F13*$D1070-'Business Case'!F14*$E1070)-MAX(0,(('Business Case'!F11*$C1070*'Business Case'!F12*$B1070)-'Business Case'!F11*$C1070*'Business Case'!F13*$D1070-'Business Case'!F14*$E1070))*'Business Case'!$B$7-'Business Case'!$B$8*(('Business Case'!F11*$C1070*'Business Case'!F12*$B1070)-('Business Case'!E11*$C1070*'Business Case'!E12*$B1070))-'Business Case'!F15*$F1070</f>
        <v>611034116.09287</v>
      </c>
      <c r="M1070" s="39" t="n">
        <f aca="false">(('Business Case'!G11*$C1070*'Business Case'!G12*$B1070)-'Business Case'!G11*$C1070*'Business Case'!G13*$D1070-'Business Case'!G14*$E1070)-MAX(0,(('Business Case'!G11*$C1070*'Business Case'!G12*$B1070)-'Business Case'!G11*$C1070*'Business Case'!G13*$D1070-'Business Case'!G14*$E1070))*'Business Case'!$B$7-'Business Case'!$B$8*(('Business Case'!G11*$C1070*'Business Case'!G12*$B1070)-('Business Case'!F11*$C1070*'Business Case'!F12*$B1070))-'Business Case'!G15*$F1070+'Business Case'!$B$8*('Business Case'!G11*$C1070*'Business Case'!G12*$B1070)</f>
        <v>782780205.062583</v>
      </c>
      <c r="N1070" s="39" t="n">
        <f aca="false">IF(COUNT('Business Case'!B11:G11)=0,"",H1070+NPV(G1070,I1070:M1070))</f>
        <v>-829785419.123138</v>
      </c>
      <c r="P1070" s="40" t="n">
        <f aca="true">RAND()</f>
        <v>0.212291834034874</v>
      </c>
      <c r="Q1070" s="40" t="n">
        <f aca="true">RAND()</f>
        <v>0.443566611625224</v>
      </c>
      <c r="R1070" s="40" t="n">
        <f aca="true">RAND()</f>
        <v>0.585622875695049</v>
      </c>
      <c r="S1070" s="40" t="n">
        <f aca="true">RAND()</f>
        <v>0.264532737770938</v>
      </c>
      <c r="T1070" s="40" t="n">
        <f aca="true">RAND()</f>
        <v>0.66267860208633</v>
      </c>
      <c r="U1070" s="40" t="n">
        <f aca="true">RAND()</f>
        <v>0.701069651460356</v>
      </c>
    </row>
    <row r="1071" customFormat="false" ht="15" hidden="false" customHeight="false" outlineLevel="0" collapsed="false">
      <c r="A1071" s="36" t="n">
        <v>991</v>
      </c>
      <c r="B1071" s="37" t="n">
        <f aca="false">1+IF($G$6=$E$6,$F$6,IF(P1071&lt;($F$6-$E$6)/($G$6-$E$6),$E$6+SQRT(P1071*($G$6-$E$6)*($F$6-$E$6)),$G$6-SQRT((1-P1071)*($G$6-$E$6)*($G$6-$F$6))))</f>
        <v>0.993777655754477</v>
      </c>
      <c r="C1071" s="37" t="n">
        <f aca="false">1+IF($G$7=$E$7,$F$7,IF(Q1071&lt;($F$7-$E$7)/($G$7-$E$7),$E$7+SQRT(Q1071*($G$7-$E$7)*($F$7-$E$7)),$G$7-SQRT((1-Q1071)*($G$7-$E$7)*($G$7-$F$7))))</f>
        <v>1.09778939133751</v>
      </c>
      <c r="D1071" s="37" t="n">
        <f aca="false">1+IF($G$8=$E$8,$F$8,IF(R1071&lt;($F$8-$E$8)/($G$8-$E$8),$E$8+SQRT(R1071*($G$8-$E$8)*($F$8-$E$8)),$G$8-SQRT((1-R1071)*($G$8-$E$8)*($G$8-$F$8))))</f>
        <v>1.02036296650484</v>
      </c>
      <c r="E1071" s="37" t="n">
        <f aca="false">1+IF($G$9=$E$9,$F$9,IF(S1071&lt;($F$9-$E$9)/($G$9-$E$9),$E$9+SQRT(S1071*($G$9-$E$9)*($F$9-$E$9)),$G$9-SQRT((1-S1071)*($G$9-$E$9)*($G$9-$F$9))))</f>
        <v>1.03634968235954</v>
      </c>
      <c r="F1071" s="37" t="n">
        <f aca="false">1+IF($G$10=$E$10,$F$10,IF(T1071&lt;($F$10-$E$10)/($G$10-$E$10),$E$10+SQRT(T1071*($G$10-$E$10)*($F$10-$E$10)),$G$10-SQRT((1-T1071)*($G$10-$E$10)*($G$10-$F$10))))</f>
        <v>1.01570464520241</v>
      </c>
      <c r="G1071" s="38" t="n">
        <f aca="false">IF($G$11=$E$11,$F$11,IF(U1071&lt;($F$11-$E$11)/($G$11-$E$11),$E$11+SQRT(U1071*($G$11-$E$11)*($F$11-$E$11)),$G$11-SQRT((1-U1071)*($G$11-$E$11)*($G$11-$F$11))))</f>
        <v>0.118027001515856</v>
      </c>
      <c r="H1071" s="39" t="n">
        <f aca="false">(('Business Case'!B11*$C1071*'Business Case'!B12*$B1071)-'Business Case'!B11*$C1071*'Business Case'!B13*$D1071-'Business Case'!B14*$E1071)-MAX(0,(('Business Case'!B11*$C1071*'Business Case'!B12*$B1071)-'Business Case'!B11*$C1071*'Business Case'!B13*$D1071-'Business Case'!B14*$E1071))*'Business Case'!$B$7-'Business Case'!$B$8*('Business Case'!B11*$C1071*'Business Case'!B12*$B1071)-'Business Case'!B15*$F1071</f>
        <v>-2031409290.40481</v>
      </c>
      <c r="I1071" s="39" t="n">
        <f aca="false">(('Business Case'!C11*$C1071*'Business Case'!C12*$B1071)-'Business Case'!C11*$C1071*'Business Case'!C13*$D1071-'Business Case'!C14*$E1071)-MAX(0,(('Business Case'!C11*$C1071*'Business Case'!C12*$B1071)-'Business Case'!C11*$C1071*'Business Case'!C13*$D1071-'Business Case'!C14*$E1071))*'Business Case'!$B$7-'Business Case'!$B$8*(('Business Case'!C11*$C1071*'Business Case'!C12*$B1071)-('Business Case'!B11*$C1071*'Business Case'!B12*$B1071))-'Business Case'!C15*$F1071</f>
        <v>14655002.4063597</v>
      </c>
      <c r="J1071" s="39" t="n">
        <f aca="false">(('Business Case'!D11*$C1071*'Business Case'!D12*$B1071)-'Business Case'!D11*$C1071*'Business Case'!D13*$D1071-'Business Case'!D14*$E1071)-MAX(0,(('Business Case'!D11*$C1071*'Business Case'!D12*$B1071)-'Business Case'!D11*$C1071*'Business Case'!D13*$D1071-'Business Case'!D14*$E1071))*'Business Case'!$B$7-'Business Case'!$B$8*(('Business Case'!D11*$C1071*'Business Case'!D12*$B1071)-('Business Case'!C11*$C1071*'Business Case'!C12*$B1071))-'Business Case'!D15*$F1071</f>
        <v>334804686.32108</v>
      </c>
      <c r="K1071" s="39" t="n">
        <f aca="false">(('Business Case'!E11*$C1071*'Business Case'!E12*$B1071)-'Business Case'!E11*$C1071*'Business Case'!E13*$D1071-'Business Case'!E14*$E1071)-MAX(0,(('Business Case'!E11*$C1071*'Business Case'!E12*$B1071)-'Business Case'!E11*$C1071*'Business Case'!E13*$D1071-'Business Case'!E14*$E1071))*'Business Case'!$B$7-'Business Case'!$B$8*(('Business Case'!E11*$C1071*'Business Case'!E12*$B1071)-('Business Case'!D11*$C1071*'Business Case'!D12*$B1071))-'Business Case'!E15*$F1071</f>
        <v>705739602.49592</v>
      </c>
      <c r="L1071" s="39" t="n">
        <f aca="false">(('Business Case'!F11*$C1071*'Business Case'!F12*$B1071)-'Business Case'!F11*$C1071*'Business Case'!F13*$D1071-'Business Case'!F14*$E1071)-MAX(0,(('Business Case'!F11*$C1071*'Business Case'!F12*$B1071)-'Business Case'!F11*$C1071*'Business Case'!F13*$D1071-'Business Case'!F14*$E1071))*'Business Case'!$B$7-'Business Case'!$B$8*(('Business Case'!F11*$C1071*'Business Case'!F12*$B1071)-('Business Case'!E11*$C1071*'Business Case'!E12*$B1071))-'Business Case'!F15*$F1071</f>
        <v>850159691.905223</v>
      </c>
      <c r="M1071" s="39" t="n">
        <f aca="false">(('Business Case'!G11*$C1071*'Business Case'!G12*$B1071)-'Business Case'!G11*$C1071*'Business Case'!G13*$D1071-'Business Case'!G14*$E1071)-MAX(0,(('Business Case'!G11*$C1071*'Business Case'!G12*$B1071)-'Business Case'!G11*$C1071*'Business Case'!G13*$D1071-'Business Case'!G14*$E1071))*'Business Case'!$B$7-'Business Case'!$B$8*(('Business Case'!G11*$C1071*'Business Case'!G12*$B1071)-('Business Case'!F11*$C1071*'Business Case'!F12*$B1071))-'Business Case'!G15*$F1071+'Business Case'!$B$8*('Business Case'!G11*$C1071*'Business Case'!G12*$B1071)</f>
        <v>1057529096.4794</v>
      </c>
      <c r="N1071" s="39" t="n">
        <f aca="false">IF(COUNT('Business Case'!B11:G11)=0,"",H1071+NPV(G1071,I1071:M1071))</f>
        <v>-95958958.7566896</v>
      </c>
      <c r="P1071" s="40" t="n">
        <f aca="true">RAND()</f>
        <v>0.586283247920351</v>
      </c>
      <c r="Q1071" s="40" t="n">
        <f aca="true">RAND()</f>
        <v>0.959615590268034</v>
      </c>
      <c r="R1071" s="40" t="n">
        <f aca="true">RAND()</f>
        <v>0.577196193072718</v>
      </c>
      <c r="S1071" s="40" t="n">
        <f aca="true">RAND()</f>
        <v>0.655562808005919</v>
      </c>
      <c r="T1071" s="40" t="n">
        <f aca="true">RAND()</f>
        <v>0.268075822936925</v>
      </c>
      <c r="U1071" s="40" t="n">
        <f aca="true">RAND()</f>
        <v>0.904431538199118</v>
      </c>
    </row>
    <row r="1072" customFormat="false" ht="15" hidden="false" customHeight="false" outlineLevel="0" collapsed="false">
      <c r="A1072" s="36" t="n">
        <v>992</v>
      </c>
      <c r="B1072" s="37" t="n">
        <f aca="false">1+IF($G$6=$E$6,$F$6,IF(P1072&lt;($F$6-$E$6)/($G$6-$E$6),$E$6+SQRT(P1072*($G$6-$E$6)*($F$6-$E$6)),$G$6-SQRT((1-P1072)*($G$6-$E$6)*($G$6-$F$6))))</f>
        <v>1.03249194141582</v>
      </c>
      <c r="C1072" s="37" t="n">
        <f aca="false">1+IF($G$7=$E$7,$F$7,IF(Q1072&lt;($F$7-$E$7)/($G$7-$E$7),$E$7+SQRT(Q1072*($G$7-$E$7)*($F$7-$E$7)),$G$7-SQRT((1-Q1072)*($G$7-$E$7)*($G$7-$F$7))))</f>
        <v>1.02873036971776</v>
      </c>
      <c r="D1072" s="37" t="n">
        <f aca="false">1+IF($G$8=$E$8,$F$8,IF(R1072&lt;($F$8-$E$8)/($G$8-$E$8),$E$8+SQRT(R1072*($G$8-$E$8)*($F$8-$E$8)),$G$8-SQRT((1-R1072)*($G$8-$E$8)*($G$8-$F$8))))</f>
        <v>0.995199659008042</v>
      </c>
      <c r="E1072" s="37" t="n">
        <f aca="false">1+IF($G$9=$E$9,$F$9,IF(S1072&lt;($F$9-$E$9)/($G$9-$E$9),$E$9+SQRT(S1072*($G$9-$E$9)*($F$9-$E$9)),$G$9-SQRT((1-S1072)*($G$9-$E$9)*($G$9-$F$9))))</f>
        <v>0.945879558639768</v>
      </c>
      <c r="F1072" s="37" t="n">
        <f aca="false">1+IF($G$10=$E$10,$F$10,IF(T1072&lt;($F$10-$E$10)/($G$10-$E$10),$E$10+SQRT(T1072*($G$10-$E$10)*($F$10-$E$10)),$G$10-SQRT((1-T1072)*($G$10-$E$10)*($G$10-$F$10))))</f>
        <v>1.0012292558796</v>
      </c>
      <c r="G1072" s="38" t="n">
        <f aca="false">IF($G$11=$E$11,$F$11,IF(U1072&lt;($F$11-$E$11)/($G$11-$E$11),$E$11+SQRT(U1072*($G$11-$E$11)*($F$11-$E$11)),$G$11-SQRT((1-U1072)*($G$11-$E$11)*($G$11-$F$11))))</f>
        <v>0.118423970942667</v>
      </c>
      <c r="H1072" s="39" t="n">
        <f aca="false">(('Business Case'!B11*$C1072*'Business Case'!B12*$B1072)-'Business Case'!B11*$C1072*'Business Case'!B13*$D1072-'Business Case'!B14*$E1072)-MAX(0,(('Business Case'!B11*$C1072*'Business Case'!B12*$B1072)-'Business Case'!B11*$C1072*'Business Case'!B13*$D1072-'Business Case'!B14*$E1072))*'Business Case'!$B$7-'Business Case'!$B$8*('Business Case'!B11*$C1072*'Business Case'!B12*$B1072)-'Business Case'!B15*$F1072</f>
        <v>-2002458511.75921</v>
      </c>
      <c r="I1072" s="39" t="n">
        <f aca="false">(('Business Case'!C11*$C1072*'Business Case'!C12*$B1072)-'Business Case'!C11*$C1072*'Business Case'!C13*$D1072-'Business Case'!C14*$E1072)-MAX(0,(('Business Case'!C11*$C1072*'Business Case'!C12*$B1072)-'Business Case'!C11*$C1072*'Business Case'!C13*$D1072-'Business Case'!C14*$E1072))*'Business Case'!$B$7-'Business Case'!$B$8*(('Business Case'!C11*$C1072*'Business Case'!C12*$B1072)-('Business Case'!B11*$C1072*'Business Case'!B12*$B1072))-'Business Case'!C15*$F1072</f>
        <v>56193274.1070253</v>
      </c>
      <c r="J1072" s="39" t="n">
        <f aca="false">(('Business Case'!D11*$C1072*'Business Case'!D12*$B1072)-'Business Case'!D11*$C1072*'Business Case'!D13*$D1072-'Business Case'!D14*$E1072)-MAX(0,(('Business Case'!D11*$C1072*'Business Case'!D12*$B1072)-'Business Case'!D11*$C1072*'Business Case'!D13*$D1072-'Business Case'!D14*$E1072))*'Business Case'!$B$7-'Business Case'!$B$8*(('Business Case'!D11*$C1072*'Business Case'!D12*$B1072)-('Business Case'!C11*$C1072*'Business Case'!C12*$B1072))-'Business Case'!D15*$F1072</f>
        <v>402075704.574338</v>
      </c>
      <c r="K1072" s="39" t="n">
        <f aca="false">(('Business Case'!E11*$C1072*'Business Case'!E12*$B1072)-'Business Case'!E11*$C1072*'Business Case'!E13*$D1072-'Business Case'!E14*$E1072)-MAX(0,(('Business Case'!E11*$C1072*'Business Case'!E12*$B1072)-'Business Case'!E11*$C1072*'Business Case'!E13*$D1072-'Business Case'!E14*$E1072))*'Business Case'!$B$7-'Business Case'!$B$8*(('Business Case'!E11*$C1072*'Business Case'!E12*$B1072)-('Business Case'!D11*$C1072*'Business Case'!D12*$B1072))-'Business Case'!E15*$F1072</f>
        <v>798019597.83563</v>
      </c>
      <c r="L1072" s="39" t="n">
        <f aca="false">(('Business Case'!F11*$C1072*'Business Case'!F12*$B1072)-'Business Case'!F11*$C1072*'Business Case'!F13*$D1072-'Business Case'!F14*$E1072)-MAX(0,(('Business Case'!F11*$C1072*'Business Case'!F12*$B1072)-'Business Case'!F11*$C1072*'Business Case'!F13*$D1072-'Business Case'!F14*$E1072))*'Business Case'!$B$7-'Business Case'!$B$8*(('Business Case'!F11*$C1072*'Business Case'!F12*$B1072)-('Business Case'!E11*$C1072*'Business Case'!E12*$B1072))-'Business Case'!F15*$F1072</f>
        <v>950021846.347235</v>
      </c>
      <c r="M1072" s="39" t="n">
        <f aca="false">(('Business Case'!G11*$C1072*'Business Case'!G12*$B1072)-'Business Case'!G11*$C1072*'Business Case'!G13*$D1072-'Business Case'!G14*$E1072)-MAX(0,(('Business Case'!G11*$C1072*'Business Case'!G12*$B1072)-'Business Case'!G11*$C1072*'Business Case'!G13*$D1072-'Business Case'!G14*$E1072))*'Business Case'!$B$7-'Business Case'!$B$8*(('Business Case'!G11*$C1072*'Business Case'!G12*$B1072)-('Business Case'!F11*$C1072*'Business Case'!F12*$B1072))-'Business Case'!G15*$F1072+'Business Case'!$B$8*('Business Case'!G11*$C1072*'Business Case'!G12*$B1072)</f>
        <v>1151916423.97099</v>
      </c>
      <c r="N1072" s="39" t="n">
        <f aca="false">IF(COUNT('Business Case'!B11:G11)=0,"",H1072+NPV(G1072,I1072:M1072))</f>
        <v>205053280.620513</v>
      </c>
      <c r="P1072" s="40" t="n">
        <f aca="true">RAND()</f>
        <v>0.959129051281699</v>
      </c>
      <c r="Q1072" s="40" t="n">
        <f aca="true">RAND()</f>
        <v>0.782128544758636</v>
      </c>
      <c r="R1072" s="40" t="n">
        <f aca="true">RAND()</f>
        <v>0.272401223259102</v>
      </c>
      <c r="S1072" s="40" t="n">
        <f aca="true">RAND()</f>
        <v>0.0841973560391969</v>
      </c>
      <c r="T1072" s="40" t="n">
        <f aca="true">RAND()</f>
        <v>0.174841558263784</v>
      </c>
      <c r="U1072" s="40" t="n">
        <f aca="true">RAND()</f>
        <v>0.910663700842518</v>
      </c>
    </row>
    <row r="1073" customFormat="false" ht="15" hidden="false" customHeight="false" outlineLevel="0" collapsed="false">
      <c r="A1073" s="36" t="n">
        <v>993</v>
      </c>
      <c r="B1073" s="37" t="n">
        <f aca="false">1+IF($G$6=$E$6,$F$6,IF(P1073&lt;($F$6-$E$6)/($G$6-$E$6),$E$6+SQRT(P1073*($G$6-$E$6)*($F$6-$E$6)),$G$6-SQRT((1-P1073)*($G$6-$E$6)*($G$6-$F$6))))</f>
        <v>1.04817223029704</v>
      </c>
      <c r="C1073" s="37" t="n">
        <f aca="false">1+IF($G$7=$E$7,$F$7,IF(Q1073&lt;($F$7-$E$7)/($G$7-$E$7),$E$7+SQRT(Q1073*($G$7-$E$7)*($F$7-$E$7)),$G$7-SQRT((1-Q1073)*($G$7-$E$7)*($G$7-$F$7))))</f>
        <v>0.933627474552128</v>
      </c>
      <c r="D1073" s="37" t="n">
        <f aca="false">1+IF($G$8=$E$8,$F$8,IF(R1073&lt;($F$8-$E$8)/($G$8-$E$8),$E$8+SQRT(R1073*($G$8-$E$8)*($F$8-$E$8)),$G$8-SQRT((1-R1073)*($G$8-$E$8)*($G$8-$F$8))))</f>
        <v>1.02524334026255</v>
      </c>
      <c r="E1073" s="37" t="n">
        <f aca="false">1+IF($G$9=$E$9,$F$9,IF(S1073&lt;($F$9-$E$9)/($G$9-$E$9),$E$9+SQRT(S1073*($G$9-$E$9)*($F$9-$E$9)),$G$9-SQRT((1-S1073)*($G$9-$E$9)*($G$9-$F$9))))</f>
        <v>1.08191885822515</v>
      </c>
      <c r="F1073" s="37" t="n">
        <f aca="false">1+IF($G$10=$E$10,$F$10,IF(T1073&lt;($F$10-$E$10)/($G$10-$E$10),$E$10+SQRT(T1073*($G$10-$E$10)*($F$10-$E$10)),$G$10-SQRT((1-T1073)*($G$10-$E$10)*($G$10-$F$10))))</f>
        <v>1.12098660647375</v>
      </c>
      <c r="G1073" s="38" t="n">
        <f aca="false">IF($G$11=$E$11,$F$11,IF(U1073&lt;($F$11-$E$11)/($G$11-$E$11),$E$11+SQRT(U1073*($G$11-$E$11)*($F$11-$E$11)),$G$11-SQRT((1-U1073)*($G$11-$E$11)*($G$11-$F$11))))</f>
        <v>0.100711413337722</v>
      </c>
      <c r="H1073" s="39" t="n">
        <f aca="false">(('Business Case'!B11*$C1073*'Business Case'!B12*$B1073)-'Business Case'!B11*$C1073*'Business Case'!B13*$D1073-'Business Case'!B14*$E1073)-MAX(0,(('Business Case'!B11*$C1073*'Business Case'!B12*$B1073)-'Business Case'!B11*$C1073*'Business Case'!B13*$D1073-'Business Case'!B14*$E1073))*'Business Case'!$B$7-'Business Case'!$B$8*('Business Case'!B11*$C1073*'Business Case'!B12*$B1073)-'Business Case'!B15*$F1073</f>
        <v>-2241973212.9475</v>
      </c>
      <c r="I1073" s="39" t="n">
        <f aca="false">(('Business Case'!C11*$C1073*'Business Case'!C12*$B1073)-'Business Case'!C11*$C1073*'Business Case'!C13*$D1073-'Business Case'!C14*$E1073)-MAX(0,(('Business Case'!C11*$C1073*'Business Case'!C12*$B1073)-'Business Case'!C11*$C1073*'Business Case'!C13*$D1073-'Business Case'!C14*$E1073))*'Business Case'!$B$7-'Business Case'!$B$8*(('Business Case'!C11*$C1073*'Business Case'!C12*$B1073)-('Business Case'!B11*$C1073*'Business Case'!B12*$B1073))-'Business Case'!C15*$F1073</f>
        <v>-5139895.52666976</v>
      </c>
      <c r="J1073" s="39" t="n">
        <f aca="false">(('Business Case'!D11*$C1073*'Business Case'!D12*$B1073)-'Business Case'!D11*$C1073*'Business Case'!D13*$D1073-'Business Case'!D14*$E1073)-MAX(0,(('Business Case'!D11*$C1073*'Business Case'!D12*$B1073)-'Business Case'!D11*$C1073*'Business Case'!D13*$D1073-'Business Case'!D14*$E1073))*'Business Case'!$B$7-'Business Case'!$B$8*(('Business Case'!D11*$C1073*'Business Case'!D12*$B1073)-('Business Case'!C11*$C1073*'Business Case'!C12*$B1073))-'Business Case'!D15*$F1073</f>
        <v>306398479.24882</v>
      </c>
      <c r="K1073" s="39" t="n">
        <f aca="false">(('Business Case'!E11*$C1073*'Business Case'!E12*$B1073)-'Business Case'!E11*$C1073*'Business Case'!E13*$D1073-'Business Case'!E14*$E1073)-MAX(0,(('Business Case'!E11*$C1073*'Business Case'!E12*$B1073)-'Business Case'!E11*$C1073*'Business Case'!E13*$D1073-'Business Case'!E14*$E1073))*'Business Case'!$B$7-'Business Case'!$B$8*(('Business Case'!E11*$C1073*'Business Case'!E12*$B1073)-('Business Case'!D11*$C1073*'Business Case'!D12*$B1073))-'Business Case'!E15*$F1073</f>
        <v>673986184.347997</v>
      </c>
      <c r="L1073" s="39" t="n">
        <f aca="false">(('Business Case'!F11*$C1073*'Business Case'!F12*$B1073)-'Business Case'!F11*$C1073*'Business Case'!F13*$D1073-'Business Case'!F14*$E1073)-MAX(0,(('Business Case'!F11*$C1073*'Business Case'!F12*$B1073)-'Business Case'!F11*$C1073*'Business Case'!F13*$D1073-'Business Case'!F14*$E1073))*'Business Case'!$B$7-'Business Case'!$B$8*(('Business Case'!F11*$C1073*'Business Case'!F12*$B1073)-('Business Case'!E11*$C1073*'Business Case'!E12*$B1073))-'Business Case'!F15*$F1073</f>
        <v>811652807.949938</v>
      </c>
      <c r="M1073" s="39" t="n">
        <f aca="false">(('Business Case'!G11*$C1073*'Business Case'!G12*$B1073)-'Business Case'!G11*$C1073*'Business Case'!G13*$D1073-'Business Case'!G14*$E1073)-MAX(0,(('Business Case'!G11*$C1073*'Business Case'!G12*$B1073)-'Business Case'!G11*$C1073*'Business Case'!G13*$D1073-'Business Case'!G14*$E1073))*'Business Case'!$B$7-'Business Case'!$B$8*(('Business Case'!G11*$C1073*'Business Case'!G12*$B1073)-('Business Case'!F11*$C1073*'Business Case'!F12*$B1073))-'Business Case'!G15*$F1073+'Business Case'!$B$8*('Business Case'!G11*$C1073*'Business Case'!G12*$B1073)</f>
        <v>997665550.672219</v>
      </c>
      <c r="N1073" s="39" t="n">
        <f aca="false">IF(COUNT('Business Case'!B11:G11)=0,"",H1073+NPV(G1073,I1073:M1073))</f>
        <v>-317943091.521</v>
      </c>
      <c r="P1073" s="40" t="n">
        <f aca="true">RAND()</f>
        <v>0.999554567721724</v>
      </c>
      <c r="Q1073" s="40" t="n">
        <f aca="true">RAND()</f>
        <v>0.404309606411889</v>
      </c>
      <c r="R1073" s="40" t="n">
        <f aca="true">RAND()</f>
        <v>0.627429454993266</v>
      </c>
      <c r="S1073" s="40" t="n">
        <f aca="true">RAND()</f>
        <v>0.876398883590209</v>
      </c>
      <c r="T1073" s="40" t="n">
        <f aca="true">RAND()</f>
        <v>0.778073923877882</v>
      </c>
      <c r="U1073" s="40" t="n">
        <f aca="true">RAND()</f>
        <v>0.428119127550816</v>
      </c>
    </row>
    <row r="1074" customFormat="false" ht="15" hidden="false" customHeight="false" outlineLevel="0" collapsed="false">
      <c r="A1074" s="36" t="n">
        <v>994</v>
      </c>
      <c r="B1074" s="37" t="n">
        <f aca="false">1+IF($G$6=$E$6,$F$6,IF(P1074&lt;($F$6-$E$6)/($G$6-$E$6),$E$6+SQRT(P1074*($G$6-$E$6)*($F$6-$E$6)),$G$6-SQRT((1-P1074)*($G$6-$E$6)*($G$6-$F$6))))</f>
        <v>1.03266758454122</v>
      </c>
      <c r="C1074" s="37" t="n">
        <f aca="false">1+IF($G$7=$E$7,$F$7,IF(Q1074&lt;($F$7-$E$7)/($G$7-$E$7),$E$7+SQRT(Q1074*($G$7-$E$7)*($F$7-$E$7)),$G$7-SQRT((1-Q1074)*($G$7-$E$7)*($G$7-$F$7))))</f>
        <v>0.806129415175148</v>
      </c>
      <c r="D1074" s="37" t="n">
        <f aca="false">1+IF($G$8=$E$8,$F$8,IF(R1074&lt;($F$8-$E$8)/($G$8-$E$8),$E$8+SQRT(R1074*($G$8-$E$8)*($F$8-$E$8)),$G$8-SQRT((1-R1074)*($G$8-$E$8)*($G$8-$F$8))))</f>
        <v>0.974718613513741</v>
      </c>
      <c r="E1074" s="37" t="n">
        <f aca="false">1+IF($G$9=$E$9,$F$9,IF(S1074&lt;($F$9-$E$9)/($G$9-$E$9),$E$9+SQRT(S1074*($G$9-$E$9)*($F$9-$E$9)),$G$9-SQRT((1-S1074)*($G$9-$E$9)*($G$9-$F$9))))</f>
        <v>1.07447930222563</v>
      </c>
      <c r="F1074" s="37" t="n">
        <f aca="false">1+IF($G$10=$E$10,$F$10,IF(T1074&lt;($F$10-$E$10)/($G$10-$E$10),$E$10+SQRT(T1074*($G$10-$E$10)*($F$10-$E$10)),$G$10-SQRT((1-T1074)*($G$10-$E$10)*($G$10-$F$10))))</f>
        <v>1.0795766378038</v>
      </c>
      <c r="G1074" s="38" t="n">
        <f aca="false">IF($G$11=$E$11,$F$11,IF(U1074&lt;($F$11-$E$11)/($G$11-$E$11),$E$11+SQRT(U1074*($G$11-$E$11)*($F$11-$E$11)),$G$11-SQRT((1-U1074)*($G$11-$E$11)*($G$11-$F$11))))</f>
        <v>0.0997326481203049</v>
      </c>
      <c r="H1074" s="39" t="n">
        <f aca="false">(('Business Case'!B11*$C1074*'Business Case'!B12*$B1074)-'Business Case'!B11*$C1074*'Business Case'!B13*$D1074-'Business Case'!B14*$E1074)-MAX(0,(('Business Case'!B11*$C1074*'Business Case'!B12*$B1074)-'Business Case'!B11*$C1074*'Business Case'!B13*$D1074-'Business Case'!B14*$E1074))*'Business Case'!$B$7-'Business Case'!$B$8*('Business Case'!B11*$C1074*'Business Case'!B12*$B1074)-'Business Case'!B15*$F1074</f>
        <v>-2159153275.60759</v>
      </c>
      <c r="I1074" s="39" t="n">
        <f aca="false">(('Business Case'!C11*$C1074*'Business Case'!C12*$B1074)-'Business Case'!C11*$C1074*'Business Case'!C13*$D1074-'Business Case'!C14*$E1074)-MAX(0,(('Business Case'!C11*$C1074*'Business Case'!C12*$B1074)-'Business Case'!C11*$C1074*'Business Case'!C13*$D1074-'Business Case'!C14*$E1074))*'Business Case'!$B$7-'Business Case'!$B$8*(('Business Case'!C11*$C1074*'Business Case'!C12*$B1074)-('Business Case'!B11*$C1074*'Business Case'!B12*$B1074))-'Business Case'!C15*$F1074</f>
        <v>-24296623.9442776</v>
      </c>
      <c r="J1074" s="39" t="n">
        <f aca="false">(('Business Case'!D11*$C1074*'Business Case'!D12*$B1074)-'Business Case'!D11*$C1074*'Business Case'!D13*$D1074-'Business Case'!D14*$E1074)-MAX(0,(('Business Case'!D11*$C1074*'Business Case'!D12*$B1074)-'Business Case'!D11*$C1074*'Business Case'!D13*$D1074-'Business Case'!D14*$E1074))*'Business Case'!$B$7-'Business Case'!$B$8*(('Business Case'!D11*$C1074*'Business Case'!D12*$B1074)-('Business Case'!C11*$C1074*'Business Case'!C12*$B1074))-'Business Case'!D15*$F1074</f>
        <v>255310291.70557</v>
      </c>
      <c r="K1074" s="39" t="n">
        <f aca="false">(('Business Case'!E11*$C1074*'Business Case'!E12*$B1074)-'Business Case'!E11*$C1074*'Business Case'!E13*$D1074-'Business Case'!E14*$E1074)-MAX(0,(('Business Case'!E11*$C1074*'Business Case'!E12*$B1074)-'Business Case'!E11*$C1074*'Business Case'!E13*$D1074-'Business Case'!E14*$E1074))*'Business Case'!$B$7-'Business Case'!$B$8*(('Business Case'!E11*$C1074*'Business Case'!E12*$B1074)-('Business Case'!D11*$C1074*'Business Case'!D12*$B1074))-'Business Case'!E15*$F1074</f>
        <v>588896039.245607</v>
      </c>
      <c r="L1074" s="39" t="n">
        <f aca="false">(('Business Case'!F11*$C1074*'Business Case'!F12*$B1074)-'Business Case'!F11*$C1074*'Business Case'!F13*$D1074-'Business Case'!F14*$E1074)-MAX(0,(('Business Case'!F11*$C1074*'Business Case'!F12*$B1074)-'Business Case'!F11*$C1074*'Business Case'!F13*$D1074-'Business Case'!F14*$E1074))*'Business Case'!$B$7-'Business Case'!$B$8*(('Business Case'!F11*$C1074*'Business Case'!F12*$B1074)-('Business Case'!E11*$C1074*'Business Case'!E12*$B1074))-'Business Case'!F15*$F1074</f>
        <v>710868290.487064</v>
      </c>
      <c r="M1074" s="39" t="n">
        <f aca="false">(('Business Case'!G11*$C1074*'Business Case'!G12*$B1074)-'Business Case'!G11*$C1074*'Business Case'!G13*$D1074-'Business Case'!G14*$E1074)-MAX(0,(('Business Case'!G11*$C1074*'Business Case'!G12*$B1074)-'Business Case'!G11*$C1074*'Business Case'!G13*$D1074-'Business Case'!G14*$E1074))*'Business Case'!$B$7-'Business Case'!$B$8*(('Business Case'!G11*$C1074*'Business Case'!G12*$B1074)-('Business Case'!F11*$C1074*'Business Case'!F12*$B1074))-'Business Case'!G15*$F1074+'Business Case'!$B$8*('Business Case'!G11*$C1074*'Business Case'!G12*$B1074)</f>
        <v>869102993.623688</v>
      </c>
      <c r="N1074" s="39" t="n">
        <f aca="false">IF(COUNT('Business Case'!B11:G11)=0,"",H1074+NPV(G1074,I1074:M1074))</f>
        <v>-501068789.247985</v>
      </c>
      <c r="P1074" s="40" t="n">
        <f aca="true">RAND()</f>
        <v>0.959944983248579</v>
      </c>
      <c r="Q1074" s="40" t="n">
        <f aca="true">RAND()</f>
        <v>0.0834329834475475</v>
      </c>
      <c r="R1074" s="40" t="n">
        <f aca="true">RAND()</f>
        <v>0.0814679805388903</v>
      </c>
      <c r="S1074" s="40" t="n">
        <f aca="true">RAND()</f>
        <v>0.847909978871254</v>
      </c>
      <c r="T1074" s="40" t="n">
        <f aca="true">RAND()</f>
        <v>0.612745034903222</v>
      </c>
      <c r="U1074" s="40" t="n">
        <f aca="true">RAND()</f>
        <v>0.389377401839772</v>
      </c>
    </row>
    <row r="1075" customFormat="false" ht="15" hidden="false" customHeight="false" outlineLevel="0" collapsed="false">
      <c r="A1075" s="36" t="n">
        <v>995</v>
      </c>
      <c r="B1075" s="37" t="n">
        <f aca="false">1+IF($G$6=$E$6,$F$6,IF(P1075&lt;($F$6-$E$6)/($G$6-$E$6),$E$6+SQRT(P1075*($G$6-$E$6)*($F$6-$E$6)),$G$6-SQRT((1-P1075)*($G$6-$E$6)*($G$6-$F$6))))</f>
        <v>1.04514659510509</v>
      </c>
      <c r="C1075" s="37" t="n">
        <f aca="false">1+IF($G$7=$E$7,$F$7,IF(Q1075&lt;($F$7-$E$7)/($G$7-$E$7),$E$7+SQRT(Q1075*($G$7-$E$7)*($F$7-$E$7)),$G$7-SQRT((1-Q1075)*($G$7-$E$7)*($G$7-$F$7))))</f>
        <v>0.933587447757162</v>
      </c>
      <c r="D1075" s="37" t="n">
        <f aca="false">1+IF($G$8=$E$8,$F$8,IF(R1075&lt;($F$8-$E$8)/($G$8-$E$8),$E$8+SQRT(R1075*($G$8-$E$8)*($F$8-$E$8)),$G$8-SQRT((1-R1075)*($G$8-$E$8)*($G$8-$F$8))))</f>
        <v>1.04518337680693</v>
      </c>
      <c r="E1075" s="37" t="n">
        <f aca="false">1+IF($G$9=$E$9,$F$9,IF(S1075&lt;($F$9-$E$9)/($G$9-$E$9),$E$9+SQRT(S1075*($G$9-$E$9)*($F$9-$E$9)),$G$9-SQRT((1-S1075)*($G$9-$E$9)*($G$9-$F$9))))</f>
        <v>1.04408632748368</v>
      </c>
      <c r="F1075" s="37" t="n">
        <f aca="false">1+IF($G$10=$E$10,$F$10,IF(T1075&lt;($F$10-$E$10)/($G$10-$E$10),$E$10+SQRT(T1075*($G$10-$E$10)*($F$10-$E$10)),$G$10-SQRT((1-T1075)*($G$10-$E$10)*($G$10-$F$10))))</f>
        <v>1.08683718954969</v>
      </c>
      <c r="G1075" s="38" t="n">
        <f aca="false">IF($G$11=$E$11,$F$11,IF(U1075&lt;($F$11-$E$11)/($G$11-$E$11),$E$11+SQRT(U1075*($G$11-$E$11)*($F$11-$E$11)),$G$11-SQRT((1-U1075)*($G$11-$E$11)*($G$11-$F$11))))</f>
        <v>0.0891380109341669</v>
      </c>
      <c r="H1075" s="39" t="n">
        <f aca="false">(('Business Case'!B11*$C1075*'Business Case'!B12*$B1075)-'Business Case'!B11*$C1075*'Business Case'!B13*$D1075-'Business Case'!B14*$E1075)-MAX(0,(('Business Case'!B11*$C1075*'Business Case'!B12*$B1075)-'Business Case'!B11*$C1075*'Business Case'!B13*$D1075-'Business Case'!B14*$E1075))*'Business Case'!$B$7-'Business Case'!$B$8*('Business Case'!B11*$C1075*'Business Case'!B12*$B1075)-'Business Case'!B15*$F1075</f>
        <v>-2173674379.09938</v>
      </c>
      <c r="I1075" s="39" t="n">
        <f aca="false">(('Business Case'!C11*$C1075*'Business Case'!C12*$B1075)-'Business Case'!C11*$C1075*'Business Case'!C13*$D1075-'Business Case'!C14*$E1075)-MAX(0,(('Business Case'!C11*$C1075*'Business Case'!C12*$B1075)-'Business Case'!C11*$C1075*'Business Case'!C13*$D1075-'Business Case'!C14*$E1075))*'Business Case'!$B$7-'Business Case'!$B$8*(('Business Case'!C11*$C1075*'Business Case'!C12*$B1075)-('Business Case'!B11*$C1075*'Business Case'!B12*$B1075))-'Business Case'!C15*$F1075</f>
        <v>-8053329.68389691</v>
      </c>
      <c r="J1075" s="39" t="n">
        <f aca="false">(('Business Case'!D11*$C1075*'Business Case'!D12*$B1075)-'Business Case'!D11*$C1075*'Business Case'!D13*$D1075-'Business Case'!D14*$E1075)-MAX(0,(('Business Case'!D11*$C1075*'Business Case'!D12*$B1075)-'Business Case'!D11*$C1075*'Business Case'!D13*$D1075-'Business Case'!D14*$E1075))*'Business Case'!$B$7-'Business Case'!$B$8*(('Business Case'!D11*$C1075*'Business Case'!D12*$B1075)-('Business Case'!C11*$C1075*'Business Case'!C12*$B1075))-'Business Case'!D15*$F1075</f>
        <v>291628276.233919</v>
      </c>
      <c r="K1075" s="39" t="n">
        <f aca="false">(('Business Case'!E11*$C1075*'Business Case'!E12*$B1075)-'Business Case'!E11*$C1075*'Business Case'!E13*$D1075-'Business Case'!E14*$E1075)-MAX(0,(('Business Case'!E11*$C1075*'Business Case'!E12*$B1075)-'Business Case'!E11*$C1075*'Business Case'!E13*$D1075-'Business Case'!E14*$E1075))*'Business Case'!$B$7-'Business Case'!$B$8*(('Business Case'!E11*$C1075*'Business Case'!E12*$B1075)-('Business Case'!D11*$C1075*'Business Case'!D12*$B1075))-'Business Case'!E15*$F1075</f>
        <v>645651741.629219</v>
      </c>
      <c r="L1075" s="39" t="n">
        <f aca="false">(('Business Case'!F11*$C1075*'Business Case'!F12*$B1075)-'Business Case'!F11*$C1075*'Business Case'!F13*$D1075-'Business Case'!F14*$E1075)-MAX(0,(('Business Case'!F11*$C1075*'Business Case'!F12*$B1075)-'Business Case'!F11*$C1075*'Business Case'!F13*$D1075-'Business Case'!F14*$E1075))*'Business Case'!$B$7-'Business Case'!$B$8*(('Business Case'!F11*$C1075*'Business Case'!F12*$B1075)-('Business Case'!E11*$C1075*'Business Case'!E12*$B1075))-'Business Case'!F15*$F1075</f>
        <v>779267037.520867</v>
      </c>
      <c r="M1075" s="39" t="n">
        <f aca="false">(('Business Case'!G11*$C1075*'Business Case'!G12*$B1075)-'Business Case'!G11*$C1075*'Business Case'!G13*$D1075-'Business Case'!G14*$E1075)-MAX(0,(('Business Case'!G11*$C1075*'Business Case'!G12*$B1075)-'Business Case'!G11*$C1075*'Business Case'!G13*$D1075-'Business Case'!G14*$E1075))*'Business Case'!$B$7-'Business Case'!$B$8*(('Business Case'!G11*$C1075*'Business Case'!G12*$B1075)-('Business Case'!F11*$C1075*'Business Case'!F12*$B1075))-'Business Case'!G15*$F1075+'Business Case'!$B$8*('Business Case'!G11*$C1075*'Business Case'!G12*$B1075)</f>
        <v>964734887.408936</v>
      </c>
      <c r="N1075" s="39" t="n">
        <f aca="false">IF(COUNT('Business Case'!B11:G11)=0,"",H1075+NPV(G1075,I1075:M1075))</f>
        <v>-252177151.013906</v>
      </c>
      <c r="P1075" s="40" t="n">
        <f aca="true">RAND()</f>
        <v>0.996859261456815</v>
      </c>
      <c r="Q1075" s="40" t="n">
        <f aca="true">RAND()</f>
        <v>0.404171079627444</v>
      </c>
      <c r="R1075" s="40" t="n">
        <f aca="true">RAND()</f>
        <v>0.799675854780601</v>
      </c>
      <c r="S1075" s="40" t="n">
        <f aca="true">RAND()</f>
        <v>0.700861172642817</v>
      </c>
      <c r="T1075" s="40" t="n">
        <f aca="true">RAND()</f>
        <v>0.645038630479411</v>
      </c>
      <c r="U1075" s="40" t="n">
        <f aca="true">RAND()</f>
        <v>0.0835032438329537</v>
      </c>
    </row>
    <row r="1076" customFormat="false" ht="15" hidden="false" customHeight="false" outlineLevel="0" collapsed="false">
      <c r="A1076" s="36" t="n">
        <v>996</v>
      </c>
      <c r="B1076" s="37" t="n">
        <f aca="false">1+IF($G$6=$E$6,$F$6,IF(P1076&lt;($F$6-$E$6)/($G$6-$E$6),$E$6+SQRT(P1076*($G$6-$E$6)*($F$6-$E$6)),$G$6-SQRT((1-P1076)*($G$6-$E$6)*($G$6-$F$6))))</f>
        <v>1.0366461569157</v>
      </c>
      <c r="C1076" s="37" t="n">
        <f aca="false">1+IF($G$7=$E$7,$F$7,IF(Q1076&lt;($F$7-$E$7)/($G$7-$E$7),$E$7+SQRT(Q1076*($G$7-$E$7)*($F$7-$E$7)),$G$7-SQRT((1-Q1076)*($G$7-$E$7)*($G$7-$F$7))))</f>
        <v>0.796699712074431</v>
      </c>
      <c r="D1076" s="37" t="n">
        <f aca="false">1+IF($G$8=$E$8,$F$8,IF(R1076&lt;($F$8-$E$8)/($G$8-$E$8),$E$8+SQRT(R1076*($G$8-$E$8)*($F$8-$E$8)),$G$8-SQRT((1-R1076)*($G$8-$E$8)*($G$8-$F$8))))</f>
        <v>1.05648830231985</v>
      </c>
      <c r="E1076" s="37" t="n">
        <f aca="false">1+IF($G$9=$E$9,$F$9,IF(S1076&lt;($F$9-$E$9)/($G$9-$E$9),$E$9+SQRT(S1076*($G$9-$E$9)*($F$9-$E$9)),$G$9-SQRT((1-S1076)*($G$9-$E$9)*($G$9-$F$9))))</f>
        <v>0.961479648438264</v>
      </c>
      <c r="F1076" s="37" t="n">
        <f aca="false">1+IF($G$10=$E$10,$F$10,IF(T1076&lt;($F$10-$E$10)/($G$10-$E$10),$E$10+SQRT(T1076*($G$10-$E$10)*($F$10-$E$10)),$G$10-SQRT((1-T1076)*($G$10-$E$10)*($G$10-$F$10))))</f>
        <v>1.02776283682984</v>
      </c>
      <c r="G1076" s="38" t="n">
        <f aca="false">IF($G$11=$E$11,$F$11,IF(U1076&lt;($F$11-$E$11)/($G$11-$E$11),$E$11+SQRT(U1076*($G$11-$E$11)*($F$11-$E$11)),$G$11-SQRT((1-U1076)*($G$11-$E$11)*($G$11-$F$11))))</f>
        <v>0.104996599022455</v>
      </c>
      <c r="H1076" s="39" t="n">
        <f aca="false">(('Business Case'!B11*$C1076*'Business Case'!B12*$B1076)-'Business Case'!B11*$C1076*'Business Case'!B13*$D1076-'Business Case'!B14*$E1076)-MAX(0,(('Business Case'!B11*$C1076*'Business Case'!B12*$B1076)-'Business Case'!B11*$C1076*'Business Case'!B13*$D1076-'Business Case'!B14*$E1076))*'Business Case'!$B$7-'Business Case'!$B$8*('Business Case'!B11*$C1076*'Business Case'!B12*$B1076)-'Business Case'!B15*$F1076</f>
        <v>-2055525673.65968</v>
      </c>
      <c r="I1076" s="39" t="n">
        <f aca="false">(('Business Case'!C11*$C1076*'Business Case'!C12*$B1076)-'Business Case'!C11*$C1076*'Business Case'!C13*$D1076-'Business Case'!C14*$E1076)-MAX(0,(('Business Case'!C11*$C1076*'Business Case'!C12*$B1076)-'Business Case'!C11*$C1076*'Business Case'!C13*$D1076-'Business Case'!C14*$E1076))*'Business Case'!$B$7-'Business Case'!$B$8*(('Business Case'!C11*$C1076*'Business Case'!C12*$B1076)-('Business Case'!B11*$C1076*'Business Case'!B12*$B1076))-'Business Case'!C15*$F1076</f>
        <v>-36730157.9610666</v>
      </c>
      <c r="J1076" s="39" t="n">
        <f aca="false">(('Business Case'!D11*$C1076*'Business Case'!D12*$B1076)-'Business Case'!D11*$C1076*'Business Case'!D13*$D1076-'Business Case'!D14*$E1076)-MAX(0,(('Business Case'!D11*$C1076*'Business Case'!D12*$B1076)-'Business Case'!D11*$C1076*'Business Case'!D13*$D1076-'Business Case'!D14*$E1076))*'Business Case'!$B$7-'Business Case'!$B$8*(('Business Case'!D11*$C1076*'Business Case'!D12*$B1076)-('Business Case'!C11*$C1076*'Business Case'!C12*$B1076))-'Business Case'!D15*$F1076</f>
        <v>208852806.583979</v>
      </c>
      <c r="K1076" s="39" t="n">
        <f aca="false">(('Business Case'!E11*$C1076*'Business Case'!E12*$B1076)-'Business Case'!E11*$C1076*'Business Case'!E13*$D1076-'Business Case'!E14*$E1076)-MAX(0,(('Business Case'!E11*$C1076*'Business Case'!E12*$B1076)-'Business Case'!E11*$C1076*'Business Case'!E13*$D1076-'Business Case'!E14*$E1076))*'Business Case'!$B$7-'Business Case'!$B$8*(('Business Case'!E11*$C1076*'Business Case'!E12*$B1076)-('Business Case'!D11*$C1076*'Business Case'!D12*$B1076))-'Business Case'!E15*$F1076</f>
        <v>505823912.970517</v>
      </c>
      <c r="L1076" s="39" t="n">
        <f aca="false">(('Business Case'!F11*$C1076*'Business Case'!F12*$B1076)-'Business Case'!F11*$C1076*'Business Case'!F13*$D1076-'Business Case'!F14*$E1076)-MAX(0,(('Business Case'!F11*$C1076*'Business Case'!F12*$B1076)-'Business Case'!F11*$C1076*'Business Case'!F13*$D1076-'Business Case'!F14*$E1076))*'Business Case'!$B$7-'Business Case'!$B$8*(('Business Case'!F11*$C1076*'Business Case'!F12*$B1076)-('Business Case'!E11*$C1076*'Business Case'!E12*$B1076))-'Business Case'!F15*$F1076</f>
        <v>616227856.362337</v>
      </c>
      <c r="M1076" s="39" t="n">
        <f aca="false">(('Business Case'!G11*$C1076*'Business Case'!G12*$B1076)-'Business Case'!G11*$C1076*'Business Case'!G13*$D1076-'Business Case'!G14*$E1076)-MAX(0,(('Business Case'!G11*$C1076*'Business Case'!G12*$B1076)-'Business Case'!G11*$C1076*'Business Case'!G13*$D1076-'Business Case'!G14*$E1076))*'Business Case'!$B$7-'Business Case'!$B$8*(('Business Case'!G11*$C1076*'Business Case'!G12*$B1076)-('Business Case'!F11*$C1076*'Business Case'!F12*$B1076))-'Business Case'!G15*$F1076+'Business Case'!$B$8*('Business Case'!G11*$C1076*'Business Case'!G12*$B1076)</f>
        <v>773214110.018098</v>
      </c>
      <c r="N1076" s="39" t="n">
        <f aca="false">IF(COUNT('Business Case'!B11:G11)=0,"",H1076+NPV(G1076,I1076:M1076))</f>
        <v>-660137922.151011</v>
      </c>
      <c r="P1076" s="40" t="n">
        <f aca="true">RAND()</f>
        <v>0.976223316650637</v>
      </c>
      <c r="Q1076" s="40" t="n">
        <f aca="true">RAND()</f>
        <v>0.0692654393724287</v>
      </c>
      <c r="R1076" s="40" t="n">
        <f aca="true">RAND()</f>
        <v>0.873782144332773</v>
      </c>
      <c r="S1076" s="40" t="n">
        <f aca="true">RAND()</f>
        <v>0.151189886883703</v>
      </c>
      <c r="T1076" s="40" t="n">
        <f aca="true">RAND()</f>
        <v>0.341475244081049</v>
      </c>
      <c r="U1076" s="40" t="n">
        <f aca="true">RAND()</f>
        <v>0.583219959704052</v>
      </c>
    </row>
    <row r="1077" customFormat="false" ht="15" hidden="false" customHeight="false" outlineLevel="0" collapsed="false">
      <c r="A1077" s="36" t="n">
        <v>997</v>
      </c>
      <c r="B1077" s="37" t="n">
        <f aca="false">1+IF($G$6=$E$6,$F$6,IF(P1077&lt;($F$6-$E$6)/($G$6-$E$6),$E$6+SQRT(P1077*($G$6-$E$6)*($F$6-$E$6)),$G$6-SQRT((1-P1077)*($G$6-$E$6)*($G$6-$F$6))))</f>
        <v>1.02519577307913</v>
      </c>
      <c r="C1077" s="37" t="n">
        <f aca="false">1+IF($G$7=$E$7,$F$7,IF(Q1077&lt;($F$7-$E$7)/($G$7-$E$7),$E$7+SQRT(Q1077*($G$7-$E$7)*($F$7-$E$7)),$G$7-SQRT((1-Q1077)*($G$7-$E$7)*($G$7-$F$7))))</f>
        <v>0.979976618883972</v>
      </c>
      <c r="D1077" s="37" t="n">
        <f aca="false">1+IF($G$8=$E$8,$F$8,IF(R1077&lt;($F$8-$E$8)/($G$8-$E$8),$E$8+SQRT(R1077*($G$8-$E$8)*($F$8-$E$8)),$G$8-SQRT((1-R1077)*($G$8-$E$8)*($G$8-$F$8))))</f>
        <v>1.02459730979287</v>
      </c>
      <c r="E1077" s="37" t="n">
        <f aca="false">1+IF($G$9=$E$9,$F$9,IF(S1077&lt;($F$9-$E$9)/($G$9-$E$9),$E$9+SQRT(S1077*($G$9-$E$9)*($F$9-$E$9)),$G$9-SQRT((1-S1077)*($G$9-$E$9)*($G$9-$F$9))))</f>
        <v>1.05398073257794</v>
      </c>
      <c r="F1077" s="37" t="n">
        <f aca="false">1+IF($G$10=$E$10,$F$10,IF(T1077&lt;($F$10-$E$10)/($G$10-$E$10),$E$10+SQRT(T1077*($G$10-$E$10)*($F$10-$E$10)),$G$10-SQRT((1-T1077)*($G$10-$E$10)*($G$10-$F$10))))</f>
        <v>1.01696902676784</v>
      </c>
      <c r="G1077" s="38" t="n">
        <f aca="false">IF($G$11=$E$11,$F$11,IF(U1077&lt;($F$11-$E$11)/($G$11-$E$11),$E$11+SQRT(U1077*($G$11-$E$11)*($F$11-$E$11)),$G$11-SQRT((1-U1077)*($G$11-$E$11)*($G$11-$F$11))))</f>
        <v>0.102211791372882</v>
      </c>
      <c r="H1077" s="39" t="n">
        <f aca="false">(('Business Case'!B11*$C1077*'Business Case'!B12*$B1077)-'Business Case'!B11*$C1077*'Business Case'!B13*$D1077-'Business Case'!B14*$E1077)-MAX(0,(('Business Case'!B11*$C1077*'Business Case'!B12*$B1077)-'Business Case'!B11*$C1077*'Business Case'!B13*$D1077-'Business Case'!B14*$E1077))*'Business Case'!$B$7-'Business Case'!$B$8*('Business Case'!B11*$C1077*'Business Case'!B12*$B1077)-'Business Case'!B15*$F1077</f>
        <v>-2033938053.53568</v>
      </c>
      <c r="I1077" s="39" t="n">
        <f aca="false">(('Business Case'!C11*$C1077*'Business Case'!C12*$B1077)-'Business Case'!C11*$C1077*'Business Case'!C13*$D1077-'Business Case'!C14*$E1077)-MAX(0,(('Business Case'!C11*$C1077*'Business Case'!C12*$B1077)-'Business Case'!C11*$C1077*'Business Case'!C13*$D1077-'Business Case'!C14*$E1077))*'Business Case'!$B$7-'Business Case'!$B$8*(('Business Case'!C11*$C1077*'Business Case'!C12*$B1077)-('Business Case'!B11*$C1077*'Business Case'!B12*$B1077))-'Business Case'!C15*$F1077</f>
        <v>5231035.67336673</v>
      </c>
      <c r="J1077" s="39" t="n">
        <f aca="false">(('Business Case'!D11*$C1077*'Business Case'!D12*$B1077)-'Business Case'!D11*$C1077*'Business Case'!D13*$D1077-'Business Case'!D14*$E1077)-MAX(0,(('Business Case'!D11*$C1077*'Business Case'!D12*$B1077)-'Business Case'!D11*$C1077*'Business Case'!D13*$D1077-'Business Case'!D14*$E1077))*'Business Case'!$B$7-'Business Case'!$B$8*(('Business Case'!D11*$C1077*'Business Case'!D12*$B1077)-('Business Case'!C11*$C1077*'Business Case'!C12*$B1077))-'Business Case'!D15*$F1077</f>
        <v>314117017.478721</v>
      </c>
      <c r="K1077" s="39" t="n">
        <f aca="false">(('Business Case'!E11*$C1077*'Business Case'!E12*$B1077)-'Business Case'!E11*$C1077*'Business Case'!E13*$D1077-'Business Case'!E14*$E1077)-MAX(0,(('Business Case'!E11*$C1077*'Business Case'!E12*$B1077)-'Business Case'!E11*$C1077*'Business Case'!E13*$D1077-'Business Case'!E14*$E1077))*'Business Case'!$B$7-'Business Case'!$B$8*(('Business Case'!E11*$C1077*'Business Case'!E12*$B1077)-('Business Case'!D11*$C1077*'Business Case'!D12*$B1077))-'Business Case'!E15*$F1077</f>
        <v>673851450.622466</v>
      </c>
      <c r="L1077" s="39" t="n">
        <f aca="false">(('Business Case'!F11*$C1077*'Business Case'!F12*$B1077)-'Business Case'!F11*$C1077*'Business Case'!F13*$D1077-'Business Case'!F14*$E1077)-MAX(0,(('Business Case'!F11*$C1077*'Business Case'!F12*$B1077)-'Business Case'!F11*$C1077*'Business Case'!F13*$D1077-'Business Case'!F14*$E1077))*'Business Case'!$B$7-'Business Case'!$B$8*(('Business Case'!F11*$C1077*'Business Case'!F12*$B1077)-('Business Case'!E11*$C1077*'Business Case'!E12*$B1077))-'Business Case'!F15*$F1077</f>
        <v>811534766.745998</v>
      </c>
      <c r="M1077" s="39" t="n">
        <f aca="false">(('Business Case'!G11*$C1077*'Business Case'!G12*$B1077)-'Business Case'!G11*$C1077*'Business Case'!G13*$D1077-'Business Case'!G14*$E1077)-MAX(0,(('Business Case'!G11*$C1077*'Business Case'!G12*$B1077)-'Business Case'!G11*$C1077*'Business Case'!G13*$D1077-'Business Case'!G14*$E1077))*'Business Case'!$B$7-'Business Case'!$B$8*(('Business Case'!G11*$C1077*'Business Case'!G12*$B1077)-('Business Case'!F11*$C1077*'Business Case'!F12*$B1077))-'Business Case'!G15*$F1077+'Business Case'!$B$8*('Business Case'!G11*$C1077*'Business Case'!G12*$B1077)</f>
        <v>1002502038.78227</v>
      </c>
      <c r="N1077" s="39" t="n">
        <f aca="false">IF(COUNT('Business Case'!B11:G11)=0,"",H1077+NPV(G1077,I1077:M1077))</f>
        <v>-101291457.506833</v>
      </c>
      <c r="P1077" s="40" t="n">
        <f aca="true">RAND()</f>
        <v>0.917966710247721</v>
      </c>
      <c r="Q1077" s="40" t="n">
        <f aca="true">RAND()</f>
        <v>0.580643756457045</v>
      </c>
      <c r="R1077" s="40" t="n">
        <f aca="true">RAND()</f>
        <v>0.620962287301825</v>
      </c>
      <c r="S1077" s="40" t="n">
        <f aca="true">RAND()</f>
        <v>0.754141340899484</v>
      </c>
      <c r="T1077" s="40" t="n">
        <f aca="true">RAND()</f>
        <v>0.275954206859629</v>
      </c>
      <c r="U1077" s="40" t="n">
        <f aca="true">RAND()</f>
        <v>0.485210307530518</v>
      </c>
    </row>
    <row r="1078" customFormat="false" ht="15" hidden="false" customHeight="false" outlineLevel="0" collapsed="false">
      <c r="A1078" s="36" t="n">
        <v>998</v>
      </c>
      <c r="B1078" s="37" t="n">
        <f aca="false">1+IF($G$6=$E$6,$F$6,IF(P1078&lt;($F$6-$E$6)/($G$6-$E$6),$E$6+SQRT(P1078*($G$6-$E$6)*($F$6-$E$6)),$G$6-SQRT((1-P1078)*($G$6-$E$6)*($G$6-$F$6))))</f>
        <v>0.995301377098947</v>
      </c>
      <c r="C1078" s="37" t="n">
        <f aca="false">1+IF($G$7=$E$7,$F$7,IF(Q1078&lt;($F$7-$E$7)/($G$7-$E$7),$E$7+SQRT(Q1078*($G$7-$E$7)*($F$7-$E$7)),$G$7-SQRT((1-Q1078)*($G$7-$E$7)*($G$7-$F$7))))</f>
        <v>0.960785618151616</v>
      </c>
      <c r="D1078" s="37" t="n">
        <f aca="false">1+IF($G$8=$E$8,$F$8,IF(R1078&lt;($F$8-$E$8)/($G$8-$E$8),$E$8+SQRT(R1078*($G$8-$E$8)*($F$8-$E$8)),$G$8-SQRT((1-R1078)*($G$8-$E$8)*($G$8-$F$8))))</f>
        <v>0.995334315686149</v>
      </c>
      <c r="E1078" s="37" t="n">
        <f aca="false">1+IF($G$9=$E$9,$F$9,IF(S1078&lt;($F$9-$E$9)/($G$9-$E$9),$E$9+SQRT(S1078*($G$9-$E$9)*($F$9-$E$9)),$G$9-SQRT((1-S1078)*($G$9-$E$9)*($G$9-$F$9))))</f>
        <v>1.00096689551176</v>
      </c>
      <c r="F1078" s="37" t="n">
        <f aca="false">1+IF($G$10=$E$10,$F$10,IF(T1078&lt;($F$10-$E$10)/($G$10-$E$10),$E$10+SQRT(T1078*($G$10-$E$10)*($F$10-$E$10)),$G$10-SQRT((1-T1078)*($G$10-$E$10)*($G$10-$F$10))))</f>
        <v>1.04872712528181</v>
      </c>
      <c r="G1078" s="38" t="n">
        <f aca="false">IF($G$11=$E$11,$F$11,IF(U1078&lt;($F$11-$E$11)/($G$11-$E$11),$E$11+SQRT(U1078*($G$11-$E$11)*($F$11-$E$11)),$G$11-SQRT((1-U1078)*($G$11-$E$11)*($G$11-$F$11))))</f>
        <v>0.104876229512834</v>
      </c>
      <c r="H1078" s="39" t="n">
        <f aca="false">(('Business Case'!B11*$C1078*'Business Case'!B12*$B1078)-'Business Case'!B11*$C1078*'Business Case'!B13*$D1078-'Business Case'!B14*$E1078)-MAX(0,(('Business Case'!B11*$C1078*'Business Case'!B12*$B1078)-'Business Case'!B11*$C1078*'Business Case'!B13*$D1078-'Business Case'!B14*$E1078))*'Business Case'!$B$7-'Business Case'!$B$8*('Business Case'!B11*$C1078*'Business Case'!B12*$B1078)-'Business Case'!B15*$F1078</f>
        <v>-2097454250.56362</v>
      </c>
      <c r="I1078" s="39" t="n">
        <f aca="false">(('Business Case'!C11*$C1078*'Business Case'!C12*$B1078)-'Business Case'!C11*$C1078*'Business Case'!C13*$D1078-'Business Case'!C14*$E1078)-MAX(0,(('Business Case'!C11*$C1078*'Business Case'!C12*$B1078)-'Business Case'!C11*$C1078*'Business Case'!C13*$D1078-'Business Case'!C14*$E1078))*'Business Case'!$B$7-'Business Case'!$B$8*(('Business Case'!C11*$C1078*'Business Case'!C12*$B1078)-('Business Case'!B11*$C1078*'Business Case'!B12*$B1078))-'Business Case'!C15*$F1078</f>
        <v>-3078880.67703618</v>
      </c>
      <c r="J1078" s="39" t="n">
        <f aca="false">(('Business Case'!D11*$C1078*'Business Case'!D12*$B1078)-'Business Case'!D11*$C1078*'Business Case'!D13*$D1078-'Business Case'!D14*$E1078)-MAX(0,(('Business Case'!D11*$C1078*'Business Case'!D12*$B1078)-'Business Case'!D11*$C1078*'Business Case'!D13*$D1078-'Business Case'!D14*$E1078))*'Business Case'!$B$7-'Business Case'!$B$8*(('Business Case'!D11*$C1078*'Business Case'!D12*$B1078)-('Business Case'!C11*$C1078*'Business Case'!C12*$B1078))-'Business Case'!D15*$F1078</f>
        <v>290625545.25591</v>
      </c>
      <c r="K1078" s="39" t="n">
        <f aca="false">(('Business Case'!E11*$C1078*'Business Case'!E12*$B1078)-'Business Case'!E11*$C1078*'Business Case'!E13*$D1078-'Business Case'!E14*$E1078)-MAX(0,(('Business Case'!E11*$C1078*'Business Case'!E12*$B1078)-'Business Case'!E11*$C1078*'Business Case'!E13*$D1078-'Business Case'!E14*$E1078))*'Business Case'!$B$7-'Business Case'!$B$8*(('Business Case'!E11*$C1078*'Business Case'!E12*$B1078)-('Business Case'!D11*$C1078*'Business Case'!D12*$B1078))-'Business Case'!E15*$F1078</f>
        <v>636766327.452948</v>
      </c>
      <c r="L1078" s="39" t="n">
        <f aca="false">(('Business Case'!F11*$C1078*'Business Case'!F12*$B1078)-'Business Case'!F11*$C1078*'Business Case'!F13*$D1078-'Business Case'!F14*$E1078)-MAX(0,(('Business Case'!F11*$C1078*'Business Case'!F12*$B1078)-'Business Case'!F11*$C1078*'Business Case'!F13*$D1078-'Business Case'!F14*$E1078))*'Business Case'!$B$7-'Business Case'!$B$8*(('Business Case'!F11*$C1078*'Business Case'!F12*$B1078)-('Business Case'!E11*$C1078*'Business Case'!E12*$B1078))-'Business Case'!F15*$F1078</f>
        <v>767716537.12395</v>
      </c>
      <c r="M1078" s="39" t="n">
        <f aca="false">(('Business Case'!G11*$C1078*'Business Case'!G12*$B1078)-'Business Case'!G11*$C1078*'Business Case'!G13*$D1078-'Business Case'!G14*$E1078)-MAX(0,(('Business Case'!G11*$C1078*'Business Case'!G12*$B1078)-'Business Case'!G11*$C1078*'Business Case'!G13*$D1078-'Business Case'!G14*$E1078))*'Business Case'!$B$7-'Business Case'!$B$8*(('Business Case'!G11*$C1078*'Business Case'!G12*$B1078)-('Business Case'!F11*$C1078*'Business Case'!F12*$B1078))-'Business Case'!G15*$F1078+'Business Case'!$B$8*('Business Case'!G11*$C1078*'Business Case'!G12*$B1078)</f>
        <v>949484576.104059</v>
      </c>
      <c r="N1078" s="39" t="n">
        <f aca="false">IF(COUNT('Business Case'!B11:G11)=0,"",H1078+NPV(G1078,I1078:M1078))</f>
        <v>-298239268.737517</v>
      </c>
      <c r="P1078" s="40" t="n">
        <f aca="true">RAND()</f>
        <v>0.605490165130379</v>
      </c>
      <c r="Q1078" s="40" t="n">
        <f aca="true">RAND()</f>
        <v>0.503771397294226</v>
      </c>
      <c r="R1078" s="40" t="n">
        <f aca="true">RAND()</f>
        <v>0.274026690497516</v>
      </c>
      <c r="S1078" s="40" t="n">
        <f aca="true">RAND()</f>
        <v>0.407710233775919</v>
      </c>
      <c r="T1078" s="40" t="n">
        <f aca="true">RAND()</f>
        <v>0.459856398702346</v>
      </c>
      <c r="U1078" s="40" t="n">
        <f aca="true">RAND()</f>
        <v>0.579197437672129</v>
      </c>
    </row>
    <row r="1079" customFormat="false" ht="15" hidden="false" customHeight="false" outlineLevel="0" collapsed="false">
      <c r="A1079" s="36" t="n">
        <v>999</v>
      </c>
      <c r="B1079" s="37" t="n">
        <f aca="false">1+IF($G$6=$E$6,$F$6,IF(P1079&lt;($F$6-$E$6)/($G$6-$E$6),$E$6+SQRT(P1079*($G$6-$E$6)*($F$6-$E$6)),$G$6-SQRT((1-P1079)*($G$6-$E$6)*($G$6-$F$6))))</f>
        <v>1.0002162491436</v>
      </c>
      <c r="C1079" s="37" t="n">
        <f aca="false">1+IF($G$7=$E$7,$F$7,IF(Q1079&lt;($F$7-$E$7)/($G$7-$E$7),$E$7+SQRT(Q1079*($G$7-$E$7)*($F$7-$E$7)),$G$7-SQRT((1-Q1079)*($G$7-$E$7)*($G$7-$F$7))))</f>
        <v>0.985491961155714</v>
      </c>
      <c r="D1079" s="37" t="n">
        <f aca="false">1+IF($G$8=$E$8,$F$8,IF(R1079&lt;($F$8-$E$8)/($G$8-$E$8),$E$8+SQRT(R1079*($G$8-$E$8)*($F$8-$E$8)),$G$8-SQRT((1-R1079)*($G$8-$E$8)*($G$8-$F$8))))</f>
        <v>1.03458973561325</v>
      </c>
      <c r="E1079" s="37" t="n">
        <f aca="false">1+IF($G$9=$E$9,$F$9,IF(S1079&lt;($F$9-$E$9)/($G$9-$E$9),$E$9+SQRT(S1079*($G$9-$E$9)*($F$9-$E$9)),$G$9-SQRT((1-S1079)*($G$9-$E$9)*($G$9-$F$9))))</f>
        <v>1.03903025510013</v>
      </c>
      <c r="F1079" s="37" t="n">
        <f aca="false">1+IF($G$10=$E$10,$F$10,IF(T1079&lt;($F$10-$E$10)/($G$10-$E$10),$E$10+SQRT(T1079*($G$10-$E$10)*($F$10-$E$10)),$G$10-SQRT((1-T1079)*($G$10-$E$10)*($G$10-$F$10))))</f>
        <v>0.998834447150455</v>
      </c>
      <c r="G1079" s="38" t="n">
        <f aca="false">IF($G$11=$E$11,$F$11,IF(U1079&lt;($F$11-$E$11)/($G$11-$E$11),$E$11+SQRT(U1079*($G$11-$E$11)*($F$11-$E$11)),$G$11-SQRT((1-U1079)*($G$11-$E$11)*($G$11-$F$11))))</f>
        <v>0.108901882017075</v>
      </c>
      <c r="H1079" s="39" t="n">
        <f aca="false">(('Business Case'!B11*$C1079*'Business Case'!B12*$B1079)-'Business Case'!B11*$C1079*'Business Case'!B13*$D1079-'Business Case'!B14*$E1079)-MAX(0,(('Business Case'!B11*$C1079*'Business Case'!B12*$B1079)-'Business Case'!B11*$C1079*'Business Case'!B13*$D1079-'Business Case'!B14*$E1079))*'Business Case'!$B$7-'Business Case'!$B$8*('Business Case'!B11*$C1079*'Business Case'!B12*$B1079)-'Business Case'!B15*$F1079</f>
        <v>-1997668894.30091</v>
      </c>
      <c r="I1079" s="39" t="n">
        <f aca="false">(('Business Case'!C11*$C1079*'Business Case'!C12*$B1079)-'Business Case'!C11*$C1079*'Business Case'!C13*$D1079-'Business Case'!C14*$E1079)-MAX(0,(('Business Case'!C11*$C1079*'Business Case'!C12*$B1079)-'Business Case'!C11*$C1079*'Business Case'!C13*$D1079-'Business Case'!C14*$E1079))*'Business Case'!$B$7-'Business Case'!$B$8*(('Business Case'!C11*$C1079*'Business Case'!C12*$B1079)-('Business Case'!B11*$C1079*'Business Case'!B12*$B1079))-'Business Case'!C15*$F1079</f>
        <v>-13312398.2536097</v>
      </c>
      <c r="J1079" s="39" t="n">
        <f aca="false">(('Business Case'!D11*$C1079*'Business Case'!D12*$B1079)-'Business Case'!D11*$C1079*'Business Case'!D13*$D1079-'Business Case'!D14*$E1079)-MAX(0,(('Business Case'!D11*$C1079*'Business Case'!D12*$B1079)-'Business Case'!D11*$C1079*'Business Case'!D13*$D1079-'Business Case'!D14*$E1079))*'Business Case'!$B$7-'Business Case'!$B$8*(('Business Case'!D11*$C1079*'Business Case'!D12*$B1079)-('Business Case'!C11*$C1079*'Business Case'!C12*$B1079))-'Business Case'!D15*$F1079</f>
        <v>272107701.464707</v>
      </c>
      <c r="K1079" s="39" t="n">
        <f aca="false">(('Business Case'!E11*$C1079*'Business Case'!E12*$B1079)-'Business Case'!E11*$C1079*'Business Case'!E13*$D1079-'Business Case'!E14*$E1079)-MAX(0,(('Business Case'!E11*$C1079*'Business Case'!E12*$B1079)-'Business Case'!E11*$C1079*'Business Case'!E13*$D1079-'Business Case'!E14*$E1079))*'Business Case'!$B$7-'Business Case'!$B$8*(('Business Case'!E11*$C1079*'Business Case'!E12*$B1079)-('Business Case'!D11*$C1079*'Business Case'!D12*$B1079))-'Business Case'!E15*$F1079</f>
        <v>607469523.540546</v>
      </c>
      <c r="L1079" s="39" t="n">
        <f aca="false">(('Business Case'!F11*$C1079*'Business Case'!F12*$B1079)-'Business Case'!F11*$C1079*'Business Case'!F13*$D1079-'Business Case'!F14*$E1079)-MAX(0,(('Business Case'!F11*$C1079*'Business Case'!F12*$B1079)-'Business Case'!F11*$C1079*'Business Case'!F13*$D1079-'Business Case'!F14*$E1079))*'Business Case'!$B$7-'Business Case'!$B$8*(('Business Case'!F11*$C1079*'Business Case'!F12*$B1079)-('Business Case'!E11*$C1079*'Business Case'!E12*$B1079))-'Business Case'!F15*$F1079</f>
        <v>736675524.10108</v>
      </c>
      <c r="M1079" s="39" t="n">
        <f aca="false">(('Business Case'!G11*$C1079*'Business Case'!G12*$B1079)-'Business Case'!G11*$C1079*'Business Case'!G13*$D1079-'Business Case'!G14*$E1079)-MAX(0,(('Business Case'!G11*$C1079*'Business Case'!G12*$B1079)-'Business Case'!G11*$C1079*'Business Case'!G13*$D1079-'Business Case'!G14*$E1079))*'Business Case'!$B$7-'Business Case'!$B$8*(('Business Case'!G11*$C1079*'Business Case'!G12*$B1079)-('Business Case'!F11*$C1079*'Business Case'!F12*$B1079))-'Business Case'!G15*$F1079+'Business Case'!$B$8*('Business Case'!G11*$C1079*'Business Case'!G12*$B1079)</f>
        <v>924038344.367101</v>
      </c>
      <c r="N1079" s="39" t="n">
        <f aca="false">IF(COUNT('Business Case'!B11:G11)=0,"",H1079+NPV(G1079,I1079:M1079))</f>
        <v>-304601820.798619</v>
      </c>
      <c r="P1079" s="40" t="n">
        <f aca="true">RAND()</f>
        <v>0.669543753422435</v>
      </c>
      <c r="Q1079" s="40" t="n">
        <f aca="true">RAND()</f>
        <v>0.60374562877434</v>
      </c>
      <c r="R1079" s="40" t="n">
        <f aca="true">RAND()</f>
        <v>0.714766487523728</v>
      </c>
      <c r="S1079" s="40" t="n">
        <f aca="true">RAND()</f>
        <v>0.671619085782888</v>
      </c>
      <c r="T1079" s="40" t="n">
        <f aca="true">RAND()</f>
        <v>0.158986881899372</v>
      </c>
      <c r="U1079" s="40" t="n">
        <f aca="true">RAND()</f>
        <v>0.703246278385725</v>
      </c>
    </row>
    <row r="1080" customFormat="false" ht="15" hidden="false" customHeight="false" outlineLevel="0" collapsed="false">
      <c r="A1080" s="36" t="n">
        <v>1000</v>
      </c>
      <c r="B1080" s="37" t="n">
        <f aca="false">1+IF($G$6=$E$6,$F$6,IF(P1080&lt;($F$6-$E$6)/($G$6-$E$6),$E$6+SQRT(P1080*($G$6-$E$6)*($F$6-$E$6)),$G$6-SQRT((1-P1080)*($G$6-$E$6)*($G$6-$F$6))))</f>
        <v>0.985914766724998</v>
      </c>
      <c r="C1080" s="37" t="n">
        <f aca="false">1+IF($G$7=$E$7,$F$7,IF(Q1080&lt;($F$7-$E$7)/($G$7-$E$7),$E$7+SQRT(Q1080*($G$7-$E$7)*($F$7-$E$7)),$G$7-SQRT((1-Q1080)*($G$7-$E$7)*($G$7-$F$7))))</f>
        <v>1.06904013106598</v>
      </c>
      <c r="D1080" s="37" t="n">
        <f aca="false">1+IF($G$8=$E$8,$F$8,IF(R1080&lt;($F$8-$E$8)/($G$8-$E$8),$E$8+SQRT(R1080*($G$8-$E$8)*($F$8-$E$8)),$G$8-SQRT((1-R1080)*($G$8-$E$8)*($G$8-$F$8))))</f>
        <v>1.07517581515143</v>
      </c>
      <c r="E1080" s="37" t="n">
        <f aca="false">1+IF($G$9=$E$9,$F$9,IF(S1080&lt;($F$9-$E$9)/($G$9-$E$9),$E$9+SQRT(S1080*($G$9-$E$9)*($F$9-$E$9)),$G$9-SQRT((1-S1080)*($G$9-$E$9)*($G$9-$F$9))))</f>
        <v>1.07053029340326</v>
      </c>
      <c r="F1080" s="37" t="n">
        <f aca="false">1+IF($G$10=$E$10,$F$10,IF(T1080&lt;($F$10-$E$10)/($G$10-$E$10),$E$10+SQRT(T1080*($G$10-$E$10)*($F$10-$E$10)),$G$10-SQRT((1-T1080)*($G$10-$E$10)*($G$10-$F$10))))</f>
        <v>1.00423622062906</v>
      </c>
      <c r="G1080" s="38" t="n">
        <f aca="false">IF($G$11=$E$11,$F$11,IF(U1080&lt;($F$11-$E$11)/($G$11-$E$11),$E$11+SQRT(U1080*($G$11-$E$11)*($F$11-$E$11)),$G$11-SQRT((1-U1080)*($G$11-$E$11)*($G$11-$F$11))))</f>
        <v>0.0879246627498045</v>
      </c>
      <c r="H1080" s="39" t="n">
        <f aca="false">(('Business Case'!B11*$C1080*'Business Case'!B12*$B1080)-'Business Case'!B11*$C1080*'Business Case'!B13*$D1080-'Business Case'!B14*$E1080)-MAX(0,(('Business Case'!B11*$C1080*'Business Case'!B12*$B1080)-'Business Case'!B11*$C1080*'Business Case'!B13*$D1080-'Business Case'!B14*$E1080))*'Business Case'!$B$7-'Business Case'!$B$8*('Business Case'!B11*$C1080*'Business Case'!B12*$B1080)-'Business Case'!B15*$F1080</f>
        <v>-2008472441.25812</v>
      </c>
      <c r="I1080" s="39" t="n">
        <f aca="false">(('Business Case'!C11*$C1080*'Business Case'!C12*$B1080)-'Business Case'!C11*$C1080*'Business Case'!C13*$D1080-'Business Case'!C14*$E1080)-MAX(0,(('Business Case'!C11*$C1080*'Business Case'!C12*$B1080)-'Business Case'!C11*$C1080*'Business Case'!C13*$D1080-'Business Case'!C14*$E1080))*'Business Case'!$B$7-'Business Case'!$B$8*(('Business Case'!C11*$C1080*'Business Case'!C12*$B1080)-('Business Case'!B11*$C1080*'Business Case'!B12*$B1080))-'Business Case'!C15*$F1080</f>
        <v>-32407933.4208246</v>
      </c>
      <c r="J1080" s="39" t="n">
        <f aca="false">(('Business Case'!D11*$C1080*'Business Case'!D12*$B1080)-'Business Case'!D11*$C1080*'Business Case'!D13*$D1080-'Business Case'!D14*$E1080)-MAX(0,(('Business Case'!D11*$C1080*'Business Case'!D12*$B1080)-'Business Case'!D11*$C1080*'Business Case'!D13*$D1080-'Business Case'!D14*$E1080))*'Business Case'!$B$7-'Business Case'!$B$8*(('Business Case'!D11*$C1080*'Business Case'!D12*$B1080)-('Business Case'!C11*$C1080*'Business Case'!C12*$B1080))-'Business Case'!D15*$F1080</f>
        <v>242475613.225828</v>
      </c>
      <c r="K1080" s="39" t="n">
        <f aca="false">(('Business Case'!E11*$C1080*'Business Case'!E12*$B1080)-'Business Case'!E11*$C1080*'Business Case'!E13*$D1080-'Business Case'!E14*$E1080)-MAX(0,(('Business Case'!E11*$C1080*'Business Case'!E12*$B1080)-'Business Case'!E11*$C1080*'Business Case'!E13*$D1080-'Business Case'!E14*$E1080))*'Business Case'!$B$7-'Business Case'!$B$8*(('Business Case'!E11*$C1080*'Business Case'!E12*$B1080)-('Business Case'!D11*$C1080*'Business Case'!D12*$B1080))-'Business Case'!E15*$F1080</f>
        <v>567570970.903934</v>
      </c>
      <c r="L1080" s="39" t="n">
        <f aca="false">(('Business Case'!F11*$C1080*'Business Case'!F12*$B1080)-'Business Case'!F11*$C1080*'Business Case'!F13*$D1080-'Business Case'!F14*$E1080)-MAX(0,(('Business Case'!F11*$C1080*'Business Case'!F12*$B1080)-'Business Case'!F11*$C1080*'Business Case'!F13*$D1080-'Business Case'!F14*$E1080))*'Business Case'!$B$7-'Business Case'!$B$8*(('Business Case'!F11*$C1080*'Business Case'!F12*$B1080)-('Business Case'!E11*$C1080*'Business Case'!E12*$B1080))-'Business Case'!F15*$F1080</f>
        <v>695624453.307903</v>
      </c>
      <c r="M1080" s="39" t="n">
        <f aca="false">(('Business Case'!G11*$C1080*'Business Case'!G12*$B1080)-'Business Case'!G11*$C1080*'Business Case'!G13*$D1080-'Business Case'!G14*$E1080)-MAX(0,(('Business Case'!G11*$C1080*'Business Case'!G12*$B1080)-'Business Case'!G11*$C1080*'Business Case'!G13*$D1080-'Business Case'!G14*$E1080))*'Business Case'!$B$7-'Business Case'!$B$8*(('Business Case'!G11*$C1080*'Business Case'!G12*$B1080)-('Business Case'!F11*$C1080*'Business Case'!F12*$B1080))-'Business Case'!G15*$F1080+'Business Case'!$B$8*('Business Case'!G11*$C1080*'Business Case'!G12*$B1080)</f>
        <v>895965437.677537</v>
      </c>
      <c r="N1080" s="39" t="n">
        <f aca="false">IF(COUNT('Business Case'!B11:G11)=0,"",H1080+NPV(G1080,I1080:M1080))</f>
        <v>-308152706.65897</v>
      </c>
      <c r="P1080" s="40" t="n">
        <f aca="true">RAND()</f>
        <v>0.492089809427388</v>
      </c>
      <c r="Q1080" s="40" t="n">
        <f aca="true">RAND()</f>
        <v>0.902896290699048</v>
      </c>
      <c r="R1080" s="40" t="n">
        <f aca="true">RAND()</f>
        <v>0.958917323106945</v>
      </c>
      <c r="S1080" s="40" t="n">
        <f aca="true">RAND()</f>
        <v>0.831588419558087</v>
      </c>
      <c r="T1080" s="40" t="n">
        <f aca="true">RAND()</f>
        <v>0.194668863324165</v>
      </c>
      <c r="U1080" s="40" t="n">
        <f aca="true">RAND()</f>
        <v>0.0628002796981386</v>
      </c>
    </row>
  </sheetData>
  <mergeCells count="3">
    <mergeCell ref="B12:D12"/>
    <mergeCell ref="A48:N48"/>
    <mergeCell ref="A56:H56"/>
  </mergeCells>
  <conditionalFormatting sqref="B12">
    <cfRule type="expression" priority="2" aboveAverage="0" equalAverage="0" bottom="0" percent="0" rank="0" text="" dxfId="0">
      <formula>B12="OK"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B12&lt;&gt;"OK"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L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3" min="3" style="0" width="28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8" min="6" style="0" width="11"/>
    <col collapsed="false" customWidth="true" hidden="false" outlineLevel="0" max="9" min="9" style="0" width="13"/>
    <col collapsed="false" customWidth="true" hidden="false" outlineLevel="0" max="10" min="10" style="0" width="16"/>
    <col collapsed="false" customWidth="true" hidden="false" outlineLevel="0" max="11" min="11" style="0" width="26"/>
    <col collapsed="false" customWidth="true" hidden="false" outlineLevel="0" max="12" min="12" style="0" width="20"/>
  </cols>
  <sheetData>
    <row r="1" customFormat="false" ht="19.7" hidden="false" customHeight="false" outlineLevel="0" collapsed="false">
      <c r="A1" s="6" t="s">
        <v>25</v>
      </c>
    </row>
    <row r="2" customFormat="false" ht="15" hidden="false" customHeight="false" outlineLevel="0" collapsed="false">
      <c r="A2" s="3" t="s">
        <v>330</v>
      </c>
    </row>
    <row r="3" customFormat="false" ht="15" hidden="false" customHeight="false" outlineLevel="0" collapsed="false">
      <c r="A3" s="7" t="s">
        <v>44</v>
      </c>
    </row>
    <row r="5" customFormat="false" ht="30" hidden="false" customHeight="true" outlineLevel="0" collapsed="false">
      <c r="A5" s="8" t="s">
        <v>331</v>
      </c>
      <c r="B5" s="8" t="s">
        <v>332</v>
      </c>
      <c r="C5" s="8" t="s">
        <v>333</v>
      </c>
      <c r="D5" s="8" t="s">
        <v>334</v>
      </c>
      <c r="E5" s="8" t="s">
        <v>335</v>
      </c>
      <c r="F5" s="8" t="s">
        <v>336</v>
      </c>
      <c r="G5" s="8" t="s">
        <v>337</v>
      </c>
      <c r="H5" s="8" t="s">
        <v>338</v>
      </c>
      <c r="I5" s="8" t="s">
        <v>339</v>
      </c>
      <c r="J5" s="8" t="s">
        <v>340</v>
      </c>
      <c r="K5" s="8" t="s">
        <v>341</v>
      </c>
      <c r="L5" s="8" t="s">
        <v>342</v>
      </c>
    </row>
    <row r="6" customFormat="false" ht="15" hidden="false" customHeight="false" outlineLevel="0" collapsed="false">
      <c r="A6" s="9" t="s">
        <v>343</v>
      </c>
      <c r="B6" s="9" t="s">
        <v>344</v>
      </c>
      <c r="C6" s="9" t="s">
        <v>345</v>
      </c>
      <c r="D6" s="9" t="s">
        <v>346</v>
      </c>
      <c r="E6" s="9" t="s">
        <v>347</v>
      </c>
      <c r="F6" s="41" t="n">
        <v>13000</v>
      </c>
      <c r="G6" s="41" t="n">
        <v>12400</v>
      </c>
      <c r="H6" s="22" t="n">
        <f aca="false">IF(AND(ISNUMBER(F6),ISNUMBER(G6),F6&lt;&gt;0,G6&lt;&gt;0),IF(E6="Lower",F6/G6,G6/F6),"")</f>
        <v>0.953846153846154</v>
      </c>
      <c r="I6" s="14" t="str">
        <f aca="false">IF(H6="",IF(C6="","","No actual yet"),IF(H6&gt;=1,"On target",IF(H6&gt;=0.9,"Caution","Below plan")))</f>
        <v>Caution</v>
      </c>
      <c r="J6" s="9" t="s">
        <v>348</v>
      </c>
      <c r="K6" s="9" t="s">
        <v>349</v>
      </c>
      <c r="L6" s="9" t="s">
        <v>350</v>
      </c>
    </row>
    <row r="7" customFormat="false" ht="23.85" hidden="false" customHeight="false" outlineLevel="0" collapsed="false">
      <c r="A7" s="9" t="s">
        <v>351</v>
      </c>
      <c r="B7" s="9" t="s">
        <v>352</v>
      </c>
      <c r="C7" s="9" t="s">
        <v>353</v>
      </c>
      <c r="D7" s="9" t="s">
        <v>354</v>
      </c>
      <c r="E7" s="9" t="s">
        <v>347</v>
      </c>
      <c r="F7" s="41" t="n">
        <v>0.95</v>
      </c>
      <c r="G7" s="41" t="n">
        <v>0.97</v>
      </c>
      <c r="H7" s="22" t="n">
        <f aca="false">IF(AND(ISNUMBER(F7),ISNUMBER(G7),F7&lt;&gt;0,G7&lt;&gt;0),IF(E7="Lower",F7/G7,G7/F7),"")</f>
        <v>1.02105263157895</v>
      </c>
      <c r="I7" s="14" t="str">
        <f aca="false">IF(H7="",IF(C7="","","No actual yet"),IF(H7&gt;=1,"On target",IF(H7&gt;=0.9,"Caution","Below plan")))</f>
        <v>On target</v>
      </c>
      <c r="J7" s="9" t="s">
        <v>355</v>
      </c>
      <c r="K7" s="9" t="s">
        <v>356</v>
      </c>
      <c r="L7" s="9" t="s">
        <v>357</v>
      </c>
    </row>
    <row r="8" customFormat="false" ht="15" hidden="false" customHeight="false" outlineLevel="0" collapsed="false">
      <c r="A8" s="9"/>
      <c r="B8" s="9"/>
      <c r="C8" s="9"/>
      <c r="D8" s="9"/>
      <c r="E8" s="9"/>
      <c r="F8" s="41"/>
      <c r="G8" s="41"/>
      <c r="H8" s="22" t="str">
        <f aca="false">IF(AND(ISNUMBER(F8),ISNUMBER(G8),F8&lt;&gt;0,G8&lt;&gt;0),IF(E8="Lower",F8/G8,G8/F8),"")</f>
        <v/>
      </c>
      <c r="I8" s="14" t="str">
        <f aca="false">IF(H8="",IF(C8="","","No actual yet"),IF(H8&gt;=1,"On target",IF(H8&gt;=0.9,"Caution","Below plan")))</f>
        <v/>
      </c>
      <c r="J8" s="9"/>
      <c r="K8" s="9"/>
      <c r="L8" s="9"/>
    </row>
    <row r="9" customFormat="false" ht="15" hidden="false" customHeight="false" outlineLevel="0" collapsed="false">
      <c r="A9" s="9"/>
      <c r="B9" s="9"/>
      <c r="C9" s="9"/>
      <c r="D9" s="9"/>
      <c r="E9" s="9"/>
      <c r="F9" s="41"/>
      <c r="G9" s="41"/>
      <c r="H9" s="22" t="str">
        <f aca="false">IF(AND(ISNUMBER(F9),ISNUMBER(G9),F9&lt;&gt;0,G9&lt;&gt;0),IF(E9="Lower",F9/G9,G9/F9),"")</f>
        <v/>
      </c>
      <c r="I9" s="14" t="str">
        <f aca="false">IF(H9="",IF(C9="","","No actual yet"),IF(H9&gt;=1,"On target",IF(H9&gt;=0.9,"Caution","Below plan")))</f>
        <v/>
      </c>
      <c r="J9" s="9"/>
      <c r="K9" s="9"/>
      <c r="L9" s="9"/>
    </row>
    <row r="10" customFormat="false" ht="15" hidden="false" customHeight="false" outlineLevel="0" collapsed="false">
      <c r="A10" s="9"/>
      <c r="B10" s="9"/>
      <c r="C10" s="9"/>
      <c r="D10" s="9"/>
      <c r="E10" s="9"/>
      <c r="F10" s="41"/>
      <c r="G10" s="41"/>
      <c r="H10" s="22" t="str">
        <f aca="false">IF(AND(ISNUMBER(F10),ISNUMBER(G10),F10&lt;&gt;0,G10&lt;&gt;0),IF(E10="Lower",F10/G10,G10/F10),"")</f>
        <v/>
      </c>
      <c r="I10" s="14" t="str">
        <f aca="false">IF(H10="",IF(C10="","","No actual yet"),IF(H10&gt;=1,"On target",IF(H10&gt;=0.9,"Caution","Below plan")))</f>
        <v/>
      </c>
      <c r="J10" s="9"/>
      <c r="K10" s="9"/>
      <c r="L10" s="9"/>
    </row>
    <row r="11" customFormat="false" ht="15" hidden="false" customHeight="false" outlineLevel="0" collapsed="false">
      <c r="A11" s="9"/>
      <c r="B11" s="9"/>
      <c r="C11" s="9"/>
      <c r="D11" s="9"/>
      <c r="E11" s="9"/>
      <c r="F11" s="41"/>
      <c r="G11" s="41"/>
      <c r="H11" s="22" t="str">
        <f aca="false">IF(AND(ISNUMBER(F11),ISNUMBER(G11),F11&lt;&gt;0,G11&lt;&gt;0),IF(E11="Lower",F11/G11,G11/F11),"")</f>
        <v/>
      </c>
      <c r="I11" s="14" t="str">
        <f aca="false">IF(H11="",IF(C11="","","No actual yet"),IF(H11&gt;=1,"On target",IF(H11&gt;=0.9,"Caution","Below plan")))</f>
        <v/>
      </c>
      <c r="J11" s="9"/>
      <c r="K11" s="9"/>
      <c r="L11" s="9"/>
    </row>
    <row r="12" customFormat="false" ht="15" hidden="false" customHeight="false" outlineLevel="0" collapsed="false">
      <c r="A12" s="9"/>
      <c r="B12" s="9"/>
      <c r="C12" s="9"/>
      <c r="D12" s="9"/>
      <c r="E12" s="9"/>
      <c r="F12" s="41"/>
      <c r="G12" s="41"/>
      <c r="H12" s="22" t="str">
        <f aca="false">IF(AND(ISNUMBER(F12),ISNUMBER(G12),F12&lt;&gt;0,G12&lt;&gt;0),IF(E12="Lower",F12/G12,G12/F12),"")</f>
        <v/>
      </c>
      <c r="I12" s="14" t="str">
        <f aca="false">IF(H12="",IF(C12="","","No actual yet"),IF(H12&gt;=1,"On target",IF(H12&gt;=0.9,"Caution","Below plan")))</f>
        <v/>
      </c>
      <c r="J12" s="9"/>
      <c r="K12" s="9"/>
      <c r="L12" s="9"/>
    </row>
    <row r="13" customFormat="false" ht="15" hidden="false" customHeight="false" outlineLevel="0" collapsed="false">
      <c r="A13" s="9"/>
      <c r="B13" s="9"/>
      <c r="C13" s="9"/>
      <c r="D13" s="9"/>
      <c r="E13" s="9"/>
      <c r="F13" s="41"/>
      <c r="G13" s="41"/>
      <c r="H13" s="22" t="str">
        <f aca="false">IF(AND(ISNUMBER(F13),ISNUMBER(G13),F13&lt;&gt;0,G13&lt;&gt;0),IF(E13="Lower",F13/G13,G13/F13),"")</f>
        <v/>
      </c>
      <c r="I13" s="14" t="str">
        <f aca="false">IF(H13="",IF(C13="","","No actual yet"),IF(H13&gt;=1,"On target",IF(H13&gt;=0.9,"Caution","Below plan")))</f>
        <v/>
      </c>
      <c r="J13" s="9"/>
      <c r="K13" s="9"/>
      <c r="L13" s="9"/>
    </row>
    <row r="14" customFormat="false" ht="15" hidden="false" customHeight="false" outlineLevel="0" collapsed="false">
      <c r="A14" s="9"/>
      <c r="B14" s="9"/>
      <c r="C14" s="9"/>
      <c r="D14" s="9"/>
      <c r="E14" s="9"/>
      <c r="F14" s="41"/>
      <c r="G14" s="41"/>
      <c r="H14" s="22" t="str">
        <f aca="false">IF(AND(ISNUMBER(F14),ISNUMBER(G14),F14&lt;&gt;0,G14&lt;&gt;0),IF(E14="Lower",F14/G14,G14/F14),"")</f>
        <v/>
      </c>
      <c r="I14" s="14" t="str">
        <f aca="false">IF(H14="",IF(C14="","","No actual yet"),IF(H14&gt;=1,"On target",IF(H14&gt;=0.9,"Caution","Below plan")))</f>
        <v/>
      </c>
      <c r="J14" s="9"/>
      <c r="K14" s="9"/>
      <c r="L14" s="9"/>
    </row>
    <row r="15" customFormat="false" ht="15" hidden="false" customHeight="false" outlineLevel="0" collapsed="false">
      <c r="A15" s="9"/>
      <c r="B15" s="9"/>
      <c r="C15" s="9"/>
      <c r="D15" s="9"/>
      <c r="E15" s="9"/>
      <c r="F15" s="41"/>
      <c r="G15" s="41"/>
      <c r="H15" s="22" t="str">
        <f aca="false">IF(AND(ISNUMBER(F15),ISNUMBER(G15),F15&lt;&gt;0,G15&lt;&gt;0),IF(E15="Lower",F15/G15,G15/F15),"")</f>
        <v/>
      </c>
      <c r="I15" s="14" t="str">
        <f aca="false">IF(H15="",IF(C15="","","No actual yet"),IF(H15&gt;=1,"On target",IF(H15&gt;=0.9,"Caution","Below plan")))</f>
        <v/>
      </c>
      <c r="J15" s="9"/>
      <c r="K15" s="9"/>
      <c r="L15" s="9"/>
    </row>
    <row r="16" customFormat="false" ht="15" hidden="false" customHeight="false" outlineLevel="0" collapsed="false">
      <c r="A16" s="9"/>
      <c r="B16" s="9"/>
      <c r="C16" s="9"/>
      <c r="D16" s="9"/>
      <c r="E16" s="9"/>
      <c r="F16" s="41"/>
      <c r="G16" s="41"/>
      <c r="H16" s="22" t="str">
        <f aca="false">IF(AND(ISNUMBER(F16),ISNUMBER(G16),F16&lt;&gt;0,G16&lt;&gt;0),IF(E16="Lower",F16/G16,G16/F16),"")</f>
        <v/>
      </c>
      <c r="I16" s="14" t="str">
        <f aca="false">IF(H16="",IF(C16="","","No actual yet"),IF(H16&gt;=1,"On target",IF(H16&gt;=0.9,"Caution","Below plan")))</f>
        <v/>
      </c>
      <c r="J16" s="9"/>
      <c r="K16" s="9"/>
      <c r="L16" s="9"/>
    </row>
    <row r="17" customFormat="false" ht="15" hidden="false" customHeight="false" outlineLevel="0" collapsed="false">
      <c r="A17" s="9"/>
      <c r="B17" s="9"/>
      <c r="C17" s="9"/>
      <c r="D17" s="9"/>
      <c r="E17" s="9"/>
      <c r="F17" s="41"/>
      <c r="G17" s="41"/>
      <c r="H17" s="22" t="str">
        <f aca="false">IF(AND(ISNUMBER(F17),ISNUMBER(G17),F17&lt;&gt;0,G17&lt;&gt;0),IF(E17="Lower",F17/G17,G17/F17),"")</f>
        <v/>
      </c>
      <c r="I17" s="14" t="str">
        <f aca="false">IF(H17="",IF(C17="","","No actual yet"),IF(H17&gt;=1,"On target",IF(H17&gt;=0.9,"Caution","Below plan")))</f>
        <v/>
      </c>
      <c r="J17" s="9"/>
      <c r="K17" s="9"/>
      <c r="L17" s="9"/>
    </row>
    <row r="18" customFormat="false" ht="15" hidden="false" customHeight="false" outlineLevel="0" collapsed="false">
      <c r="A18" s="9"/>
      <c r="B18" s="9"/>
      <c r="C18" s="9"/>
      <c r="D18" s="9"/>
      <c r="E18" s="9"/>
      <c r="F18" s="41"/>
      <c r="G18" s="41"/>
      <c r="H18" s="22" t="str">
        <f aca="false">IF(AND(ISNUMBER(F18),ISNUMBER(G18),F18&lt;&gt;0,G18&lt;&gt;0),IF(E18="Lower",F18/G18,G18/F18),"")</f>
        <v/>
      </c>
      <c r="I18" s="14" t="str">
        <f aca="false">IF(H18="",IF(C18="","","No actual yet"),IF(H18&gt;=1,"On target",IF(H18&gt;=0.9,"Caution","Below plan")))</f>
        <v/>
      </c>
      <c r="J18" s="9"/>
      <c r="K18" s="9"/>
      <c r="L18" s="9"/>
    </row>
    <row r="19" customFormat="false" ht="15" hidden="false" customHeight="false" outlineLevel="0" collapsed="false">
      <c r="A19" s="9"/>
      <c r="B19" s="9"/>
      <c r="C19" s="9"/>
      <c r="D19" s="9"/>
      <c r="E19" s="9"/>
      <c r="F19" s="41"/>
      <c r="G19" s="41"/>
      <c r="H19" s="22" t="str">
        <f aca="false">IF(AND(ISNUMBER(F19),ISNUMBER(G19),F19&lt;&gt;0,G19&lt;&gt;0),IF(E19="Lower",F19/G19,G19/F19),"")</f>
        <v/>
      </c>
      <c r="I19" s="14" t="str">
        <f aca="false">IF(H19="",IF(C19="","","No actual yet"),IF(H19&gt;=1,"On target",IF(H19&gt;=0.9,"Caution","Below plan")))</f>
        <v/>
      </c>
      <c r="J19" s="9"/>
      <c r="K19" s="9"/>
      <c r="L19" s="9"/>
    </row>
    <row r="20" customFormat="false" ht="15" hidden="false" customHeight="false" outlineLevel="0" collapsed="false">
      <c r="A20" s="9"/>
      <c r="B20" s="9"/>
      <c r="C20" s="9"/>
      <c r="D20" s="9"/>
      <c r="E20" s="9"/>
      <c r="F20" s="41"/>
      <c r="G20" s="41"/>
      <c r="H20" s="22" t="str">
        <f aca="false">IF(AND(ISNUMBER(F20),ISNUMBER(G20),F20&lt;&gt;0,G20&lt;&gt;0),IF(E20="Lower",F20/G20,G20/F20),"")</f>
        <v/>
      </c>
      <c r="I20" s="14" t="str">
        <f aca="false">IF(H20="",IF(C20="","","No actual yet"),IF(H20&gt;=1,"On target",IF(H20&gt;=0.9,"Caution","Below plan")))</f>
        <v/>
      </c>
      <c r="J20" s="9"/>
      <c r="K20" s="9"/>
      <c r="L20" s="9"/>
    </row>
    <row r="21" customFormat="false" ht="15" hidden="false" customHeight="false" outlineLevel="0" collapsed="false">
      <c r="A21" s="9"/>
      <c r="B21" s="9"/>
      <c r="C21" s="9"/>
      <c r="D21" s="9"/>
      <c r="E21" s="9"/>
      <c r="F21" s="41"/>
      <c r="G21" s="41"/>
      <c r="H21" s="22" t="str">
        <f aca="false">IF(AND(ISNUMBER(F21),ISNUMBER(G21),F21&lt;&gt;0,G21&lt;&gt;0),IF(E21="Lower",F21/G21,G21/F21),"")</f>
        <v/>
      </c>
      <c r="I21" s="14" t="str">
        <f aca="false">IF(H21="",IF(C21="","","No actual yet"),IF(H21&gt;=1,"On target",IF(H21&gt;=0.9,"Caution","Below plan")))</f>
        <v/>
      </c>
      <c r="J21" s="9"/>
      <c r="K21" s="9"/>
      <c r="L21" s="9"/>
    </row>
    <row r="23" customFormat="false" ht="15" hidden="false" customHeight="false" outlineLevel="0" collapsed="false">
      <c r="A23" s="11" t="s">
        <v>358</v>
      </c>
    </row>
    <row r="24" customFormat="false" ht="15" hidden="false" customHeight="false" outlineLevel="0" collapsed="false">
      <c r="B24" s="5" t="s">
        <v>343</v>
      </c>
      <c r="C24" s="10" t="n">
        <f aca="false">COUNTIFS($A$6:$A$21,B24,$C$6:$C$21,"&lt;&gt;")</f>
        <v>1</v>
      </c>
      <c r="D24" s="14" t="str">
        <f aca="false">IF(C24=0,"Add a measure","OK")</f>
        <v>OK</v>
      </c>
    </row>
    <row r="25" customFormat="false" ht="23.85" hidden="false" customHeight="false" outlineLevel="0" collapsed="false">
      <c r="B25" s="5" t="s">
        <v>359</v>
      </c>
      <c r="C25" s="10" t="n">
        <f aca="false">COUNTIFS($A$6:$A$21,B25,$C$6:$C$21,"&lt;&gt;")</f>
        <v>0</v>
      </c>
      <c r="D25" s="14" t="str">
        <f aca="false">IF(C25=0,"Add a measure","OK")</f>
        <v>Add a measure</v>
      </c>
    </row>
    <row r="26" customFormat="false" ht="15" hidden="false" customHeight="false" outlineLevel="0" collapsed="false">
      <c r="B26" s="5" t="s">
        <v>351</v>
      </c>
      <c r="C26" s="10" t="n">
        <f aca="false">COUNTIFS($A$6:$A$21,B26,$C$6:$C$21,"&lt;&gt;")</f>
        <v>1</v>
      </c>
      <c r="D26" s="14" t="str">
        <f aca="false">IF(C26=0,"Add a measure","OK")</f>
        <v>OK</v>
      </c>
    </row>
    <row r="27" customFormat="false" ht="23.85" hidden="false" customHeight="false" outlineLevel="0" collapsed="false">
      <c r="B27" s="5" t="s">
        <v>360</v>
      </c>
      <c r="C27" s="10" t="n">
        <f aca="false">COUNTIFS($A$6:$A$21,B27,$C$6:$C$21,"&lt;&gt;")</f>
        <v>0</v>
      </c>
      <c r="D27" s="14" t="str">
        <f aca="false">IF(C27=0,"Add a measure","OK")</f>
        <v>Add a measure</v>
      </c>
    </row>
    <row r="29" customFormat="false" ht="15" hidden="false" customHeight="false" outlineLevel="0" collapsed="false">
      <c r="B29" s="5" t="s">
        <v>361</v>
      </c>
      <c r="C29" s="10" t="n">
        <f aca="false">COUNTA(C6:C21)</f>
        <v>2</v>
      </c>
    </row>
    <row r="30" customFormat="false" ht="15" hidden="false" customHeight="false" outlineLevel="0" collapsed="false">
      <c r="B30" s="5" t="s">
        <v>362</v>
      </c>
      <c r="C30" s="22" t="n">
        <f aca="false">IF(C29=0,"",COUNTIFS(D6:D21,"Leading",C6:C21,"&lt;&gt;")/C29)</f>
        <v>0.5</v>
      </c>
      <c r="D30" s="14" t="str">
        <f aca="false">IF(C30="","",IF(C30&gt;=1/3,"OK","Add leading measures"))</f>
        <v>OK</v>
      </c>
    </row>
    <row r="31" customFormat="false" ht="15" hidden="false" customHeight="false" outlineLevel="0" collapsed="false">
      <c r="B31" s="5" t="s">
        <v>363</v>
      </c>
      <c r="C31" s="10" t="n">
        <f aca="false">SUMPRODUCT((C6:C21&lt;&gt;"")*(J6:J21=""))</f>
        <v>0</v>
      </c>
    </row>
  </sheetData>
  <conditionalFormatting sqref="I6:I21">
    <cfRule type="expression" priority="2" aboveAverage="0" equalAverage="0" bottom="0" percent="0" rank="0" text="" dxfId="0">
      <formula>I6="On target"</formula>
    </cfRule>
    <cfRule type="expression" priority="3" aboveAverage="0" equalAverage="0" bottom="0" percent="0" rank="0" text="" dxfId="1">
      <formula>I6="Caution"</formula>
    </cfRule>
    <cfRule type="expression" priority="4" aboveAverage="0" equalAverage="0" bottom="0" percent="0" rank="0" text="" dxfId="2">
      <formula>I6="Below plan"</formula>
    </cfRule>
  </conditionalFormatting>
  <conditionalFormatting sqref="D24">
    <cfRule type="expression" priority="5" aboveAverage="0" equalAverage="0" bottom="0" percent="0" rank="0" text="" dxfId="0">
      <formula>D24="OK"</formula>
    </cfRule>
    <cfRule type="expression" priority="6" aboveAverage="0" equalAverage="0" bottom="0" percent="0" rank="0" text="" dxfId="1">
      <formula>0</formula>
    </cfRule>
    <cfRule type="expression" priority="7" aboveAverage="0" equalAverage="0" bottom="0" percent="0" rank="0" text="" dxfId="2">
      <formula>D24="Add a measure"</formula>
    </cfRule>
  </conditionalFormatting>
  <conditionalFormatting sqref="D25">
    <cfRule type="expression" priority="8" aboveAverage="0" equalAverage="0" bottom="0" percent="0" rank="0" text="" dxfId="0">
      <formula>D25="OK"</formula>
    </cfRule>
    <cfRule type="expression" priority="9" aboveAverage="0" equalAverage="0" bottom="0" percent="0" rank="0" text="" dxfId="1">
      <formula>0</formula>
    </cfRule>
    <cfRule type="expression" priority="10" aboveAverage="0" equalAverage="0" bottom="0" percent="0" rank="0" text="" dxfId="2">
      <formula>D25="Add a measure"</formula>
    </cfRule>
  </conditionalFormatting>
  <conditionalFormatting sqref="D26">
    <cfRule type="expression" priority="11" aboveAverage="0" equalAverage="0" bottom="0" percent="0" rank="0" text="" dxfId="0">
      <formula>D26="OK"</formula>
    </cfRule>
    <cfRule type="expression" priority="12" aboveAverage="0" equalAverage="0" bottom="0" percent="0" rank="0" text="" dxfId="1">
      <formula>0</formula>
    </cfRule>
    <cfRule type="expression" priority="13" aboveAverage="0" equalAverage="0" bottom="0" percent="0" rank="0" text="" dxfId="2">
      <formula>D26="Add a measure"</formula>
    </cfRule>
  </conditionalFormatting>
  <conditionalFormatting sqref="D27">
    <cfRule type="expression" priority="14" aboveAverage="0" equalAverage="0" bottom="0" percent="0" rank="0" text="" dxfId="0">
      <formula>D27="OK"</formula>
    </cfRule>
    <cfRule type="expression" priority="15" aboveAverage="0" equalAverage="0" bottom="0" percent="0" rank="0" text="" dxfId="1">
      <formula>0</formula>
    </cfRule>
    <cfRule type="expression" priority="16" aboveAverage="0" equalAverage="0" bottom="0" percent="0" rank="0" text="" dxfId="2">
      <formula>D27="Add a measure"</formula>
    </cfRule>
  </conditionalFormatting>
  <conditionalFormatting sqref="D30">
    <cfRule type="expression" priority="17" aboveAverage="0" equalAverage="0" bottom="0" percent="0" rank="0" text="" dxfId="0">
      <formula>D30="OK"</formula>
    </cfRule>
    <cfRule type="expression" priority="18" aboveAverage="0" equalAverage="0" bottom="0" percent="0" rank="0" text="" dxfId="1">
      <formula>0</formula>
    </cfRule>
    <cfRule type="expression" priority="19" aboveAverage="0" equalAverage="0" bottom="0" percent="0" rank="0" text="" dxfId="2">
      <formula>D30="Add leading measures"</formula>
    </cfRule>
  </conditionalFormatting>
  <dataValidations count="3">
    <dataValidation allowBlank="true" errorStyle="stop" operator="between" showDropDown="false" showErrorMessage="false" showInputMessage="false" sqref="A6:A21" type="list">
      <formula1>"Financial,Customer,Internal process,Learning and growth"</formula1>
      <formula2>0</formula2>
    </dataValidation>
    <dataValidation allowBlank="true" errorStyle="stop" operator="between" showDropDown="false" showErrorMessage="false" showInputMessage="false" sqref="D6:D21" type="list">
      <formula1>"Leading,Lagging"</formula1>
      <formula2>0</formula2>
    </dataValidation>
    <dataValidation allowBlank="true" errorStyle="stop" operator="between" showDropDown="false" showErrorMessage="false" showInputMessage="false" sqref="E6:E21" type="list">
      <formula1>"Higher,Lower"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46"/>
    <col collapsed="false" customWidth="true" hidden="false" outlineLevel="0" max="4" min="4" style="0" width="18"/>
    <col collapsed="false" customWidth="true" hidden="false" outlineLevel="0" max="5" min="5" style="0" width="22"/>
  </cols>
  <sheetData>
    <row r="1" customFormat="false" ht="19.7" hidden="false" customHeight="false" outlineLevel="0" collapsed="false">
      <c r="A1" s="6" t="s">
        <v>27</v>
      </c>
    </row>
    <row r="2" customFormat="false" ht="15" hidden="false" customHeight="false" outlineLevel="0" collapsed="false">
      <c r="A2" s="3" t="s">
        <v>364</v>
      </c>
    </row>
    <row r="3" customFormat="false" ht="15" hidden="false" customHeight="false" outlineLevel="0" collapsed="false">
      <c r="A3" s="7" t="s">
        <v>44</v>
      </c>
    </row>
    <row r="5" customFormat="false" ht="30" hidden="false" customHeight="true" outlineLevel="0" collapsed="false">
      <c r="A5" s="8" t="s">
        <v>45</v>
      </c>
      <c r="B5" s="8" t="s">
        <v>331</v>
      </c>
      <c r="C5" s="8" t="s">
        <v>332</v>
      </c>
      <c r="D5" s="8" t="s">
        <v>365</v>
      </c>
      <c r="E5" s="8" t="s">
        <v>366</v>
      </c>
    </row>
    <row r="6" customFormat="false" ht="15" hidden="false" customHeight="false" outlineLevel="0" collapsed="false">
      <c r="A6" s="9" t="s">
        <v>367</v>
      </c>
      <c r="B6" s="9" t="s">
        <v>343</v>
      </c>
      <c r="C6" s="9" t="s">
        <v>344</v>
      </c>
      <c r="D6" s="9"/>
      <c r="E6" s="14" t="str">
        <f aca="false">IF(A6="","",IF(AND(B6&lt;&gt;"Financial",D6=""),"Drives nothing",IF(AND(B6&lt;&gt;"Learning and growth",COUNTIF($D$6:$D$21,"*"&amp;A6&amp;"*")=0),"Nothing drives it","OK")))</f>
        <v>OK</v>
      </c>
    </row>
    <row r="7" customFormat="false" ht="15" hidden="false" customHeight="false" outlineLevel="0" collapsed="false">
      <c r="A7" s="9" t="s">
        <v>368</v>
      </c>
      <c r="B7" s="9" t="s">
        <v>359</v>
      </c>
      <c r="C7" s="9" t="s">
        <v>369</v>
      </c>
      <c r="D7" s="9" t="s">
        <v>367</v>
      </c>
      <c r="E7" s="14" t="str">
        <f aca="false">IF(A7="","",IF(AND(B7&lt;&gt;"Financial",D7=""),"Drives nothing",IF(AND(B7&lt;&gt;"Learning and growth",COUNTIF($D$6:$D$21,"*"&amp;A7&amp;"*")=0),"Nothing drives it","OK")))</f>
        <v>OK</v>
      </c>
    </row>
    <row r="8" customFormat="false" ht="15" hidden="false" customHeight="false" outlineLevel="0" collapsed="false">
      <c r="A8" s="9" t="s">
        <v>370</v>
      </c>
      <c r="B8" s="9" t="s">
        <v>351</v>
      </c>
      <c r="C8" s="9" t="s">
        <v>352</v>
      </c>
      <c r="D8" s="9" t="s">
        <v>368</v>
      </c>
      <c r="E8" s="14" t="str">
        <f aca="false">IF(A8="","",IF(AND(B8&lt;&gt;"Financial",D8=""),"Drives nothing",IF(AND(B8&lt;&gt;"Learning and growth",COUNTIF($D$6:$D$21,"*"&amp;A8&amp;"*")=0),"Nothing drives it","OK")))</f>
        <v>OK</v>
      </c>
    </row>
    <row r="9" customFormat="false" ht="15" hidden="false" customHeight="false" outlineLevel="0" collapsed="false">
      <c r="A9" s="9" t="s">
        <v>371</v>
      </c>
      <c r="B9" s="9" t="s">
        <v>360</v>
      </c>
      <c r="C9" s="9" t="s">
        <v>372</v>
      </c>
      <c r="D9" s="9" t="s">
        <v>370</v>
      </c>
      <c r="E9" s="14" t="str">
        <f aca="false">IF(A9="","",IF(AND(B9&lt;&gt;"Financial",D9=""),"Drives nothing",IF(AND(B9&lt;&gt;"Learning and growth",COUNTIF($D$6:$D$21,"*"&amp;A9&amp;"*")=0),"Nothing drives it","OK")))</f>
        <v>OK</v>
      </c>
    </row>
    <row r="10" customFormat="false" ht="15" hidden="false" customHeight="false" outlineLevel="0" collapsed="false">
      <c r="A10" s="9"/>
      <c r="B10" s="9"/>
      <c r="C10" s="9"/>
      <c r="D10" s="9"/>
      <c r="E10" s="14" t="str">
        <f aca="false">IF(A10="","",IF(AND(B10&lt;&gt;"Financial",D10=""),"Drives nothing",IF(AND(B10&lt;&gt;"Learning and growth",COUNTIF($D$6:$D$21,"*"&amp;A10&amp;"*")=0),"Nothing drives it","OK")))</f>
        <v/>
      </c>
    </row>
    <row r="11" customFormat="false" ht="15" hidden="false" customHeight="false" outlineLevel="0" collapsed="false">
      <c r="A11" s="9"/>
      <c r="B11" s="9"/>
      <c r="C11" s="9"/>
      <c r="D11" s="9"/>
      <c r="E11" s="14" t="str">
        <f aca="false">IF(A11="","",IF(AND(B11&lt;&gt;"Financial",D11=""),"Drives nothing",IF(AND(B11&lt;&gt;"Learning and growth",COUNTIF($D$6:$D$21,"*"&amp;A11&amp;"*")=0),"Nothing drives it","OK")))</f>
        <v/>
      </c>
    </row>
    <row r="12" customFormat="false" ht="15" hidden="false" customHeight="false" outlineLevel="0" collapsed="false">
      <c r="A12" s="9"/>
      <c r="B12" s="9"/>
      <c r="C12" s="9"/>
      <c r="D12" s="9"/>
      <c r="E12" s="14" t="str">
        <f aca="false">IF(A12="","",IF(AND(B12&lt;&gt;"Financial",D12=""),"Drives nothing",IF(AND(B12&lt;&gt;"Learning and growth",COUNTIF($D$6:$D$21,"*"&amp;A12&amp;"*")=0),"Nothing drives it","OK")))</f>
        <v/>
      </c>
    </row>
    <row r="13" customFormat="false" ht="15" hidden="false" customHeight="false" outlineLevel="0" collapsed="false">
      <c r="A13" s="9"/>
      <c r="B13" s="9"/>
      <c r="C13" s="9"/>
      <c r="D13" s="9"/>
      <c r="E13" s="14" t="str">
        <f aca="false">IF(A13="","",IF(AND(B13&lt;&gt;"Financial",D13=""),"Drives nothing",IF(AND(B13&lt;&gt;"Learning and growth",COUNTIF($D$6:$D$21,"*"&amp;A13&amp;"*")=0),"Nothing drives it","OK")))</f>
        <v/>
      </c>
    </row>
    <row r="14" customFormat="false" ht="15" hidden="false" customHeight="false" outlineLevel="0" collapsed="false">
      <c r="A14" s="9"/>
      <c r="B14" s="9"/>
      <c r="C14" s="9"/>
      <c r="D14" s="9"/>
      <c r="E14" s="14" t="str">
        <f aca="false">IF(A14="","",IF(AND(B14&lt;&gt;"Financial",D14=""),"Drives nothing",IF(AND(B14&lt;&gt;"Learning and growth",COUNTIF($D$6:$D$21,"*"&amp;A14&amp;"*")=0),"Nothing drives it","OK")))</f>
        <v/>
      </c>
    </row>
    <row r="15" customFormat="false" ht="15" hidden="false" customHeight="false" outlineLevel="0" collapsed="false">
      <c r="A15" s="9"/>
      <c r="B15" s="9"/>
      <c r="C15" s="9"/>
      <c r="D15" s="9"/>
      <c r="E15" s="14" t="str">
        <f aca="false">IF(A15="","",IF(AND(B15&lt;&gt;"Financial",D15=""),"Drives nothing",IF(AND(B15&lt;&gt;"Learning and growth",COUNTIF($D$6:$D$21,"*"&amp;A15&amp;"*")=0),"Nothing drives it","OK")))</f>
        <v/>
      </c>
    </row>
    <row r="16" customFormat="false" ht="15" hidden="false" customHeight="false" outlineLevel="0" collapsed="false">
      <c r="A16" s="9"/>
      <c r="B16" s="9"/>
      <c r="C16" s="9"/>
      <c r="D16" s="9"/>
      <c r="E16" s="14" t="str">
        <f aca="false">IF(A16="","",IF(AND(B16&lt;&gt;"Financial",D16=""),"Drives nothing",IF(AND(B16&lt;&gt;"Learning and growth",COUNTIF($D$6:$D$21,"*"&amp;A16&amp;"*")=0),"Nothing drives it","OK")))</f>
        <v/>
      </c>
    </row>
    <row r="17" customFormat="false" ht="15" hidden="false" customHeight="false" outlineLevel="0" collapsed="false">
      <c r="A17" s="9"/>
      <c r="B17" s="9"/>
      <c r="C17" s="9"/>
      <c r="D17" s="9"/>
      <c r="E17" s="14" t="str">
        <f aca="false">IF(A17="","",IF(AND(B17&lt;&gt;"Financial",D17=""),"Drives nothing",IF(AND(B17&lt;&gt;"Learning and growth",COUNTIF($D$6:$D$21,"*"&amp;A17&amp;"*")=0),"Nothing drives it","OK")))</f>
        <v/>
      </c>
    </row>
    <row r="18" customFormat="false" ht="15" hidden="false" customHeight="false" outlineLevel="0" collapsed="false">
      <c r="A18" s="9"/>
      <c r="B18" s="9"/>
      <c r="C18" s="9"/>
      <c r="D18" s="9"/>
      <c r="E18" s="14" t="str">
        <f aca="false">IF(A18="","",IF(AND(B18&lt;&gt;"Financial",D18=""),"Drives nothing",IF(AND(B18&lt;&gt;"Learning and growth",COUNTIF($D$6:$D$21,"*"&amp;A18&amp;"*")=0),"Nothing drives it","OK")))</f>
        <v/>
      </c>
    </row>
    <row r="19" customFormat="false" ht="15" hidden="false" customHeight="false" outlineLevel="0" collapsed="false">
      <c r="A19" s="9"/>
      <c r="B19" s="9"/>
      <c r="C19" s="9"/>
      <c r="D19" s="9"/>
      <c r="E19" s="14" t="str">
        <f aca="false">IF(A19="","",IF(AND(B19&lt;&gt;"Financial",D19=""),"Drives nothing",IF(AND(B19&lt;&gt;"Learning and growth",COUNTIF($D$6:$D$21,"*"&amp;A19&amp;"*")=0),"Nothing drives it","OK")))</f>
        <v/>
      </c>
    </row>
    <row r="20" customFormat="false" ht="15" hidden="false" customHeight="false" outlineLevel="0" collapsed="false">
      <c r="A20" s="9"/>
      <c r="B20" s="9"/>
      <c r="C20" s="9"/>
      <c r="D20" s="9"/>
      <c r="E20" s="14" t="str">
        <f aca="false">IF(A20="","",IF(AND(B20&lt;&gt;"Financial",D20=""),"Drives nothing",IF(AND(B20&lt;&gt;"Learning and growth",COUNTIF($D$6:$D$21,"*"&amp;A20&amp;"*")=0),"Nothing drives it","OK")))</f>
        <v/>
      </c>
    </row>
    <row r="21" customFormat="false" ht="15" hidden="false" customHeight="false" outlineLevel="0" collapsed="false">
      <c r="A21" s="9"/>
      <c r="B21" s="9"/>
      <c r="C21" s="9"/>
      <c r="D21" s="9"/>
      <c r="E21" s="14" t="str">
        <f aca="false">IF(A21="","",IF(AND(B21&lt;&gt;"Financial",D21=""),"Drives nothing",IF(AND(B21&lt;&gt;"Learning and growth",COUNTIF($D$6:$D$21,"*"&amp;A21&amp;"*")=0),"Nothing drives it","OK")))</f>
        <v/>
      </c>
    </row>
  </sheetData>
  <conditionalFormatting sqref="E6:E21">
    <cfRule type="expression" priority="2" aboveAverage="0" equalAverage="0" bottom="0" percent="0" rank="0" text="" dxfId="0">
      <formula>E6="OK"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OR(E6="Drives nothing",E6="Nothing drives it")</formula>
    </cfRule>
  </conditionalFormatting>
  <dataValidations count="1">
    <dataValidation allowBlank="true" errorStyle="stop" operator="between" showDropDown="false" showErrorMessage="false" showInputMessage="false" sqref="B6:B21" type="list">
      <formula1>"Financial,Customer,Internal process,Learning and growth"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4"/>
  </cols>
  <sheetData>
    <row r="1" customFormat="false" ht="19.7" hidden="false" customHeight="false" outlineLevel="0" collapsed="false">
      <c r="A1" s="6" t="s">
        <v>373</v>
      </c>
    </row>
    <row r="2" customFormat="false" ht="15" hidden="false" customHeight="false" outlineLevel="0" collapsed="false">
      <c r="A2" s="3" t="s">
        <v>374</v>
      </c>
    </row>
    <row r="3" customFormat="false" ht="15" hidden="false" customHeight="false" outlineLevel="0" collapsed="false">
      <c r="A3" s="7" t="s">
        <v>44</v>
      </c>
    </row>
    <row r="5" customFormat="false" ht="30" hidden="false" customHeight="true" outlineLevel="0" collapsed="false">
      <c r="A5" s="8" t="s">
        <v>375</v>
      </c>
      <c r="B5" s="8" t="s">
        <v>376</v>
      </c>
      <c r="C5" s="8" t="s">
        <v>377</v>
      </c>
      <c r="D5" s="8" t="s">
        <v>378</v>
      </c>
      <c r="E5" s="8" t="s">
        <v>379</v>
      </c>
      <c r="F5" s="8" t="s">
        <v>380</v>
      </c>
      <c r="G5" s="8" t="s">
        <v>381</v>
      </c>
    </row>
    <row r="6" customFormat="false" ht="15" hidden="false" customHeight="false" outlineLevel="0" collapsed="false">
      <c r="A6" s="9" t="s">
        <v>382</v>
      </c>
      <c r="B6" s="9" t="s">
        <v>383</v>
      </c>
      <c r="C6" s="29" t="n">
        <v>279</v>
      </c>
      <c r="D6" s="13" t="n">
        <v>4.2</v>
      </c>
      <c r="E6" s="13" t="n">
        <v>14</v>
      </c>
      <c r="F6" s="42" t="n">
        <v>5</v>
      </c>
      <c r="G6" s="14" t="str">
        <f aca="false">IF(OR(A6="",B6="",C6="",D6="",E6=""),"",IFERROR(IF(C6&gt;SUMPRODUCT(($B$6:$B$29=B6)*$C$6:$C$29*$E$6:$E$29)/SUMIF($B$6:$B$29,B6,$E$6:$E$29),IF(D6&gt;=SUMPRODUCT(($B$6:$B$29=B6)*$D$6:$D$29*$E$6:$E$29)/SUMIF($B$6:$B$29,B6,$E$6:$E$29),"Premium differentiator","Stuck in the middle"),IF(D6&gt;=SUMPRODUCT(($B$6:$B$29=B6)*$D$6:$D$29*$E$6:$E$29)/SUMIF($B$6:$B$29,B6,$E$6:$E$29),"Value leader","Low-cost / economy")),""))</f>
        <v>Premium differentiator</v>
      </c>
    </row>
    <row r="7" customFormat="false" ht="15" hidden="false" customHeight="false" outlineLevel="0" collapsed="false">
      <c r="A7" s="9" t="s">
        <v>384</v>
      </c>
      <c r="B7" s="9" t="s">
        <v>383</v>
      </c>
      <c r="C7" s="29" t="n">
        <v>239</v>
      </c>
      <c r="D7" s="13" t="n">
        <v>3.4</v>
      </c>
      <c r="E7" s="13" t="n">
        <v>16.5</v>
      </c>
      <c r="F7" s="42" t="n">
        <v>4</v>
      </c>
      <c r="G7" s="14" t="str">
        <f aca="false">IF(OR(A7="",B7="",C7="",D7="",E7=""),"",IFERROR(IF(C7&gt;SUMPRODUCT(($B$6:$B$29=B7)*$C$6:$C$29*$E$6:$E$29)/SUMIF($B$6:$B$29,B7,$E$6:$E$29),IF(D7&gt;=SUMPRODUCT(($B$6:$B$29=B7)*$D$6:$D$29*$E$6:$E$29)/SUMIF($B$6:$B$29,B7,$E$6:$E$29),"Premium differentiator","Stuck in the middle"),IF(D7&gt;=SUMPRODUCT(($B$6:$B$29=B7)*$D$6:$D$29*$E$6:$E$29)/SUMIF($B$6:$B$29,B7,$E$6:$E$29),"Value leader","Low-cost / economy")),""))</f>
        <v>Low-cost / economy</v>
      </c>
    </row>
    <row r="8" customFormat="false" ht="15" hidden="false" customHeight="false" outlineLevel="0" collapsed="false">
      <c r="A8" s="9" t="s">
        <v>385</v>
      </c>
      <c r="B8" s="9" t="s">
        <v>383</v>
      </c>
      <c r="C8" s="29" t="n">
        <v>264</v>
      </c>
      <c r="D8" s="13" t="n">
        <v>4</v>
      </c>
      <c r="E8" s="13" t="n">
        <v>12</v>
      </c>
      <c r="F8" s="42" t="n">
        <v>5</v>
      </c>
      <c r="G8" s="14" t="str">
        <f aca="false">IF(OR(A8="",B8="",C8="",D8="",E8=""),"",IFERROR(IF(C8&gt;SUMPRODUCT(($B$6:$B$29=B8)*$C$6:$C$29*$E$6:$E$29)/SUMIF($B$6:$B$29,B8,$E$6:$E$29),IF(D8&gt;=SUMPRODUCT(($B$6:$B$29=B8)*$D$6:$D$29*$E$6:$E$29)/SUMIF($B$6:$B$29,B8,$E$6:$E$29),"Premium differentiator","Stuck in the middle"),IF(D8&gt;=SUMPRODUCT(($B$6:$B$29=B8)*$D$6:$D$29*$E$6:$E$29)/SUMIF($B$6:$B$29,B8,$E$6:$E$29),"Value leader","Low-cost / economy")),""))</f>
        <v>Low-cost / economy</v>
      </c>
    </row>
    <row r="9" customFormat="false" ht="15" hidden="false" customHeight="false" outlineLevel="0" collapsed="false">
      <c r="A9" s="9" t="s">
        <v>386</v>
      </c>
      <c r="B9" s="9" t="s">
        <v>383</v>
      </c>
      <c r="C9" s="29" t="n">
        <v>319</v>
      </c>
      <c r="D9" s="13" t="n">
        <v>5.1</v>
      </c>
      <c r="E9" s="13" t="n">
        <v>11</v>
      </c>
      <c r="F9" s="42" t="n">
        <v>6</v>
      </c>
      <c r="G9" s="14" t="str">
        <f aca="false">IF(OR(A9="",B9="",C9="",D9="",E9=""),"",IFERROR(IF(C9&gt;SUMPRODUCT(($B$6:$B$29=B9)*$C$6:$C$29*$E$6:$E$29)/SUMIF($B$6:$B$29,B9,$E$6:$E$29),IF(D9&gt;=SUMPRODUCT(($B$6:$B$29=B9)*$D$6:$D$29*$E$6:$E$29)/SUMIF($B$6:$B$29,B9,$E$6:$E$29),"Premium differentiator","Stuck in the middle"),IF(D9&gt;=SUMPRODUCT(($B$6:$B$29=B9)*$D$6:$D$29*$E$6:$E$29)/SUMIF($B$6:$B$29,B9,$E$6:$E$29),"Value leader","Low-cost / economy")),""))</f>
        <v>Premium differentiator</v>
      </c>
    </row>
    <row r="10" customFormat="false" ht="15" hidden="false" customHeight="false" outlineLevel="0" collapsed="false">
      <c r="A10" s="9" t="s">
        <v>387</v>
      </c>
      <c r="B10" s="9" t="s">
        <v>383</v>
      </c>
      <c r="C10" s="29" t="n">
        <v>299</v>
      </c>
      <c r="D10" s="13" t="n">
        <v>3.6</v>
      </c>
      <c r="E10" s="13" t="n">
        <v>9.5</v>
      </c>
      <c r="F10" s="42" t="n">
        <v>5</v>
      </c>
      <c r="G10" s="14" t="str">
        <f aca="false">IF(OR(A10="",B10="",C10="",D10="",E10=""),"",IFERROR(IF(C10&gt;SUMPRODUCT(($B$6:$B$29=B10)*$C$6:$C$29*$E$6:$E$29)/SUMIF($B$6:$B$29,B10,$E$6:$E$29),IF(D10&gt;=SUMPRODUCT(($B$6:$B$29=B10)*$D$6:$D$29*$E$6:$E$29)/SUMIF($B$6:$B$29,B10,$E$6:$E$29),"Premium differentiator","Stuck in the middle"),IF(D10&gt;=SUMPRODUCT(($B$6:$B$29=B10)*$D$6:$D$29*$E$6:$E$29)/SUMIF($B$6:$B$29,B10,$E$6:$E$29),"Value leader","Low-cost / economy")),""))</f>
        <v>Stuck in the middle</v>
      </c>
    </row>
    <row r="11" customFormat="false" ht="15" hidden="false" customHeight="false" outlineLevel="0" collapsed="false">
      <c r="A11" s="9"/>
      <c r="B11" s="9"/>
      <c r="C11" s="29"/>
      <c r="D11" s="13"/>
      <c r="E11" s="13"/>
      <c r="F11" s="42"/>
      <c r="G11" s="14" t="str">
        <f aca="false">IF(OR(A11="",B11="",C11="",D11="",E11=""),"",IFERROR(IF(C11&gt;SUMPRODUCT(($B$6:$B$29=B11)*$C$6:$C$29*$E$6:$E$29)/SUMIF($B$6:$B$29,B11,$E$6:$E$29),IF(D11&gt;=SUMPRODUCT(($B$6:$B$29=B11)*$D$6:$D$29*$E$6:$E$29)/SUMIF($B$6:$B$29,B11,$E$6:$E$29),"Premium differentiator","Stuck in the middle"),IF(D11&gt;=SUMPRODUCT(($B$6:$B$29=B11)*$D$6:$D$29*$E$6:$E$29)/SUMIF($B$6:$B$29,B11,$E$6:$E$29),"Value leader","Low-cost / economy")),""))</f>
        <v/>
      </c>
    </row>
    <row r="12" customFormat="false" ht="15" hidden="false" customHeight="false" outlineLevel="0" collapsed="false">
      <c r="A12" s="9"/>
      <c r="B12" s="9"/>
      <c r="C12" s="29"/>
      <c r="D12" s="13"/>
      <c r="E12" s="13"/>
      <c r="F12" s="42"/>
      <c r="G12" s="14" t="str">
        <f aca="false">IF(OR(A12="",B12="",C12="",D12="",E12=""),"",IFERROR(IF(C12&gt;SUMPRODUCT(($B$6:$B$29=B12)*$C$6:$C$29*$E$6:$E$29)/SUMIF($B$6:$B$29,B12,$E$6:$E$29),IF(D12&gt;=SUMPRODUCT(($B$6:$B$29=B12)*$D$6:$D$29*$E$6:$E$29)/SUMIF($B$6:$B$29,B12,$E$6:$E$29),"Premium differentiator","Stuck in the middle"),IF(D12&gt;=SUMPRODUCT(($B$6:$B$29=B12)*$D$6:$D$29*$E$6:$E$29)/SUMIF($B$6:$B$29,B12,$E$6:$E$29),"Value leader","Low-cost / economy")),""))</f>
        <v/>
      </c>
    </row>
    <row r="13" customFormat="false" ht="15" hidden="false" customHeight="false" outlineLevel="0" collapsed="false">
      <c r="A13" s="9"/>
      <c r="B13" s="9"/>
      <c r="C13" s="29"/>
      <c r="D13" s="13"/>
      <c r="E13" s="13"/>
      <c r="F13" s="42"/>
      <c r="G13" s="14" t="str">
        <f aca="false">IF(OR(A13="",B13="",C13="",D13="",E13=""),"",IFERROR(IF(C13&gt;SUMPRODUCT(($B$6:$B$29=B13)*$C$6:$C$29*$E$6:$E$29)/SUMIF($B$6:$B$29,B13,$E$6:$E$29),IF(D13&gt;=SUMPRODUCT(($B$6:$B$29=B13)*$D$6:$D$29*$E$6:$E$29)/SUMIF($B$6:$B$29,B13,$E$6:$E$29),"Premium differentiator","Stuck in the middle"),IF(D13&gt;=SUMPRODUCT(($B$6:$B$29=B13)*$D$6:$D$29*$E$6:$E$29)/SUMIF($B$6:$B$29,B13,$E$6:$E$29),"Value leader","Low-cost / economy")),""))</f>
        <v/>
      </c>
    </row>
    <row r="14" customFormat="false" ht="15" hidden="false" customHeight="false" outlineLevel="0" collapsed="false">
      <c r="A14" s="9"/>
      <c r="B14" s="9"/>
      <c r="C14" s="29"/>
      <c r="D14" s="13"/>
      <c r="E14" s="13"/>
      <c r="F14" s="42"/>
      <c r="G14" s="14" t="str">
        <f aca="false">IF(OR(A14="",B14="",C14="",D14="",E14=""),"",IFERROR(IF(C14&gt;SUMPRODUCT(($B$6:$B$29=B14)*$C$6:$C$29*$E$6:$E$29)/SUMIF($B$6:$B$29,B14,$E$6:$E$29),IF(D14&gt;=SUMPRODUCT(($B$6:$B$29=B14)*$D$6:$D$29*$E$6:$E$29)/SUMIF($B$6:$B$29,B14,$E$6:$E$29),"Premium differentiator","Stuck in the middle"),IF(D14&gt;=SUMPRODUCT(($B$6:$B$29=B14)*$D$6:$D$29*$E$6:$E$29)/SUMIF($B$6:$B$29,B14,$E$6:$E$29),"Value leader","Low-cost / economy")),""))</f>
        <v/>
      </c>
    </row>
    <row r="15" customFormat="false" ht="15" hidden="false" customHeight="false" outlineLevel="0" collapsed="false">
      <c r="A15" s="9"/>
      <c r="B15" s="9"/>
      <c r="C15" s="29"/>
      <c r="D15" s="13"/>
      <c r="E15" s="13"/>
      <c r="F15" s="42"/>
      <c r="G15" s="14" t="str">
        <f aca="false">IF(OR(A15="",B15="",C15="",D15="",E15=""),"",IFERROR(IF(C15&gt;SUMPRODUCT(($B$6:$B$29=B15)*$C$6:$C$29*$E$6:$E$29)/SUMIF($B$6:$B$29,B15,$E$6:$E$29),IF(D15&gt;=SUMPRODUCT(($B$6:$B$29=B15)*$D$6:$D$29*$E$6:$E$29)/SUMIF($B$6:$B$29,B15,$E$6:$E$29),"Premium differentiator","Stuck in the middle"),IF(D15&gt;=SUMPRODUCT(($B$6:$B$29=B15)*$D$6:$D$29*$E$6:$E$29)/SUMIF($B$6:$B$29,B15,$E$6:$E$29),"Value leader","Low-cost / economy")),""))</f>
        <v/>
      </c>
    </row>
    <row r="16" customFormat="false" ht="15" hidden="false" customHeight="false" outlineLevel="0" collapsed="false">
      <c r="A16" s="9"/>
      <c r="B16" s="9"/>
      <c r="C16" s="29"/>
      <c r="D16" s="13"/>
      <c r="E16" s="13"/>
      <c r="F16" s="42"/>
      <c r="G16" s="14" t="str">
        <f aca="false">IF(OR(A16="",B16="",C16="",D16="",E16=""),"",IFERROR(IF(C16&gt;SUMPRODUCT(($B$6:$B$29=B16)*$C$6:$C$29*$E$6:$E$29)/SUMIF($B$6:$B$29,B16,$E$6:$E$29),IF(D16&gt;=SUMPRODUCT(($B$6:$B$29=B16)*$D$6:$D$29*$E$6:$E$29)/SUMIF($B$6:$B$29,B16,$E$6:$E$29),"Premium differentiator","Stuck in the middle"),IF(D16&gt;=SUMPRODUCT(($B$6:$B$29=B16)*$D$6:$D$29*$E$6:$E$29)/SUMIF($B$6:$B$29,B16,$E$6:$E$29),"Value leader","Low-cost / economy")),""))</f>
        <v/>
      </c>
    </row>
    <row r="17" customFormat="false" ht="15" hidden="false" customHeight="false" outlineLevel="0" collapsed="false">
      <c r="A17" s="9"/>
      <c r="B17" s="9"/>
      <c r="C17" s="29"/>
      <c r="D17" s="13"/>
      <c r="E17" s="13"/>
      <c r="F17" s="42"/>
      <c r="G17" s="14" t="str">
        <f aca="false">IF(OR(A17="",B17="",C17="",D17="",E17=""),"",IFERROR(IF(C17&gt;SUMPRODUCT(($B$6:$B$29=B17)*$C$6:$C$29*$E$6:$E$29)/SUMIF($B$6:$B$29,B17,$E$6:$E$29),IF(D17&gt;=SUMPRODUCT(($B$6:$B$29=B17)*$D$6:$D$29*$E$6:$E$29)/SUMIF($B$6:$B$29,B17,$E$6:$E$29),"Premium differentiator","Stuck in the middle"),IF(D17&gt;=SUMPRODUCT(($B$6:$B$29=B17)*$D$6:$D$29*$E$6:$E$29)/SUMIF($B$6:$B$29,B17,$E$6:$E$29),"Value leader","Low-cost / economy")),""))</f>
        <v/>
      </c>
    </row>
    <row r="18" customFormat="false" ht="15" hidden="false" customHeight="false" outlineLevel="0" collapsed="false">
      <c r="A18" s="9"/>
      <c r="B18" s="9"/>
      <c r="C18" s="29"/>
      <c r="D18" s="13"/>
      <c r="E18" s="13"/>
      <c r="F18" s="42"/>
      <c r="G18" s="14" t="str">
        <f aca="false">IF(OR(A18="",B18="",C18="",D18="",E18=""),"",IFERROR(IF(C18&gt;SUMPRODUCT(($B$6:$B$29=B18)*$C$6:$C$29*$E$6:$E$29)/SUMIF($B$6:$B$29,B18,$E$6:$E$29),IF(D18&gt;=SUMPRODUCT(($B$6:$B$29=B18)*$D$6:$D$29*$E$6:$E$29)/SUMIF($B$6:$B$29,B18,$E$6:$E$29),"Premium differentiator","Stuck in the middle"),IF(D18&gt;=SUMPRODUCT(($B$6:$B$29=B18)*$D$6:$D$29*$E$6:$E$29)/SUMIF($B$6:$B$29,B18,$E$6:$E$29),"Value leader","Low-cost / economy")),""))</f>
        <v/>
      </c>
    </row>
    <row r="19" customFormat="false" ht="15" hidden="false" customHeight="false" outlineLevel="0" collapsed="false">
      <c r="A19" s="9"/>
      <c r="B19" s="9"/>
      <c r="C19" s="29"/>
      <c r="D19" s="13"/>
      <c r="E19" s="13"/>
      <c r="F19" s="42"/>
      <c r="G19" s="14" t="str">
        <f aca="false">IF(OR(A19="",B19="",C19="",D19="",E19=""),"",IFERROR(IF(C19&gt;SUMPRODUCT(($B$6:$B$29=B19)*$C$6:$C$29*$E$6:$E$29)/SUMIF($B$6:$B$29,B19,$E$6:$E$29),IF(D19&gt;=SUMPRODUCT(($B$6:$B$29=B19)*$D$6:$D$29*$E$6:$E$29)/SUMIF($B$6:$B$29,B19,$E$6:$E$29),"Premium differentiator","Stuck in the middle"),IF(D19&gt;=SUMPRODUCT(($B$6:$B$29=B19)*$D$6:$D$29*$E$6:$E$29)/SUMIF($B$6:$B$29,B19,$E$6:$E$29),"Value leader","Low-cost / economy")),""))</f>
        <v/>
      </c>
    </row>
    <row r="20" customFormat="false" ht="15" hidden="false" customHeight="false" outlineLevel="0" collapsed="false">
      <c r="A20" s="9"/>
      <c r="B20" s="9"/>
      <c r="C20" s="29"/>
      <c r="D20" s="13"/>
      <c r="E20" s="13"/>
      <c r="F20" s="42"/>
      <c r="G20" s="14" t="str">
        <f aca="false">IF(OR(A20="",B20="",C20="",D20="",E20=""),"",IFERROR(IF(C20&gt;SUMPRODUCT(($B$6:$B$29=B20)*$C$6:$C$29*$E$6:$E$29)/SUMIF($B$6:$B$29,B20,$E$6:$E$29),IF(D20&gt;=SUMPRODUCT(($B$6:$B$29=B20)*$D$6:$D$29*$E$6:$E$29)/SUMIF($B$6:$B$29,B20,$E$6:$E$29),"Premium differentiator","Stuck in the middle"),IF(D20&gt;=SUMPRODUCT(($B$6:$B$29=B20)*$D$6:$D$29*$E$6:$E$29)/SUMIF($B$6:$B$29,B20,$E$6:$E$29),"Value leader","Low-cost / economy")),""))</f>
        <v/>
      </c>
    </row>
    <row r="21" customFormat="false" ht="15" hidden="false" customHeight="false" outlineLevel="0" collapsed="false">
      <c r="A21" s="9"/>
      <c r="B21" s="9"/>
      <c r="C21" s="29"/>
      <c r="D21" s="13"/>
      <c r="E21" s="13"/>
      <c r="F21" s="42"/>
      <c r="G21" s="14" t="str">
        <f aca="false">IF(OR(A21="",B21="",C21="",D21="",E21=""),"",IFERROR(IF(C21&gt;SUMPRODUCT(($B$6:$B$29=B21)*$C$6:$C$29*$E$6:$E$29)/SUMIF($B$6:$B$29,B21,$E$6:$E$29),IF(D21&gt;=SUMPRODUCT(($B$6:$B$29=B21)*$D$6:$D$29*$E$6:$E$29)/SUMIF($B$6:$B$29,B21,$E$6:$E$29),"Premium differentiator","Stuck in the middle"),IF(D21&gt;=SUMPRODUCT(($B$6:$B$29=B21)*$D$6:$D$29*$E$6:$E$29)/SUMIF($B$6:$B$29,B21,$E$6:$E$29),"Value leader","Low-cost / economy")),""))</f>
        <v/>
      </c>
    </row>
    <row r="22" customFormat="false" ht="15" hidden="false" customHeight="false" outlineLevel="0" collapsed="false">
      <c r="A22" s="9"/>
      <c r="B22" s="9"/>
      <c r="C22" s="29"/>
      <c r="D22" s="13"/>
      <c r="E22" s="13"/>
      <c r="F22" s="42"/>
      <c r="G22" s="14" t="str">
        <f aca="false">IF(OR(A22="",B22="",C22="",D22="",E22=""),"",IFERROR(IF(C22&gt;SUMPRODUCT(($B$6:$B$29=B22)*$C$6:$C$29*$E$6:$E$29)/SUMIF($B$6:$B$29,B22,$E$6:$E$29),IF(D22&gt;=SUMPRODUCT(($B$6:$B$29=B22)*$D$6:$D$29*$E$6:$E$29)/SUMIF($B$6:$B$29,B22,$E$6:$E$29),"Premium differentiator","Stuck in the middle"),IF(D22&gt;=SUMPRODUCT(($B$6:$B$29=B22)*$D$6:$D$29*$E$6:$E$29)/SUMIF($B$6:$B$29,B22,$E$6:$E$29),"Value leader","Low-cost / economy")),""))</f>
        <v/>
      </c>
    </row>
    <row r="23" customFormat="false" ht="15" hidden="false" customHeight="false" outlineLevel="0" collapsed="false">
      <c r="A23" s="9"/>
      <c r="B23" s="9"/>
      <c r="C23" s="29"/>
      <c r="D23" s="13"/>
      <c r="E23" s="13"/>
      <c r="F23" s="42"/>
      <c r="G23" s="14" t="str">
        <f aca="false">IF(OR(A23="",B23="",C23="",D23="",E23=""),"",IFERROR(IF(C23&gt;SUMPRODUCT(($B$6:$B$29=B23)*$C$6:$C$29*$E$6:$E$29)/SUMIF($B$6:$B$29,B23,$E$6:$E$29),IF(D23&gt;=SUMPRODUCT(($B$6:$B$29=B23)*$D$6:$D$29*$E$6:$E$29)/SUMIF($B$6:$B$29,B23,$E$6:$E$29),"Premium differentiator","Stuck in the middle"),IF(D23&gt;=SUMPRODUCT(($B$6:$B$29=B23)*$D$6:$D$29*$E$6:$E$29)/SUMIF($B$6:$B$29,B23,$E$6:$E$29),"Value leader","Low-cost / economy")),""))</f>
        <v/>
      </c>
    </row>
    <row r="24" customFormat="false" ht="15" hidden="false" customHeight="false" outlineLevel="0" collapsed="false">
      <c r="A24" s="9"/>
      <c r="B24" s="9"/>
      <c r="C24" s="29"/>
      <c r="D24" s="13"/>
      <c r="E24" s="13"/>
      <c r="F24" s="42"/>
      <c r="G24" s="14" t="str">
        <f aca="false">IF(OR(A24="",B24="",C24="",D24="",E24=""),"",IFERROR(IF(C24&gt;SUMPRODUCT(($B$6:$B$29=B24)*$C$6:$C$29*$E$6:$E$29)/SUMIF($B$6:$B$29,B24,$E$6:$E$29),IF(D24&gt;=SUMPRODUCT(($B$6:$B$29=B24)*$D$6:$D$29*$E$6:$E$29)/SUMIF($B$6:$B$29,B24,$E$6:$E$29),"Premium differentiator","Stuck in the middle"),IF(D24&gt;=SUMPRODUCT(($B$6:$B$29=B24)*$D$6:$D$29*$E$6:$E$29)/SUMIF($B$6:$B$29,B24,$E$6:$E$29),"Value leader","Low-cost / economy")),""))</f>
        <v/>
      </c>
    </row>
    <row r="25" customFormat="false" ht="15" hidden="false" customHeight="false" outlineLevel="0" collapsed="false">
      <c r="A25" s="9"/>
      <c r="B25" s="9"/>
      <c r="C25" s="29"/>
      <c r="D25" s="13"/>
      <c r="E25" s="13"/>
      <c r="F25" s="42"/>
      <c r="G25" s="14" t="str">
        <f aca="false">IF(OR(A25="",B25="",C25="",D25="",E25=""),"",IFERROR(IF(C25&gt;SUMPRODUCT(($B$6:$B$29=B25)*$C$6:$C$29*$E$6:$E$29)/SUMIF($B$6:$B$29,B25,$E$6:$E$29),IF(D25&gt;=SUMPRODUCT(($B$6:$B$29=B25)*$D$6:$D$29*$E$6:$E$29)/SUMIF($B$6:$B$29,B25,$E$6:$E$29),"Premium differentiator","Stuck in the middle"),IF(D25&gt;=SUMPRODUCT(($B$6:$B$29=B25)*$D$6:$D$29*$E$6:$E$29)/SUMIF($B$6:$B$29,B25,$E$6:$E$29),"Value leader","Low-cost / economy")),""))</f>
        <v/>
      </c>
    </row>
    <row r="26" customFormat="false" ht="15" hidden="false" customHeight="false" outlineLevel="0" collapsed="false">
      <c r="A26" s="9"/>
      <c r="B26" s="9"/>
      <c r="C26" s="29"/>
      <c r="D26" s="13"/>
      <c r="E26" s="13"/>
      <c r="F26" s="42"/>
      <c r="G26" s="14" t="str">
        <f aca="false">IF(OR(A26="",B26="",C26="",D26="",E26=""),"",IFERROR(IF(C26&gt;SUMPRODUCT(($B$6:$B$29=B26)*$C$6:$C$29*$E$6:$E$29)/SUMIF($B$6:$B$29,B26,$E$6:$E$29),IF(D26&gt;=SUMPRODUCT(($B$6:$B$29=B26)*$D$6:$D$29*$E$6:$E$29)/SUMIF($B$6:$B$29,B26,$E$6:$E$29),"Premium differentiator","Stuck in the middle"),IF(D26&gt;=SUMPRODUCT(($B$6:$B$29=B26)*$D$6:$D$29*$E$6:$E$29)/SUMIF($B$6:$B$29,B26,$E$6:$E$29),"Value leader","Low-cost / economy")),""))</f>
        <v/>
      </c>
    </row>
    <row r="27" customFormat="false" ht="15" hidden="false" customHeight="false" outlineLevel="0" collapsed="false">
      <c r="A27" s="9"/>
      <c r="B27" s="9"/>
      <c r="C27" s="29"/>
      <c r="D27" s="13"/>
      <c r="E27" s="13"/>
      <c r="F27" s="42"/>
      <c r="G27" s="14" t="str">
        <f aca="false">IF(OR(A27="",B27="",C27="",D27="",E27=""),"",IFERROR(IF(C27&gt;SUMPRODUCT(($B$6:$B$29=B27)*$C$6:$C$29*$E$6:$E$29)/SUMIF($B$6:$B$29,B27,$E$6:$E$29),IF(D27&gt;=SUMPRODUCT(($B$6:$B$29=B27)*$D$6:$D$29*$E$6:$E$29)/SUMIF($B$6:$B$29,B27,$E$6:$E$29),"Premium differentiator","Stuck in the middle"),IF(D27&gt;=SUMPRODUCT(($B$6:$B$29=B27)*$D$6:$D$29*$E$6:$E$29)/SUMIF($B$6:$B$29,B27,$E$6:$E$29),"Value leader","Low-cost / economy")),""))</f>
        <v/>
      </c>
    </row>
    <row r="28" customFormat="false" ht="15" hidden="false" customHeight="false" outlineLevel="0" collapsed="false">
      <c r="A28" s="9"/>
      <c r="B28" s="9"/>
      <c r="C28" s="29"/>
      <c r="D28" s="13"/>
      <c r="E28" s="13"/>
      <c r="F28" s="42"/>
      <c r="G28" s="14" t="str">
        <f aca="false">IF(OR(A28="",B28="",C28="",D28="",E28=""),"",IFERROR(IF(C28&gt;SUMPRODUCT(($B$6:$B$29=B28)*$C$6:$C$29*$E$6:$E$29)/SUMIF($B$6:$B$29,B28,$E$6:$E$29),IF(D28&gt;=SUMPRODUCT(($B$6:$B$29=B28)*$D$6:$D$29*$E$6:$E$29)/SUMIF($B$6:$B$29,B28,$E$6:$E$29),"Premium differentiator","Stuck in the middle"),IF(D28&gt;=SUMPRODUCT(($B$6:$B$29=B28)*$D$6:$D$29*$E$6:$E$29)/SUMIF($B$6:$B$29,B28,$E$6:$E$29),"Value leader","Low-cost / economy")),""))</f>
        <v/>
      </c>
    </row>
    <row r="29" customFormat="false" ht="15" hidden="false" customHeight="false" outlineLevel="0" collapsed="false">
      <c r="A29" s="9"/>
      <c r="B29" s="9"/>
      <c r="C29" s="29"/>
      <c r="D29" s="13"/>
      <c r="E29" s="13"/>
      <c r="F29" s="42"/>
      <c r="G29" s="14" t="str">
        <f aca="false">IF(OR(A29="",B29="",C29="",D29="",E29=""),"",IFERROR(IF(C29&gt;SUMPRODUCT(($B$6:$B$29=B29)*$C$6:$C$29*$E$6:$E$29)/SUMIF($B$6:$B$29,B29,$E$6:$E$29),IF(D29&gt;=SUMPRODUCT(($B$6:$B$29=B29)*$D$6:$D$29*$E$6:$E$29)/SUMIF($B$6:$B$29,B29,$E$6:$E$29),"Premium differentiator","Stuck in the middle"),IF(D29&gt;=SUMPRODUCT(($B$6:$B$29=B29)*$D$6:$D$29*$E$6:$E$29)/SUMIF($B$6:$B$29,B29,$E$6:$E$29),"Value leader","Low-cost / economy")),""))</f>
        <v/>
      </c>
    </row>
    <row r="31" customFormat="false" ht="46.25" hidden="false" customHeight="false" outlineLevel="0" collapsed="false">
      <c r="A31" s="11" t="s">
        <v>388</v>
      </c>
      <c r="C31" s="11" t="s">
        <v>389</v>
      </c>
      <c r="D31" s="11" t="s">
        <v>390</v>
      </c>
    </row>
    <row r="32" customFormat="false" ht="15" hidden="false" customHeight="false" outlineLevel="0" collapsed="false">
      <c r="A32" s="5" t="s">
        <v>383</v>
      </c>
      <c r="C32" s="33" t="n">
        <f aca="false">IFERROR(SUMPRODUCT(($B$6:$B$29="Camera")*$C$6:$C$29*$E$6:$E$29)/SUMIF($B$6:$B$29,"Camera",$E$6:$E$29),"")</f>
        <v>275.666666666667</v>
      </c>
      <c r="D32" s="25" t="n">
        <f aca="false">IFERROR(SUMPRODUCT(($B$6:$B$29="Camera")*$D$6:$D$29*$E$6:$E$29)/SUMIF($B$6:$B$29,"Camera",$E$6:$E$29),"")</f>
        <v>4.01904761904762</v>
      </c>
    </row>
    <row r="33" customFormat="false" ht="15" hidden="false" customHeight="false" outlineLevel="0" collapsed="false">
      <c r="A33" s="5" t="s">
        <v>391</v>
      </c>
      <c r="C33" s="33" t="str">
        <f aca="false">IFERROR(SUMPRODUCT(($B$6:$B$29="Drone")*$C$6:$C$29*$E$6:$E$29)/SUMIF($B$6:$B$29,"Drone",$E$6:$E$29),"")</f>
        <v/>
      </c>
      <c r="D33" s="25" t="str">
        <f aca="false">IFERROR(SUMPRODUCT(($B$6:$B$29="Drone")*$D$6:$D$29*$E$6:$E$29)/SUMIF($B$6:$B$29,"Drone",$E$6:$E$29),"")</f>
        <v/>
      </c>
    </row>
  </sheetData>
  <conditionalFormatting sqref="G6:G29">
    <cfRule type="expression" priority="2" aboveAverage="0" equalAverage="0" bottom="0" percent="0" rank="0" text="" dxfId="0">
      <formula>OR(G6="Premium differentiator",G6="Value leader")</formula>
    </cfRule>
    <cfRule type="expression" priority="3" aboveAverage="0" equalAverage="0" bottom="0" percent="0" rank="0" text="" dxfId="1">
      <formula>G6="Low-cost / economy"</formula>
    </cfRule>
    <cfRule type="expression" priority="4" aboveAverage="0" equalAverage="0" bottom="0" percent="0" rank="0" text="" dxfId="2">
      <formula>G6="Stuck in the middle"</formula>
    </cfRule>
  </conditionalFormatting>
  <dataValidations count="1">
    <dataValidation allowBlank="true" errorStyle="stop" operator="between" showDropDown="false" showErrorMessage="false" showInputMessage="false" sqref="B6:B29" type="list">
      <formula1>"Camera,Drone"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N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14" min="4" style="0" width="12"/>
  </cols>
  <sheetData>
    <row r="1" customFormat="false" ht="19.7" hidden="false" customHeight="false" outlineLevel="0" collapsed="false">
      <c r="A1" s="6" t="s">
        <v>392</v>
      </c>
    </row>
    <row r="2" customFormat="false" ht="15" hidden="false" customHeight="false" outlineLevel="0" collapsed="false">
      <c r="A2" s="3" t="s">
        <v>393</v>
      </c>
    </row>
    <row r="3" customFormat="false" ht="15" hidden="false" customHeight="false" outlineLevel="0" collapsed="false">
      <c r="A3" s="7" t="s">
        <v>44</v>
      </c>
    </row>
    <row r="4" customFormat="false" ht="15" hidden="false" customHeight="false" outlineLevel="0" collapsed="false">
      <c r="A4" s="4" t="s">
        <v>394</v>
      </c>
      <c r="D4" s="17" t="n">
        <v>0.15</v>
      </c>
    </row>
    <row r="5" customFormat="false" ht="30" hidden="false" customHeight="true" outlineLevel="0" collapsed="false">
      <c r="A5" s="8" t="s">
        <v>395</v>
      </c>
      <c r="B5" s="8" t="s">
        <v>396</v>
      </c>
      <c r="C5" s="8" t="s">
        <v>397</v>
      </c>
      <c r="D5" s="8" t="s">
        <v>398</v>
      </c>
      <c r="E5" s="8" t="s">
        <v>399</v>
      </c>
      <c r="F5" s="8" t="s">
        <v>400</v>
      </c>
      <c r="G5" s="8" t="s">
        <v>401</v>
      </c>
      <c r="H5" s="8" t="s">
        <v>402</v>
      </c>
      <c r="I5" s="8" t="s">
        <v>403</v>
      </c>
      <c r="J5" s="8" t="s">
        <v>404</v>
      </c>
      <c r="K5" s="8" t="s">
        <v>405</v>
      </c>
      <c r="L5" s="8" t="s">
        <v>406</v>
      </c>
      <c r="M5" s="8" t="s">
        <v>407</v>
      </c>
      <c r="N5" s="8" t="s">
        <v>408</v>
      </c>
    </row>
    <row r="6" customFormat="false" ht="15" hidden="false" customHeight="false" outlineLevel="0" collapsed="false">
      <c r="A6" s="43" t="s">
        <v>409</v>
      </c>
      <c r="B6" s="11" t="s">
        <v>410</v>
      </c>
      <c r="C6" s="5" t="s">
        <v>411</v>
      </c>
      <c r="D6" s="5" t="s">
        <v>412</v>
      </c>
      <c r="E6" s="9" t="s">
        <v>413</v>
      </c>
      <c r="F6" s="9" t="s">
        <v>413</v>
      </c>
      <c r="G6" s="9"/>
      <c r="H6" s="9"/>
      <c r="I6" s="9"/>
      <c r="J6" s="9"/>
      <c r="K6" s="9"/>
      <c r="L6" s="9"/>
      <c r="M6" s="9"/>
      <c r="N6" s="9"/>
    </row>
    <row r="7" customFormat="false" ht="23.85" hidden="false" customHeight="false" outlineLevel="0" collapsed="false">
      <c r="A7" s="43" t="s">
        <v>414</v>
      </c>
      <c r="B7" s="11"/>
      <c r="C7" s="5" t="s">
        <v>415</v>
      </c>
      <c r="D7" s="5" t="s">
        <v>412</v>
      </c>
      <c r="E7" s="9" t="s">
        <v>416</v>
      </c>
      <c r="F7" s="9" t="s">
        <v>416</v>
      </c>
      <c r="G7" s="9"/>
      <c r="H7" s="9"/>
      <c r="I7" s="9"/>
      <c r="J7" s="9"/>
      <c r="K7" s="9"/>
      <c r="L7" s="9"/>
      <c r="M7" s="9"/>
      <c r="N7" s="9"/>
    </row>
    <row r="8" customFormat="false" ht="15" hidden="false" customHeight="false" outlineLevel="0" collapsed="false">
      <c r="A8" s="43" t="s">
        <v>417</v>
      </c>
      <c r="B8" s="11" t="s">
        <v>418</v>
      </c>
      <c r="C8" s="5" t="s">
        <v>419</v>
      </c>
      <c r="D8" s="5" t="s">
        <v>420</v>
      </c>
      <c r="E8" s="13"/>
      <c r="F8" s="13"/>
      <c r="G8" s="13"/>
      <c r="H8" s="13"/>
      <c r="I8" s="13"/>
      <c r="J8" s="13"/>
      <c r="K8" s="13"/>
      <c r="L8" s="13"/>
      <c r="M8" s="13"/>
      <c r="N8" s="13"/>
    </row>
    <row r="9" customFormat="false" ht="15" hidden="false" customHeight="false" outlineLevel="0" collapsed="false">
      <c r="A9" s="43" t="s">
        <v>421</v>
      </c>
      <c r="B9" s="11"/>
      <c r="C9" s="5" t="s">
        <v>422</v>
      </c>
      <c r="D9" s="5" t="s">
        <v>420</v>
      </c>
      <c r="E9" s="13"/>
      <c r="F9" s="13"/>
      <c r="G9" s="13"/>
      <c r="H9" s="13"/>
      <c r="I9" s="13"/>
      <c r="J9" s="13"/>
      <c r="K9" s="13"/>
      <c r="L9" s="13"/>
      <c r="M9" s="13"/>
      <c r="N9" s="13"/>
    </row>
    <row r="10" customFormat="false" ht="15" hidden="false" customHeight="false" outlineLevel="0" collapsed="false">
      <c r="A10" s="43" t="s">
        <v>423</v>
      </c>
      <c r="B10" s="11"/>
      <c r="C10" s="5" t="s">
        <v>424</v>
      </c>
      <c r="D10" s="5" t="s">
        <v>425</v>
      </c>
      <c r="E10" s="42"/>
      <c r="F10" s="42"/>
      <c r="G10" s="42"/>
      <c r="H10" s="42"/>
      <c r="I10" s="42"/>
      <c r="J10" s="42"/>
      <c r="K10" s="42"/>
      <c r="L10" s="42"/>
      <c r="M10" s="42"/>
      <c r="N10" s="42"/>
    </row>
    <row r="11" customFormat="false" ht="15" hidden="false" customHeight="false" outlineLevel="0" collapsed="false">
      <c r="A11" s="43" t="s">
        <v>426</v>
      </c>
      <c r="B11" s="11"/>
      <c r="C11" s="5" t="s">
        <v>427</v>
      </c>
      <c r="D11" s="5" t="s">
        <v>425</v>
      </c>
      <c r="E11" s="42"/>
      <c r="F11" s="42"/>
      <c r="G11" s="42"/>
      <c r="H11" s="42"/>
      <c r="I11" s="42"/>
      <c r="J11" s="42"/>
      <c r="K11" s="42"/>
      <c r="L11" s="42"/>
      <c r="M11" s="42"/>
      <c r="N11" s="42"/>
    </row>
    <row r="12" customFormat="false" ht="15" hidden="false" customHeight="false" outlineLevel="0" collapsed="false">
      <c r="A12" s="43" t="s">
        <v>428</v>
      </c>
      <c r="B12" s="11"/>
      <c r="C12" s="5" t="s">
        <v>429</v>
      </c>
      <c r="D12" s="5" t="s">
        <v>430</v>
      </c>
      <c r="E12" s="28"/>
      <c r="F12" s="28"/>
      <c r="G12" s="28"/>
      <c r="H12" s="28"/>
      <c r="I12" s="28"/>
      <c r="J12" s="28"/>
      <c r="K12" s="28"/>
      <c r="L12" s="28"/>
      <c r="M12" s="28"/>
      <c r="N12" s="28"/>
    </row>
    <row r="13" customFormat="false" ht="15" hidden="false" customHeight="false" outlineLevel="0" collapsed="false">
      <c r="A13" s="43" t="s">
        <v>431</v>
      </c>
      <c r="B13" s="11"/>
      <c r="C13" s="5" t="s">
        <v>432</v>
      </c>
      <c r="D13" s="5" t="s">
        <v>430</v>
      </c>
      <c r="E13" s="28"/>
      <c r="F13" s="28"/>
      <c r="G13" s="28"/>
      <c r="H13" s="28"/>
      <c r="I13" s="28"/>
      <c r="J13" s="28"/>
      <c r="K13" s="28"/>
      <c r="L13" s="28"/>
      <c r="M13" s="28"/>
      <c r="N13" s="28"/>
    </row>
    <row r="14" customFormat="false" ht="15" hidden="false" customHeight="false" outlineLevel="0" collapsed="false">
      <c r="A14" s="43" t="s">
        <v>433</v>
      </c>
      <c r="B14" s="11" t="s">
        <v>434</v>
      </c>
      <c r="C14" s="5" t="s">
        <v>435</v>
      </c>
      <c r="D14" s="5" t="s">
        <v>241</v>
      </c>
      <c r="E14" s="44" t="n">
        <v>264</v>
      </c>
      <c r="F14" s="44" t="n">
        <v>249</v>
      </c>
      <c r="G14" s="44"/>
      <c r="H14" s="44"/>
      <c r="I14" s="44"/>
      <c r="J14" s="44"/>
      <c r="K14" s="44"/>
      <c r="L14" s="44"/>
      <c r="M14" s="44"/>
      <c r="N14" s="44"/>
    </row>
    <row r="15" customFormat="false" ht="15" hidden="false" customHeight="false" outlineLevel="0" collapsed="false">
      <c r="A15" s="43" t="s">
        <v>436</v>
      </c>
      <c r="B15" s="11"/>
      <c r="C15" s="5" t="s">
        <v>437</v>
      </c>
      <c r="D15" s="5" t="s">
        <v>241</v>
      </c>
      <c r="E15" s="44"/>
      <c r="F15" s="44"/>
      <c r="G15" s="44"/>
      <c r="H15" s="44"/>
      <c r="I15" s="44"/>
      <c r="J15" s="44"/>
      <c r="K15" s="44"/>
      <c r="L15" s="44"/>
      <c r="M15" s="44"/>
      <c r="N15" s="44"/>
    </row>
    <row r="16" customFormat="false" ht="15" hidden="false" customHeight="false" outlineLevel="0" collapsed="false">
      <c r="A16" s="43" t="s">
        <v>438</v>
      </c>
      <c r="B16" s="11"/>
      <c r="C16" s="5" t="s">
        <v>439</v>
      </c>
      <c r="D16" s="5" t="s">
        <v>241</v>
      </c>
      <c r="E16" s="44"/>
      <c r="F16" s="44"/>
      <c r="G16" s="44"/>
      <c r="H16" s="44"/>
      <c r="I16" s="44"/>
      <c r="J16" s="44"/>
      <c r="K16" s="44"/>
      <c r="L16" s="44"/>
      <c r="M16" s="44"/>
      <c r="N16" s="44"/>
    </row>
    <row r="17" customFormat="false" ht="15" hidden="false" customHeight="false" outlineLevel="0" collapsed="false">
      <c r="A17" s="43" t="s">
        <v>440</v>
      </c>
      <c r="B17" s="11"/>
      <c r="C17" s="5" t="s">
        <v>441</v>
      </c>
      <c r="D17" s="5" t="s">
        <v>241</v>
      </c>
      <c r="E17" s="44"/>
      <c r="F17" s="44"/>
      <c r="G17" s="44"/>
      <c r="H17" s="44"/>
      <c r="I17" s="44"/>
      <c r="J17" s="44"/>
      <c r="K17" s="44"/>
      <c r="L17" s="44"/>
      <c r="M17" s="44"/>
      <c r="N17" s="44"/>
    </row>
    <row r="18" customFormat="false" ht="15" hidden="false" customHeight="false" outlineLevel="0" collapsed="false">
      <c r="A18" s="43" t="s">
        <v>442</v>
      </c>
      <c r="B18" s="11"/>
      <c r="C18" s="5" t="s">
        <v>443</v>
      </c>
      <c r="D18" s="5" t="s">
        <v>241</v>
      </c>
      <c r="E18" s="44"/>
      <c r="F18" s="44"/>
      <c r="G18" s="44"/>
      <c r="H18" s="44"/>
      <c r="I18" s="44"/>
      <c r="J18" s="44"/>
      <c r="K18" s="44"/>
      <c r="L18" s="44"/>
      <c r="M18" s="44"/>
      <c r="N18" s="44"/>
    </row>
    <row r="19" customFormat="false" ht="15" hidden="false" customHeight="false" outlineLevel="0" collapsed="false">
      <c r="A19" s="43" t="s">
        <v>444</v>
      </c>
      <c r="B19" s="11"/>
      <c r="C19" s="5" t="s">
        <v>445</v>
      </c>
      <c r="D19" s="5" t="s">
        <v>241</v>
      </c>
      <c r="E19" s="44"/>
      <c r="F19" s="44"/>
      <c r="G19" s="44"/>
      <c r="H19" s="44"/>
      <c r="I19" s="44"/>
      <c r="J19" s="44"/>
      <c r="K19" s="44"/>
      <c r="L19" s="44"/>
      <c r="M19" s="44"/>
      <c r="N19" s="44"/>
    </row>
    <row r="20" customFormat="false" ht="15" hidden="false" customHeight="false" outlineLevel="0" collapsed="false">
      <c r="A20" s="43" t="s">
        <v>446</v>
      </c>
      <c r="B20" s="11"/>
      <c r="C20" s="5" t="s">
        <v>447</v>
      </c>
      <c r="D20" s="5" t="s">
        <v>241</v>
      </c>
      <c r="E20" s="44"/>
      <c r="F20" s="44"/>
      <c r="G20" s="44"/>
      <c r="H20" s="44"/>
      <c r="I20" s="44"/>
      <c r="J20" s="44"/>
      <c r="K20" s="44"/>
      <c r="L20" s="44"/>
      <c r="M20" s="44"/>
      <c r="N20" s="44"/>
    </row>
    <row r="21" customFormat="false" ht="15" hidden="false" customHeight="false" outlineLevel="0" collapsed="false">
      <c r="A21" s="43" t="s">
        <v>448</v>
      </c>
      <c r="B21" s="11"/>
      <c r="C21" s="5" t="s">
        <v>449</v>
      </c>
      <c r="D21" s="5" t="s">
        <v>241</v>
      </c>
      <c r="E21" s="44"/>
      <c r="F21" s="44"/>
      <c r="G21" s="44"/>
      <c r="H21" s="44"/>
      <c r="I21" s="44"/>
      <c r="J21" s="44"/>
      <c r="K21" s="44"/>
      <c r="L21" s="44"/>
      <c r="M21" s="44"/>
      <c r="N21" s="44"/>
    </row>
    <row r="22" customFormat="false" ht="15" hidden="false" customHeight="false" outlineLevel="0" collapsed="false">
      <c r="A22" s="43" t="s">
        <v>450</v>
      </c>
      <c r="B22" s="11"/>
      <c r="C22" s="5" t="s">
        <v>451</v>
      </c>
      <c r="D22" s="5" t="s">
        <v>430</v>
      </c>
      <c r="E22" s="28" t="n">
        <v>7500</v>
      </c>
      <c r="F22" s="28" t="n">
        <v>6800</v>
      </c>
      <c r="G22" s="28"/>
      <c r="H22" s="28"/>
      <c r="I22" s="28"/>
      <c r="J22" s="28"/>
      <c r="K22" s="28"/>
      <c r="L22" s="28"/>
      <c r="M22" s="28"/>
      <c r="N22" s="28"/>
    </row>
    <row r="23" customFormat="false" ht="15" hidden="false" customHeight="false" outlineLevel="0" collapsed="false">
      <c r="A23" s="43" t="s">
        <v>452</v>
      </c>
      <c r="B23" s="11"/>
      <c r="C23" s="5" t="s">
        <v>453</v>
      </c>
      <c r="D23" s="5" t="s">
        <v>430</v>
      </c>
      <c r="E23" s="28"/>
      <c r="F23" s="28"/>
      <c r="G23" s="28"/>
      <c r="H23" s="28"/>
      <c r="I23" s="28"/>
      <c r="J23" s="28"/>
      <c r="K23" s="28"/>
      <c r="L23" s="28"/>
      <c r="M23" s="28"/>
      <c r="N23" s="28"/>
    </row>
    <row r="24" customFormat="false" ht="15" hidden="false" customHeight="false" outlineLevel="0" collapsed="false">
      <c r="A24" s="43" t="s">
        <v>454</v>
      </c>
      <c r="B24" s="11"/>
      <c r="C24" s="5" t="s">
        <v>455</v>
      </c>
      <c r="D24" s="5" t="s">
        <v>430</v>
      </c>
      <c r="E24" s="28"/>
      <c r="F24" s="28"/>
      <c r="G24" s="28"/>
      <c r="H24" s="28"/>
      <c r="I24" s="28"/>
      <c r="J24" s="28"/>
      <c r="K24" s="28"/>
      <c r="L24" s="28"/>
      <c r="M24" s="28"/>
      <c r="N24" s="28"/>
    </row>
    <row r="25" customFormat="false" ht="15" hidden="false" customHeight="false" outlineLevel="0" collapsed="false">
      <c r="A25" s="43" t="s">
        <v>456</v>
      </c>
      <c r="B25" s="11"/>
      <c r="C25" s="5" t="s">
        <v>457</v>
      </c>
      <c r="D25" s="5" t="s">
        <v>430</v>
      </c>
      <c r="E25" s="28"/>
      <c r="F25" s="28"/>
      <c r="G25" s="28"/>
      <c r="H25" s="28"/>
      <c r="I25" s="28"/>
      <c r="J25" s="28"/>
      <c r="K25" s="28"/>
      <c r="L25" s="28"/>
      <c r="M25" s="28"/>
      <c r="N25" s="28"/>
    </row>
    <row r="26" customFormat="false" ht="15" hidden="false" customHeight="false" outlineLevel="0" collapsed="false">
      <c r="A26" s="43" t="s">
        <v>458</v>
      </c>
      <c r="B26" s="11"/>
      <c r="C26" s="5" t="s">
        <v>459</v>
      </c>
      <c r="D26" s="5" t="s">
        <v>430</v>
      </c>
      <c r="E26" s="28"/>
      <c r="F26" s="28"/>
      <c r="G26" s="28"/>
      <c r="H26" s="28"/>
      <c r="I26" s="28"/>
      <c r="J26" s="28"/>
      <c r="K26" s="28"/>
      <c r="L26" s="28"/>
      <c r="M26" s="28"/>
      <c r="N26" s="28"/>
    </row>
    <row r="27" customFormat="false" ht="15" hidden="false" customHeight="false" outlineLevel="0" collapsed="false">
      <c r="A27" s="43" t="s">
        <v>460</v>
      </c>
      <c r="B27" s="11"/>
      <c r="C27" s="5" t="s">
        <v>461</v>
      </c>
      <c r="D27" s="5" t="s">
        <v>430</v>
      </c>
      <c r="E27" s="28"/>
      <c r="F27" s="28"/>
      <c r="G27" s="28"/>
      <c r="H27" s="28"/>
      <c r="I27" s="28"/>
      <c r="J27" s="28"/>
      <c r="K27" s="28"/>
      <c r="L27" s="28"/>
      <c r="M27" s="28"/>
      <c r="N27" s="28"/>
    </row>
    <row r="28" customFormat="false" ht="15" hidden="false" customHeight="false" outlineLevel="0" collapsed="false">
      <c r="A28" s="43" t="s">
        <v>462</v>
      </c>
      <c r="B28" s="11"/>
      <c r="C28" s="5" t="s">
        <v>463</v>
      </c>
      <c r="D28" s="5" t="s">
        <v>430</v>
      </c>
      <c r="E28" s="28"/>
      <c r="F28" s="28"/>
      <c r="G28" s="28"/>
      <c r="H28" s="28"/>
      <c r="I28" s="28"/>
      <c r="J28" s="28"/>
      <c r="K28" s="28"/>
      <c r="L28" s="28"/>
      <c r="M28" s="28"/>
      <c r="N28" s="28"/>
    </row>
    <row r="29" customFormat="false" ht="15" hidden="false" customHeight="false" outlineLevel="0" collapsed="false">
      <c r="A29" s="43" t="s">
        <v>464</v>
      </c>
      <c r="B29" s="11"/>
      <c r="C29" s="5" t="s">
        <v>465</v>
      </c>
      <c r="D29" s="5" t="s">
        <v>430</v>
      </c>
      <c r="E29" s="28"/>
      <c r="F29" s="28"/>
      <c r="G29" s="28"/>
      <c r="H29" s="28"/>
      <c r="I29" s="28"/>
      <c r="J29" s="28"/>
      <c r="K29" s="28"/>
      <c r="L29" s="28"/>
      <c r="M29" s="28"/>
      <c r="N29" s="28"/>
    </row>
    <row r="30" customFormat="false" ht="23.85" hidden="false" customHeight="false" outlineLevel="0" collapsed="false">
      <c r="A30" s="43" t="s">
        <v>466</v>
      </c>
      <c r="B30" s="11"/>
      <c r="C30" s="5" t="s">
        <v>467</v>
      </c>
      <c r="D30" s="5" t="s">
        <v>468</v>
      </c>
      <c r="E30" s="9"/>
      <c r="F30" s="9"/>
      <c r="G30" s="9"/>
      <c r="H30" s="9"/>
      <c r="I30" s="9"/>
      <c r="J30" s="9"/>
      <c r="K30" s="9"/>
      <c r="L30" s="9"/>
      <c r="M30" s="9"/>
      <c r="N30" s="9"/>
    </row>
    <row r="31" customFormat="false" ht="23.85" hidden="false" customHeight="false" outlineLevel="0" collapsed="false">
      <c r="A31" s="43" t="s">
        <v>469</v>
      </c>
      <c r="B31" s="11"/>
      <c r="C31" s="5" t="s">
        <v>470</v>
      </c>
      <c r="D31" s="5" t="s">
        <v>468</v>
      </c>
      <c r="E31" s="9"/>
      <c r="F31" s="9"/>
      <c r="G31" s="9"/>
      <c r="H31" s="9"/>
      <c r="I31" s="9"/>
      <c r="J31" s="9"/>
      <c r="K31" s="9"/>
      <c r="L31" s="9"/>
      <c r="M31" s="9"/>
      <c r="N31" s="9"/>
    </row>
    <row r="32" customFormat="false" ht="23.85" hidden="false" customHeight="false" outlineLevel="0" collapsed="false">
      <c r="A32" s="43" t="s">
        <v>471</v>
      </c>
      <c r="B32" s="11"/>
      <c r="C32" s="5" t="s">
        <v>472</v>
      </c>
      <c r="D32" s="5" t="s">
        <v>468</v>
      </c>
      <c r="E32" s="9"/>
      <c r="F32" s="9"/>
      <c r="G32" s="9"/>
      <c r="H32" s="9"/>
      <c r="I32" s="9"/>
      <c r="J32" s="9"/>
      <c r="K32" s="9"/>
      <c r="L32" s="9"/>
      <c r="M32" s="9"/>
      <c r="N32" s="9"/>
    </row>
    <row r="33" customFormat="false" ht="23.85" hidden="false" customHeight="false" outlineLevel="0" collapsed="false">
      <c r="A33" s="43" t="s">
        <v>473</v>
      </c>
      <c r="B33" s="11"/>
      <c r="C33" s="5" t="s">
        <v>474</v>
      </c>
      <c r="D33" s="5" t="s">
        <v>468</v>
      </c>
      <c r="E33" s="9"/>
      <c r="F33" s="9"/>
      <c r="G33" s="9"/>
      <c r="H33" s="9"/>
      <c r="I33" s="9"/>
      <c r="J33" s="9"/>
      <c r="K33" s="9"/>
      <c r="L33" s="9"/>
      <c r="M33" s="9"/>
      <c r="N33" s="9"/>
    </row>
    <row r="34" customFormat="false" ht="23.85" hidden="false" customHeight="false" outlineLevel="0" collapsed="false">
      <c r="A34" s="43" t="s">
        <v>475</v>
      </c>
      <c r="B34" s="11"/>
      <c r="C34" s="5" t="s">
        <v>476</v>
      </c>
      <c r="D34" s="5" t="s">
        <v>468</v>
      </c>
      <c r="E34" s="9"/>
      <c r="F34" s="9"/>
      <c r="G34" s="9"/>
      <c r="H34" s="9"/>
      <c r="I34" s="9"/>
      <c r="J34" s="9"/>
      <c r="K34" s="9"/>
      <c r="L34" s="9"/>
      <c r="M34" s="9"/>
      <c r="N34" s="9"/>
    </row>
    <row r="35" customFormat="false" ht="23.85" hidden="false" customHeight="false" outlineLevel="0" collapsed="false">
      <c r="A35" s="43" t="s">
        <v>477</v>
      </c>
      <c r="B35" s="11"/>
      <c r="C35" s="5" t="s">
        <v>478</v>
      </c>
      <c r="D35" s="5" t="s">
        <v>468</v>
      </c>
      <c r="E35" s="9"/>
      <c r="F35" s="9"/>
      <c r="G35" s="9"/>
      <c r="H35" s="9"/>
      <c r="I35" s="9"/>
      <c r="J35" s="9"/>
      <c r="K35" s="9"/>
      <c r="L35" s="9"/>
      <c r="M35" s="9"/>
      <c r="N35" s="9"/>
    </row>
    <row r="36" customFormat="false" ht="23.85" hidden="false" customHeight="false" outlineLevel="0" collapsed="false">
      <c r="A36" s="43" t="s">
        <v>479</v>
      </c>
      <c r="B36" s="11"/>
      <c r="C36" s="5" t="s">
        <v>480</v>
      </c>
      <c r="D36" s="5" t="s">
        <v>468</v>
      </c>
      <c r="E36" s="9"/>
      <c r="F36" s="9"/>
      <c r="G36" s="9"/>
      <c r="H36" s="9"/>
      <c r="I36" s="9"/>
      <c r="J36" s="9"/>
      <c r="K36" s="9"/>
      <c r="L36" s="9"/>
      <c r="M36" s="9"/>
      <c r="N36" s="9"/>
    </row>
    <row r="37" customFormat="false" ht="23.85" hidden="false" customHeight="false" outlineLevel="0" collapsed="false">
      <c r="A37" s="43" t="s">
        <v>481</v>
      </c>
      <c r="B37" s="11"/>
      <c r="C37" s="5" t="s">
        <v>482</v>
      </c>
      <c r="D37" s="5" t="s">
        <v>468</v>
      </c>
      <c r="E37" s="9"/>
      <c r="F37" s="9"/>
      <c r="G37" s="9"/>
      <c r="H37" s="9"/>
      <c r="I37" s="9"/>
      <c r="J37" s="9"/>
      <c r="K37" s="9"/>
      <c r="L37" s="9"/>
      <c r="M37" s="9"/>
      <c r="N37" s="9"/>
    </row>
    <row r="38" customFormat="false" ht="15" hidden="false" customHeight="false" outlineLevel="0" collapsed="false">
      <c r="A38" s="43" t="s">
        <v>483</v>
      </c>
      <c r="B38" s="11"/>
      <c r="C38" s="5" t="s">
        <v>484</v>
      </c>
      <c r="D38" s="5" t="s">
        <v>485</v>
      </c>
      <c r="E38" s="42"/>
      <c r="F38" s="42"/>
      <c r="G38" s="42"/>
      <c r="H38" s="42"/>
      <c r="I38" s="42"/>
      <c r="J38" s="42"/>
      <c r="K38" s="42"/>
      <c r="L38" s="42"/>
      <c r="M38" s="42"/>
      <c r="N38" s="42"/>
    </row>
    <row r="39" customFormat="false" ht="15" hidden="false" customHeight="false" outlineLevel="0" collapsed="false">
      <c r="A39" s="43" t="s">
        <v>486</v>
      </c>
      <c r="B39" s="11"/>
      <c r="C39" s="5" t="s">
        <v>487</v>
      </c>
      <c r="D39" s="5" t="s">
        <v>485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</row>
    <row r="40" customFormat="false" ht="15" hidden="false" customHeight="false" outlineLevel="0" collapsed="false">
      <c r="A40" s="43" t="s">
        <v>488</v>
      </c>
      <c r="B40" s="11"/>
      <c r="C40" s="5" t="s">
        <v>489</v>
      </c>
      <c r="D40" s="5" t="s">
        <v>485</v>
      </c>
      <c r="E40" s="42"/>
      <c r="F40" s="42"/>
      <c r="G40" s="42"/>
      <c r="H40" s="42"/>
      <c r="I40" s="42"/>
      <c r="J40" s="42"/>
      <c r="K40" s="42"/>
      <c r="L40" s="42"/>
      <c r="M40" s="42"/>
      <c r="N40" s="42"/>
    </row>
    <row r="41" customFormat="false" ht="15" hidden="false" customHeight="false" outlineLevel="0" collapsed="false">
      <c r="A41" s="43" t="s">
        <v>490</v>
      </c>
      <c r="B41" s="11"/>
      <c r="C41" s="5" t="s">
        <v>491</v>
      </c>
      <c r="D41" s="5" t="s">
        <v>485</v>
      </c>
      <c r="E41" s="42"/>
      <c r="F41" s="42"/>
      <c r="G41" s="42"/>
      <c r="H41" s="42"/>
      <c r="I41" s="42"/>
      <c r="J41" s="42"/>
      <c r="K41" s="42"/>
      <c r="L41" s="42"/>
      <c r="M41" s="42"/>
      <c r="N41" s="42"/>
    </row>
    <row r="42" customFormat="false" ht="15" hidden="false" customHeight="false" outlineLevel="0" collapsed="false">
      <c r="A42" s="43" t="s">
        <v>492</v>
      </c>
      <c r="B42" s="11"/>
      <c r="C42" s="5" t="s">
        <v>493</v>
      </c>
      <c r="D42" s="5" t="s">
        <v>485</v>
      </c>
      <c r="E42" s="42"/>
      <c r="F42" s="42"/>
      <c r="G42" s="42"/>
      <c r="H42" s="42"/>
      <c r="I42" s="42"/>
      <c r="J42" s="42"/>
      <c r="K42" s="42"/>
      <c r="L42" s="42"/>
      <c r="M42" s="42"/>
      <c r="N42" s="42"/>
    </row>
    <row r="43" customFormat="false" ht="15" hidden="false" customHeight="false" outlineLevel="0" collapsed="false">
      <c r="A43" s="43" t="s">
        <v>494</v>
      </c>
      <c r="B43" s="11"/>
      <c r="C43" s="5" t="s">
        <v>495</v>
      </c>
      <c r="D43" s="5" t="s">
        <v>485</v>
      </c>
      <c r="E43" s="42"/>
      <c r="F43" s="42"/>
      <c r="G43" s="42"/>
      <c r="H43" s="42"/>
      <c r="I43" s="42"/>
      <c r="J43" s="42"/>
      <c r="K43" s="42"/>
      <c r="L43" s="42"/>
      <c r="M43" s="42"/>
      <c r="N43" s="42"/>
    </row>
    <row r="44" customFormat="false" ht="15" hidden="false" customHeight="false" outlineLevel="0" collapsed="false">
      <c r="A44" s="43" t="s">
        <v>496</v>
      </c>
      <c r="B44" s="11"/>
      <c r="C44" s="5" t="s">
        <v>497</v>
      </c>
      <c r="D44" s="5" t="s">
        <v>485</v>
      </c>
      <c r="E44" s="42"/>
      <c r="F44" s="42"/>
      <c r="G44" s="42"/>
      <c r="H44" s="42"/>
      <c r="I44" s="42"/>
      <c r="J44" s="42"/>
      <c r="K44" s="42"/>
      <c r="L44" s="42"/>
      <c r="M44" s="42"/>
      <c r="N44" s="42"/>
    </row>
    <row r="45" customFormat="false" ht="15" hidden="false" customHeight="false" outlineLevel="0" collapsed="false">
      <c r="A45" s="43" t="s">
        <v>498</v>
      </c>
      <c r="B45" s="11"/>
      <c r="C45" s="5" t="s">
        <v>499</v>
      </c>
      <c r="D45" s="5" t="s">
        <v>485</v>
      </c>
      <c r="E45" s="42"/>
      <c r="F45" s="42"/>
      <c r="G45" s="42"/>
      <c r="H45" s="42"/>
      <c r="I45" s="42"/>
      <c r="J45" s="42"/>
      <c r="K45" s="42"/>
      <c r="L45" s="42"/>
      <c r="M45" s="42"/>
      <c r="N45" s="42"/>
    </row>
    <row r="46" customFormat="false" ht="15" hidden="false" customHeight="false" outlineLevel="0" collapsed="false">
      <c r="A46" s="43" t="s">
        <v>500</v>
      </c>
      <c r="B46" s="11" t="s">
        <v>501</v>
      </c>
      <c r="C46" s="5" t="s">
        <v>502</v>
      </c>
      <c r="D46" s="5" t="s">
        <v>425</v>
      </c>
      <c r="E46" s="42"/>
      <c r="F46" s="42"/>
      <c r="G46" s="42"/>
      <c r="H46" s="42"/>
      <c r="I46" s="42"/>
      <c r="J46" s="42"/>
      <c r="K46" s="42"/>
      <c r="L46" s="42"/>
      <c r="M46" s="42"/>
      <c r="N46" s="42"/>
    </row>
    <row r="47" customFormat="false" ht="15" hidden="false" customHeight="false" outlineLevel="0" collapsed="false">
      <c r="A47" s="43" t="s">
        <v>503</v>
      </c>
      <c r="B47" s="11"/>
      <c r="C47" s="5" t="s">
        <v>504</v>
      </c>
      <c r="D47" s="5" t="s">
        <v>425</v>
      </c>
      <c r="E47" s="42"/>
      <c r="F47" s="42"/>
      <c r="G47" s="42"/>
      <c r="H47" s="42"/>
      <c r="I47" s="42"/>
      <c r="J47" s="42"/>
      <c r="K47" s="42"/>
      <c r="L47" s="42"/>
      <c r="M47" s="42"/>
      <c r="N47" s="42"/>
    </row>
    <row r="48" customFormat="false" ht="15" hidden="false" customHeight="false" outlineLevel="0" collapsed="false">
      <c r="A48" s="43" t="s">
        <v>505</v>
      </c>
      <c r="B48" s="11"/>
      <c r="C48" s="5" t="s">
        <v>506</v>
      </c>
      <c r="D48" s="5" t="s">
        <v>507</v>
      </c>
      <c r="E48" s="17"/>
      <c r="F48" s="17"/>
      <c r="G48" s="17"/>
      <c r="H48" s="17"/>
      <c r="I48" s="17"/>
      <c r="J48" s="17"/>
      <c r="K48" s="17"/>
      <c r="L48" s="17"/>
      <c r="M48" s="17"/>
      <c r="N48" s="17"/>
    </row>
    <row r="49" customFormat="false" ht="15" hidden="false" customHeight="false" outlineLevel="0" collapsed="false">
      <c r="A49" s="43" t="s">
        <v>508</v>
      </c>
      <c r="B49" s="11"/>
      <c r="C49" s="5" t="s">
        <v>509</v>
      </c>
      <c r="D49" s="5" t="s">
        <v>507</v>
      </c>
      <c r="E49" s="17"/>
      <c r="F49" s="17"/>
      <c r="G49" s="17"/>
      <c r="H49" s="17"/>
      <c r="I49" s="17"/>
      <c r="J49" s="17"/>
      <c r="K49" s="17"/>
      <c r="L49" s="17"/>
      <c r="M49" s="17"/>
      <c r="N49" s="17"/>
    </row>
    <row r="50" customFormat="false" ht="15" hidden="false" customHeight="false" outlineLevel="0" collapsed="false">
      <c r="A50" s="43" t="s">
        <v>510</v>
      </c>
      <c r="B50" s="11"/>
      <c r="C50" s="5" t="s">
        <v>511</v>
      </c>
      <c r="D50" s="5" t="s">
        <v>512</v>
      </c>
      <c r="E50" s="9"/>
      <c r="F50" s="9"/>
      <c r="G50" s="9"/>
      <c r="H50" s="9"/>
      <c r="I50" s="9"/>
      <c r="J50" s="9"/>
      <c r="K50" s="9"/>
      <c r="L50" s="9"/>
      <c r="M50" s="9"/>
      <c r="N50" s="9"/>
    </row>
    <row r="51" customFormat="false" ht="15" hidden="false" customHeight="false" outlineLevel="0" collapsed="false">
      <c r="A51" s="43" t="s">
        <v>513</v>
      </c>
      <c r="B51" s="11"/>
      <c r="C51" s="5" t="s">
        <v>514</v>
      </c>
      <c r="D51" s="5" t="s">
        <v>512</v>
      </c>
      <c r="E51" s="9"/>
      <c r="F51" s="9"/>
      <c r="G51" s="9"/>
      <c r="H51" s="9"/>
      <c r="I51" s="9"/>
      <c r="J51" s="9"/>
      <c r="K51" s="9"/>
      <c r="L51" s="9"/>
      <c r="M51" s="9"/>
      <c r="N51" s="9"/>
    </row>
    <row r="52" customFormat="false" ht="15" hidden="false" customHeight="false" outlineLevel="0" collapsed="false">
      <c r="A52" s="43" t="s">
        <v>515</v>
      </c>
      <c r="B52" s="11" t="s">
        <v>516</v>
      </c>
      <c r="C52" s="5" t="s">
        <v>517</v>
      </c>
      <c r="D52" s="5" t="s">
        <v>512</v>
      </c>
      <c r="E52" s="9"/>
      <c r="F52" s="9"/>
      <c r="G52" s="9"/>
      <c r="H52" s="9"/>
      <c r="I52" s="9"/>
      <c r="J52" s="9"/>
      <c r="K52" s="9"/>
      <c r="L52" s="9"/>
      <c r="M52" s="9"/>
      <c r="N52" s="9"/>
    </row>
    <row r="53" customFormat="false" ht="15" hidden="false" customHeight="false" outlineLevel="0" collapsed="false">
      <c r="A53" s="43" t="s">
        <v>518</v>
      </c>
      <c r="B53" s="11"/>
      <c r="C53" s="5" t="s">
        <v>519</v>
      </c>
      <c r="D53" s="5" t="s">
        <v>520</v>
      </c>
      <c r="E53" s="9"/>
      <c r="F53" s="9"/>
      <c r="G53" s="9"/>
      <c r="H53" s="9"/>
      <c r="I53" s="9"/>
      <c r="J53" s="9"/>
      <c r="K53" s="9"/>
      <c r="L53" s="9"/>
      <c r="M53" s="9"/>
      <c r="N53" s="9"/>
    </row>
    <row r="54" customFormat="false" ht="15" hidden="false" customHeight="false" outlineLevel="0" collapsed="false">
      <c r="A54" s="43" t="s">
        <v>521</v>
      </c>
      <c r="B54" s="11"/>
      <c r="C54" s="5" t="s">
        <v>522</v>
      </c>
      <c r="D54" s="5" t="s">
        <v>512</v>
      </c>
      <c r="E54" s="9"/>
      <c r="F54" s="9"/>
      <c r="G54" s="9"/>
      <c r="H54" s="9"/>
      <c r="I54" s="9"/>
      <c r="J54" s="9"/>
      <c r="K54" s="9"/>
      <c r="L54" s="9"/>
      <c r="M54" s="9"/>
      <c r="N54" s="9"/>
    </row>
    <row r="55" customFormat="false" ht="15" hidden="false" customHeight="false" outlineLevel="0" collapsed="false">
      <c r="A55" s="43" t="s">
        <v>523</v>
      </c>
      <c r="B55" s="11" t="s">
        <v>524</v>
      </c>
      <c r="C55" s="5" t="s">
        <v>525</v>
      </c>
      <c r="D55" s="5" t="s">
        <v>430</v>
      </c>
      <c r="E55" s="28"/>
      <c r="F55" s="28"/>
      <c r="G55" s="28"/>
      <c r="H55" s="28"/>
      <c r="I55" s="28"/>
      <c r="J55" s="28"/>
      <c r="K55" s="28"/>
      <c r="L55" s="28"/>
      <c r="M55" s="28"/>
      <c r="N55" s="28"/>
    </row>
    <row r="56" customFormat="false" ht="15" hidden="false" customHeight="false" outlineLevel="0" collapsed="false">
      <c r="A56" s="43" t="s">
        <v>526</v>
      </c>
      <c r="B56" s="11"/>
      <c r="C56" s="5" t="s">
        <v>527</v>
      </c>
      <c r="D56" s="5" t="s">
        <v>412</v>
      </c>
      <c r="E56" s="9"/>
      <c r="F56" s="9"/>
      <c r="G56" s="9"/>
      <c r="H56" s="9"/>
      <c r="I56" s="9"/>
      <c r="J56" s="9"/>
      <c r="K56" s="9"/>
      <c r="L56" s="9"/>
      <c r="M56" s="9"/>
      <c r="N56" s="9"/>
    </row>
    <row r="57" customFormat="false" ht="15" hidden="false" customHeight="false" outlineLevel="0" collapsed="false">
      <c r="A57" s="43" t="s">
        <v>528</v>
      </c>
      <c r="B57" s="11" t="s">
        <v>529</v>
      </c>
      <c r="C57" s="5" t="s">
        <v>530</v>
      </c>
      <c r="D57" s="5" t="s">
        <v>430</v>
      </c>
      <c r="E57" s="28"/>
      <c r="F57" s="28"/>
      <c r="G57" s="28"/>
      <c r="H57" s="28"/>
      <c r="I57" s="28"/>
      <c r="J57" s="28"/>
      <c r="K57" s="28"/>
      <c r="L57" s="28"/>
      <c r="M57" s="28"/>
      <c r="N57" s="28"/>
    </row>
    <row r="58" customFormat="false" ht="15" hidden="false" customHeight="false" outlineLevel="0" collapsed="false">
      <c r="A58" s="43" t="s">
        <v>531</v>
      </c>
      <c r="B58" s="11"/>
      <c r="C58" s="5" t="s">
        <v>532</v>
      </c>
      <c r="D58" s="5" t="s">
        <v>430</v>
      </c>
      <c r="E58" s="28"/>
      <c r="F58" s="28"/>
      <c r="G58" s="28"/>
      <c r="H58" s="28"/>
      <c r="I58" s="28"/>
      <c r="J58" s="28"/>
      <c r="K58" s="28"/>
      <c r="L58" s="28"/>
      <c r="M58" s="28"/>
      <c r="N58" s="28"/>
    </row>
    <row r="59" customFormat="false" ht="15" hidden="false" customHeight="false" outlineLevel="0" collapsed="false">
      <c r="A59" s="43" t="s">
        <v>533</v>
      </c>
      <c r="B59" s="11"/>
      <c r="C59" s="5" t="s">
        <v>534</v>
      </c>
      <c r="D59" s="5" t="s">
        <v>535</v>
      </c>
      <c r="E59" s="9"/>
      <c r="F59" s="9"/>
      <c r="G59" s="9"/>
      <c r="H59" s="9"/>
      <c r="I59" s="9"/>
      <c r="J59" s="9"/>
      <c r="K59" s="9"/>
      <c r="L59" s="9"/>
      <c r="M59" s="9"/>
      <c r="N59" s="9"/>
    </row>
    <row r="60" customFormat="false" ht="15" hidden="false" customHeight="false" outlineLevel="0" collapsed="false">
      <c r="A60" s="43" t="s">
        <v>536</v>
      </c>
      <c r="B60" s="11"/>
      <c r="C60" s="5" t="s">
        <v>537</v>
      </c>
      <c r="D60" s="5" t="s">
        <v>535</v>
      </c>
      <c r="E60" s="9"/>
      <c r="F60" s="9"/>
      <c r="G60" s="9"/>
      <c r="H60" s="9"/>
      <c r="I60" s="9"/>
      <c r="J60" s="9"/>
      <c r="K60" s="9"/>
      <c r="L60" s="9"/>
      <c r="M60" s="9"/>
      <c r="N60" s="9"/>
    </row>
    <row r="61" customFormat="false" ht="15" hidden="false" customHeight="false" outlineLevel="0" collapsed="false">
      <c r="A61" s="43" t="s">
        <v>538</v>
      </c>
      <c r="B61" s="11"/>
      <c r="C61" s="5" t="s">
        <v>539</v>
      </c>
      <c r="D61" s="5" t="s">
        <v>241</v>
      </c>
      <c r="E61" s="44"/>
      <c r="F61" s="44"/>
      <c r="G61" s="44"/>
      <c r="H61" s="44"/>
      <c r="I61" s="44"/>
      <c r="J61" s="44"/>
      <c r="K61" s="44"/>
      <c r="L61" s="44"/>
      <c r="M61" s="44"/>
      <c r="N61" s="44"/>
    </row>
    <row r="62" customFormat="false" ht="23.85" hidden="false" customHeight="false" outlineLevel="0" collapsed="false">
      <c r="A62" s="43" t="s">
        <v>540</v>
      </c>
      <c r="B62" s="11" t="s">
        <v>541</v>
      </c>
      <c r="C62" s="5" t="s">
        <v>542</v>
      </c>
      <c r="D62" s="5" t="s">
        <v>241</v>
      </c>
      <c r="E62" s="44"/>
      <c r="F62" s="44"/>
      <c r="G62" s="44"/>
      <c r="H62" s="44"/>
      <c r="I62" s="44"/>
      <c r="J62" s="44"/>
      <c r="K62" s="44"/>
      <c r="L62" s="44"/>
      <c r="M62" s="44"/>
      <c r="N62" s="44"/>
    </row>
    <row r="63" customFormat="false" ht="15" hidden="false" customHeight="false" outlineLevel="0" collapsed="false">
      <c r="A63" s="43" t="s">
        <v>543</v>
      </c>
      <c r="B63" s="11"/>
      <c r="C63" s="5" t="s">
        <v>544</v>
      </c>
      <c r="D63" s="5" t="s">
        <v>507</v>
      </c>
      <c r="E63" s="17"/>
      <c r="F63" s="17"/>
      <c r="G63" s="17"/>
      <c r="H63" s="17"/>
      <c r="I63" s="17"/>
      <c r="J63" s="17"/>
      <c r="K63" s="17"/>
      <c r="L63" s="17"/>
      <c r="M63" s="17"/>
      <c r="N63" s="17"/>
    </row>
    <row r="64" customFormat="false" ht="15" hidden="false" customHeight="false" outlineLevel="0" collapsed="false">
      <c r="A64" s="43" t="s">
        <v>545</v>
      </c>
      <c r="B64" s="11"/>
      <c r="C64" s="5" t="s">
        <v>546</v>
      </c>
      <c r="D64" s="5" t="s">
        <v>241</v>
      </c>
      <c r="E64" s="44"/>
      <c r="F64" s="44"/>
      <c r="G64" s="44"/>
      <c r="H64" s="44"/>
      <c r="I64" s="44"/>
      <c r="J64" s="44"/>
      <c r="K64" s="44"/>
      <c r="L64" s="44"/>
      <c r="M64" s="44"/>
      <c r="N64" s="44"/>
    </row>
    <row r="65" customFormat="false" ht="15" hidden="false" customHeight="false" outlineLevel="0" collapsed="false">
      <c r="A65" s="43" t="s">
        <v>547</v>
      </c>
      <c r="B65" s="11"/>
      <c r="C65" s="5" t="s">
        <v>548</v>
      </c>
      <c r="D65" s="5" t="s">
        <v>412</v>
      </c>
      <c r="E65" s="9"/>
      <c r="F65" s="9"/>
      <c r="G65" s="9"/>
      <c r="H65" s="9"/>
      <c r="I65" s="9"/>
      <c r="J65" s="9"/>
      <c r="K65" s="9"/>
      <c r="L65" s="9"/>
      <c r="M65" s="9"/>
      <c r="N65" s="9"/>
    </row>
    <row r="66" customFormat="false" ht="15" hidden="false" customHeight="false" outlineLevel="0" collapsed="false">
      <c r="A66" s="43" t="s">
        <v>549</v>
      </c>
      <c r="B66" s="11"/>
      <c r="C66" s="5" t="s">
        <v>550</v>
      </c>
      <c r="D66" s="5" t="s">
        <v>551</v>
      </c>
      <c r="E66" s="9"/>
      <c r="F66" s="9"/>
      <c r="G66" s="9"/>
      <c r="H66" s="9"/>
      <c r="I66" s="9"/>
      <c r="J66" s="9"/>
      <c r="K66" s="9"/>
      <c r="L66" s="9"/>
      <c r="M66" s="9"/>
      <c r="N66" s="9"/>
    </row>
    <row r="68" customFormat="false" ht="35.05" hidden="false" customHeight="false" outlineLevel="0" collapsed="false">
      <c r="B68" s="11" t="s">
        <v>552</v>
      </c>
    </row>
    <row r="69" customFormat="false" ht="15" hidden="false" customHeight="false" outlineLevel="0" collapsed="false">
      <c r="A69" s="8" t="s">
        <v>553</v>
      </c>
      <c r="B69" s="8" t="s">
        <v>396</v>
      </c>
      <c r="C69" s="8" t="s">
        <v>397</v>
      </c>
      <c r="D69" s="8" t="s">
        <v>398</v>
      </c>
      <c r="E69" s="8" t="s">
        <v>399</v>
      </c>
      <c r="F69" s="8" t="s">
        <v>400</v>
      </c>
      <c r="G69" s="8" t="s">
        <v>401</v>
      </c>
      <c r="H69" s="8" t="s">
        <v>402</v>
      </c>
      <c r="I69" s="8" t="s">
        <v>403</v>
      </c>
      <c r="J69" s="8" t="s">
        <v>404</v>
      </c>
      <c r="K69" s="8" t="s">
        <v>405</v>
      </c>
      <c r="L69" s="8" t="s">
        <v>406</v>
      </c>
      <c r="M69" s="8" t="s">
        <v>407</v>
      </c>
      <c r="N69" s="8" t="s">
        <v>408</v>
      </c>
    </row>
    <row r="70" customFormat="false" ht="15" hidden="false" customHeight="false" outlineLevel="0" collapsed="false">
      <c r="A70" s="43" t="s">
        <v>409</v>
      </c>
      <c r="C70" s="5" t="s">
        <v>411</v>
      </c>
      <c r="F70" s="22" t="str">
        <f aca="false">IF(AND(ISNUMBER(F6),ISNUMBER(E6),E6&lt;&gt;0),F6/E6-1,"")</f>
        <v/>
      </c>
      <c r="G70" s="22" t="str">
        <f aca="false">IF(AND(ISNUMBER(G6),ISNUMBER(F6),F6&lt;&gt;0),G6/F6-1,"")</f>
        <v/>
      </c>
      <c r="H70" s="22" t="str">
        <f aca="false">IF(AND(ISNUMBER(H6),ISNUMBER(G6),G6&lt;&gt;0),H6/G6-1,"")</f>
        <v/>
      </c>
      <c r="I70" s="22" t="str">
        <f aca="false">IF(AND(ISNUMBER(I6),ISNUMBER(H6),H6&lt;&gt;0),I6/H6-1,"")</f>
        <v/>
      </c>
      <c r="J70" s="22" t="str">
        <f aca="false">IF(AND(ISNUMBER(J6),ISNUMBER(I6),I6&lt;&gt;0),J6/I6-1,"")</f>
        <v/>
      </c>
      <c r="K70" s="22" t="str">
        <f aca="false">IF(AND(ISNUMBER(K6),ISNUMBER(J6),J6&lt;&gt;0),K6/J6-1,"")</f>
        <v/>
      </c>
      <c r="L70" s="22" t="str">
        <f aca="false">IF(AND(ISNUMBER(L6),ISNUMBER(K6),K6&lt;&gt;0),L6/K6-1,"")</f>
        <v/>
      </c>
      <c r="M70" s="22" t="str">
        <f aca="false">IF(AND(ISNUMBER(M6),ISNUMBER(L6),L6&lt;&gt;0),M6/L6-1,"")</f>
        <v/>
      </c>
      <c r="N70" s="22" t="str">
        <f aca="false">IF(AND(ISNUMBER(N6),ISNUMBER(M6),M6&lt;&gt;0),N6/M6-1,"")</f>
        <v/>
      </c>
    </row>
    <row r="71" customFormat="false" ht="15" hidden="false" customHeight="false" outlineLevel="0" collapsed="false">
      <c r="A71" s="43" t="s">
        <v>414</v>
      </c>
      <c r="C71" s="5" t="s">
        <v>415</v>
      </c>
      <c r="F71" s="22" t="str">
        <f aca="false">IF(AND(ISNUMBER(F7),ISNUMBER(E7),E7&lt;&gt;0),F7/E7-1,"")</f>
        <v/>
      </c>
      <c r="G71" s="22" t="str">
        <f aca="false">IF(AND(ISNUMBER(G7),ISNUMBER(F7),F7&lt;&gt;0),G7/F7-1,"")</f>
        <v/>
      </c>
      <c r="H71" s="22" t="str">
        <f aca="false">IF(AND(ISNUMBER(H7),ISNUMBER(G7),G7&lt;&gt;0),H7/G7-1,"")</f>
        <v/>
      </c>
      <c r="I71" s="22" t="str">
        <f aca="false">IF(AND(ISNUMBER(I7),ISNUMBER(H7),H7&lt;&gt;0),I7/H7-1,"")</f>
        <v/>
      </c>
      <c r="J71" s="22" t="str">
        <f aca="false">IF(AND(ISNUMBER(J7),ISNUMBER(I7),I7&lt;&gt;0),J7/I7-1,"")</f>
        <v/>
      </c>
      <c r="K71" s="22" t="str">
        <f aca="false">IF(AND(ISNUMBER(K7),ISNUMBER(J7),J7&lt;&gt;0),K7/J7-1,"")</f>
        <v/>
      </c>
      <c r="L71" s="22" t="str">
        <f aca="false">IF(AND(ISNUMBER(L7),ISNUMBER(K7),K7&lt;&gt;0),L7/K7-1,"")</f>
        <v/>
      </c>
      <c r="M71" s="22" t="str">
        <f aca="false">IF(AND(ISNUMBER(M7),ISNUMBER(L7),L7&lt;&gt;0),M7/L7-1,"")</f>
        <v/>
      </c>
      <c r="N71" s="22" t="str">
        <f aca="false">IF(AND(ISNUMBER(N7),ISNUMBER(M7),M7&lt;&gt;0),N7/M7-1,"")</f>
        <v/>
      </c>
    </row>
    <row r="72" customFormat="false" ht="15" hidden="false" customHeight="false" outlineLevel="0" collapsed="false">
      <c r="A72" s="43" t="s">
        <v>417</v>
      </c>
      <c r="C72" s="5" t="s">
        <v>419</v>
      </c>
      <c r="F72" s="22" t="str">
        <f aca="false">IF(AND(ISNUMBER(F8),ISNUMBER(E8),E8&lt;&gt;0),F8/E8-1,"")</f>
        <v/>
      </c>
      <c r="G72" s="22" t="str">
        <f aca="false">IF(AND(ISNUMBER(G8),ISNUMBER(F8),F8&lt;&gt;0),G8/F8-1,"")</f>
        <v/>
      </c>
      <c r="H72" s="22" t="str">
        <f aca="false">IF(AND(ISNUMBER(H8),ISNUMBER(G8),G8&lt;&gt;0),H8/G8-1,"")</f>
        <v/>
      </c>
      <c r="I72" s="22" t="str">
        <f aca="false">IF(AND(ISNUMBER(I8),ISNUMBER(H8),H8&lt;&gt;0),I8/H8-1,"")</f>
        <v/>
      </c>
      <c r="J72" s="22" t="str">
        <f aca="false">IF(AND(ISNUMBER(J8),ISNUMBER(I8),I8&lt;&gt;0),J8/I8-1,"")</f>
        <v/>
      </c>
      <c r="K72" s="22" t="str">
        <f aca="false">IF(AND(ISNUMBER(K8),ISNUMBER(J8),J8&lt;&gt;0),K8/J8-1,"")</f>
        <v/>
      </c>
      <c r="L72" s="22" t="str">
        <f aca="false">IF(AND(ISNUMBER(L8),ISNUMBER(K8),K8&lt;&gt;0),L8/K8-1,"")</f>
        <v/>
      </c>
      <c r="M72" s="22" t="str">
        <f aca="false">IF(AND(ISNUMBER(M8),ISNUMBER(L8),L8&lt;&gt;0),M8/L8-1,"")</f>
        <v/>
      </c>
      <c r="N72" s="22" t="str">
        <f aca="false">IF(AND(ISNUMBER(N8),ISNUMBER(M8),M8&lt;&gt;0),N8/M8-1,"")</f>
        <v/>
      </c>
    </row>
    <row r="73" customFormat="false" ht="15" hidden="false" customHeight="false" outlineLevel="0" collapsed="false">
      <c r="A73" s="43" t="s">
        <v>421</v>
      </c>
      <c r="C73" s="5" t="s">
        <v>422</v>
      </c>
      <c r="F73" s="22" t="str">
        <f aca="false">IF(AND(ISNUMBER(F9),ISNUMBER(E9),E9&lt;&gt;0),F9/E9-1,"")</f>
        <v/>
      </c>
      <c r="G73" s="22" t="str">
        <f aca="false">IF(AND(ISNUMBER(G9),ISNUMBER(F9),F9&lt;&gt;0),G9/F9-1,"")</f>
        <v/>
      </c>
      <c r="H73" s="22" t="str">
        <f aca="false">IF(AND(ISNUMBER(H9),ISNUMBER(G9),G9&lt;&gt;0),H9/G9-1,"")</f>
        <v/>
      </c>
      <c r="I73" s="22" t="str">
        <f aca="false">IF(AND(ISNUMBER(I9),ISNUMBER(H9),H9&lt;&gt;0),I9/H9-1,"")</f>
        <v/>
      </c>
      <c r="J73" s="22" t="str">
        <f aca="false">IF(AND(ISNUMBER(J9),ISNUMBER(I9),I9&lt;&gt;0),J9/I9-1,"")</f>
        <v/>
      </c>
      <c r="K73" s="22" t="str">
        <f aca="false">IF(AND(ISNUMBER(K9),ISNUMBER(J9),J9&lt;&gt;0),K9/J9-1,"")</f>
        <v/>
      </c>
      <c r="L73" s="22" t="str">
        <f aca="false">IF(AND(ISNUMBER(L9),ISNUMBER(K9),K9&lt;&gt;0),L9/K9-1,"")</f>
        <v/>
      </c>
      <c r="M73" s="22" t="str">
        <f aca="false">IF(AND(ISNUMBER(M9),ISNUMBER(L9),L9&lt;&gt;0),M9/L9-1,"")</f>
        <v/>
      </c>
      <c r="N73" s="22" t="str">
        <f aca="false">IF(AND(ISNUMBER(N9),ISNUMBER(M9),M9&lt;&gt;0),N9/M9-1,"")</f>
        <v/>
      </c>
    </row>
    <row r="74" customFormat="false" ht="15" hidden="false" customHeight="false" outlineLevel="0" collapsed="false">
      <c r="A74" s="43" t="s">
        <v>423</v>
      </c>
      <c r="C74" s="5" t="s">
        <v>424</v>
      </c>
      <c r="F74" s="22" t="str">
        <f aca="false">IF(AND(ISNUMBER(F10),ISNUMBER(E10),E10&lt;&gt;0),F10/E10-1,"")</f>
        <v/>
      </c>
      <c r="G74" s="22" t="str">
        <f aca="false">IF(AND(ISNUMBER(G10),ISNUMBER(F10),F10&lt;&gt;0),G10/F10-1,"")</f>
        <v/>
      </c>
      <c r="H74" s="22" t="str">
        <f aca="false">IF(AND(ISNUMBER(H10),ISNUMBER(G10),G10&lt;&gt;0),H10/G10-1,"")</f>
        <v/>
      </c>
      <c r="I74" s="22" t="str">
        <f aca="false">IF(AND(ISNUMBER(I10),ISNUMBER(H10),H10&lt;&gt;0),I10/H10-1,"")</f>
        <v/>
      </c>
      <c r="J74" s="22" t="str">
        <f aca="false">IF(AND(ISNUMBER(J10),ISNUMBER(I10),I10&lt;&gt;0),J10/I10-1,"")</f>
        <v/>
      </c>
      <c r="K74" s="22" t="str">
        <f aca="false">IF(AND(ISNUMBER(K10),ISNUMBER(J10),J10&lt;&gt;0),K10/J10-1,"")</f>
        <v/>
      </c>
      <c r="L74" s="22" t="str">
        <f aca="false">IF(AND(ISNUMBER(L10),ISNUMBER(K10),K10&lt;&gt;0),L10/K10-1,"")</f>
        <v/>
      </c>
      <c r="M74" s="22" t="str">
        <f aca="false">IF(AND(ISNUMBER(M10),ISNUMBER(L10),L10&lt;&gt;0),M10/L10-1,"")</f>
        <v/>
      </c>
      <c r="N74" s="22" t="str">
        <f aca="false">IF(AND(ISNUMBER(N10),ISNUMBER(M10),M10&lt;&gt;0),N10/M10-1,"")</f>
        <v/>
      </c>
    </row>
    <row r="75" customFormat="false" ht="15" hidden="false" customHeight="false" outlineLevel="0" collapsed="false">
      <c r="A75" s="43" t="s">
        <v>426</v>
      </c>
      <c r="C75" s="5" t="s">
        <v>427</v>
      </c>
      <c r="F75" s="22" t="str">
        <f aca="false">IF(AND(ISNUMBER(F11),ISNUMBER(E11),E11&lt;&gt;0),F11/E11-1,"")</f>
        <v/>
      </c>
      <c r="G75" s="22" t="str">
        <f aca="false">IF(AND(ISNUMBER(G11),ISNUMBER(F11),F11&lt;&gt;0),G11/F11-1,"")</f>
        <v/>
      </c>
      <c r="H75" s="22" t="str">
        <f aca="false">IF(AND(ISNUMBER(H11),ISNUMBER(G11),G11&lt;&gt;0),H11/G11-1,"")</f>
        <v/>
      </c>
      <c r="I75" s="22" t="str">
        <f aca="false">IF(AND(ISNUMBER(I11),ISNUMBER(H11),H11&lt;&gt;0),I11/H11-1,"")</f>
        <v/>
      </c>
      <c r="J75" s="22" t="str">
        <f aca="false">IF(AND(ISNUMBER(J11),ISNUMBER(I11),I11&lt;&gt;0),J11/I11-1,"")</f>
        <v/>
      </c>
      <c r="K75" s="22" t="str">
        <f aca="false">IF(AND(ISNUMBER(K11),ISNUMBER(J11),J11&lt;&gt;0),K11/J11-1,"")</f>
        <v/>
      </c>
      <c r="L75" s="22" t="str">
        <f aca="false">IF(AND(ISNUMBER(L11),ISNUMBER(K11),K11&lt;&gt;0),L11/K11-1,"")</f>
        <v/>
      </c>
      <c r="M75" s="22" t="str">
        <f aca="false">IF(AND(ISNUMBER(M11),ISNUMBER(L11),L11&lt;&gt;0),M11/L11-1,"")</f>
        <v/>
      </c>
      <c r="N75" s="22" t="str">
        <f aca="false">IF(AND(ISNUMBER(N11),ISNUMBER(M11),M11&lt;&gt;0),N11/M11-1,"")</f>
        <v/>
      </c>
    </row>
    <row r="76" customFormat="false" ht="15" hidden="false" customHeight="false" outlineLevel="0" collapsed="false">
      <c r="A76" s="43" t="s">
        <v>428</v>
      </c>
      <c r="C76" s="5" t="s">
        <v>429</v>
      </c>
      <c r="F76" s="22" t="str">
        <f aca="false">IF(AND(ISNUMBER(F12),ISNUMBER(E12),E12&lt;&gt;0),F12/E12-1,"")</f>
        <v/>
      </c>
      <c r="G76" s="22" t="str">
        <f aca="false">IF(AND(ISNUMBER(G12),ISNUMBER(F12),F12&lt;&gt;0),G12/F12-1,"")</f>
        <v/>
      </c>
      <c r="H76" s="22" t="str">
        <f aca="false">IF(AND(ISNUMBER(H12),ISNUMBER(G12),G12&lt;&gt;0),H12/G12-1,"")</f>
        <v/>
      </c>
      <c r="I76" s="22" t="str">
        <f aca="false">IF(AND(ISNUMBER(I12),ISNUMBER(H12),H12&lt;&gt;0),I12/H12-1,"")</f>
        <v/>
      </c>
      <c r="J76" s="22" t="str">
        <f aca="false">IF(AND(ISNUMBER(J12),ISNUMBER(I12),I12&lt;&gt;0),J12/I12-1,"")</f>
        <v/>
      </c>
      <c r="K76" s="22" t="str">
        <f aca="false">IF(AND(ISNUMBER(K12),ISNUMBER(J12),J12&lt;&gt;0),K12/J12-1,"")</f>
        <v/>
      </c>
      <c r="L76" s="22" t="str">
        <f aca="false">IF(AND(ISNUMBER(L12),ISNUMBER(K12),K12&lt;&gt;0),L12/K12-1,"")</f>
        <v/>
      </c>
      <c r="M76" s="22" t="str">
        <f aca="false">IF(AND(ISNUMBER(M12),ISNUMBER(L12),L12&lt;&gt;0),M12/L12-1,"")</f>
        <v/>
      </c>
      <c r="N76" s="22" t="str">
        <f aca="false">IF(AND(ISNUMBER(N12),ISNUMBER(M12),M12&lt;&gt;0),N12/M12-1,"")</f>
        <v/>
      </c>
    </row>
    <row r="77" customFormat="false" ht="15" hidden="false" customHeight="false" outlineLevel="0" collapsed="false">
      <c r="A77" s="43" t="s">
        <v>431</v>
      </c>
      <c r="C77" s="5" t="s">
        <v>432</v>
      </c>
      <c r="F77" s="22" t="str">
        <f aca="false">IF(AND(ISNUMBER(F13),ISNUMBER(E13),E13&lt;&gt;0),F13/E13-1,"")</f>
        <v/>
      </c>
      <c r="G77" s="22" t="str">
        <f aca="false">IF(AND(ISNUMBER(G13),ISNUMBER(F13),F13&lt;&gt;0),G13/F13-1,"")</f>
        <v/>
      </c>
      <c r="H77" s="22" t="str">
        <f aca="false">IF(AND(ISNUMBER(H13),ISNUMBER(G13),G13&lt;&gt;0),H13/G13-1,"")</f>
        <v/>
      </c>
      <c r="I77" s="22" t="str">
        <f aca="false">IF(AND(ISNUMBER(I13),ISNUMBER(H13),H13&lt;&gt;0),I13/H13-1,"")</f>
        <v/>
      </c>
      <c r="J77" s="22" t="str">
        <f aca="false">IF(AND(ISNUMBER(J13),ISNUMBER(I13),I13&lt;&gt;0),J13/I13-1,"")</f>
        <v/>
      </c>
      <c r="K77" s="22" t="str">
        <f aca="false">IF(AND(ISNUMBER(K13),ISNUMBER(J13),J13&lt;&gt;0),K13/J13-1,"")</f>
        <v/>
      </c>
      <c r="L77" s="22" t="str">
        <f aca="false">IF(AND(ISNUMBER(L13),ISNUMBER(K13),K13&lt;&gt;0),L13/K13-1,"")</f>
        <v/>
      </c>
      <c r="M77" s="22" t="str">
        <f aca="false">IF(AND(ISNUMBER(M13),ISNUMBER(L13),L13&lt;&gt;0),M13/L13-1,"")</f>
        <v/>
      </c>
      <c r="N77" s="22" t="str">
        <f aca="false">IF(AND(ISNUMBER(N13),ISNUMBER(M13),M13&lt;&gt;0),N13/M13-1,"")</f>
        <v/>
      </c>
    </row>
    <row r="78" customFormat="false" ht="15" hidden="false" customHeight="false" outlineLevel="0" collapsed="false">
      <c r="A78" s="43" t="s">
        <v>433</v>
      </c>
      <c r="C78" s="5" t="s">
        <v>435</v>
      </c>
      <c r="F78" s="22" t="n">
        <f aca="false">IF(AND(ISNUMBER(F14),ISNUMBER(E14),E14&lt;&gt;0),F14/E14-1,"")</f>
        <v>-0.0568181818181818</v>
      </c>
      <c r="G78" s="22" t="str">
        <f aca="false">IF(AND(ISNUMBER(G14),ISNUMBER(F14),F14&lt;&gt;0),G14/F14-1,"")</f>
        <v/>
      </c>
      <c r="H78" s="22" t="str">
        <f aca="false">IF(AND(ISNUMBER(H14),ISNUMBER(G14),G14&lt;&gt;0),H14/G14-1,"")</f>
        <v/>
      </c>
      <c r="I78" s="22" t="str">
        <f aca="false">IF(AND(ISNUMBER(I14),ISNUMBER(H14),H14&lt;&gt;0),I14/H14-1,"")</f>
        <v/>
      </c>
      <c r="J78" s="22" t="str">
        <f aca="false">IF(AND(ISNUMBER(J14),ISNUMBER(I14),I14&lt;&gt;0),J14/I14-1,"")</f>
        <v/>
      </c>
      <c r="K78" s="22" t="str">
        <f aca="false">IF(AND(ISNUMBER(K14),ISNUMBER(J14),J14&lt;&gt;0),K14/J14-1,"")</f>
        <v/>
      </c>
      <c r="L78" s="22" t="str">
        <f aca="false">IF(AND(ISNUMBER(L14),ISNUMBER(K14),K14&lt;&gt;0),L14/K14-1,"")</f>
        <v/>
      </c>
      <c r="M78" s="22" t="str">
        <f aca="false">IF(AND(ISNUMBER(M14),ISNUMBER(L14),L14&lt;&gt;0),M14/L14-1,"")</f>
        <v/>
      </c>
      <c r="N78" s="22" t="str">
        <f aca="false">IF(AND(ISNUMBER(N14),ISNUMBER(M14),M14&lt;&gt;0),N14/M14-1,"")</f>
        <v/>
      </c>
    </row>
    <row r="79" customFormat="false" ht="15" hidden="false" customHeight="false" outlineLevel="0" collapsed="false">
      <c r="A79" s="43" t="s">
        <v>436</v>
      </c>
      <c r="C79" s="5" t="s">
        <v>437</v>
      </c>
      <c r="F79" s="22" t="str">
        <f aca="false">IF(AND(ISNUMBER(F15),ISNUMBER(E15),E15&lt;&gt;0),F15/E15-1,"")</f>
        <v/>
      </c>
      <c r="G79" s="22" t="str">
        <f aca="false">IF(AND(ISNUMBER(G15),ISNUMBER(F15),F15&lt;&gt;0),G15/F15-1,"")</f>
        <v/>
      </c>
      <c r="H79" s="22" t="str">
        <f aca="false">IF(AND(ISNUMBER(H15),ISNUMBER(G15),G15&lt;&gt;0),H15/G15-1,"")</f>
        <v/>
      </c>
      <c r="I79" s="22" t="str">
        <f aca="false">IF(AND(ISNUMBER(I15),ISNUMBER(H15),H15&lt;&gt;0),I15/H15-1,"")</f>
        <v/>
      </c>
      <c r="J79" s="22" t="str">
        <f aca="false">IF(AND(ISNUMBER(J15),ISNUMBER(I15),I15&lt;&gt;0),J15/I15-1,"")</f>
        <v/>
      </c>
      <c r="K79" s="22" t="str">
        <f aca="false">IF(AND(ISNUMBER(K15),ISNUMBER(J15),J15&lt;&gt;0),K15/J15-1,"")</f>
        <v/>
      </c>
      <c r="L79" s="22" t="str">
        <f aca="false">IF(AND(ISNUMBER(L15),ISNUMBER(K15),K15&lt;&gt;0),L15/K15-1,"")</f>
        <v/>
      </c>
      <c r="M79" s="22" t="str">
        <f aca="false">IF(AND(ISNUMBER(M15),ISNUMBER(L15),L15&lt;&gt;0),M15/L15-1,"")</f>
        <v/>
      </c>
      <c r="N79" s="22" t="str">
        <f aca="false">IF(AND(ISNUMBER(N15),ISNUMBER(M15),M15&lt;&gt;0),N15/M15-1,"")</f>
        <v/>
      </c>
    </row>
    <row r="80" customFormat="false" ht="15" hidden="false" customHeight="false" outlineLevel="0" collapsed="false">
      <c r="A80" s="43" t="s">
        <v>438</v>
      </c>
      <c r="C80" s="5" t="s">
        <v>439</v>
      </c>
      <c r="F80" s="22" t="str">
        <f aca="false">IF(AND(ISNUMBER(F16),ISNUMBER(E16),E16&lt;&gt;0),F16/E16-1,"")</f>
        <v/>
      </c>
      <c r="G80" s="22" t="str">
        <f aca="false">IF(AND(ISNUMBER(G16),ISNUMBER(F16),F16&lt;&gt;0),G16/F16-1,"")</f>
        <v/>
      </c>
      <c r="H80" s="22" t="str">
        <f aca="false">IF(AND(ISNUMBER(H16),ISNUMBER(G16),G16&lt;&gt;0),H16/G16-1,"")</f>
        <v/>
      </c>
      <c r="I80" s="22" t="str">
        <f aca="false">IF(AND(ISNUMBER(I16),ISNUMBER(H16),H16&lt;&gt;0),I16/H16-1,"")</f>
        <v/>
      </c>
      <c r="J80" s="22" t="str">
        <f aca="false">IF(AND(ISNUMBER(J16),ISNUMBER(I16),I16&lt;&gt;0),J16/I16-1,"")</f>
        <v/>
      </c>
      <c r="K80" s="22" t="str">
        <f aca="false">IF(AND(ISNUMBER(K16),ISNUMBER(J16),J16&lt;&gt;0),K16/J16-1,"")</f>
        <v/>
      </c>
      <c r="L80" s="22" t="str">
        <f aca="false">IF(AND(ISNUMBER(L16),ISNUMBER(K16),K16&lt;&gt;0),L16/K16-1,"")</f>
        <v/>
      </c>
      <c r="M80" s="22" t="str">
        <f aca="false">IF(AND(ISNUMBER(M16),ISNUMBER(L16),L16&lt;&gt;0),M16/L16-1,"")</f>
        <v/>
      </c>
      <c r="N80" s="22" t="str">
        <f aca="false">IF(AND(ISNUMBER(N16),ISNUMBER(M16),M16&lt;&gt;0),N16/M16-1,"")</f>
        <v/>
      </c>
    </row>
    <row r="81" customFormat="false" ht="15" hidden="false" customHeight="false" outlineLevel="0" collapsed="false">
      <c r="A81" s="43" t="s">
        <v>440</v>
      </c>
      <c r="C81" s="5" t="s">
        <v>441</v>
      </c>
      <c r="F81" s="22" t="str">
        <f aca="false">IF(AND(ISNUMBER(F17),ISNUMBER(E17),E17&lt;&gt;0),F17/E17-1,"")</f>
        <v/>
      </c>
      <c r="G81" s="22" t="str">
        <f aca="false">IF(AND(ISNUMBER(G17),ISNUMBER(F17),F17&lt;&gt;0),G17/F17-1,"")</f>
        <v/>
      </c>
      <c r="H81" s="22" t="str">
        <f aca="false">IF(AND(ISNUMBER(H17),ISNUMBER(G17),G17&lt;&gt;0),H17/G17-1,"")</f>
        <v/>
      </c>
      <c r="I81" s="22" t="str">
        <f aca="false">IF(AND(ISNUMBER(I17),ISNUMBER(H17),H17&lt;&gt;0),I17/H17-1,"")</f>
        <v/>
      </c>
      <c r="J81" s="22" t="str">
        <f aca="false">IF(AND(ISNUMBER(J17),ISNUMBER(I17),I17&lt;&gt;0),J17/I17-1,"")</f>
        <v/>
      </c>
      <c r="K81" s="22" t="str">
        <f aca="false">IF(AND(ISNUMBER(K17),ISNUMBER(J17),J17&lt;&gt;0),K17/J17-1,"")</f>
        <v/>
      </c>
      <c r="L81" s="22" t="str">
        <f aca="false">IF(AND(ISNUMBER(L17),ISNUMBER(K17),K17&lt;&gt;0),L17/K17-1,"")</f>
        <v/>
      </c>
      <c r="M81" s="22" t="str">
        <f aca="false">IF(AND(ISNUMBER(M17),ISNUMBER(L17),L17&lt;&gt;0),M17/L17-1,"")</f>
        <v/>
      </c>
      <c r="N81" s="22" t="str">
        <f aca="false">IF(AND(ISNUMBER(N17),ISNUMBER(M17),M17&lt;&gt;0),N17/M17-1,"")</f>
        <v/>
      </c>
    </row>
    <row r="82" customFormat="false" ht="15" hidden="false" customHeight="false" outlineLevel="0" collapsed="false">
      <c r="A82" s="43" t="s">
        <v>442</v>
      </c>
      <c r="C82" s="5" t="s">
        <v>443</v>
      </c>
      <c r="F82" s="22" t="str">
        <f aca="false">IF(AND(ISNUMBER(F18),ISNUMBER(E18),E18&lt;&gt;0),F18/E18-1,"")</f>
        <v/>
      </c>
      <c r="G82" s="22" t="str">
        <f aca="false">IF(AND(ISNUMBER(G18),ISNUMBER(F18),F18&lt;&gt;0),G18/F18-1,"")</f>
        <v/>
      </c>
      <c r="H82" s="22" t="str">
        <f aca="false">IF(AND(ISNUMBER(H18),ISNUMBER(G18),G18&lt;&gt;0),H18/G18-1,"")</f>
        <v/>
      </c>
      <c r="I82" s="22" t="str">
        <f aca="false">IF(AND(ISNUMBER(I18),ISNUMBER(H18),H18&lt;&gt;0),I18/H18-1,"")</f>
        <v/>
      </c>
      <c r="J82" s="22" t="str">
        <f aca="false">IF(AND(ISNUMBER(J18),ISNUMBER(I18),I18&lt;&gt;0),J18/I18-1,"")</f>
        <v/>
      </c>
      <c r="K82" s="22" t="str">
        <f aca="false">IF(AND(ISNUMBER(K18),ISNUMBER(J18),J18&lt;&gt;0),K18/J18-1,"")</f>
        <v/>
      </c>
      <c r="L82" s="22" t="str">
        <f aca="false">IF(AND(ISNUMBER(L18),ISNUMBER(K18),K18&lt;&gt;0),L18/K18-1,"")</f>
        <v/>
      </c>
      <c r="M82" s="22" t="str">
        <f aca="false">IF(AND(ISNUMBER(M18),ISNUMBER(L18),L18&lt;&gt;0),M18/L18-1,"")</f>
        <v/>
      </c>
      <c r="N82" s="22" t="str">
        <f aca="false">IF(AND(ISNUMBER(N18),ISNUMBER(M18),M18&lt;&gt;0),N18/M18-1,"")</f>
        <v/>
      </c>
    </row>
    <row r="83" customFormat="false" ht="15" hidden="false" customHeight="false" outlineLevel="0" collapsed="false">
      <c r="A83" s="43" t="s">
        <v>444</v>
      </c>
      <c r="C83" s="5" t="s">
        <v>445</v>
      </c>
      <c r="F83" s="22" t="str">
        <f aca="false">IF(AND(ISNUMBER(F19),ISNUMBER(E19),E19&lt;&gt;0),F19/E19-1,"")</f>
        <v/>
      </c>
      <c r="G83" s="22" t="str">
        <f aca="false">IF(AND(ISNUMBER(G19),ISNUMBER(F19),F19&lt;&gt;0),G19/F19-1,"")</f>
        <v/>
      </c>
      <c r="H83" s="22" t="str">
        <f aca="false">IF(AND(ISNUMBER(H19),ISNUMBER(G19),G19&lt;&gt;0),H19/G19-1,"")</f>
        <v/>
      </c>
      <c r="I83" s="22" t="str">
        <f aca="false">IF(AND(ISNUMBER(I19),ISNUMBER(H19),H19&lt;&gt;0),I19/H19-1,"")</f>
        <v/>
      </c>
      <c r="J83" s="22" t="str">
        <f aca="false">IF(AND(ISNUMBER(J19),ISNUMBER(I19),I19&lt;&gt;0),J19/I19-1,"")</f>
        <v/>
      </c>
      <c r="K83" s="22" t="str">
        <f aca="false">IF(AND(ISNUMBER(K19),ISNUMBER(J19),J19&lt;&gt;0),K19/J19-1,"")</f>
        <v/>
      </c>
      <c r="L83" s="22" t="str">
        <f aca="false">IF(AND(ISNUMBER(L19),ISNUMBER(K19),K19&lt;&gt;0),L19/K19-1,"")</f>
        <v/>
      </c>
      <c r="M83" s="22" t="str">
        <f aca="false">IF(AND(ISNUMBER(M19),ISNUMBER(L19),L19&lt;&gt;0),M19/L19-1,"")</f>
        <v/>
      </c>
      <c r="N83" s="22" t="str">
        <f aca="false">IF(AND(ISNUMBER(N19),ISNUMBER(M19),M19&lt;&gt;0),N19/M19-1,"")</f>
        <v/>
      </c>
    </row>
    <row r="84" customFormat="false" ht="15" hidden="false" customHeight="false" outlineLevel="0" collapsed="false">
      <c r="A84" s="43" t="s">
        <v>446</v>
      </c>
      <c r="C84" s="5" t="s">
        <v>447</v>
      </c>
      <c r="F84" s="22" t="str">
        <f aca="false">IF(AND(ISNUMBER(F20),ISNUMBER(E20),E20&lt;&gt;0),F20/E20-1,"")</f>
        <v/>
      </c>
      <c r="G84" s="22" t="str">
        <f aca="false">IF(AND(ISNUMBER(G20),ISNUMBER(F20),F20&lt;&gt;0),G20/F20-1,"")</f>
        <v/>
      </c>
      <c r="H84" s="22" t="str">
        <f aca="false">IF(AND(ISNUMBER(H20),ISNUMBER(G20),G20&lt;&gt;0),H20/G20-1,"")</f>
        <v/>
      </c>
      <c r="I84" s="22" t="str">
        <f aca="false">IF(AND(ISNUMBER(I20),ISNUMBER(H20),H20&lt;&gt;0),I20/H20-1,"")</f>
        <v/>
      </c>
      <c r="J84" s="22" t="str">
        <f aca="false">IF(AND(ISNUMBER(J20),ISNUMBER(I20),I20&lt;&gt;0),J20/I20-1,"")</f>
        <v/>
      </c>
      <c r="K84" s="22" t="str">
        <f aca="false">IF(AND(ISNUMBER(K20),ISNUMBER(J20),J20&lt;&gt;0),K20/J20-1,"")</f>
        <v/>
      </c>
      <c r="L84" s="22" t="str">
        <f aca="false">IF(AND(ISNUMBER(L20),ISNUMBER(K20),K20&lt;&gt;0),L20/K20-1,"")</f>
        <v/>
      </c>
      <c r="M84" s="22" t="str">
        <f aca="false">IF(AND(ISNUMBER(M20),ISNUMBER(L20),L20&lt;&gt;0),M20/L20-1,"")</f>
        <v/>
      </c>
      <c r="N84" s="22" t="str">
        <f aca="false">IF(AND(ISNUMBER(N20),ISNUMBER(M20),M20&lt;&gt;0),N20/M20-1,"")</f>
        <v/>
      </c>
    </row>
    <row r="85" customFormat="false" ht="15" hidden="false" customHeight="false" outlineLevel="0" collapsed="false">
      <c r="A85" s="43" t="s">
        <v>448</v>
      </c>
      <c r="C85" s="5" t="s">
        <v>449</v>
      </c>
      <c r="F85" s="22" t="str">
        <f aca="false">IF(AND(ISNUMBER(F21),ISNUMBER(E21),E21&lt;&gt;0),F21/E21-1,"")</f>
        <v/>
      </c>
      <c r="G85" s="22" t="str">
        <f aca="false">IF(AND(ISNUMBER(G21),ISNUMBER(F21),F21&lt;&gt;0),G21/F21-1,"")</f>
        <v/>
      </c>
      <c r="H85" s="22" t="str">
        <f aca="false">IF(AND(ISNUMBER(H21),ISNUMBER(G21),G21&lt;&gt;0),H21/G21-1,"")</f>
        <v/>
      </c>
      <c r="I85" s="22" t="str">
        <f aca="false">IF(AND(ISNUMBER(I21),ISNUMBER(H21),H21&lt;&gt;0),I21/H21-1,"")</f>
        <v/>
      </c>
      <c r="J85" s="22" t="str">
        <f aca="false">IF(AND(ISNUMBER(J21),ISNUMBER(I21),I21&lt;&gt;0),J21/I21-1,"")</f>
        <v/>
      </c>
      <c r="K85" s="22" t="str">
        <f aca="false">IF(AND(ISNUMBER(K21),ISNUMBER(J21),J21&lt;&gt;0),K21/J21-1,"")</f>
        <v/>
      </c>
      <c r="L85" s="22" t="str">
        <f aca="false">IF(AND(ISNUMBER(L21),ISNUMBER(K21),K21&lt;&gt;0),L21/K21-1,"")</f>
        <v/>
      </c>
      <c r="M85" s="22" t="str">
        <f aca="false">IF(AND(ISNUMBER(M21),ISNUMBER(L21),L21&lt;&gt;0),M21/L21-1,"")</f>
        <v/>
      </c>
      <c r="N85" s="22" t="str">
        <f aca="false">IF(AND(ISNUMBER(N21),ISNUMBER(M21),M21&lt;&gt;0),N21/M21-1,"")</f>
        <v/>
      </c>
    </row>
    <row r="86" customFormat="false" ht="15" hidden="false" customHeight="false" outlineLevel="0" collapsed="false">
      <c r="A86" s="43" t="s">
        <v>450</v>
      </c>
      <c r="C86" s="5" t="s">
        <v>451</v>
      </c>
      <c r="F86" s="22" t="n">
        <f aca="false">IF(AND(ISNUMBER(F22),ISNUMBER(E22),E22&lt;&gt;0),F22/E22-1,"")</f>
        <v>-0.0933333333333334</v>
      </c>
      <c r="G86" s="22" t="str">
        <f aca="false">IF(AND(ISNUMBER(G22),ISNUMBER(F22),F22&lt;&gt;0),G22/F22-1,"")</f>
        <v/>
      </c>
      <c r="H86" s="22" t="str">
        <f aca="false">IF(AND(ISNUMBER(H22),ISNUMBER(G22),G22&lt;&gt;0),H22/G22-1,"")</f>
        <v/>
      </c>
      <c r="I86" s="22" t="str">
        <f aca="false">IF(AND(ISNUMBER(I22),ISNUMBER(H22),H22&lt;&gt;0),I22/H22-1,"")</f>
        <v/>
      </c>
      <c r="J86" s="22" t="str">
        <f aca="false">IF(AND(ISNUMBER(J22),ISNUMBER(I22),I22&lt;&gt;0),J22/I22-1,"")</f>
        <v/>
      </c>
      <c r="K86" s="22" t="str">
        <f aca="false">IF(AND(ISNUMBER(K22),ISNUMBER(J22),J22&lt;&gt;0),K22/J22-1,"")</f>
        <v/>
      </c>
      <c r="L86" s="22" t="str">
        <f aca="false">IF(AND(ISNUMBER(L22),ISNUMBER(K22),K22&lt;&gt;0),L22/K22-1,"")</f>
        <v/>
      </c>
      <c r="M86" s="22" t="str">
        <f aca="false">IF(AND(ISNUMBER(M22),ISNUMBER(L22),L22&lt;&gt;0),M22/L22-1,"")</f>
        <v/>
      </c>
      <c r="N86" s="22" t="str">
        <f aca="false">IF(AND(ISNUMBER(N22),ISNUMBER(M22),M22&lt;&gt;0),N22/M22-1,"")</f>
        <v/>
      </c>
    </row>
    <row r="87" customFormat="false" ht="15" hidden="false" customHeight="false" outlineLevel="0" collapsed="false">
      <c r="A87" s="43" t="s">
        <v>452</v>
      </c>
      <c r="C87" s="5" t="s">
        <v>453</v>
      </c>
      <c r="F87" s="22" t="str">
        <f aca="false">IF(AND(ISNUMBER(F23),ISNUMBER(E23),E23&lt;&gt;0),F23/E23-1,"")</f>
        <v/>
      </c>
      <c r="G87" s="22" t="str">
        <f aca="false">IF(AND(ISNUMBER(G23),ISNUMBER(F23),F23&lt;&gt;0),G23/F23-1,"")</f>
        <v/>
      </c>
      <c r="H87" s="22" t="str">
        <f aca="false">IF(AND(ISNUMBER(H23),ISNUMBER(G23),G23&lt;&gt;0),H23/G23-1,"")</f>
        <v/>
      </c>
      <c r="I87" s="22" t="str">
        <f aca="false">IF(AND(ISNUMBER(I23),ISNUMBER(H23),H23&lt;&gt;0),I23/H23-1,"")</f>
        <v/>
      </c>
      <c r="J87" s="22" t="str">
        <f aca="false">IF(AND(ISNUMBER(J23),ISNUMBER(I23),I23&lt;&gt;0),J23/I23-1,"")</f>
        <v/>
      </c>
      <c r="K87" s="22" t="str">
        <f aca="false">IF(AND(ISNUMBER(K23),ISNUMBER(J23),J23&lt;&gt;0),K23/J23-1,"")</f>
        <v/>
      </c>
      <c r="L87" s="22" t="str">
        <f aca="false">IF(AND(ISNUMBER(L23),ISNUMBER(K23),K23&lt;&gt;0),L23/K23-1,"")</f>
        <v/>
      </c>
      <c r="M87" s="22" t="str">
        <f aca="false">IF(AND(ISNUMBER(M23),ISNUMBER(L23),L23&lt;&gt;0),M23/L23-1,"")</f>
        <v/>
      </c>
      <c r="N87" s="22" t="str">
        <f aca="false">IF(AND(ISNUMBER(N23),ISNUMBER(M23),M23&lt;&gt;0),N23/M23-1,"")</f>
        <v/>
      </c>
    </row>
    <row r="88" customFormat="false" ht="15" hidden="false" customHeight="false" outlineLevel="0" collapsed="false">
      <c r="A88" s="43" t="s">
        <v>454</v>
      </c>
      <c r="C88" s="5" t="s">
        <v>455</v>
      </c>
      <c r="F88" s="22" t="str">
        <f aca="false">IF(AND(ISNUMBER(F24),ISNUMBER(E24),E24&lt;&gt;0),F24/E24-1,"")</f>
        <v/>
      </c>
      <c r="G88" s="22" t="str">
        <f aca="false">IF(AND(ISNUMBER(G24),ISNUMBER(F24),F24&lt;&gt;0),G24/F24-1,"")</f>
        <v/>
      </c>
      <c r="H88" s="22" t="str">
        <f aca="false">IF(AND(ISNUMBER(H24),ISNUMBER(G24),G24&lt;&gt;0),H24/G24-1,"")</f>
        <v/>
      </c>
      <c r="I88" s="22" t="str">
        <f aca="false">IF(AND(ISNUMBER(I24),ISNUMBER(H24),H24&lt;&gt;0),I24/H24-1,"")</f>
        <v/>
      </c>
      <c r="J88" s="22" t="str">
        <f aca="false">IF(AND(ISNUMBER(J24),ISNUMBER(I24),I24&lt;&gt;0),J24/I24-1,"")</f>
        <v/>
      </c>
      <c r="K88" s="22" t="str">
        <f aca="false">IF(AND(ISNUMBER(K24),ISNUMBER(J24),J24&lt;&gt;0),K24/J24-1,"")</f>
        <v/>
      </c>
      <c r="L88" s="22" t="str">
        <f aca="false">IF(AND(ISNUMBER(L24),ISNUMBER(K24),K24&lt;&gt;0),L24/K24-1,"")</f>
        <v/>
      </c>
      <c r="M88" s="22" t="str">
        <f aca="false">IF(AND(ISNUMBER(M24),ISNUMBER(L24),L24&lt;&gt;0),M24/L24-1,"")</f>
        <v/>
      </c>
      <c r="N88" s="22" t="str">
        <f aca="false">IF(AND(ISNUMBER(N24),ISNUMBER(M24),M24&lt;&gt;0),N24/M24-1,"")</f>
        <v/>
      </c>
    </row>
    <row r="89" customFormat="false" ht="15" hidden="false" customHeight="false" outlineLevel="0" collapsed="false">
      <c r="A89" s="43" t="s">
        <v>456</v>
      </c>
      <c r="C89" s="5" t="s">
        <v>457</v>
      </c>
      <c r="F89" s="22" t="str">
        <f aca="false">IF(AND(ISNUMBER(F25),ISNUMBER(E25),E25&lt;&gt;0),F25/E25-1,"")</f>
        <v/>
      </c>
      <c r="G89" s="22" t="str">
        <f aca="false">IF(AND(ISNUMBER(G25),ISNUMBER(F25),F25&lt;&gt;0),G25/F25-1,"")</f>
        <v/>
      </c>
      <c r="H89" s="22" t="str">
        <f aca="false">IF(AND(ISNUMBER(H25),ISNUMBER(G25),G25&lt;&gt;0),H25/G25-1,"")</f>
        <v/>
      </c>
      <c r="I89" s="22" t="str">
        <f aca="false">IF(AND(ISNUMBER(I25),ISNUMBER(H25),H25&lt;&gt;0),I25/H25-1,"")</f>
        <v/>
      </c>
      <c r="J89" s="22" t="str">
        <f aca="false">IF(AND(ISNUMBER(J25),ISNUMBER(I25),I25&lt;&gt;0),J25/I25-1,"")</f>
        <v/>
      </c>
      <c r="K89" s="22" t="str">
        <f aca="false">IF(AND(ISNUMBER(K25),ISNUMBER(J25),J25&lt;&gt;0),K25/J25-1,"")</f>
        <v/>
      </c>
      <c r="L89" s="22" t="str">
        <f aca="false">IF(AND(ISNUMBER(L25),ISNUMBER(K25),K25&lt;&gt;0),L25/K25-1,"")</f>
        <v/>
      </c>
      <c r="M89" s="22" t="str">
        <f aca="false">IF(AND(ISNUMBER(M25),ISNUMBER(L25),L25&lt;&gt;0),M25/L25-1,"")</f>
        <v/>
      </c>
      <c r="N89" s="22" t="str">
        <f aca="false">IF(AND(ISNUMBER(N25),ISNUMBER(M25),M25&lt;&gt;0),N25/M25-1,"")</f>
        <v/>
      </c>
    </row>
    <row r="90" customFormat="false" ht="15" hidden="false" customHeight="false" outlineLevel="0" collapsed="false">
      <c r="A90" s="43" t="s">
        <v>458</v>
      </c>
      <c r="C90" s="5" t="s">
        <v>459</v>
      </c>
      <c r="F90" s="22" t="str">
        <f aca="false">IF(AND(ISNUMBER(F26),ISNUMBER(E26),E26&lt;&gt;0),F26/E26-1,"")</f>
        <v/>
      </c>
      <c r="G90" s="22" t="str">
        <f aca="false">IF(AND(ISNUMBER(G26),ISNUMBER(F26),F26&lt;&gt;0),G26/F26-1,"")</f>
        <v/>
      </c>
      <c r="H90" s="22" t="str">
        <f aca="false">IF(AND(ISNUMBER(H26),ISNUMBER(G26),G26&lt;&gt;0),H26/G26-1,"")</f>
        <v/>
      </c>
      <c r="I90" s="22" t="str">
        <f aca="false">IF(AND(ISNUMBER(I26),ISNUMBER(H26),H26&lt;&gt;0),I26/H26-1,"")</f>
        <v/>
      </c>
      <c r="J90" s="22" t="str">
        <f aca="false">IF(AND(ISNUMBER(J26),ISNUMBER(I26),I26&lt;&gt;0),J26/I26-1,"")</f>
        <v/>
      </c>
      <c r="K90" s="22" t="str">
        <f aca="false">IF(AND(ISNUMBER(K26),ISNUMBER(J26),J26&lt;&gt;0),K26/J26-1,"")</f>
        <v/>
      </c>
      <c r="L90" s="22" t="str">
        <f aca="false">IF(AND(ISNUMBER(L26),ISNUMBER(K26),K26&lt;&gt;0),L26/K26-1,"")</f>
        <v/>
      </c>
      <c r="M90" s="22" t="str">
        <f aca="false">IF(AND(ISNUMBER(M26),ISNUMBER(L26),L26&lt;&gt;0),M26/L26-1,"")</f>
        <v/>
      </c>
      <c r="N90" s="22" t="str">
        <f aca="false">IF(AND(ISNUMBER(N26),ISNUMBER(M26),M26&lt;&gt;0),N26/M26-1,"")</f>
        <v/>
      </c>
    </row>
    <row r="91" customFormat="false" ht="15" hidden="false" customHeight="false" outlineLevel="0" collapsed="false">
      <c r="A91" s="43" t="s">
        <v>460</v>
      </c>
      <c r="C91" s="5" t="s">
        <v>461</v>
      </c>
      <c r="F91" s="22" t="str">
        <f aca="false">IF(AND(ISNUMBER(F27),ISNUMBER(E27),E27&lt;&gt;0),F27/E27-1,"")</f>
        <v/>
      </c>
      <c r="G91" s="22" t="str">
        <f aca="false">IF(AND(ISNUMBER(G27),ISNUMBER(F27),F27&lt;&gt;0),G27/F27-1,"")</f>
        <v/>
      </c>
      <c r="H91" s="22" t="str">
        <f aca="false">IF(AND(ISNUMBER(H27),ISNUMBER(G27),G27&lt;&gt;0),H27/G27-1,"")</f>
        <v/>
      </c>
      <c r="I91" s="22" t="str">
        <f aca="false">IF(AND(ISNUMBER(I27),ISNUMBER(H27),H27&lt;&gt;0),I27/H27-1,"")</f>
        <v/>
      </c>
      <c r="J91" s="22" t="str">
        <f aca="false">IF(AND(ISNUMBER(J27),ISNUMBER(I27),I27&lt;&gt;0),J27/I27-1,"")</f>
        <v/>
      </c>
      <c r="K91" s="22" t="str">
        <f aca="false">IF(AND(ISNUMBER(K27),ISNUMBER(J27),J27&lt;&gt;0),K27/J27-1,"")</f>
        <v/>
      </c>
      <c r="L91" s="22" t="str">
        <f aca="false">IF(AND(ISNUMBER(L27),ISNUMBER(K27),K27&lt;&gt;0),L27/K27-1,"")</f>
        <v/>
      </c>
      <c r="M91" s="22" t="str">
        <f aca="false">IF(AND(ISNUMBER(M27),ISNUMBER(L27),L27&lt;&gt;0),M27/L27-1,"")</f>
        <v/>
      </c>
      <c r="N91" s="22" t="str">
        <f aca="false">IF(AND(ISNUMBER(N27),ISNUMBER(M27),M27&lt;&gt;0),N27/M27-1,"")</f>
        <v/>
      </c>
    </row>
    <row r="92" customFormat="false" ht="15" hidden="false" customHeight="false" outlineLevel="0" collapsed="false">
      <c r="A92" s="43" t="s">
        <v>462</v>
      </c>
      <c r="C92" s="5" t="s">
        <v>463</v>
      </c>
      <c r="F92" s="22" t="str">
        <f aca="false">IF(AND(ISNUMBER(F28),ISNUMBER(E28),E28&lt;&gt;0),F28/E28-1,"")</f>
        <v/>
      </c>
      <c r="G92" s="22" t="str">
        <f aca="false">IF(AND(ISNUMBER(G28),ISNUMBER(F28),F28&lt;&gt;0),G28/F28-1,"")</f>
        <v/>
      </c>
      <c r="H92" s="22" t="str">
        <f aca="false">IF(AND(ISNUMBER(H28),ISNUMBER(G28),G28&lt;&gt;0),H28/G28-1,"")</f>
        <v/>
      </c>
      <c r="I92" s="22" t="str">
        <f aca="false">IF(AND(ISNUMBER(I28),ISNUMBER(H28),H28&lt;&gt;0),I28/H28-1,"")</f>
        <v/>
      </c>
      <c r="J92" s="22" t="str">
        <f aca="false">IF(AND(ISNUMBER(J28),ISNUMBER(I28),I28&lt;&gt;0),J28/I28-1,"")</f>
        <v/>
      </c>
      <c r="K92" s="22" t="str">
        <f aca="false">IF(AND(ISNUMBER(K28),ISNUMBER(J28),J28&lt;&gt;0),K28/J28-1,"")</f>
        <v/>
      </c>
      <c r="L92" s="22" t="str">
        <f aca="false">IF(AND(ISNUMBER(L28),ISNUMBER(K28),K28&lt;&gt;0),L28/K28-1,"")</f>
        <v/>
      </c>
      <c r="M92" s="22" t="str">
        <f aca="false">IF(AND(ISNUMBER(M28),ISNUMBER(L28),L28&lt;&gt;0),M28/L28-1,"")</f>
        <v/>
      </c>
      <c r="N92" s="22" t="str">
        <f aca="false">IF(AND(ISNUMBER(N28),ISNUMBER(M28),M28&lt;&gt;0),N28/M28-1,"")</f>
        <v/>
      </c>
    </row>
    <row r="93" customFormat="false" ht="15" hidden="false" customHeight="false" outlineLevel="0" collapsed="false">
      <c r="A93" s="43" t="s">
        <v>464</v>
      </c>
      <c r="C93" s="5" t="s">
        <v>465</v>
      </c>
      <c r="F93" s="22" t="str">
        <f aca="false">IF(AND(ISNUMBER(F29),ISNUMBER(E29),E29&lt;&gt;0),F29/E29-1,"")</f>
        <v/>
      </c>
      <c r="G93" s="22" t="str">
        <f aca="false">IF(AND(ISNUMBER(G29),ISNUMBER(F29),F29&lt;&gt;0),G29/F29-1,"")</f>
        <v/>
      </c>
      <c r="H93" s="22" t="str">
        <f aca="false">IF(AND(ISNUMBER(H29),ISNUMBER(G29),G29&lt;&gt;0),H29/G29-1,"")</f>
        <v/>
      </c>
      <c r="I93" s="22" t="str">
        <f aca="false">IF(AND(ISNUMBER(I29),ISNUMBER(H29),H29&lt;&gt;0),I29/H29-1,"")</f>
        <v/>
      </c>
      <c r="J93" s="22" t="str">
        <f aca="false">IF(AND(ISNUMBER(J29),ISNUMBER(I29),I29&lt;&gt;0),J29/I29-1,"")</f>
        <v/>
      </c>
      <c r="K93" s="22" t="str">
        <f aca="false">IF(AND(ISNUMBER(K29),ISNUMBER(J29),J29&lt;&gt;0),K29/J29-1,"")</f>
        <v/>
      </c>
      <c r="L93" s="22" t="str">
        <f aca="false">IF(AND(ISNUMBER(L29),ISNUMBER(K29),K29&lt;&gt;0),L29/K29-1,"")</f>
        <v/>
      </c>
      <c r="M93" s="22" t="str">
        <f aca="false">IF(AND(ISNUMBER(M29),ISNUMBER(L29),L29&lt;&gt;0),M29/L29-1,"")</f>
        <v/>
      </c>
      <c r="N93" s="22" t="str">
        <f aca="false">IF(AND(ISNUMBER(N29),ISNUMBER(M29),M29&lt;&gt;0),N29/M29-1,"")</f>
        <v/>
      </c>
    </row>
    <row r="94" customFormat="false" ht="23.85" hidden="false" customHeight="false" outlineLevel="0" collapsed="false">
      <c r="A94" s="43" t="s">
        <v>466</v>
      </c>
      <c r="C94" s="5" t="s">
        <v>467</v>
      </c>
      <c r="F94" s="22" t="str">
        <f aca="false">IF(AND(ISNUMBER(F30),ISNUMBER(E30),E30&lt;&gt;0),F30/E30-1,"")</f>
        <v/>
      </c>
      <c r="G94" s="22" t="str">
        <f aca="false">IF(AND(ISNUMBER(G30),ISNUMBER(F30),F30&lt;&gt;0),G30/F30-1,"")</f>
        <v/>
      </c>
      <c r="H94" s="22" t="str">
        <f aca="false">IF(AND(ISNUMBER(H30),ISNUMBER(G30),G30&lt;&gt;0),H30/G30-1,"")</f>
        <v/>
      </c>
      <c r="I94" s="22" t="str">
        <f aca="false">IF(AND(ISNUMBER(I30),ISNUMBER(H30),H30&lt;&gt;0),I30/H30-1,"")</f>
        <v/>
      </c>
      <c r="J94" s="22" t="str">
        <f aca="false">IF(AND(ISNUMBER(J30),ISNUMBER(I30),I30&lt;&gt;0),J30/I30-1,"")</f>
        <v/>
      </c>
      <c r="K94" s="22" t="str">
        <f aca="false">IF(AND(ISNUMBER(K30),ISNUMBER(J30),J30&lt;&gt;0),K30/J30-1,"")</f>
        <v/>
      </c>
      <c r="L94" s="22" t="str">
        <f aca="false">IF(AND(ISNUMBER(L30),ISNUMBER(K30),K30&lt;&gt;0),L30/K30-1,"")</f>
        <v/>
      </c>
      <c r="M94" s="22" t="str">
        <f aca="false">IF(AND(ISNUMBER(M30),ISNUMBER(L30),L30&lt;&gt;0),M30/L30-1,"")</f>
        <v/>
      </c>
      <c r="N94" s="22" t="str">
        <f aca="false">IF(AND(ISNUMBER(N30),ISNUMBER(M30),M30&lt;&gt;0),N30/M30-1,"")</f>
        <v/>
      </c>
    </row>
    <row r="95" customFormat="false" ht="23.85" hidden="false" customHeight="false" outlineLevel="0" collapsed="false">
      <c r="A95" s="43" t="s">
        <v>469</v>
      </c>
      <c r="C95" s="5" t="s">
        <v>470</v>
      </c>
      <c r="F95" s="22" t="str">
        <f aca="false">IF(AND(ISNUMBER(F31),ISNUMBER(E31),E31&lt;&gt;0),F31/E31-1,"")</f>
        <v/>
      </c>
      <c r="G95" s="22" t="str">
        <f aca="false">IF(AND(ISNUMBER(G31),ISNUMBER(F31),F31&lt;&gt;0),G31/F31-1,"")</f>
        <v/>
      </c>
      <c r="H95" s="22" t="str">
        <f aca="false">IF(AND(ISNUMBER(H31),ISNUMBER(G31),G31&lt;&gt;0),H31/G31-1,"")</f>
        <v/>
      </c>
      <c r="I95" s="22" t="str">
        <f aca="false">IF(AND(ISNUMBER(I31),ISNUMBER(H31),H31&lt;&gt;0),I31/H31-1,"")</f>
        <v/>
      </c>
      <c r="J95" s="22" t="str">
        <f aca="false">IF(AND(ISNUMBER(J31),ISNUMBER(I31),I31&lt;&gt;0),J31/I31-1,"")</f>
        <v/>
      </c>
      <c r="K95" s="22" t="str">
        <f aca="false">IF(AND(ISNUMBER(K31),ISNUMBER(J31),J31&lt;&gt;0),K31/J31-1,"")</f>
        <v/>
      </c>
      <c r="L95" s="22" t="str">
        <f aca="false">IF(AND(ISNUMBER(L31),ISNUMBER(K31),K31&lt;&gt;0),L31/K31-1,"")</f>
        <v/>
      </c>
      <c r="M95" s="22" t="str">
        <f aca="false">IF(AND(ISNUMBER(M31),ISNUMBER(L31),L31&lt;&gt;0),M31/L31-1,"")</f>
        <v/>
      </c>
      <c r="N95" s="22" t="str">
        <f aca="false">IF(AND(ISNUMBER(N31),ISNUMBER(M31),M31&lt;&gt;0),N31/M31-1,"")</f>
        <v/>
      </c>
    </row>
    <row r="96" customFormat="false" ht="23.85" hidden="false" customHeight="false" outlineLevel="0" collapsed="false">
      <c r="A96" s="43" t="s">
        <v>471</v>
      </c>
      <c r="C96" s="5" t="s">
        <v>472</v>
      </c>
      <c r="F96" s="22" t="str">
        <f aca="false">IF(AND(ISNUMBER(F32),ISNUMBER(E32),E32&lt;&gt;0),F32/E32-1,"")</f>
        <v/>
      </c>
      <c r="G96" s="22" t="str">
        <f aca="false">IF(AND(ISNUMBER(G32),ISNUMBER(F32),F32&lt;&gt;0),G32/F32-1,"")</f>
        <v/>
      </c>
      <c r="H96" s="22" t="str">
        <f aca="false">IF(AND(ISNUMBER(H32),ISNUMBER(G32),G32&lt;&gt;0),H32/G32-1,"")</f>
        <v/>
      </c>
      <c r="I96" s="22" t="str">
        <f aca="false">IF(AND(ISNUMBER(I32),ISNUMBER(H32),H32&lt;&gt;0),I32/H32-1,"")</f>
        <v/>
      </c>
      <c r="J96" s="22" t="str">
        <f aca="false">IF(AND(ISNUMBER(J32),ISNUMBER(I32),I32&lt;&gt;0),J32/I32-1,"")</f>
        <v/>
      </c>
      <c r="K96" s="22" t="str">
        <f aca="false">IF(AND(ISNUMBER(K32),ISNUMBER(J32),J32&lt;&gt;0),K32/J32-1,"")</f>
        <v/>
      </c>
      <c r="L96" s="22" t="str">
        <f aca="false">IF(AND(ISNUMBER(L32),ISNUMBER(K32),K32&lt;&gt;0),L32/K32-1,"")</f>
        <v/>
      </c>
      <c r="M96" s="22" t="str">
        <f aca="false">IF(AND(ISNUMBER(M32),ISNUMBER(L32),L32&lt;&gt;0),M32/L32-1,"")</f>
        <v/>
      </c>
      <c r="N96" s="22" t="str">
        <f aca="false">IF(AND(ISNUMBER(N32),ISNUMBER(M32),M32&lt;&gt;0),N32/M32-1,"")</f>
        <v/>
      </c>
    </row>
    <row r="97" customFormat="false" ht="23.85" hidden="false" customHeight="false" outlineLevel="0" collapsed="false">
      <c r="A97" s="43" t="s">
        <v>473</v>
      </c>
      <c r="C97" s="5" t="s">
        <v>474</v>
      </c>
      <c r="F97" s="22" t="str">
        <f aca="false">IF(AND(ISNUMBER(F33),ISNUMBER(E33),E33&lt;&gt;0),F33/E33-1,"")</f>
        <v/>
      </c>
      <c r="G97" s="22" t="str">
        <f aca="false">IF(AND(ISNUMBER(G33),ISNUMBER(F33),F33&lt;&gt;0),G33/F33-1,"")</f>
        <v/>
      </c>
      <c r="H97" s="22" t="str">
        <f aca="false">IF(AND(ISNUMBER(H33),ISNUMBER(G33),G33&lt;&gt;0),H33/G33-1,"")</f>
        <v/>
      </c>
      <c r="I97" s="22" t="str">
        <f aca="false">IF(AND(ISNUMBER(I33),ISNUMBER(H33),H33&lt;&gt;0),I33/H33-1,"")</f>
        <v/>
      </c>
      <c r="J97" s="22" t="str">
        <f aca="false">IF(AND(ISNUMBER(J33),ISNUMBER(I33),I33&lt;&gt;0),J33/I33-1,"")</f>
        <v/>
      </c>
      <c r="K97" s="22" t="str">
        <f aca="false">IF(AND(ISNUMBER(K33),ISNUMBER(J33),J33&lt;&gt;0),K33/J33-1,"")</f>
        <v/>
      </c>
      <c r="L97" s="22" t="str">
        <f aca="false">IF(AND(ISNUMBER(L33),ISNUMBER(K33),K33&lt;&gt;0),L33/K33-1,"")</f>
        <v/>
      </c>
      <c r="M97" s="22" t="str">
        <f aca="false">IF(AND(ISNUMBER(M33),ISNUMBER(L33),L33&lt;&gt;0),M33/L33-1,"")</f>
        <v/>
      </c>
      <c r="N97" s="22" t="str">
        <f aca="false">IF(AND(ISNUMBER(N33),ISNUMBER(M33),M33&lt;&gt;0),N33/M33-1,"")</f>
        <v/>
      </c>
    </row>
    <row r="98" customFormat="false" ht="23.85" hidden="false" customHeight="false" outlineLevel="0" collapsed="false">
      <c r="A98" s="43" t="s">
        <v>475</v>
      </c>
      <c r="C98" s="5" t="s">
        <v>476</v>
      </c>
      <c r="F98" s="22" t="str">
        <f aca="false">IF(AND(ISNUMBER(F34),ISNUMBER(E34),E34&lt;&gt;0),F34/E34-1,"")</f>
        <v/>
      </c>
      <c r="G98" s="22" t="str">
        <f aca="false">IF(AND(ISNUMBER(G34),ISNUMBER(F34),F34&lt;&gt;0),G34/F34-1,"")</f>
        <v/>
      </c>
      <c r="H98" s="22" t="str">
        <f aca="false">IF(AND(ISNUMBER(H34),ISNUMBER(G34),G34&lt;&gt;0),H34/G34-1,"")</f>
        <v/>
      </c>
      <c r="I98" s="22" t="str">
        <f aca="false">IF(AND(ISNUMBER(I34),ISNUMBER(H34),H34&lt;&gt;0),I34/H34-1,"")</f>
        <v/>
      </c>
      <c r="J98" s="22" t="str">
        <f aca="false">IF(AND(ISNUMBER(J34),ISNUMBER(I34),I34&lt;&gt;0),J34/I34-1,"")</f>
        <v/>
      </c>
      <c r="K98" s="22" t="str">
        <f aca="false">IF(AND(ISNUMBER(K34),ISNUMBER(J34),J34&lt;&gt;0),K34/J34-1,"")</f>
        <v/>
      </c>
      <c r="L98" s="22" t="str">
        <f aca="false">IF(AND(ISNUMBER(L34),ISNUMBER(K34),K34&lt;&gt;0),L34/K34-1,"")</f>
        <v/>
      </c>
      <c r="M98" s="22" t="str">
        <f aca="false">IF(AND(ISNUMBER(M34),ISNUMBER(L34),L34&lt;&gt;0),M34/L34-1,"")</f>
        <v/>
      </c>
      <c r="N98" s="22" t="str">
        <f aca="false">IF(AND(ISNUMBER(N34),ISNUMBER(M34),M34&lt;&gt;0),N34/M34-1,"")</f>
        <v/>
      </c>
    </row>
    <row r="99" customFormat="false" ht="23.85" hidden="false" customHeight="false" outlineLevel="0" collapsed="false">
      <c r="A99" s="43" t="s">
        <v>477</v>
      </c>
      <c r="C99" s="5" t="s">
        <v>478</v>
      </c>
      <c r="F99" s="22" t="str">
        <f aca="false">IF(AND(ISNUMBER(F35),ISNUMBER(E35),E35&lt;&gt;0),F35/E35-1,"")</f>
        <v/>
      </c>
      <c r="G99" s="22" t="str">
        <f aca="false">IF(AND(ISNUMBER(G35),ISNUMBER(F35),F35&lt;&gt;0),G35/F35-1,"")</f>
        <v/>
      </c>
      <c r="H99" s="22" t="str">
        <f aca="false">IF(AND(ISNUMBER(H35),ISNUMBER(G35),G35&lt;&gt;0),H35/G35-1,"")</f>
        <v/>
      </c>
      <c r="I99" s="22" t="str">
        <f aca="false">IF(AND(ISNUMBER(I35),ISNUMBER(H35),H35&lt;&gt;0),I35/H35-1,"")</f>
        <v/>
      </c>
      <c r="J99" s="22" t="str">
        <f aca="false">IF(AND(ISNUMBER(J35),ISNUMBER(I35),I35&lt;&gt;0),J35/I35-1,"")</f>
        <v/>
      </c>
      <c r="K99" s="22" t="str">
        <f aca="false">IF(AND(ISNUMBER(K35),ISNUMBER(J35),J35&lt;&gt;0),K35/J35-1,"")</f>
        <v/>
      </c>
      <c r="L99" s="22" t="str">
        <f aca="false">IF(AND(ISNUMBER(L35),ISNUMBER(K35),K35&lt;&gt;0),L35/K35-1,"")</f>
        <v/>
      </c>
      <c r="M99" s="22" t="str">
        <f aca="false">IF(AND(ISNUMBER(M35),ISNUMBER(L35),L35&lt;&gt;0),M35/L35-1,"")</f>
        <v/>
      </c>
      <c r="N99" s="22" t="str">
        <f aca="false">IF(AND(ISNUMBER(N35),ISNUMBER(M35),M35&lt;&gt;0),N35/M35-1,"")</f>
        <v/>
      </c>
    </row>
    <row r="100" customFormat="false" ht="23.85" hidden="false" customHeight="false" outlineLevel="0" collapsed="false">
      <c r="A100" s="43" t="s">
        <v>479</v>
      </c>
      <c r="C100" s="5" t="s">
        <v>480</v>
      </c>
      <c r="F100" s="22" t="str">
        <f aca="false">IF(AND(ISNUMBER(F36),ISNUMBER(E36),E36&lt;&gt;0),F36/E36-1,"")</f>
        <v/>
      </c>
      <c r="G100" s="22" t="str">
        <f aca="false">IF(AND(ISNUMBER(G36),ISNUMBER(F36),F36&lt;&gt;0),G36/F36-1,"")</f>
        <v/>
      </c>
      <c r="H100" s="22" t="str">
        <f aca="false">IF(AND(ISNUMBER(H36),ISNUMBER(G36),G36&lt;&gt;0),H36/G36-1,"")</f>
        <v/>
      </c>
      <c r="I100" s="22" t="str">
        <f aca="false">IF(AND(ISNUMBER(I36),ISNUMBER(H36),H36&lt;&gt;0),I36/H36-1,"")</f>
        <v/>
      </c>
      <c r="J100" s="22" t="str">
        <f aca="false">IF(AND(ISNUMBER(J36),ISNUMBER(I36),I36&lt;&gt;0),J36/I36-1,"")</f>
        <v/>
      </c>
      <c r="K100" s="22" t="str">
        <f aca="false">IF(AND(ISNUMBER(K36),ISNUMBER(J36),J36&lt;&gt;0),K36/J36-1,"")</f>
        <v/>
      </c>
      <c r="L100" s="22" t="str">
        <f aca="false">IF(AND(ISNUMBER(L36),ISNUMBER(K36),K36&lt;&gt;0),L36/K36-1,"")</f>
        <v/>
      </c>
      <c r="M100" s="22" t="str">
        <f aca="false">IF(AND(ISNUMBER(M36),ISNUMBER(L36),L36&lt;&gt;0),M36/L36-1,"")</f>
        <v/>
      </c>
      <c r="N100" s="22" t="str">
        <f aca="false">IF(AND(ISNUMBER(N36),ISNUMBER(M36),M36&lt;&gt;0),N36/M36-1,"")</f>
        <v/>
      </c>
    </row>
    <row r="101" customFormat="false" ht="23.85" hidden="false" customHeight="false" outlineLevel="0" collapsed="false">
      <c r="A101" s="43" t="s">
        <v>481</v>
      </c>
      <c r="C101" s="5" t="s">
        <v>482</v>
      </c>
      <c r="F101" s="22" t="str">
        <f aca="false">IF(AND(ISNUMBER(F37),ISNUMBER(E37),E37&lt;&gt;0),F37/E37-1,"")</f>
        <v/>
      </c>
      <c r="G101" s="22" t="str">
        <f aca="false">IF(AND(ISNUMBER(G37),ISNUMBER(F37),F37&lt;&gt;0),G37/F37-1,"")</f>
        <v/>
      </c>
      <c r="H101" s="22" t="str">
        <f aca="false">IF(AND(ISNUMBER(H37),ISNUMBER(G37),G37&lt;&gt;0),H37/G37-1,"")</f>
        <v/>
      </c>
      <c r="I101" s="22" t="str">
        <f aca="false">IF(AND(ISNUMBER(I37),ISNUMBER(H37),H37&lt;&gt;0),I37/H37-1,"")</f>
        <v/>
      </c>
      <c r="J101" s="22" t="str">
        <f aca="false">IF(AND(ISNUMBER(J37),ISNUMBER(I37),I37&lt;&gt;0),J37/I37-1,"")</f>
        <v/>
      </c>
      <c r="K101" s="22" t="str">
        <f aca="false">IF(AND(ISNUMBER(K37),ISNUMBER(J37),J37&lt;&gt;0),K37/J37-1,"")</f>
        <v/>
      </c>
      <c r="L101" s="22" t="str">
        <f aca="false">IF(AND(ISNUMBER(L37),ISNUMBER(K37),K37&lt;&gt;0),L37/K37-1,"")</f>
        <v/>
      </c>
      <c r="M101" s="22" t="str">
        <f aca="false">IF(AND(ISNUMBER(M37),ISNUMBER(L37),L37&lt;&gt;0),M37/L37-1,"")</f>
        <v/>
      </c>
      <c r="N101" s="22" t="str">
        <f aca="false">IF(AND(ISNUMBER(N37),ISNUMBER(M37),M37&lt;&gt;0),N37/M37-1,"")</f>
        <v/>
      </c>
    </row>
    <row r="102" customFormat="false" ht="15" hidden="false" customHeight="false" outlineLevel="0" collapsed="false">
      <c r="A102" s="43" t="s">
        <v>483</v>
      </c>
      <c r="C102" s="5" t="s">
        <v>484</v>
      </c>
      <c r="F102" s="22" t="str">
        <f aca="false">IF(AND(ISNUMBER(F38),ISNUMBER(E38),E38&lt;&gt;0),F38/E38-1,"")</f>
        <v/>
      </c>
      <c r="G102" s="22" t="str">
        <f aca="false">IF(AND(ISNUMBER(G38),ISNUMBER(F38),F38&lt;&gt;0),G38/F38-1,"")</f>
        <v/>
      </c>
      <c r="H102" s="22" t="str">
        <f aca="false">IF(AND(ISNUMBER(H38),ISNUMBER(G38),G38&lt;&gt;0),H38/G38-1,"")</f>
        <v/>
      </c>
      <c r="I102" s="22" t="str">
        <f aca="false">IF(AND(ISNUMBER(I38),ISNUMBER(H38),H38&lt;&gt;0),I38/H38-1,"")</f>
        <v/>
      </c>
      <c r="J102" s="22" t="str">
        <f aca="false">IF(AND(ISNUMBER(J38),ISNUMBER(I38),I38&lt;&gt;0),J38/I38-1,"")</f>
        <v/>
      </c>
      <c r="K102" s="22" t="str">
        <f aca="false">IF(AND(ISNUMBER(K38),ISNUMBER(J38),J38&lt;&gt;0),K38/J38-1,"")</f>
        <v/>
      </c>
      <c r="L102" s="22" t="str">
        <f aca="false">IF(AND(ISNUMBER(L38),ISNUMBER(K38),K38&lt;&gt;0),L38/K38-1,"")</f>
        <v/>
      </c>
      <c r="M102" s="22" t="str">
        <f aca="false">IF(AND(ISNUMBER(M38),ISNUMBER(L38),L38&lt;&gt;0),M38/L38-1,"")</f>
        <v/>
      </c>
      <c r="N102" s="22" t="str">
        <f aca="false">IF(AND(ISNUMBER(N38),ISNUMBER(M38),M38&lt;&gt;0),N38/M38-1,"")</f>
        <v/>
      </c>
    </row>
    <row r="103" customFormat="false" ht="15" hidden="false" customHeight="false" outlineLevel="0" collapsed="false">
      <c r="A103" s="43" t="s">
        <v>486</v>
      </c>
      <c r="C103" s="5" t="s">
        <v>487</v>
      </c>
      <c r="F103" s="22" t="str">
        <f aca="false">IF(AND(ISNUMBER(F39),ISNUMBER(E39),E39&lt;&gt;0),F39/E39-1,"")</f>
        <v/>
      </c>
      <c r="G103" s="22" t="str">
        <f aca="false">IF(AND(ISNUMBER(G39),ISNUMBER(F39),F39&lt;&gt;0),G39/F39-1,"")</f>
        <v/>
      </c>
      <c r="H103" s="22" t="str">
        <f aca="false">IF(AND(ISNUMBER(H39),ISNUMBER(G39),G39&lt;&gt;0),H39/G39-1,"")</f>
        <v/>
      </c>
      <c r="I103" s="22" t="str">
        <f aca="false">IF(AND(ISNUMBER(I39),ISNUMBER(H39),H39&lt;&gt;0),I39/H39-1,"")</f>
        <v/>
      </c>
      <c r="J103" s="22" t="str">
        <f aca="false">IF(AND(ISNUMBER(J39),ISNUMBER(I39),I39&lt;&gt;0),J39/I39-1,"")</f>
        <v/>
      </c>
      <c r="K103" s="22" t="str">
        <f aca="false">IF(AND(ISNUMBER(K39),ISNUMBER(J39),J39&lt;&gt;0),K39/J39-1,"")</f>
        <v/>
      </c>
      <c r="L103" s="22" t="str">
        <f aca="false">IF(AND(ISNUMBER(L39),ISNUMBER(K39),K39&lt;&gt;0),L39/K39-1,"")</f>
        <v/>
      </c>
      <c r="M103" s="22" t="str">
        <f aca="false">IF(AND(ISNUMBER(M39),ISNUMBER(L39),L39&lt;&gt;0),M39/L39-1,"")</f>
        <v/>
      </c>
      <c r="N103" s="22" t="str">
        <f aca="false">IF(AND(ISNUMBER(N39),ISNUMBER(M39),M39&lt;&gt;0),N39/M39-1,"")</f>
        <v/>
      </c>
    </row>
    <row r="104" customFormat="false" ht="15" hidden="false" customHeight="false" outlineLevel="0" collapsed="false">
      <c r="A104" s="43" t="s">
        <v>488</v>
      </c>
      <c r="C104" s="5" t="s">
        <v>489</v>
      </c>
      <c r="F104" s="22" t="str">
        <f aca="false">IF(AND(ISNUMBER(F40),ISNUMBER(E40),E40&lt;&gt;0),F40/E40-1,"")</f>
        <v/>
      </c>
      <c r="G104" s="22" t="str">
        <f aca="false">IF(AND(ISNUMBER(G40),ISNUMBER(F40),F40&lt;&gt;0),G40/F40-1,"")</f>
        <v/>
      </c>
      <c r="H104" s="22" t="str">
        <f aca="false">IF(AND(ISNUMBER(H40),ISNUMBER(G40),G40&lt;&gt;0),H40/G40-1,"")</f>
        <v/>
      </c>
      <c r="I104" s="22" t="str">
        <f aca="false">IF(AND(ISNUMBER(I40),ISNUMBER(H40),H40&lt;&gt;0),I40/H40-1,"")</f>
        <v/>
      </c>
      <c r="J104" s="22" t="str">
        <f aca="false">IF(AND(ISNUMBER(J40),ISNUMBER(I40),I40&lt;&gt;0),J40/I40-1,"")</f>
        <v/>
      </c>
      <c r="K104" s="22" t="str">
        <f aca="false">IF(AND(ISNUMBER(K40),ISNUMBER(J40),J40&lt;&gt;0),K40/J40-1,"")</f>
        <v/>
      </c>
      <c r="L104" s="22" t="str">
        <f aca="false">IF(AND(ISNUMBER(L40),ISNUMBER(K40),K40&lt;&gt;0),L40/K40-1,"")</f>
        <v/>
      </c>
      <c r="M104" s="22" t="str">
        <f aca="false">IF(AND(ISNUMBER(M40),ISNUMBER(L40),L40&lt;&gt;0),M40/L40-1,"")</f>
        <v/>
      </c>
      <c r="N104" s="22" t="str">
        <f aca="false">IF(AND(ISNUMBER(N40),ISNUMBER(M40),M40&lt;&gt;0),N40/M40-1,"")</f>
        <v/>
      </c>
    </row>
    <row r="105" customFormat="false" ht="15" hidden="false" customHeight="false" outlineLevel="0" collapsed="false">
      <c r="A105" s="43" t="s">
        <v>490</v>
      </c>
      <c r="C105" s="5" t="s">
        <v>491</v>
      </c>
      <c r="F105" s="22" t="str">
        <f aca="false">IF(AND(ISNUMBER(F41),ISNUMBER(E41),E41&lt;&gt;0),F41/E41-1,"")</f>
        <v/>
      </c>
      <c r="G105" s="22" t="str">
        <f aca="false">IF(AND(ISNUMBER(G41),ISNUMBER(F41),F41&lt;&gt;0),G41/F41-1,"")</f>
        <v/>
      </c>
      <c r="H105" s="22" t="str">
        <f aca="false">IF(AND(ISNUMBER(H41),ISNUMBER(G41),G41&lt;&gt;0),H41/G41-1,"")</f>
        <v/>
      </c>
      <c r="I105" s="22" t="str">
        <f aca="false">IF(AND(ISNUMBER(I41),ISNUMBER(H41),H41&lt;&gt;0),I41/H41-1,"")</f>
        <v/>
      </c>
      <c r="J105" s="22" t="str">
        <f aca="false">IF(AND(ISNUMBER(J41),ISNUMBER(I41),I41&lt;&gt;0),J41/I41-1,"")</f>
        <v/>
      </c>
      <c r="K105" s="22" t="str">
        <f aca="false">IF(AND(ISNUMBER(K41),ISNUMBER(J41),J41&lt;&gt;0),K41/J41-1,"")</f>
        <v/>
      </c>
      <c r="L105" s="22" t="str">
        <f aca="false">IF(AND(ISNUMBER(L41),ISNUMBER(K41),K41&lt;&gt;0),L41/K41-1,"")</f>
        <v/>
      </c>
      <c r="M105" s="22" t="str">
        <f aca="false">IF(AND(ISNUMBER(M41),ISNUMBER(L41),L41&lt;&gt;0),M41/L41-1,"")</f>
        <v/>
      </c>
      <c r="N105" s="22" t="str">
        <f aca="false">IF(AND(ISNUMBER(N41),ISNUMBER(M41),M41&lt;&gt;0),N41/M41-1,"")</f>
        <v/>
      </c>
    </row>
    <row r="106" customFormat="false" ht="15" hidden="false" customHeight="false" outlineLevel="0" collapsed="false">
      <c r="A106" s="43" t="s">
        <v>492</v>
      </c>
      <c r="C106" s="5" t="s">
        <v>493</v>
      </c>
      <c r="F106" s="22" t="str">
        <f aca="false">IF(AND(ISNUMBER(F42),ISNUMBER(E42),E42&lt;&gt;0),F42/E42-1,"")</f>
        <v/>
      </c>
      <c r="G106" s="22" t="str">
        <f aca="false">IF(AND(ISNUMBER(G42),ISNUMBER(F42),F42&lt;&gt;0),G42/F42-1,"")</f>
        <v/>
      </c>
      <c r="H106" s="22" t="str">
        <f aca="false">IF(AND(ISNUMBER(H42),ISNUMBER(G42),G42&lt;&gt;0),H42/G42-1,"")</f>
        <v/>
      </c>
      <c r="I106" s="22" t="str">
        <f aca="false">IF(AND(ISNUMBER(I42),ISNUMBER(H42),H42&lt;&gt;0),I42/H42-1,"")</f>
        <v/>
      </c>
      <c r="J106" s="22" t="str">
        <f aca="false">IF(AND(ISNUMBER(J42),ISNUMBER(I42),I42&lt;&gt;0),J42/I42-1,"")</f>
        <v/>
      </c>
      <c r="K106" s="22" t="str">
        <f aca="false">IF(AND(ISNUMBER(K42),ISNUMBER(J42),J42&lt;&gt;0),K42/J42-1,"")</f>
        <v/>
      </c>
      <c r="L106" s="22" t="str">
        <f aca="false">IF(AND(ISNUMBER(L42),ISNUMBER(K42),K42&lt;&gt;0),L42/K42-1,"")</f>
        <v/>
      </c>
      <c r="M106" s="22" t="str">
        <f aca="false">IF(AND(ISNUMBER(M42),ISNUMBER(L42),L42&lt;&gt;0),M42/L42-1,"")</f>
        <v/>
      </c>
      <c r="N106" s="22" t="str">
        <f aca="false">IF(AND(ISNUMBER(N42),ISNUMBER(M42),M42&lt;&gt;0),N42/M42-1,"")</f>
        <v/>
      </c>
    </row>
    <row r="107" customFormat="false" ht="15" hidden="false" customHeight="false" outlineLevel="0" collapsed="false">
      <c r="A107" s="43" t="s">
        <v>494</v>
      </c>
      <c r="C107" s="5" t="s">
        <v>495</v>
      </c>
      <c r="F107" s="22" t="str">
        <f aca="false">IF(AND(ISNUMBER(F43),ISNUMBER(E43),E43&lt;&gt;0),F43/E43-1,"")</f>
        <v/>
      </c>
      <c r="G107" s="22" t="str">
        <f aca="false">IF(AND(ISNUMBER(G43),ISNUMBER(F43),F43&lt;&gt;0),G43/F43-1,"")</f>
        <v/>
      </c>
      <c r="H107" s="22" t="str">
        <f aca="false">IF(AND(ISNUMBER(H43),ISNUMBER(G43),G43&lt;&gt;0),H43/G43-1,"")</f>
        <v/>
      </c>
      <c r="I107" s="22" t="str">
        <f aca="false">IF(AND(ISNUMBER(I43),ISNUMBER(H43),H43&lt;&gt;0),I43/H43-1,"")</f>
        <v/>
      </c>
      <c r="J107" s="22" t="str">
        <f aca="false">IF(AND(ISNUMBER(J43),ISNUMBER(I43),I43&lt;&gt;0),J43/I43-1,"")</f>
        <v/>
      </c>
      <c r="K107" s="22" t="str">
        <f aca="false">IF(AND(ISNUMBER(K43),ISNUMBER(J43),J43&lt;&gt;0),K43/J43-1,"")</f>
        <v/>
      </c>
      <c r="L107" s="22" t="str">
        <f aca="false">IF(AND(ISNUMBER(L43),ISNUMBER(K43),K43&lt;&gt;0),L43/K43-1,"")</f>
        <v/>
      </c>
      <c r="M107" s="22" t="str">
        <f aca="false">IF(AND(ISNUMBER(M43),ISNUMBER(L43),L43&lt;&gt;0),M43/L43-1,"")</f>
        <v/>
      </c>
      <c r="N107" s="22" t="str">
        <f aca="false">IF(AND(ISNUMBER(N43),ISNUMBER(M43),M43&lt;&gt;0),N43/M43-1,"")</f>
        <v/>
      </c>
    </row>
    <row r="108" customFormat="false" ht="15" hidden="false" customHeight="false" outlineLevel="0" collapsed="false">
      <c r="A108" s="43" t="s">
        <v>496</v>
      </c>
      <c r="C108" s="5" t="s">
        <v>497</v>
      </c>
      <c r="F108" s="22" t="str">
        <f aca="false">IF(AND(ISNUMBER(F44),ISNUMBER(E44),E44&lt;&gt;0),F44/E44-1,"")</f>
        <v/>
      </c>
      <c r="G108" s="22" t="str">
        <f aca="false">IF(AND(ISNUMBER(G44),ISNUMBER(F44),F44&lt;&gt;0),G44/F44-1,"")</f>
        <v/>
      </c>
      <c r="H108" s="22" t="str">
        <f aca="false">IF(AND(ISNUMBER(H44),ISNUMBER(G44),G44&lt;&gt;0),H44/G44-1,"")</f>
        <v/>
      </c>
      <c r="I108" s="22" t="str">
        <f aca="false">IF(AND(ISNUMBER(I44),ISNUMBER(H44),H44&lt;&gt;0),I44/H44-1,"")</f>
        <v/>
      </c>
      <c r="J108" s="22" t="str">
        <f aca="false">IF(AND(ISNUMBER(J44),ISNUMBER(I44),I44&lt;&gt;0),J44/I44-1,"")</f>
        <v/>
      </c>
      <c r="K108" s="22" t="str">
        <f aca="false">IF(AND(ISNUMBER(K44),ISNUMBER(J44),J44&lt;&gt;0),K44/J44-1,"")</f>
        <v/>
      </c>
      <c r="L108" s="22" t="str">
        <f aca="false">IF(AND(ISNUMBER(L44),ISNUMBER(K44),K44&lt;&gt;0),L44/K44-1,"")</f>
        <v/>
      </c>
      <c r="M108" s="22" t="str">
        <f aca="false">IF(AND(ISNUMBER(M44),ISNUMBER(L44),L44&lt;&gt;0),M44/L44-1,"")</f>
        <v/>
      </c>
      <c r="N108" s="22" t="str">
        <f aca="false">IF(AND(ISNUMBER(N44),ISNUMBER(M44),M44&lt;&gt;0),N44/M44-1,"")</f>
        <v/>
      </c>
    </row>
    <row r="109" customFormat="false" ht="15" hidden="false" customHeight="false" outlineLevel="0" collapsed="false">
      <c r="A109" s="43" t="s">
        <v>498</v>
      </c>
      <c r="C109" s="5" t="s">
        <v>499</v>
      </c>
      <c r="F109" s="22" t="str">
        <f aca="false">IF(AND(ISNUMBER(F45),ISNUMBER(E45),E45&lt;&gt;0),F45/E45-1,"")</f>
        <v/>
      </c>
      <c r="G109" s="22" t="str">
        <f aca="false">IF(AND(ISNUMBER(G45),ISNUMBER(F45),F45&lt;&gt;0),G45/F45-1,"")</f>
        <v/>
      </c>
      <c r="H109" s="22" t="str">
        <f aca="false">IF(AND(ISNUMBER(H45),ISNUMBER(G45),G45&lt;&gt;0),H45/G45-1,"")</f>
        <v/>
      </c>
      <c r="I109" s="22" t="str">
        <f aca="false">IF(AND(ISNUMBER(I45),ISNUMBER(H45),H45&lt;&gt;0),I45/H45-1,"")</f>
        <v/>
      </c>
      <c r="J109" s="22" t="str">
        <f aca="false">IF(AND(ISNUMBER(J45),ISNUMBER(I45),I45&lt;&gt;0),J45/I45-1,"")</f>
        <v/>
      </c>
      <c r="K109" s="22" t="str">
        <f aca="false">IF(AND(ISNUMBER(K45),ISNUMBER(J45),J45&lt;&gt;0),K45/J45-1,"")</f>
        <v/>
      </c>
      <c r="L109" s="22" t="str">
        <f aca="false">IF(AND(ISNUMBER(L45),ISNUMBER(K45),K45&lt;&gt;0),L45/K45-1,"")</f>
        <v/>
      </c>
      <c r="M109" s="22" t="str">
        <f aca="false">IF(AND(ISNUMBER(M45),ISNUMBER(L45),L45&lt;&gt;0),M45/L45-1,"")</f>
        <v/>
      </c>
      <c r="N109" s="22" t="str">
        <f aca="false">IF(AND(ISNUMBER(N45),ISNUMBER(M45),M45&lt;&gt;0),N45/M45-1,"")</f>
        <v/>
      </c>
    </row>
    <row r="110" customFormat="false" ht="15" hidden="false" customHeight="false" outlineLevel="0" collapsed="false">
      <c r="A110" s="43" t="s">
        <v>500</v>
      </c>
      <c r="C110" s="5" t="s">
        <v>502</v>
      </c>
      <c r="F110" s="22" t="str">
        <f aca="false">IF(AND(ISNUMBER(F46),ISNUMBER(E46),E46&lt;&gt;0),F46/E46-1,"")</f>
        <v/>
      </c>
      <c r="G110" s="22" t="str">
        <f aca="false">IF(AND(ISNUMBER(G46),ISNUMBER(F46),F46&lt;&gt;0),G46/F46-1,"")</f>
        <v/>
      </c>
      <c r="H110" s="22" t="str">
        <f aca="false">IF(AND(ISNUMBER(H46),ISNUMBER(G46),G46&lt;&gt;0),H46/G46-1,"")</f>
        <v/>
      </c>
      <c r="I110" s="22" t="str">
        <f aca="false">IF(AND(ISNUMBER(I46),ISNUMBER(H46),H46&lt;&gt;0),I46/H46-1,"")</f>
        <v/>
      </c>
      <c r="J110" s="22" t="str">
        <f aca="false">IF(AND(ISNUMBER(J46),ISNUMBER(I46),I46&lt;&gt;0),J46/I46-1,"")</f>
        <v/>
      </c>
      <c r="K110" s="22" t="str">
        <f aca="false">IF(AND(ISNUMBER(K46),ISNUMBER(J46),J46&lt;&gt;0),K46/J46-1,"")</f>
        <v/>
      </c>
      <c r="L110" s="22" t="str">
        <f aca="false">IF(AND(ISNUMBER(L46),ISNUMBER(K46),K46&lt;&gt;0),L46/K46-1,"")</f>
        <v/>
      </c>
      <c r="M110" s="22" t="str">
        <f aca="false">IF(AND(ISNUMBER(M46),ISNUMBER(L46),L46&lt;&gt;0),M46/L46-1,"")</f>
        <v/>
      </c>
      <c r="N110" s="22" t="str">
        <f aca="false">IF(AND(ISNUMBER(N46),ISNUMBER(M46),M46&lt;&gt;0),N46/M46-1,"")</f>
        <v/>
      </c>
    </row>
    <row r="111" customFormat="false" ht="15" hidden="false" customHeight="false" outlineLevel="0" collapsed="false">
      <c r="A111" s="43" t="s">
        <v>503</v>
      </c>
      <c r="C111" s="5" t="s">
        <v>504</v>
      </c>
      <c r="F111" s="22" t="str">
        <f aca="false">IF(AND(ISNUMBER(F47),ISNUMBER(E47),E47&lt;&gt;0),F47/E47-1,"")</f>
        <v/>
      </c>
      <c r="G111" s="22" t="str">
        <f aca="false">IF(AND(ISNUMBER(G47),ISNUMBER(F47),F47&lt;&gt;0),G47/F47-1,"")</f>
        <v/>
      </c>
      <c r="H111" s="22" t="str">
        <f aca="false">IF(AND(ISNUMBER(H47),ISNUMBER(G47),G47&lt;&gt;0),H47/G47-1,"")</f>
        <v/>
      </c>
      <c r="I111" s="22" t="str">
        <f aca="false">IF(AND(ISNUMBER(I47),ISNUMBER(H47),H47&lt;&gt;0),I47/H47-1,"")</f>
        <v/>
      </c>
      <c r="J111" s="22" t="str">
        <f aca="false">IF(AND(ISNUMBER(J47),ISNUMBER(I47),I47&lt;&gt;0),J47/I47-1,"")</f>
        <v/>
      </c>
      <c r="K111" s="22" t="str">
        <f aca="false">IF(AND(ISNUMBER(K47),ISNUMBER(J47),J47&lt;&gt;0),K47/J47-1,"")</f>
        <v/>
      </c>
      <c r="L111" s="22" t="str">
        <f aca="false">IF(AND(ISNUMBER(L47),ISNUMBER(K47),K47&lt;&gt;0),L47/K47-1,"")</f>
        <v/>
      </c>
      <c r="M111" s="22" t="str">
        <f aca="false">IF(AND(ISNUMBER(M47),ISNUMBER(L47),L47&lt;&gt;0),M47/L47-1,"")</f>
        <v/>
      </c>
      <c r="N111" s="22" t="str">
        <f aca="false">IF(AND(ISNUMBER(N47),ISNUMBER(M47),M47&lt;&gt;0),N47/M47-1,"")</f>
        <v/>
      </c>
    </row>
    <row r="112" customFormat="false" ht="15" hidden="false" customHeight="false" outlineLevel="0" collapsed="false">
      <c r="A112" s="43" t="s">
        <v>505</v>
      </c>
      <c r="C112" s="5" t="s">
        <v>506</v>
      </c>
      <c r="F112" s="22" t="str">
        <f aca="false">IF(AND(ISNUMBER(F48),ISNUMBER(E48),E48&lt;&gt;0),F48/E48-1,"")</f>
        <v/>
      </c>
      <c r="G112" s="22" t="str">
        <f aca="false">IF(AND(ISNUMBER(G48),ISNUMBER(F48),F48&lt;&gt;0),G48/F48-1,"")</f>
        <v/>
      </c>
      <c r="H112" s="22" t="str">
        <f aca="false">IF(AND(ISNUMBER(H48),ISNUMBER(G48),G48&lt;&gt;0),H48/G48-1,"")</f>
        <v/>
      </c>
      <c r="I112" s="22" t="str">
        <f aca="false">IF(AND(ISNUMBER(I48),ISNUMBER(H48),H48&lt;&gt;0),I48/H48-1,"")</f>
        <v/>
      </c>
      <c r="J112" s="22" t="str">
        <f aca="false">IF(AND(ISNUMBER(J48),ISNUMBER(I48),I48&lt;&gt;0),J48/I48-1,"")</f>
        <v/>
      </c>
      <c r="K112" s="22" t="str">
        <f aca="false">IF(AND(ISNUMBER(K48),ISNUMBER(J48),J48&lt;&gt;0),K48/J48-1,"")</f>
        <v/>
      </c>
      <c r="L112" s="22" t="str">
        <f aca="false">IF(AND(ISNUMBER(L48),ISNUMBER(K48),K48&lt;&gt;0),L48/K48-1,"")</f>
        <v/>
      </c>
      <c r="M112" s="22" t="str">
        <f aca="false">IF(AND(ISNUMBER(M48),ISNUMBER(L48),L48&lt;&gt;0),M48/L48-1,"")</f>
        <v/>
      </c>
      <c r="N112" s="22" t="str">
        <f aca="false">IF(AND(ISNUMBER(N48),ISNUMBER(M48),M48&lt;&gt;0),N48/M48-1,"")</f>
        <v/>
      </c>
    </row>
    <row r="113" customFormat="false" ht="15" hidden="false" customHeight="false" outlineLevel="0" collapsed="false">
      <c r="A113" s="43" t="s">
        <v>508</v>
      </c>
      <c r="C113" s="5" t="s">
        <v>509</v>
      </c>
      <c r="F113" s="22" t="str">
        <f aca="false">IF(AND(ISNUMBER(F49),ISNUMBER(E49),E49&lt;&gt;0),F49/E49-1,"")</f>
        <v/>
      </c>
      <c r="G113" s="22" t="str">
        <f aca="false">IF(AND(ISNUMBER(G49),ISNUMBER(F49),F49&lt;&gt;0),G49/F49-1,"")</f>
        <v/>
      </c>
      <c r="H113" s="22" t="str">
        <f aca="false">IF(AND(ISNUMBER(H49),ISNUMBER(G49),G49&lt;&gt;0),H49/G49-1,"")</f>
        <v/>
      </c>
      <c r="I113" s="22" t="str">
        <f aca="false">IF(AND(ISNUMBER(I49),ISNUMBER(H49),H49&lt;&gt;0),I49/H49-1,"")</f>
        <v/>
      </c>
      <c r="J113" s="22" t="str">
        <f aca="false">IF(AND(ISNUMBER(J49),ISNUMBER(I49),I49&lt;&gt;0),J49/I49-1,"")</f>
        <v/>
      </c>
      <c r="K113" s="22" t="str">
        <f aca="false">IF(AND(ISNUMBER(K49),ISNUMBER(J49),J49&lt;&gt;0),K49/J49-1,"")</f>
        <v/>
      </c>
      <c r="L113" s="22" t="str">
        <f aca="false">IF(AND(ISNUMBER(L49),ISNUMBER(K49),K49&lt;&gt;0),L49/K49-1,"")</f>
        <v/>
      </c>
      <c r="M113" s="22" t="str">
        <f aca="false">IF(AND(ISNUMBER(M49),ISNUMBER(L49),L49&lt;&gt;0),M49/L49-1,"")</f>
        <v/>
      </c>
      <c r="N113" s="22" t="str">
        <f aca="false">IF(AND(ISNUMBER(N49),ISNUMBER(M49),M49&lt;&gt;0),N49/M49-1,"")</f>
        <v/>
      </c>
    </row>
    <row r="114" customFormat="false" ht="15" hidden="false" customHeight="false" outlineLevel="0" collapsed="false">
      <c r="A114" s="43" t="s">
        <v>510</v>
      </c>
      <c r="C114" s="5" t="s">
        <v>511</v>
      </c>
      <c r="F114" s="22" t="str">
        <f aca="false">IF(AND(ISNUMBER(F50),ISNUMBER(E50),E50&lt;&gt;0),F50/E50-1,"")</f>
        <v/>
      </c>
      <c r="G114" s="22" t="str">
        <f aca="false">IF(AND(ISNUMBER(G50),ISNUMBER(F50),F50&lt;&gt;0),G50/F50-1,"")</f>
        <v/>
      </c>
      <c r="H114" s="22" t="str">
        <f aca="false">IF(AND(ISNUMBER(H50),ISNUMBER(G50),G50&lt;&gt;0),H50/G50-1,"")</f>
        <v/>
      </c>
      <c r="I114" s="22" t="str">
        <f aca="false">IF(AND(ISNUMBER(I50),ISNUMBER(H50),H50&lt;&gt;0),I50/H50-1,"")</f>
        <v/>
      </c>
      <c r="J114" s="22" t="str">
        <f aca="false">IF(AND(ISNUMBER(J50),ISNUMBER(I50),I50&lt;&gt;0),J50/I50-1,"")</f>
        <v/>
      </c>
      <c r="K114" s="22" t="str">
        <f aca="false">IF(AND(ISNUMBER(K50),ISNUMBER(J50),J50&lt;&gt;0),K50/J50-1,"")</f>
        <v/>
      </c>
      <c r="L114" s="22" t="str">
        <f aca="false">IF(AND(ISNUMBER(L50),ISNUMBER(K50),K50&lt;&gt;0),L50/K50-1,"")</f>
        <v/>
      </c>
      <c r="M114" s="22" t="str">
        <f aca="false">IF(AND(ISNUMBER(M50),ISNUMBER(L50),L50&lt;&gt;0),M50/L50-1,"")</f>
        <v/>
      </c>
      <c r="N114" s="22" t="str">
        <f aca="false">IF(AND(ISNUMBER(N50),ISNUMBER(M50),M50&lt;&gt;0),N50/M50-1,"")</f>
        <v/>
      </c>
    </row>
    <row r="115" customFormat="false" ht="15" hidden="false" customHeight="false" outlineLevel="0" collapsed="false">
      <c r="A115" s="43" t="s">
        <v>513</v>
      </c>
      <c r="C115" s="5" t="s">
        <v>514</v>
      </c>
      <c r="F115" s="22" t="str">
        <f aca="false">IF(AND(ISNUMBER(F51),ISNUMBER(E51),E51&lt;&gt;0),F51/E51-1,"")</f>
        <v/>
      </c>
      <c r="G115" s="22" t="str">
        <f aca="false">IF(AND(ISNUMBER(G51),ISNUMBER(F51),F51&lt;&gt;0),G51/F51-1,"")</f>
        <v/>
      </c>
      <c r="H115" s="22" t="str">
        <f aca="false">IF(AND(ISNUMBER(H51),ISNUMBER(G51),G51&lt;&gt;0),H51/G51-1,"")</f>
        <v/>
      </c>
      <c r="I115" s="22" t="str">
        <f aca="false">IF(AND(ISNUMBER(I51),ISNUMBER(H51),H51&lt;&gt;0),I51/H51-1,"")</f>
        <v/>
      </c>
      <c r="J115" s="22" t="str">
        <f aca="false">IF(AND(ISNUMBER(J51),ISNUMBER(I51),I51&lt;&gt;0),J51/I51-1,"")</f>
        <v/>
      </c>
      <c r="K115" s="22" t="str">
        <f aca="false">IF(AND(ISNUMBER(K51),ISNUMBER(J51),J51&lt;&gt;0),K51/J51-1,"")</f>
        <v/>
      </c>
      <c r="L115" s="22" t="str">
        <f aca="false">IF(AND(ISNUMBER(L51),ISNUMBER(K51),K51&lt;&gt;0),L51/K51-1,"")</f>
        <v/>
      </c>
      <c r="M115" s="22" t="str">
        <f aca="false">IF(AND(ISNUMBER(M51),ISNUMBER(L51),L51&lt;&gt;0),M51/L51-1,"")</f>
        <v/>
      </c>
      <c r="N115" s="22" t="str">
        <f aca="false">IF(AND(ISNUMBER(N51),ISNUMBER(M51),M51&lt;&gt;0),N51/M51-1,"")</f>
        <v/>
      </c>
    </row>
    <row r="116" customFormat="false" ht="15" hidden="false" customHeight="false" outlineLevel="0" collapsed="false">
      <c r="A116" s="43" t="s">
        <v>515</v>
      </c>
      <c r="C116" s="5" t="s">
        <v>517</v>
      </c>
      <c r="F116" s="22" t="str">
        <f aca="false">IF(AND(ISNUMBER(F52),ISNUMBER(E52),E52&lt;&gt;0),F52/E52-1,"")</f>
        <v/>
      </c>
      <c r="G116" s="22" t="str">
        <f aca="false">IF(AND(ISNUMBER(G52),ISNUMBER(F52),F52&lt;&gt;0),G52/F52-1,"")</f>
        <v/>
      </c>
      <c r="H116" s="22" t="str">
        <f aca="false">IF(AND(ISNUMBER(H52),ISNUMBER(G52),G52&lt;&gt;0),H52/G52-1,"")</f>
        <v/>
      </c>
      <c r="I116" s="22" t="str">
        <f aca="false">IF(AND(ISNUMBER(I52),ISNUMBER(H52),H52&lt;&gt;0),I52/H52-1,"")</f>
        <v/>
      </c>
      <c r="J116" s="22" t="str">
        <f aca="false">IF(AND(ISNUMBER(J52),ISNUMBER(I52),I52&lt;&gt;0),J52/I52-1,"")</f>
        <v/>
      </c>
      <c r="K116" s="22" t="str">
        <f aca="false">IF(AND(ISNUMBER(K52),ISNUMBER(J52),J52&lt;&gt;0),K52/J52-1,"")</f>
        <v/>
      </c>
      <c r="L116" s="22" t="str">
        <f aca="false">IF(AND(ISNUMBER(L52),ISNUMBER(K52),K52&lt;&gt;0),L52/K52-1,"")</f>
        <v/>
      </c>
      <c r="M116" s="22" t="str">
        <f aca="false">IF(AND(ISNUMBER(M52),ISNUMBER(L52),L52&lt;&gt;0),M52/L52-1,"")</f>
        <v/>
      </c>
      <c r="N116" s="22" t="str">
        <f aca="false">IF(AND(ISNUMBER(N52),ISNUMBER(M52),M52&lt;&gt;0),N52/M52-1,"")</f>
        <v/>
      </c>
    </row>
    <row r="117" customFormat="false" ht="15" hidden="false" customHeight="false" outlineLevel="0" collapsed="false">
      <c r="A117" s="43" t="s">
        <v>518</v>
      </c>
      <c r="C117" s="5" t="s">
        <v>519</v>
      </c>
      <c r="F117" s="22" t="str">
        <f aca="false">IF(AND(ISNUMBER(F53),ISNUMBER(E53),E53&lt;&gt;0),F53/E53-1,"")</f>
        <v/>
      </c>
      <c r="G117" s="22" t="str">
        <f aca="false">IF(AND(ISNUMBER(G53),ISNUMBER(F53),F53&lt;&gt;0),G53/F53-1,"")</f>
        <v/>
      </c>
      <c r="H117" s="22" t="str">
        <f aca="false">IF(AND(ISNUMBER(H53),ISNUMBER(G53),G53&lt;&gt;0),H53/G53-1,"")</f>
        <v/>
      </c>
      <c r="I117" s="22" t="str">
        <f aca="false">IF(AND(ISNUMBER(I53),ISNUMBER(H53),H53&lt;&gt;0),I53/H53-1,"")</f>
        <v/>
      </c>
      <c r="J117" s="22" t="str">
        <f aca="false">IF(AND(ISNUMBER(J53),ISNUMBER(I53),I53&lt;&gt;0),J53/I53-1,"")</f>
        <v/>
      </c>
      <c r="K117" s="22" t="str">
        <f aca="false">IF(AND(ISNUMBER(K53),ISNUMBER(J53),J53&lt;&gt;0),K53/J53-1,"")</f>
        <v/>
      </c>
      <c r="L117" s="22" t="str">
        <f aca="false">IF(AND(ISNUMBER(L53),ISNUMBER(K53),K53&lt;&gt;0),L53/K53-1,"")</f>
        <v/>
      </c>
      <c r="M117" s="22" t="str">
        <f aca="false">IF(AND(ISNUMBER(M53),ISNUMBER(L53),L53&lt;&gt;0),M53/L53-1,"")</f>
        <v/>
      </c>
      <c r="N117" s="22" t="str">
        <f aca="false">IF(AND(ISNUMBER(N53),ISNUMBER(M53),M53&lt;&gt;0),N53/M53-1,"")</f>
        <v/>
      </c>
    </row>
    <row r="118" customFormat="false" ht="15" hidden="false" customHeight="false" outlineLevel="0" collapsed="false">
      <c r="A118" s="43" t="s">
        <v>521</v>
      </c>
      <c r="C118" s="5" t="s">
        <v>522</v>
      </c>
      <c r="F118" s="22" t="str">
        <f aca="false">IF(AND(ISNUMBER(F54),ISNUMBER(E54),E54&lt;&gt;0),F54/E54-1,"")</f>
        <v/>
      </c>
      <c r="G118" s="22" t="str">
        <f aca="false">IF(AND(ISNUMBER(G54),ISNUMBER(F54),F54&lt;&gt;0),G54/F54-1,"")</f>
        <v/>
      </c>
      <c r="H118" s="22" t="str">
        <f aca="false">IF(AND(ISNUMBER(H54),ISNUMBER(G54),G54&lt;&gt;0),H54/G54-1,"")</f>
        <v/>
      </c>
      <c r="I118" s="22" t="str">
        <f aca="false">IF(AND(ISNUMBER(I54),ISNUMBER(H54),H54&lt;&gt;0),I54/H54-1,"")</f>
        <v/>
      </c>
      <c r="J118" s="22" t="str">
        <f aca="false">IF(AND(ISNUMBER(J54),ISNUMBER(I54),I54&lt;&gt;0),J54/I54-1,"")</f>
        <v/>
      </c>
      <c r="K118" s="22" t="str">
        <f aca="false">IF(AND(ISNUMBER(K54),ISNUMBER(J54),J54&lt;&gt;0),K54/J54-1,"")</f>
        <v/>
      </c>
      <c r="L118" s="22" t="str">
        <f aca="false">IF(AND(ISNUMBER(L54),ISNUMBER(K54),K54&lt;&gt;0),L54/K54-1,"")</f>
        <v/>
      </c>
      <c r="M118" s="22" t="str">
        <f aca="false">IF(AND(ISNUMBER(M54),ISNUMBER(L54),L54&lt;&gt;0),M54/L54-1,"")</f>
        <v/>
      </c>
      <c r="N118" s="22" t="str">
        <f aca="false">IF(AND(ISNUMBER(N54),ISNUMBER(M54),M54&lt;&gt;0),N54/M54-1,"")</f>
        <v/>
      </c>
    </row>
    <row r="119" customFormat="false" ht="15" hidden="false" customHeight="false" outlineLevel="0" collapsed="false">
      <c r="A119" s="43" t="s">
        <v>523</v>
      </c>
      <c r="C119" s="5" t="s">
        <v>525</v>
      </c>
      <c r="F119" s="22" t="str">
        <f aca="false">IF(AND(ISNUMBER(F55),ISNUMBER(E55),E55&lt;&gt;0),F55/E55-1,"")</f>
        <v/>
      </c>
      <c r="G119" s="22" t="str">
        <f aca="false">IF(AND(ISNUMBER(G55),ISNUMBER(F55),F55&lt;&gt;0),G55/F55-1,"")</f>
        <v/>
      </c>
      <c r="H119" s="22" t="str">
        <f aca="false">IF(AND(ISNUMBER(H55),ISNUMBER(G55),G55&lt;&gt;0),H55/G55-1,"")</f>
        <v/>
      </c>
      <c r="I119" s="22" t="str">
        <f aca="false">IF(AND(ISNUMBER(I55),ISNUMBER(H55),H55&lt;&gt;0),I55/H55-1,"")</f>
        <v/>
      </c>
      <c r="J119" s="22" t="str">
        <f aca="false">IF(AND(ISNUMBER(J55),ISNUMBER(I55),I55&lt;&gt;0),J55/I55-1,"")</f>
        <v/>
      </c>
      <c r="K119" s="22" t="str">
        <f aca="false">IF(AND(ISNUMBER(K55),ISNUMBER(J55),J55&lt;&gt;0),K55/J55-1,"")</f>
        <v/>
      </c>
      <c r="L119" s="22" t="str">
        <f aca="false">IF(AND(ISNUMBER(L55),ISNUMBER(K55),K55&lt;&gt;0),L55/K55-1,"")</f>
        <v/>
      </c>
      <c r="M119" s="22" t="str">
        <f aca="false">IF(AND(ISNUMBER(M55),ISNUMBER(L55),L55&lt;&gt;0),M55/L55-1,"")</f>
        <v/>
      </c>
      <c r="N119" s="22" t="str">
        <f aca="false">IF(AND(ISNUMBER(N55),ISNUMBER(M55),M55&lt;&gt;0),N55/M55-1,"")</f>
        <v/>
      </c>
    </row>
    <row r="120" customFormat="false" ht="15" hidden="false" customHeight="false" outlineLevel="0" collapsed="false">
      <c r="A120" s="43" t="s">
        <v>526</v>
      </c>
      <c r="C120" s="5" t="s">
        <v>527</v>
      </c>
      <c r="F120" s="22" t="str">
        <f aca="false">IF(AND(ISNUMBER(F56),ISNUMBER(E56),E56&lt;&gt;0),F56/E56-1,"")</f>
        <v/>
      </c>
      <c r="G120" s="22" t="str">
        <f aca="false">IF(AND(ISNUMBER(G56),ISNUMBER(F56),F56&lt;&gt;0),G56/F56-1,"")</f>
        <v/>
      </c>
      <c r="H120" s="22" t="str">
        <f aca="false">IF(AND(ISNUMBER(H56),ISNUMBER(G56),G56&lt;&gt;0),H56/G56-1,"")</f>
        <v/>
      </c>
      <c r="I120" s="22" t="str">
        <f aca="false">IF(AND(ISNUMBER(I56),ISNUMBER(H56),H56&lt;&gt;0),I56/H56-1,"")</f>
        <v/>
      </c>
      <c r="J120" s="22" t="str">
        <f aca="false">IF(AND(ISNUMBER(J56),ISNUMBER(I56),I56&lt;&gt;0),J56/I56-1,"")</f>
        <v/>
      </c>
      <c r="K120" s="22" t="str">
        <f aca="false">IF(AND(ISNUMBER(K56),ISNUMBER(J56),J56&lt;&gt;0),K56/J56-1,"")</f>
        <v/>
      </c>
      <c r="L120" s="22" t="str">
        <f aca="false">IF(AND(ISNUMBER(L56),ISNUMBER(K56),K56&lt;&gt;0),L56/K56-1,"")</f>
        <v/>
      </c>
      <c r="M120" s="22" t="str">
        <f aca="false">IF(AND(ISNUMBER(M56),ISNUMBER(L56),L56&lt;&gt;0),M56/L56-1,"")</f>
        <v/>
      </c>
      <c r="N120" s="22" t="str">
        <f aca="false">IF(AND(ISNUMBER(N56),ISNUMBER(M56),M56&lt;&gt;0),N56/M56-1,"")</f>
        <v/>
      </c>
    </row>
    <row r="121" customFormat="false" ht="15" hidden="false" customHeight="false" outlineLevel="0" collapsed="false">
      <c r="A121" s="43" t="s">
        <v>528</v>
      </c>
      <c r="C121" s="5" t="s">
        <v>530</v>
      </c>
      <c r="F121" s="22" t="str">
        <f aca="false">IF(AND(ISNUMBER(F57),ISNUMBER(E57),E57&lt;&gt;0),F57/E57-1,"")</f>
        <v/>
      </c>
      <c r="G121" s="22" t="str">
        <f aca="false">IF(AND(ISNUMBER(G57),ISNUMBER(F57),F57&lt;&gt;0),G57/F57-1,"")</f>
        <v/>
      </c>
      <c r="H121" s="22" t="str">
        <f aca="false">IF(AND(ISNUMBER(H57),ISNUMBER(G57),G57&lt;&gt;0),H57/G57-1,"")</f>
        <v/>
      </c>
      <c r="I121" s="22" t="str">
        <f aca="false">IF(AND(ISNUMBER(I57),ISNUMBER(H57),H57&lt;&gt;0),I57/H57-1,"")</f>
        <v/>
      </c>
      <c r="J121" s="22" t="str">
        <f aca="false">IF(AND(ISNUMBER(J57),ISNUMBER(I57),I57&lt;&gt;0),J57/I57-1,"")</f>
        <v/>
      </c>
      <c r="K121" s="22" t="str">
        <f aca="false">IF(AND(ISNUMBER(K57),ISNUMBER(J57),J57&lt;&gt;0),K57/J57-1,"")</f>
        <v/>
      </c>
      <c r="L121" s="22" t="str">
        <f aca="false">IF(AND(ISNUMBER(L57),ISNUMBER(K57),K57&lt;&gt;0),L57/K57-1,"")</f>
        <v/>
      </c>
      <c r="M121" s="22" t="str">
        <f aca="false">IF(AND(ISNUMBER(M57),ISNUMBER(L57),L57&lt;&gt;0),M57/L57-1,"")</f>
        <v/>
      </c>
      <c r="N121" s="22" t="str">
        <f aca="false">IF(AND(ISNUMBER(N57),ISNUMBER(M57),M57&lt;&gt;0),N57/M57-1,"")</f>
        <v/>
      </c>
    </row>
    <row r="122" customFormat="false" ht="15" hidden="false" customHeight="false" outlineLevel="0" collapsed="false">
      <c r="A122" s="43" t="s">
        <v>531</v>
      </c>
      <c r="C122" s="5" t="s">
        <v>532</v>
      </c>
      <c r="F122" s="22" t="str">
        <f aca="false">IF(AND(ISNUMBER(F58),ISNUMBER(E58),E58&lt;&gt;0),F58/E58-1,"")</f>
        <v/>
      </c>
      <c r="G122" s="22" t="str">
        <f aca="false">IF(AND(ISNUMBER(G58),ISNUMBER(F58),F58&lt;&gt;0),G58/F58-1,"")</f>
        <v/>
      </c>
      <c r="H122" s="22" t="str">
        <f aca="false">IF(AND(ISNUMBER(H58),ISNUMBER(G58),G58&lt;&gt;0),H58/G58-1,"")</f>
        <v/>
      </c>
      <c r="I122" s="22" t="str">
        <f aca="false">IF(AND(ISNUMBER(I58),ISNUMBER(H58),H58&lt;&gt;0),I58/H58-1,"")</f>
        <v/>
      </c>
      <c r="J122" s="22" t="str">
        <f aca="false">IF(AND(ISNUMBER(J58),ISNUMBER(I58),I58&lt;&gt;0),J58/I58-1,"")</f>
        <v/>
      </c>
      <c r="K122" s="22" t="str">
        <f aca="false">IF(AND(ISNUMBER(K58),ISNUMBER(J58),J58&lt;&gt;0),K58/J58-1,"")</f>
        <v/>
      </c>
      <c r="L122" s="22" t="str">
        <f aca="false">IF(AND(ISNUMBER(L58),ISNUMBER(K58),K58&lt;&gt;0),L58/K58-1,"")</f>
        <v/>
      </c>
      <c r="M122" s="22" t="str">
        <f aca="false">IF(AND(ISNUMBER(M58),ISNUMBER(L58),L58&lt;&gt;0),M58/L58-1,"")</f>
        <v/>
      </c>
      <c r="N122" s="22" t="str">
        <f aca="false">IF(AND(ISNUMBER(N58),ISNUMBER(M58),M58&lt;&gt;0),N58/M58-1,"")</f>
        <v/>
      </c>
    </row>
    <row r="123" customFormat="false" ht="15" hidden="false" customHeight="false" outlineLevel="0" collapsed="false">
      <c r="A123" s="43" t="s">
        <v>533</v>
      </c>
      <c r="C123" s="5" t="s">
        <v>534</v>
      </c>
      <c r="F123" s="22" t="str">
        <f aca="false">IF(AND(ISNUMBER(F59),ISNUMBER(E59),E59&lt;&gt;0),F59/E59-1,"")</f>
        <v/>
      </c>
      <c r="G123" s="22" t="str">
        <f aca="false">IF(AND(ISNUMBER(G59),ISNUMBER(F59),F59&lt;&gt;0),G59/F59-1,"")</f>
        <v/>
      </c>
      <c r="H123" s="22" t="str">
        <f aca="false">IF(AND(ISNUMBER(H59),ISNUMBER(G59),G59&lt;&gt;0),H59/G59-1,"")</f>
        <v/>
      </c>
      <c r="I123" s="22" t="str">
        <f aca="false">IF(AND(ISNUMBER(I59),ISNUMBER(H59),H59&lt;&gt;0),I59/H59-1,"")</f>
        <v/>
      </c>
      <c r="J123" s="22" t="str">
        <f aca="false">IF(AND(ISNUMBER(J59),ISNUMBER(I59),I59&lt;&gt;0),J59/I59-1,"")</f>
        <v/>
      </c>
      <c r="K123" s="22" t="str">
        <f aca="false">IF(AND(ISNUMBER(K59),ISNUMBER(J59),J59&lt;&gt;0),K59/J59-1,"")</f>
        <v/>
      </c>
      <c r="L123" s="22" t="str">
        <f aca="false">IF(AND(ISNUMBER(L59),ISNUMBER(K59),K59&lt;&gt;0),L59/K59-1,"")</f>
        <v/>
      </c>
      <c r="M123" s="22" t="str">
        <f aca="false">IF(AND(ISNUMBER(M59),ISNUMBER(L59),L59&lt;&gt;0),M59/L59-1,"")</f>
        <v/>
      </c>
      <c r="N123" s="22" t="str">
        <f aca="false">IF(AND(ISNUMBER(N59),ISNUMBER(M59),M59&lt;&gt;0),N59/M59-1,"")</f>
        <v/>
      </c>
    </row>
    <row r="124" customFormat="false" ht="15" hidden="false" customHeight="false" outlineLevel="0" collapsed="false">
      <c r="A124" s="43" t="s">
        <v>536</v>
      </c>
      <c r="C124" s="5" t="s">
        <v>537</v>
      </c>
      <c r="F124" s="22" t="str">
        <f aca="false">IF(AND(ISNUMBER(F60),ISNUMBER(E60),E60&lt;&gt;0),F60/E60-1,"")</f>
        <v/>
      </c>
      <c r="G124" s="22" t="str">
        <f aca="false">IF(AND(ISNUMBER(G60),ISNUMBER(F60),F60&lt;&gt;0),G60/F60-1,"")</f>
        <v/>
      </c>
      <c r="H124" s="22" t="str">
        <f aca="false">IF(AND(ISNUMBER(H60),ISNUMBER(G60),G60&lt;&gt;0),H60/G60-1,"")</f>
        <v/>
      </c>
      <c r="I124" s="22" t="str">
        <f aca="false">IF(AND(ISNUMBER(I60),ISNUMBER(H60),H60&lt;&gt;0),I60/H60-1,"")</f>
        <v/>
      </c>
      <c r="J124" s="22" t="str">
        <f aca="false">IF(AND(ISNUMBER(J60),ISNUMBER(I60),I60&lt;&gt;0),J60/I60-1,"")</f>
        <v/>
      </c>
      <c r="K124" s="22" t="str">
        <f aca="false">IF(AND(ISNUMBER(K60),ISNUMBER(J60),J60&lt;&gt;0),K60/J60-1,"")</f>
        <v/>
      </c>
      <c r="L124" s="22" t="str">
        <f aca="false">IF(AND(ISNUMBER(L60),ISNUMBER(K60),K60&lt;&gt;0),L60/K60-1,"")</f>
        <v/>
      </c>
      <c r="M124" s="22" t="str">
        <f aca="false">IF(AND(ISNUMBER(M60),ISNUMBER(L60),L60&lt;&gt;0),M60/L60-1,"")</f>
        <v/>
      </c>
      <c r="N124" s="22" t="str">
        <f aca="false">IF(AND(ISNUMBER(N60),ISNUMBER(M60),M60&lt;&gt;0),N60/M60-1,"")</f>
        <v/>
      </c>
    </row>
    <row r="125" customFormat="false" ht="15" hidden="false" customHeight="false" outlineLevel="0" collapsed="false">
      <c r="A125" s="43" t="s">
        <v>538</v>
      </c>
      <c r="C125" s="5" t="s">
        <v>539</v>
      </c>
      <c r="F125" s="22" t="str">
        <f aca="false">IF(AND(ISNUMBER(F61),ISNUMBER(E61),E61&lt;&gt;0),F61/E61-1,"")</f>
        <v/>
      </c>
      <c r="G125" s="22" t="str">
        <f aca="false">IF(AND(ISNUMBER(G61),ISNUMBER(F61),F61&lt;&gt;0),G61/F61-1,"")</f>
        <v/>
      </c>
      <c r="H125" s="22" t="str">
        <f aca="false">IF(AND(ISNUMBER(H61),ISNUMBER(G61),G61&lt;&gt;0),H61/G61-1,"")</f>
        <v/>
      </c>
      <c r="I125" s="22" t="str">
        <f aca="false">IF(AND(ISNUMBER(I61),ISNUMBER(H61),H61&lt;&gt;0),I61/H61-1,"")</f>
        <v/>
      </c>
      <c r="J125" s="22" t="str">
        <f aca="false">IF(AND(ISNUMBER(J61),ISNUMBER(I61),I61&lt;&gt;0),J61/I61-1,"")</f>
        <v/>
      </c>
      <c r="K125" s="22" t="str">
        <f aca="false">IF(AND(ISNUMBER(K61),ISNUMBER(J61),J61&lt;&gt;0),K61/J61-1,"")</f>
        <v/>
      </c>
      <c r="L125" s="22" t="str">
        <f aca="false">IF(AND(ISNUMBER(L61),ISNUMBER(K61),K61&lt;&gt;0),L61/K61-1,"")</f>
        <v/>
      </c>
      <c r="M125" s="22" t="str">
        <f aca="false">IF(AND(ISNUMBER(M61),ISNUMBER(L61),L61&lt;&gt;0),M61/L61-1,"")</f>
        <v/>
      </c>
      <c r="N125" s="22" t="str">
        <f aca="false">IF(AND(ISNUMBER(N61),ISNUMBER(M61),M61&lt;&gt;0),N61/M61-1,"")</f>
        <v/>
      </c>
    </row>
    <row r="126" customFormat="false" ht="15" hidden="false" customHeight="false" outlineLevel="0" collapsed="false">
      <c r="A126" s="43" t="s">
        <v>540</v>
      </c>
      <c r="C126" s="5" t="s">
        <v>542</v>
      </c>
      <c r="F126" s="22" t="str">
        <f aca="false">IF(AND(ISNUMBER(F62),ISNUMBER(E62),E62&lt;&gt;0),F62/E62-1,"")</f>
        <v/>
      </c>
      <c r="G126" s="22" t="str">
        <f aca="false">IF(AND(ISNUMBER(G62),ISNUMBER(F62),F62&lt;&gt;0),G62/F62-1,"")</f>
        <v/>
      </c>
      <c r="H126" s="22" t="str">
        <f aca="false">IF(AND(ISNUMBER(H62),ISNUMBER(G62),G62&lt;&gt;0),H62/G62-1,"")</f>
        <v/>
      </c>
      <c r="I126" s="22" t="str">
        <f aca="false">IF(AND(ISNUMBER(I62),ISNUMBER(H62),H62&lt;&gt;0),I62/H62-1,"")</f>
        <v/>
      </c>
      <c r="J126" s="22" t="str">
        <f aca="false">IF(AND(ISNUMBER(J62),ISNUMBER(I62),I62&lt;&gt;0),J62/I62-1,"")</f>
        <v/>
      </c>
      <c r="K126" s="22" t="str">
        <f aca="false">IF(AND(ISNUMBER(K62),ISNUMBER(J62),J62&lt;&gt;0),K62/J62-1,"")</f>
        <v/>
      </c>
      <c r="L126" s="22" t="str">
        <f aca="false">IF(AND(ISNUMBER(L62),ISNUMBER(K62),K62&lt;&gt;0),L62/K62-1,"")</f>
        <v/>
      </c>
      <c r="M126" s="22" t="str">
        <f aca="false">IF(AND(ISNUMBER(M62),ISNUMBER(L62),L62&lt;&gt;0),M62/L62-1,"")</f>
        <v/>
      </c>
      <c r="N126" s="22" t="str">
        <f aca="false">IF(AND(ISNUMBER(N62),ISNUMBER(M62),M62&lt;&gt;0),N62/M62-1,"")</f>
        <v/>
      </c>
    </row>
    <row r="127" customFormat="false" ht="15" hidden="false" customHeight="false" outlineLevel="0" collapsed="false">
      <c r="A127" s="43" t="s">
        <v>543</v>
      </c>
      <c r="C127" s="5" t="s">
        <v>544</v>
      </c>
      <c r="F127" s="22" t="str">
        <f aca="false">IF(AND(ISNUMBER(F63),ISNUMBER(E63),E63&lt;&gt;0),F63/E63-1,"")</f>
        <v/>
      </c>
      <c r="G127" s="22" t="str">
        <f aca="false">IF(AND(ISNUMBER(G63),ISNUMBER(F63),F63&lt;&gt;0),G63/F63-1,"")</f>
        <v/>
      </c>
      <c r="H127" s="22" t="str">
        <f aca="false">IF(AND(ISNUMBER(H63),ISNUMBER(G63),G63&lt;&gt;0),H63/G63-1,"")</f>
        <v/>
      </c>
      <c r="I127" s="22" t="str">
        <f aca="false">IF(AND(ISNUMBER(I63),ISNUMBER(H63),H63&lt;&gt;0),I63/H63-1,"")</f>
        <v/>
      </c>
      <c r="J127" s="22" t="str">
        <f aca="false">IF(AND(ISNUMBER(J63),ISNUMBER(I63),I63&lt;&gt;0),J63/I63-1,"")</f>
        <v/>
      </c>
      <c r="K127" s="22" t="str">
        <f aca="false">IF(AND(ISNUMBER(K63),ISNUMBER(J63),J63&lt;&gt;0),K63/J63-1,"")</f>
        <v/>
      </c>
      <c r="L127" s="22" t="str">
        <f aca="false">IF(AND(ISNUMBER(L63),ISNUMBER(K63),K63&lt;&gt;0),L63/K63-1,"")</f>
        <v/>
      </c>
      <c r="M127" s="22" t="str">
        <f aca="false">IF(AND(ISNUMBER(M63),ISNUMBER(L63),L63&lt;&gt;0),M63/L63-1,"")</f>
        <v/>
      </c>
      <c r="N127" s="22" t="str">
        <f aca="false">IF(AND(ISNUMBER(N63),ISNUMBER(M63),M63&lt;&gt;0),N63/M63-1,"")</f>
        <v/>
      </c>
    </row>
    <row r="128" customFormat="false" ht="15" hidden="false" customHeight="false" outlineLevel="0" collapsed="false">
      <c r="A128" s="43" t="s">
        <v>545</v>
      </c>
      <c r="C128" s="5" t="s">
        <v>546</v>
      </c>
      <c r="F128" s="22" t="str">
        <f aca="false">IF(AND(ISNUMBER(F64),ISNUMBER(E64),E64&lt;&gt;0),F64/E64-1,"")</f>
        <v/>
      </c>
      <c r="G128" s="22" t="str">
        <f aca="false">IF(AND(ISNUMBER(G64),ISNUMBER(F64),F64&lt;&gt;0),G64/F64-1,"")</f>
        <v/>
      </c>
      <c r="H128" s="22" t="str">
        <f aca="false">IF(AND(ISNUMBER(H64),ISNUMBER(G64),G64&lt;&gt;0),H64/G64-1,"")</f>
        <v/>
      </c>
      <c r="I128" s="22" t="str">
        <f aca="false">IF(AND(ISNUMBER(I64),ISNUMBER(H64),H64&lt;&gt;0),I64/H64-1,"")</f>
        <v/>
      </c>
      <c r="J128" s="22" t="str">
        <f aca="false">IF(AND(ISNUMBER(J64),ISNUMBER(I64),I64&lt;&gt;0),J64/I64-1,"")</f>
        <v/>
      </c>
      <c r="K128" s="22" t="str">
        <f aca="false">IF(AND(ISNUMBER(K64),ISNUMBER(J64),J64&lt;&gt;0),K64/J64-1,"")</f>
        <v/>
      </c>
      <c r="L128" s="22" t="str">
        <f aca="false">IF(AND(ISNUMBER(L64),ISNUMBER(K64),K64&lt;&gt;0),L64/K64-1,"")</f>
        <v/>
      </c>
      <c r="M128" s="22" t="str">
        <f aca="false">IF(AND(ISNUMBER(M64),ISNUMBER(L64),L64&lt;&gt;0),M64/L64-1,"")</f>
        <v/>
      </c>
      <c r="N128" s="22" t="str">
        <f aca="false">IF(AND(ISNUMBER(N64),ISNUMBER(M64),M64&lt;&gt;0),N64/M64-1,"")</f>
        <v/>
      </c>
    </row>
    <row r="129" customFormat="false" ht="15" hidden="false" customHeight="false" outlineLevel="0" collapsed="false">
      <c r="A129" s="43" t="s">
        <v>547</v>
      </c>
      <c r="C129" s="5" t="s">
        <v>548</v>
      </c>
      <c r="F129" s="22" t="str">
        <f aca="false">IF(AND(ISNUMBER(F65),ISNUMBER(E65),E65&lt;&gt;0),F65/E65-1,"")</f>
        <v/>
      </c>
      <c r="G129" s="22" t="str">
        <f aca="false">IF(AND(ISNUMBER(G65),ISNUMBER(F65),F65&lt;&gt;0),G65/F65-1,"")</f>
        <v/>
      </c>
      <c r="H129" s="22" t="str">
        <f aca="false">IF(AND(ISNUMBER(H65),ISNUMBER(G65),G65&lt;&gt;0),H65/G65-1,"")</f>
        <v/>
      </c>
      <c r="I129" s="22" t="str">
        <f aca="false">IF(AND(ISNUMBER(I65),ISNUMBER(H65),H65&lt;&gt;0),I65/H65-1,"")</f>
        <v/>
      </c>
      <c r="J129" s="22" t="str">
        <f aca="false">IF(AND(ISNUMBER(J65),ISNUMBER(I65),I65&lt;&gt;0),J65/I65-1,"")</f>
        <v/>
      </c>
      <c r="K129" s="22" t="str">
        <f aca="false">IF(AND(ISNUMBER(K65),ISNUMBER(J65),J65&lt;&gt;0),K65/J65-1,"")</f>
        <v/>
      </c>
      <c r="L129" s="22" t="str">
        <f aca="false">IF(AND(ISNUMBER(L65),ISNUMBER(K65),K65&lt;&gt;0),L65/K65-1,"")</f>
        <v/>
      </c>
      <c r="M129" s="22" t="str">
        <f aca="false">IF(AND(ISNUMBER(M65),ISNUMBER(L65),L65&lt;&gt;0),M65/L65-1,"")</f>
        <v/>
      </c>
      <c r="N129" s="22" t="str">
        <f aca="false">IF(AND(ISNUMBER(N65),ISNUMBER(M65),M65&lt;&gt;0),N65/M65-1,"")</f>
        <v/>
      </c>
    </row>
    <row r="130" customFormat="false" ht="15" hidden="false" customHeight="false" outlineLevel="0" collapsed="false">
      <c r="A130" s="43" t="s">
        <v>549</v>
      </c>
      <c r="C130" s="5" t="s">
        <v>550</v>
      </c>
      <c r="F130" s="22" t="str">
        <f aca="false">IF(AND(ISNUMBER(F66),ISNUMBER(E66),E66&lt;&gt;0),F66/E66-1,"")</f>
        <v/>
      </c>
      <c r="G130" s="22" t="str">
        <f aca="false">IF(AND(ISNUMBER(G66),ISNUMBER(F66),F66&lt;&gt;0),G66/F66-1,"")</f>
        <v/>
      </c>
      <c r="H130" s="22" t="str">
        <f aca="false">IF(AND(ISNUMBER(H66),ISNUMBER(G66),G66&lt;&gt;0),H66/G66-1,"")</f>
        <v/>
      </c>
      <c r="I130" s="22" t="str">
        <f aca="false">IF(AND(ISNUMBER(I66),ISNUMBER(H66),H66&lt;&gt;0),I66/H66-1,"")</f>
        <v/>
      </c>
      <c r="J130" s="22" t="str">
        <f aca="false">IF(AND(ISNUMBER(J66),ISNUMBER(I66),I66&lt;&gt;0),J66/I66-1,"")</f>
        <v/>
      </c>
      <c r="K130" s="22" t="str">
        <f aca="false">IF(AND(ISNUMBER(K66),ISNUMBER(J66),J66&lt;&gt;0),K66/J66-1,"")</f>
        <v/>
      </c>
      <c r="L130" s="22" t="str">
        <f aca="false">IF(AND(ISNUMBER(L66),ISNUMBER(K66),K66&lt;&gt;0),L66/K66-1,"")</f>
        <v/>
      </c>
      <c r="M130" s="22" t="str">
        <f aca="false">IF(AND(ISNUMBER(M66),ISNUMBER(L66),L66&lt;&gt;0),M66/L66-1,"")</f>
        <v/>
      </c>
      <c r="N130" s="22" t="str">
        <f aca="false">IF(AND(ISNUMBER(N66),ISNUMBER(M66),M66&lt;&gt;0),N66/M66-1,"")</f>
        <v/>
      </c>
    </row>
    <row r="132" customFormat="false" ht="46.25" hidden="false" customHeight="false" outlineLevel="0" collapsed="false">
      <c r="B132" s="11" t="s">
        <v>554</v>
      </c>
    </row>
    <row r="133" customFormat="false" ht="15" hidden="false" customHeight="false" outlineLevel="0" collapsed="false">
      <c r="A133" s="8"/>
      <c r="B133" s="8" t="s">
        <v>555</v>
      </c>
      <c r="C133" s="8"/>
      <c r="D133" s="8"/>
      <c r="E133" s="8" t="s">
        <v>399</v>
      </c>
      <c r="F133" s="8" t="s">
        <v>400</v>
      </c>
      <c r="G133" s="8" t="s">
        <v>401</v>
      </c>
      <c r="H133" s="8" t="s">
        <v>402</v>
      </c>
      <c r="I133" s="8" t="s">
        <v>403</v>
      </c>
      <c r="J133" s="8" t="s">
        <v>404</v>
      </c>
      <c r="K133" s="8" t="s">
        <v>405</v>
      </c>
      <c r="L133" s="8" t="s">
        <v>406</v>
      </c>
      <c r="M133" s="8" t="s">
        <v>407</v>
      </c>
      <c r="N133" s="8" t="s">
        <v>408</v>
      </c>
    </row>
    <row r="134" customFormat="false" ht="15" hidden="false" customHeight="false" outlineLevel="0" collapsed="false">
      <c r="B134" s="5" t="s">
        <v>556</v>
      </c>
      <c r="F134" s="14" t="str">
        <f aca="false">IF(AND(ISNUMBER(F78),ISNUMBER(F86)),IF(AND(F78&lt;0,F86&lt;0),"Both cut",""),"")</f>
        <v>Both cut</v>
      </c>
      <c r="G134" s="14" t="str">
        <f aca="false">IF(AND(ISNUMBER(G78),ISNUMBER(G86)),IF(AND(G78&lt;0,G86&lt;0),"Both cut",""),"")</f>
        <v/>
      </c>
      <c r="H134" s="14" t="str">
        <f aca="false">IF(AND(ISNUMBER(H78),ISNUMBER(H86)),IF(AND(H78&lt;0,H86&lt;0),"Both cut",""),"")</f>
        <v/>
      </c>
      <c r="I134" s="14" t="str">
        <f aca="false">IF(AND(ISNUMBER(I78),ISNUMBER(I86)),IF(AND(I78&lt;0,I86&lt;0),"Both cut",""),"")</f>
        <v/>
      </c>
      <c r="J134" s="14" t="str">
        <f aca="false">IF(AND(ISNUMBER(J78),ISNUMBER(J86)),IF(AND(J78&lt;0,J86&lt;0),"Both cut",""),"")</f>
        <v/>
      </c>
      <c r="K134" s="14" t="str">
        <f aca="false">IF(AND(ISNUMBER(K78),ISNUMBER(K86)),IF(AND(K78&lt;0,K86&lt;0),"Both cut",""),"")</f>
        <v/>
      </c>
      <c r="L134" s="14" t="str">
        <f aca="false">IF(AND(ISNUMBER(L78),ISNUMBER(L86)),IF(AND(L78&lt;0,L86&lt;0),"Both cut",""),"")</f>
        <v/>
      </c>
      <c r="M134" s="14" t="str">
        <f aca="false">IF(AND(ISNUMBER(M78),ISNUMBER(M86)),IF(AND(M78&lt;0,M86&lt;0),"Both cut",""),"")</f>
        <v/>
      </c>
      <c r="N134" s="14" t="str">
        <f aca="false">IF(AND(ISNUMBER(N78),ISNUMBER(N86)),IF(AND(N78&lt;0,N86&lt;0),"Both cut",""),"")</f>
        <v/>
      </c>
    </row>
    <row r="135" customFormat="false" ht="15" hidden="false" customHeight="false" outlineLevel="0" collapsed="false">
      <c r="B135" s="5" t="s">
        <v>557</v>
      </c>
      <c r="F135" s="14" t="str">
        <f aca="false">IF(AND(ISNUMBER(F79),ISNUMBER(F87)),IF(AND(F79&lt;0,F87&lt;0),"Both cut",""),"")</f>
        <v/>
      </c>
      <c r="G135" s="14" t="str">
        <f aca="false">IF(AND(ISNUMBER(G79),ISNUMBER(G87)),IF(AND(G79&lt;0,G87&lt;0),"Both cut",""),"")</f>
        <v/>
      </c>
      <c r="H135" s="14" t="str">
        <f aca="false">IF(AND(ISNUMBER(H79),ISNUMBER(H87)),IF(AND(H79&lt;0,H87&lt;0),"Both cut",""),"")</f>
        <v/>
      </c>
      <c r="I135" s="14" t="str">
        <f aca="false">IF(AND(ISNUMBER(I79),ISNUMBER(I87)),IF(AND(I79&lt;0,I87&lt;0),"Both cut",""),"")</f>
        <v/>
      </c>
      <c r="J135" s="14" t="str">
        <f aca="false">IF(AND(ISNUMBER(J79),ISNUMBER(J87)),IF(AND(J79&lt;0,J87&lt;0),"Both cut",""),"")</f>
        <v/>
      </c>
      <c r="K135" s="14" t="str">
        <f aca="false">IF(AND(ISNUMBER(K79),ISNUMBER(K87)),IF(AND(K79&lt;0,K87&lt;0),"Both cut",""),"")</f>
        <v/>
      </c>
      <c r="L135" s="14" t="str">
        <f aca="false">IF(AND(ISNUMBER(L79),ISNUMBER(L87)),IF(AND(L79&lt;0,L87&lt;0),"Both cut",""),"")</f>
        <v/>
      </c>
      <c r="M135" s="14" t="str">
        <f aca="false">IF(AND(ISNUMBER(M79),ISNUMBER(M87)),IF(AND(M79&lt;0,M87&lt;0),"Both cut",""),"")</f>
        <v/>
      </c>
      <c r="N135" s="14" t="str">
        <f aca="false">IF(AND(ISNUMBER(N79),ISNUMBER(N87)),IF(AND(N79&lt;0,N87&lt;0),"Both cut",""),"")</f>
        <v/>
      </c>
    </row>
    <row r="136" customFormat="false" ht="15" hidden="false" customHeight="false" outlineLevel="0" collapsed="false">
      <c r="B136" s="5" t="s">
        <v>558</v>
      </c>
      <c r="F136" s="14" t="str">
        <f aca="false">IF(AND(ISNUMBER(F80),ISNUMBER(F88)),IF(AND(F80&lt;0,F88&lt;0),"Both cut",""),"")</f>
        <v/>
      </c>
      <c r="G136" s="14" t="str">
        <f aca="false">IF(AND(ISNUMBER(G80),ISNUMBER(G88)),IF(AND(G80&lt;0,G88&lt;0),"Both cut",""),"")</f>
        <v/>
      </c>
      <c r="H136" s="14" t="str">
        <f aca="false">IF(AND(ISNUMBER(H80),ISNUMBER(H88)),IF(AND(H80&lt;0,H88&lt;0),"Both cut",""),"")</f>
        <v/>
      </c>
      <c r="I136" s="14" t="str">
        <f aca="false">IF(AND(ISNUMBER(I80),ISNUMBER(I88)),IF(AND(I80&lt;0,I88&lt;0),"Both cut",""),"")</f>
        <v/>
      </c>
      <c r="J136" s="14" t="str">
        <f aca="false">IF(AND(ISNUMBER(J80),ISNUMBER(J88)),IF(AND(J80&lt;0,J88&lt;0),"Both cut",""),"")</f>
        <v/>
      </c>
      <c r="K136" s="14" t="str">
        <f aca="false">IF(AND(ISNUMBER(K80),ISNUMBER(K88)),IF(AND(K80&lt;0,K88&lt;0),"Both cut",""),"")</f>
        <v/>
      </c>
      <c r="L136" s="14" t="str">
        <f aca="false">IF(AND(ISNUMBER(L80),ISNUMBER(L88)),IF(AND(L80&lt;0,L88&lt;0),"Both cut",""),"")</f>
        <v/>
      </c>
      <c r="M136" s="14" t="str">
        <f aca="false">IF(AND(ISNUMBER(M80),ISNUMBER(M88)),IF(AND(M80&lt;0,M88&lt;0),"Both cut",""),"")</f>
        <v/>
      </c>
      <c r="N136" s="14" t="str">
        <f aca="false">IF(AND(ISNUMBER(N80),ISNUMBER(N88)),IF(AND(N80&lt;0,N88&lt;0),"Both cut",""),"")</f>
        <v/>
      </c>
    </row>
    <row r="137" customFormat="false" ht="15" hidden="false" customHeight="false" outlineLevel="0" collapsed="false">
      <c r="B137" s="5" t="s">
        <v>559</v>
      </c>
      <c r="F137" s="14" t="str">
        <f aca="false">IF(AND(ISNUMBER(F81),ISNUMBER(F89)),IF(AND(F81&lt;0,F89&lt;0),"Both cut",""),"")</f>
        <v/>
      </c>
      <c r="G137" s="14" t="str">
        <f aca="false">IF(AND(ISNUMBER(G81),ISNUMBER(G89)),IF(AND(G81&lt;0,G89&lt;0),"Both cut",""),"")</f>
        <v/>
      </c>
      <c r="H137" s="14" t="str">
        <f aca="false">IF(AND(ISNUMBER(H81),ISNUMBER(H89)),IF(AND(H81&lt;0,H89&lt;0),"Both cut",""),"")</f>
        <v/>
      </c>
      <c r="I137" s="14" t="str">
        <f aca="false">IF(AND(ISNUMBER(I81),ISNUMBER(I89)),IF(AND(I81&lt;0,I89&lt;0),"Both cut",""),"")</f>
        <v/>
      </c>
      <c r="J137" s="14" t="str">
        <f aca="false">IF(AND(ISNUMBER(J81),ISNUMBER(J89)),IF(AND(J81&lt;0,J89&lt;0),"Both cut",""),"")</f>
        <v/>
      </c>
      <c r="K137" s="14" t="str">
        <f aca="false">IF(AND(ISNUMBER(K81),ISNUMBER(K89)),IF(AND(K81&lt;0,K89&lt;0),"Both cut",""),"")</f>
        <v/>
      </c>
      <c r="L137" s="14" t="str">
        <f aca="false">IF(AND(ISNUMBER(L81),ISNUMBER(L89)),IF(AND(L81&lt;0,L89&lt;0),"Both cut",""),"")</f>
        <v/>
      </c>
      <c r="M137" s="14" t="str">
        <f aca="false">IF(AND(ISNUMBER(M81),ISNUMBER(M89)),IF(AND(M81&lt;0,M89&lt;0),"Both cut",""),"")</f>
        <v/>
      </c>
      <c r="N137" s="14" t="str">
        <f aca="false">IF(AND(ISNUMBER(N81),ISNUMBER(N89)),IF(AND(N81&lt;0,N89&lt;0),"Both cut",""),"")</f>
        <v/>
      </c>
    </row>
    <row r="138" customFormat="false" ht="15" hidden="false" customHeight="false" outlineLevel="0" collapsed="false">
      <c r="B138" s="5" t="s">
        <v>560</v>
      </c>
      <c r="F138" s="14" t="str">
        <f aca="false">IF(AND(ISNUMBER(F82),ISNUMBER(F90)),IF(AND(F82&lt;0,F90&lt;0),"Both cut",""),"")</f>
        <v/>
      </c>
      <c r="G138" s="14" t="str">
        <f aca="false">IF(AND(ISNUMBER(G82),ISNUMBER(G90)),IF(AND(G82&lt;0,G90&lt;0),"Both cut",""),"")</f>
        <v/>
      </c>
      <c r="H138" s="14" t="str">
        <f aca="false">IF(AND(ISNUMBER(H82),ISNUMBER(H90)),IF(AND(H82&lt;0,H90&lt;0),"Both cut",""),"")</f>
        <v/>
      </c>
      <c r="I138" s="14" t="str">
        <f aca="false">IF(AND(ISNUMBER(I82),ISNUMBER(I90)),IF(AND(I82&lt;0,I90&lt;0),"Both cut",""),"")</f>
        <v/>
      </c>
      <c r="J138" s="14" t="str">
        <f aca="false">IF(AND(ISNUMBER(J82),ISNUMBER(J90)),IF(AND(J82&lt;0,J90&lt;0),"Both cut",""),"")</f>
        <v/>
      </c>
      <c r="K138" s="14" t="str">
        <f aca="false">IF(AND(ISNUMBER(K82),ISNUMBER(K90)),IF(AND(K82&lt;0,K90&lt;0),"Both cut",""),"")</f>
        <v/>
      </c>
      <c r="L138" s="14" t="str">
        <f aca="false">IF(AND(ISNUMBER(L82),ISNUMBER(L90)),IF(AND(L82&lt;0,L90&lt;0),"Both cut",""),"")</f>
        <v/>
      </c>
      <c r="M138" s="14" t="str">
        <f aca="false">IF(AND(ISNUMBER(M82),ISNUMBER(M90)),IF(AND(M82&lt;0,M90&lt;0),"Both cut",""),"")</f>
        <v/>
      </c>
      <c r="N138" s="14" t="str">
        <f aca="false">IF(AND(ISNUMBER(N82),ISNUMBER(N90)),IF(AND(N82&lt;0,N90&lt;0),"Both cut",""),"")</f>
        <v/>
      </c>
    </row>
    <row r="139" customFormat="false" ht="15" hidden="false" customHeight="false" outlineLevel="0" collapsed="false">
      <c r="B139" s="5" t="s">
        <v>561</v>
      </c>
      <c r="F139" s="14" t="str">
        <f aca="false">IF(AND(ISNUMBER(F83),ISNUMBER(F91)),IF(AND(F83&lt;0,F91&lt;0),"Both cut",""),"")</f>
        <v/>
      </c>
      <c r="G139" s="14" t="str">
        <f aca="false">IF(AND(ISNUMBER(G83),ISNUMBER(G91)),IF(AND(G83&lt;0,G91&lt;0),"Both cut",""),"")</f>
        <v/>
      </c>
      <c r="H139" s="14" t="str">
        <f aca="false">IF(AND(ISNUMBER(H83),ISNUMBER(H91)),IF(AND(H83&lt;0,H91&lt;0),"Both cut",""),"")</f>
        <v/>
      </c>
      <c r="I139" s="14" t="str">
        <f aca="false">IF(AND(ISNUMBER(I83),ISNUMBER(I91)),IF(AND(I83&lt;0,I91&lt;0),"Both cut",""),"")</f>
        <v/>
      </c>
      <c r="J139" s="14" t="str">
        <f aca="false">IF(AND(ISNUMBER(J83),ISNUMBER(J91)),IF(AND(J83&lt;0,J91&lt;0),"Both cut",""),"")</f>
        <v/>
      </c>
      <c r="K139" s="14" t="str">
        <f aca="false">IF(AND(ISNUMBER(K83),ISNUMBER(K91)),IF(AND(K83&lt;0,K91&lt;0),"Both cut",""),"")</f>
        <v/>
      </c>
      <c r="L139" s="14" t="str">
        <f aca="false">IF(AND(ISNUMBER(L83),ISNUMBER(L91)),IF(AND(L83&lt;0,L91&lt;0),"Both cut",""),"")</f>
        <v/>
      </c>
      <c r="M139" s="14" t="str">
        <f aca="false">IF(AND(ISNUMBER(M83),ISNUMBER(M91)),IF(AND(M83&lt;0,M91&lt;0),"Both cut",""),"")</f>
        <v/>
      </c>
      <c r="N139" s="14" t="str">
        <f aca="false">IF(AND(ISNUMBER(N83),ISNUMBER(N91)),IF(AND(N83&lt;0,N91&lt;0),"Both cut",""),"")</f>
        <v/>
      </c>
    </row>
    <row r="140" customFormat="false" ht="15" hidden="false" customHeight="false" outlineLevel="0" collapsed="false">
      <c r="B140" s="5" t="s">
        <v>562</v>
      </c>
      <c r="F140" s="14" t="str">
        <f aca="false">IF(AND(ISNUMBER(F84),ISNUMBER(F92)),IF(AND(F84&lt;0,F92&lt;0),"Both cut",""),"")</f>
        <v/>
      </c>
      <c r="G140" s="14" t="str">
        <f aca="false">IF(AND(ISNUMBER(G84),ISNUMBER(G92)),IF(AND(G84&lt;0,G92&lt;0),"Both cut",""),"")</f>
        <v/>
      </c>
      <c r="H140" s="14" t="str">
        <f aca="false">IF(AND(ISNUMBER(H84),ISNUMBER(H92)),IF(AND(H84&lt;0,H92&lt;0),"Both cut",""),"")</f>
        <v/>
      </c>
      <c r="I140" s="14" t="str">
        <f aca="false">IF(AND(ISNUMBER(I84),ISNUMBER(I92)),IF(AND(I84&lt;0,I92&lt;0),"Both cut",""),"")</f>
        <v/>
      </c>
      <c r="J140" s="14" t="str">
        <f aca="false">IF(AND(ISNUMBER(J84),ISNUMBER(J92)),IF(AND(J84&lt;0,J92&lt;0),"Both cut",""),"")</f>
        <v/>
      </c>
      <c r="K140" s="14" t="str">
        <f aca="false">IF(AND(ISNUMBER(K84),ISNUMBER(K92)),IF(AND(K84&lt;0,K92&lt;0),"Both cut",""),"")</f>
        <v/>
      </c>
      <c r="L140" s="14" t="str">
        <f aca="false">IF(AND(ISNUMBER(L84),ISNUMBER(L92)),IF(AND(L84&lt;0,L92&lt;0),"Both cut",""),"")</f>
        <v/>
      </c>
      <c r="M140" s="14" t="str">
        <f aca="false">IF(AND(ISNUMBER(M84),ISNUMBER(M92)),IF(AND(M84&lt;0,M92&lt;0),"Both cut",""),"")</f>
        <v/>
      </c>
      <c r="N140" s="14" t="str">
        <f aca="false">IF(AND(ISNUMBER(N84),ISNUMBER(N92)),IF(AND(N84&lt;0,N92&lt;0),"Both cut",""),"")</f>
        <v/>
      </c>
    </row>
    <row r="141" customFormat="false" ht="15" hidden="false" customHeight="false" outlineLevel="0" collapsed="false">
      <c r="B141" s="5" t="s">
        <v>563</v>
      </c>
      <c r="F141" s="14" t="str">
        <f aca="false">IF(AND(ISNUMBER(F85),ISNUMBER(F93)),IF(AND(F85&lt;0,F93&lt;0),"Both cut",""),"")</f>
        <v/>
      </c>
      <c r="G141" s="14" t="str">
        <f aca="false">IF(AND(ISNUMBER(G85),ISNUMBER(G93)),IF(AND(G85&lt;0,G93&lt;0),"Both cut",""),"")</f>
        <v/>
      </c>
      <c r="H141" s="14" t="str">
        <f aca="false">IF(AND(ISNUMBER(H85),ISNUMBER(H93)),IF(AND(H85&lt;0,H93&lt;0),"Both cut",""),"")</f>
        <v/>
      </c>
      <c r="I141" s="14" t="str">
        <f aca="false">IF(AND(ISNUMBER(I85),ISNUMBER(I93)),IF(AND(I85&lt;0,I93&lt;0),"Both cut",""),"")</f>
        <v/>
      </c>
      <c r="J141" s="14" t="str">
        <f aca="false">IF(AND(ISNUMBER(J85),ISNUMBER(J93)),IF(AND(J85&lt;0,J93&lt;0),"Both cut",""),"")</f>
        <v/>
      </c>
      <c r="K141" s="14" t="str">
        <f aca="false">IF(AND(ISNUMBER(K85),ISNUMBER(K93)),IF(AND(K85&lt;0,K93&lt;0),"Both cut",""),"")</f>
        <v/>
      </c>
      <c r="L141" s="14" t="str">
        <f aca="false">IF(AND(ISNUMBER(L85),ISNUMBER(L93)),IF(AND(L85&lt;0,L93&lt;0),"Both cut",""),"")</f>
        <v/>
      </c>
      <c r="M141" s="14" t="str">
        <f aca="false">IF(AND(ISNUMBER(M85),ISNUMBER(M93)),IF(AND(M85&lt;0,M93&lt;0),"Both cut",""),"")</f>
        <v/>
      </c>
      <c r="N141" s="14" t="str">
        <f aca="false">IF(AND(ISNUMBER(N85),ISNUMBER(N93)),IF(AND(N85&lt;0,N93&lt;0),"Both cut",""),"")</f>
        <v/>
      </c>
    </row>
    <row r="143" customFormat="false" ht="15" hidden="false" customHeight="false" outlineLevel="0" collapsed="false">
      <c r="B143" s="45" t="s">
        <v>564</v>
      </c>
    </row>
    <row r="144" customFormat="false" ht="15" hidden="false" customHeight="false" outlineLevel="0" collapsed="false">
      <c r="B144" s="45" t="s">
        <v>565</v>
      </c>
    </row>
  </sheetData>
  <conditionalFormatting sqref="F70:N130">
    <cfRule type="expression" priority="2" aboveAverage="0" equalAverage="0" bottom="0" percent="0" rank="0" text="" dxfId="1">
      <formula>AND(ISNUMBER(F70),ABS(F70)&gt;$D$4)</formula>
    </cfRule>
  </conditionalFormatting>
  <conditionalFormatting sqref="F134:N141">
    <cfRule type="expression" priority="3" aboveAverage="0" equalAverage="0" bottom="0" percent="0" rank="0" text="" dxfId="2">
      <formula>F134="Both cut"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1" topLeftCell="A3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6"/>
    <col collapsed="false" customWidth="true" hidden="false" outlineLevel="0" max="5" min="5" style="0" width="14"/>
  </cols>
  <sheetData>
    <row r="1" customFormat="false" ht="19.7" hidden="false" customHeight="false" outlineLevel="0" collapsed="false">
      <c r="A1" s="6" t="s">
        <v>566</v>
      </c>
    </row>
    <row r="2" customFormat="false" ht="15" hidden="false" customHeight="false" outlineLevel="0" collapsed="false">
      <c r="A2" s="3" t="s">
        <v>567</v>
      </c>
    </row>
    <row r="3" customFormat="false" ht="15" hidden="false" customHeight="false" outlineLevel="0" collapsed="false">
      <c r="A3" s="7" t="s">
        <v>44</v>
      </c>
    </row>
    <row r="5" customFormat="false" ht="30" hidden="false" customHeight="true" outlineLevel="0" collapsed="false">
      <c r="A5" s="8" t="s">
        <v>568</v>
      </c>
      <c r="B5" s="8" t="s">
        <v>337</v>
      </c>
      <c r="C5" s="8" t="s">
        <v>569</v>
      </c>
      <c r="D5" s="8" t="s">
        <v>570</v>
      </c>
      <c r="E5" s="8" t="s">
        <v>571</v>
      </c>
    </row>
    <row r="6" customFormat="false" ht="15" hidden="false" customHeight="false" outlineLevel="0" collapsed="false">
      <c r="A6" s="5" t="s">
        <v>572</v>
      </c>
      <c r="B6" s="46" t="n">
        <v>1.85</v>
      </c>
      <c r="C6" s="46" t="n">
        <v>2</v>
      </c>
      <c r="D6" s="47" t="n">
        <f aca="false">IF(AND(ISNUMBER(B6),ISNUMBER(C6)),B6-C6,"")</f>
        <v>-0.15</v>
      </c>
      <c r="E6" s="14" t="str">
        <f aca="false">IF(D6="","",IF(D6&gt;=0,"Yes","No"))</f>
        <v>No</v>
      </c>
    </row>
    <row r="7" customFormat="false" ht="15" hidden="false" customHeight="false" outlineLevel="0" collapsed="false">
      <c r="A7" s="5" t="s">
        <v>573</v>
      </c>
      <c r="B7" s="27" t="n">
        <v>0.142</v>
      </c>
      <c r="C7" s="27" t="n">
        <v>0.15</v>
      </c>
      <c r="D7" s="23" t="n">
        <f aca="false">IF(AND(ISNUMBER(B7),ISNUMBER(C7)),B7-C7,"")</f>
        <v>-0.00800000000000001</v>
      </c>
      <c r="E7" s="14" t="str">
        <f aca="false">IF(D7="","",IF(D7&gt;=0,"Yes","No"))</f>
        <v>No</v>
      </c>
    </row>
    <row r="8" customFormat="false" ht="15" hidden="false" customHeight="false" outlineLevel="0" collapsed="false">
      <c r="A8" s="5" t="s">
        <v>574</v>
      </c>
      <c r="B8" s="46" t="n">
        <v>22.4</v>
      </c>
      <c r="C8" s="46" t="n">
        <v>25</v>
      </c>
      <c r="D8" s="47" t="n">
        <f aca="false">IF(AND(ISNUMBER(B8),ISNUMBER(C8)),B8-C8,"")</f>
        <v>-2.6</v>
      </c>
      <c r="E8" s="14" t="str">
        <f aca="false">IF(D8="","",IF(D8&gt;=0,"Yes","No"))</f>
        <v>No</v>
      </c>
    </row>
    <row r="9" customFormat="false" ht="15" hidden="false" customHeight="false" outlineLevel="0" collapsed="false">
      <c r="A9" s="5" t="s">
        <v>575</v>
      </c>
      <c r="B9" s="9" t="s">
        <v>576</v>
      </c>
      <c r="C9" s="9" t="s">
        <v>577</v>
      </c>
      <c r="D9" s="48" t="n">
        <f aca="false">IF(OR(B9="",C9=""),"",IFERROR(MATCH(C9,CreditScale,0)-MATCH(B9,CreditScale,0),""))</f>
        <v>-2</v>
      </c>
      <c r="E9" s="14" t="str">
        <f aca="false">IF(D9="","",IF(D9&gt;=0,"Yes","No"))</f>
        <v>No</v>
      </c>
    </row>
    <row r="10" customFormat="false" ht="15" hidden="false" customHeight="false" outlineLevel="0" collapsed="false">
      <c r="A10" s="5" t="s">
        <v>578</v>
      </c>
      <c r="B10" s="42" t="n">
        <v>68</v>
      </c>
      <c r="C10" s="42" t="n">
        <v>70</v>
      </c>
      <c r="D10" s="10" t="n">
        <f aca="false">IF(AND(ISNUMBER(B10),ISNUMBER(C10)),B10-C10,"")</f>
        <v>-2</v>
      </c>
      <c r="E10" s="14" t="str">
        <f aca="false">IF(D10="","",IF(D10&gt;=0,"Yes","No"))</f>
        <v>No</v>
      </c>
    </row>
    <row r="12" customFormat="false" ht="30" hidden="false" customHeight="true" outlineLevel="0" collapsed="false">
      <c r="A12" s="8" t="s">
        <v>579</v>
      </c>
      <c r="B12" s="8" t="s">
        <v>580</v>
      </c>
    </row>
    <row r="13" customFormat="false" ht="15" hidden="false" customHeight="false" outlineLevel="0" collapsed="false">
      <c r="A13" s="5" t="s">
        <v>581</v>
      </c>
      <c r="B13" s="42" t="n">
        <v>78</v>
      </c>
    </row>
    <row r="14" customFormat="false" ht="15" hidden="false" customHeight="false" outlineLevel="0" collapsed="false">
      <c r="A14" s="5" t="s">
        <v>582</v>
      </c>
      <c r="B14" s="42" t="n">
        <v>3</v>
      </c>
    </row>
    <row r="15" customFormat="false" ht="15" hidden="false" customHeight="false" outlineLevel="0" collapsed="false">
      <c r="A15" s="5" t="s">
        <v>583</v>
      </c>
      <c r="B15" s="28" t="n">
        <v>412000</v>
      </c>
    </row>
    <row r="16" customFormat="false" ht="15" hidden="false" customHeight="false" outlineLevel="0" collapsed="false">
      <c r="A16" s="5" t="s">
        <v>584</v>
      </c>
      <c r="B16" s="28" t="n">
        <v>18500</v>
      </c>
    </row>
    <row r="17" customFormat="false" ht="15" hidden="false" customHeight="false" outlineLevel="0" collapsed="false">
      <c r="A17" s="5" t="s">
        <v>585</v>
      </c>
      <c r="B17" s="28" t="n">
        <v>14200</v>
      </c>
    </row>
    <row r="19" customFormat="false" ht="30" hidden="false" customHeight="true" outlineLevel="0" collapsed="false">
      <c r="A19" s="8" t="s">
        <v>586</v>
      </c>
      <c r="B19" s="8" t="s">
        <v>587</v>
      </c>
      <c r="C19" s="8" t="s">
        <v>588</v>
      </c>
    </row>
    <row r="20" customFormat="false" ht="15" hidden="false" customHeight="false" outlineLevel="0" collapsed="false">
      <c r="A20" s="5" t="s">
        <v>589</v>
      </c>
      <c r="B20" s="28" t="n">
        <v>1450</v>
      </c>
      <c r="C20" s="28" t="n">
        <v>120</v>
      </c>
    </row>
    <row r="21" customFormat="false" ht="15" hidden="false" customHeight="false" outlineLevel="0" collapsed="false">
      <c r="A21" s="5" t="s">
        <v>590</v>
      </c>
      <c r="B21" s="29" t="n">
        <v>264</v>
      </c>
      <c r="C21" s="29" t="n">
        <v>1237</v>
      </c>
    </row>
    <row r="22" customFormat="false" ht="15" hidden="false" customHeight="false" outlineLevel="0" collapsed="false">
      <c r="A22" s="5" t="s">
        <v>591</v>
      </c>
      <c r="B22" s="13" t="n">
        <v>4</v>
      </c>
      <c r="C22" s="13" t="n">
        <v>4.2</v>
      </c>
    </row>
    <row r="23" customFormat="false" ht="15" hidden="false" customHeight="false" outlineLevel="0" collapsed="false">
      <c r="A23" s="5" t="s">
        <v>592</v>
      </c>
      <c r="B23" s="29" t="n">
        <v>182</v>
      </c>
      <c r="C23" s="29" t="n">
        <v>905</v>
      </c>
    </row>
    <row r="24" customFormat="false" ht="15" hidden="false" customHeight="false" outlineLevel="0" collapsed="false">
      <c r="A24" s="5" t="s">
        <v>593</v>
      </c>
      <c r="B24" s="27" t="n">
        <v>0.11</v>
      </c>
      <c r="C24" s="27" t="n">
        <v>0.09</v>
      </c>
    </row>
    <row r="25" customFormat="false" ht="15" hidden="false" customHeight="false" outlineLevel="0" collapsed="false">
      <c r="A25" s="5" t="s">
        <v>594</v>
      </c>
      <c r="B25" s="29" t="n">
        <v>276</v>
      </c>
      <c r="C25" s="29" t="n">
        <v>1195</v>
      </c>
    </row>
    <row r="26" customFormat="false" ht="15" hidden="false" customHeight="false" outlineLevel="0" collapsed="false">
      <c r="A26" s="5" t="s">
        <v>595</v>
      </c>
      <c r="B26" s="13" t="n">
        <v>4</v>
      </c>
      <c r="C26" s="13" t="n">
        <v>4.1</v>
      </c>
    </row>
    <row r="27" customFormat="false" ht="15" hidden="false" customHeight="false" outlineLevel="0" collapsed="false">
      <c r="A27" s="5" t="s">
        <v>596</v>
      </c>
      <c r="B27" s="29" t="n">
        <v>186</v>
      </c>
      <c r="C27" s="29" t="n">
        <v>890</v>
      </c>
    </row>
    <row r="28" customFormat="false" ht="15" hidden="false" customHeight="false" outlineLevel="0" collapsed="false">
      <c r="A28" s="11" t="s">
        <v>597</v>
      </c>
      <c r="B28" s="49" t="n">
        <f aca="false">IF(AND(ISNUMBER(B21),ISNUMBER(B25)),B21/B25-1,"")</f>
        <v>-0.0434782608695652</v>
      </c>
      <c r="C28" s="49" t="n">
        <f aca="false">IF(AND(ISNUMBER(C21),ISNUMBER(C25)),C21/C25-1,"")</f>
        <v>0.0351464435146442</v>
      </c>
    </row>
    <row r="29" customFormat="false" ht="15" hidden="false" customHeight="false" outlineLevel="0" collapsed="false">
      <c r="A29" s="11" t="s">
        <v>598</v>
      </c>
      <c r="B29" s="49" t="n">
        <f aca="false">IF(AND(ISNUMBER(B23),ISNUMBER(B27)),B23/B27-1,"")</f>
        <v>-0.021505376344086</v>
      </c>
      <c r="C29" s="49" t="n">
        <f aca="false">IF(AND(ISNUMBER(C23),ISNUMBER(C27)),C23/C27-1,"")</f>
        <v>0.0168539325842696</v>
      </c>
    </row>
    <row r="31" customFormat="false" ht="30" hidden="false" customHeight="true" outlineLevel="0" collapsed="false">
      <c r="A31" s="8" t="s">
        <v>599</v>
      </c>
      <c r="B31" s="8" t="s">
        <v>587</v>
      </c>
      <c r="C31" s="8" t="s">
        <v>588</v>
      </c>
    </row>
    <row r="32" customFormat="false" ht="15" hidden="false" customHeight="false" outlineLevel="0" collapsed="false">
      <c r="A32" s="5" t="s">
        <v>600</v>
      </c>
      <c r="B32" s="13" t="n">
        <v>12</v>
      </c>
      <c r="C32" s="13" t="n">
        <v>12</v>
      </c>
    </row>
    <row r="33" customFormat="false" ht="15" hidden="false" customHeight="false" outlineLevel="0" collapsed="false">
      <c r="A33" s="5" t="s">
        <v>601</v>
      </c>
      <c r="B33" s="13" t="n">
        <v>11.5</v>
      </c>
      <c r="C33" s="13" t="n">
        <v>12.6</v>
      </c>
    </row>
    <row r="34" customFormat="false" ht="15" hidden="false" customHeight="false" outlineLevel="0" collapsed="false">
      <c r="A34" s="5" t="s">
        <v>602</v>
      </c>
      <c r="B34" s="13" t="n">
        <v>12.4</v>
      </c>
      <c r="C34" s="13" t="n">
        <v>11.1</v>
      </c>
    </row>
    <row r="35" customFormat="false" ht="15" hidden="false" customHeight="false" outlineLevel="0" collapsed="false">
      <c r="A35" s="5" t="s">
        <v>603</v>
      </c>
      <c r="B35" s="13" t="n">
        <v>13</v>
      </c>
      <c r="C35" s="13" t="n">
        <v>12.2</v>
      </c>
    </row>
    <row r="36" customFormat="false" ht="15" hidden="false" customHeight="false" outlineLevel="0" collapsed="false">
      <c r="A36" s="11" t="s">
        <v>604</v>
      </c>
      <c r="B36" s="12" t="n">
        <f aca="false">IF(COUNT(B32:B35)=0,"",AVERAGE(B32:B35))</f>
        <v>12.225</v>
      </c>
      <c r="C36" s="12" t="n">
        <f aca="false">IF(COUNT(C32:C35)=0,"",AVERAGE(C32:C35))</f>
        <v>11.975</v>
      </c>
    </row>
  </sheetData>
  <conditionalFormatting sqref="E6:E10">
    <cfRule type="expression" priority="2" aboveAverage="0" equalAverage="0" bottom="0" percent="0" rank="0" text="" dxfId="0">
      <formula>E6="Yes"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E6="No"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1" topLeftCell="A3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6"/>
    <col collapsed="false" customWidth="true" hidden="false" outlineLevel="0" max="5" min="5" style="0" width="14"/>
  </cols>
  <sheetData>
    <row r="1" customFormat="false" ht="19.7" hidden="false" customHeight="false" outlineLevel="0" collapsed="false">
      <c r="A1" s="6" t="s">
        <v>605</v>
      </c>
    </row>
    <row r="2" customFormat="false" ht="15" hidden="false" customHeight="false" outlineLevel="0" collapsed="false">
      <c r="A2" s="3" t="s">
        <v>567</v>
      </c>
    </row>
    <row r="3" customFormat="false" ht="15" hidden="false" customHeight="false" outlineLevel="0" collapsed="false">
      <c r="A3" s="7" t="s">
        <v>44</v>
      </c>
    </row>
    <row r="5" customFormat="false" ht="30" hidden="false" customHeight="true" outlineLevel="0" collapsed="false">
      <c r="A5" s="8" t="s">
        <v>568</v>
      </c>
      <c r="B5" s="8" t="s">
        <v>337</v>
      </c>
      <c r="C5" s="8" t="s">
        <v>569</v>
      </c>
      <c r="D5" s="8" t="s">
        <v>570</v>
      </c>
      <c r="E5" s="8" t="s">
        <v>571</v>
      </c>
    </row>
    <row r="6" customFormat="false" ht="15" hidden="false" customHeight="false" outlineLevel="0" collapsed="false">
      <c r="A6" s="5" t="s">
        <v>572</v>
      </c>
      <c r="B6" s="46" t="n">
        <v>2.1</v>
      </c>
      <c r="C6" s="46" t="n">
        <v>2.15</v>
      </c>
      <c r="D6" s="47" t="n">
        <f aca="false">IF(AND(ISNUMBER(B6),ISNUMBER(C6)),B6-C6,"")</f>
        <v>-0.0499999999999998</v>
      </c>
      <c r="E6" s="14" t="str">
        <f aca="false">IF(D6="","",IF(D6&gt;=0,"Yes","No"))</f>
        <v>No</v>
      </c>
    </row>
    <row r="7" customFormat="false" ht="15" hidden="false" customHeight="false" outlineLevel="0" collapsed="false">
      <c r="A7" s="5" t="s">
        <v>573</v>
      </c>
      <c r="B7" s="27" t="n">
        <v>0.155</v>
      </c>
      <c r="C7" s="27" t="n">
        <v>0.155</v>
      </c>
      <c r="D7" s="23" t="n">
        <f aca="false">IF(AND(ISNUMBER(B7),ISNUMBER(C7)),B7-C7,"")</f>
        <v>0</v>
      </c>
      <c r="E7" s="14" t="str">
        <f aca="false">IF(D7="","",IF(D7&gt;=0,"Yes","No"))</f>
        <v>Yes</v>
      </c>
    </row>
    <row r="8" customFormat="false" ht="15" hidden="false" customHeight="false" outlineLevel="0" collapsed="false">
      <c r="A8" s="5" t="s">
        <v>574</v>
      </c>
      <c r="B8" s="46" t="n">
        <v>26.1</v>
      </c>
      <c r="C8" s="46" t="n">
        <v>27</v>
      </c>
      <c r="D8" s="47" t="n">
        <f aca="false">IF(AND(ISNUMBER(B8),ISNUMBER(C8)),B8-C8,"")</f>
        <v>-0.899999999999999</v>
      </c>
      <c r="E8" s="14" t="str">
        <f aca="false">IF(D8="","",IF(D8&gt;=0,"Yes","No"))</f>
        <v>No</v>
      </c>
    </row>
    <row r="9" customFormat="false" ht="15" hidden="false" customHeight="false" outlineLevel="0" collapsed="false">
      <c r="A9" s="5" t="s">
        <v>575</v>
      </c>
      <c r="B9" s="9" t="s">
        <v>606</v>
      </c>
      <c r="C9" s="9" t="s">
        <v>577</v>
      </c>
      <c r="D9" s="48" t="n">
        <f aca="false">IF(OR(B9="",C9=""),"",IFERROR(MATCH(C9,CreditScale,0)-MATCH(B9,CreditScale,0),""))</f>
        <v>-1</v>
      </c>
      <c r="E9" s="14" t="str">
        <f aca="false">IF(D9="","",IF(D9&gt;=0,"Yes","No"))</f>
        <v>No</v>
      </c>
    </row>
    <row r="10" customFormat="false" ht="15" hidden="false" customHeight="false" outlineLevel="0" collapsed="false">
      <c r="A10" s="5" t="s">
        <v>578</v>
      </c>
      <c r="B10" s="42" t="n">
        <v>71</v>
      </c>
      <c r="C10" s="42" t="n">
        <v>72</v>
      </c>
      <c r="D10" s="10" t="n">
        <f aca="false">IF(AND(ISNUMBER(B10),ISNUMBER(C10)),B10-C10,"")</f>
        <v>-1</v>
      </c>
      <c r="E10" s="14" t="str">
        <f aca="false">IF(D10="","",IF(D10&gt;=0,"Yes","No"))</f>
        <v>No</v>
      </c>
    </row>
    <row r="12" customFormat="false" ht="30" hidden="false" customHeight="true" outlineLevel="0" collapsed="false">
      <c r="A12" s="8" t="s">
        <v>579</v>
      </c>
      <c r="B12" s="8" t="s">
        <v>580</v>
      </c>
    </row>
    <row r="13" customFormat="false" ht="15" hidden="false" customHeight="false" outlineLevel="0" collapsed="false">
      <c r="A13" s="5" t="s">
        <v>581</v>
      </c>
      <c r="B13" s="42" t="n">
        <v>84</v>
      </c>
    </row>
    <row r="14" customFormat="false" ht="15" hidden="false" customHeight="false" outlineLevel="0" collapsed="false">
      <c r="A14" s="5" t="s">
        <v>582</v>
      </c>
      <c r="B14" s="42" t="n">
        <v>2</v>
      </c>
    </row>
    <row r="15" customFormat="false" ht="15" hidden="false" customHeight="false" outlineLevel="0" collapsed="false">
      <c r="A15" s="5" t="s">
        <v>583</v>
      </c>
      <c r="B15" s="28" t="n">
        <v>455000</v>
      </c>
    </row>
    <row r="16" customFormat="false" ht="15" hidden="false" customHeight="false" outlineLevel="0" collapsed="false">
      <c r="A16" s="5" t="s">
        <v>584</v>
      </c>
      <c r="B16" s="28" t="n">
        <v>21900</v>
      </c>
    </row>
    <row r="17" customFormat="false" ht="15" hidden="false" customHeight="false" outlineLevel="0" collapsed="false">
      <c r="A17" s="5" t="s">
        <v>585</v>
      </c>
      <c r="B17" s="28" t="n">
        <v>19800</v>
      </c>
    </row>
    <row r="19" customFormat="false" ht="30" hidden="false" customHeight="true" outlineLevel="0" collapsed="false">
      <c r="A19" s="8" t="s">
        <v>586</v>
      </c>
      <c r="B19" s="8" t="s">
        <v>587</v>
      </c>
      <c r="C19" s="8" t="s">
        <v>588</v>
      </c>
    </row>
    <row r="20" customFormat="false" ht="15" hidden="false" customHeight="false" outlineLevel="0" collapsed="false">
      <c r="A20" s="5" t="s">
        <v>589</v>
      </c>
      <c r="B20" s="28" t="n">
        <v>1610</v>
      </c>
      <c r="C20" s="28" t="n">
        <v>131</v>
      </c>
    </row>
    <row r="21" customFormat="false" ht="15" hidden="false" customHeight="false" outlineLevel="0" collapsed="false">
      <c r="A21" s="5" t="s">
        <v>590</v>
      </c>
      <c r="B21" s="29" t="n">
        <v>259</v>
      </c>
      <c r="C21" s="29" t="n">
        <v>1229</v>
      </c>
    </row>
    <row r="22" customFormat="false" ht="15" hidden="false" customHeight="false" outlineLevel="0" collapsed="false">
      <c r="A22" s="5" t="s">
        <v>591</v>
      </c>
      <c r="B22" s="13" t="n">
        <v>4.2</v>
      </c>
      <c r="C22" s="13" t="n">
        <v>4.4</v>
      </c>
    </row>
    <row r="23" customFormat="false" ht="15" hidden="false" customHeight="false" outlineLevel="0" collapsed="false">
      <c r="A23" s="5" t="s">
        <v>592</v>
      </c>
      <c r="B23" s="29" t="n">
        <v>176</v>
      </c>
      <c r="C23" s="29" t="n">
        <v>884</v>
      </c>
    </row>
    <row r="24" customFormat="false" ht="15" hidden="false" customHeight="false" outlineLevel="0" collapsed="false">
      <c r="A24" s="5" t="s">
        <v>593</v>
      </c>
      <c r="B24" s="27" t="n">
        <v>0.125</v>
      </c>
      <c r="C24" s="27" t="n">
        <v>0.105</v>
      </c>
    </row>
    <row r="25" customFormat="false" ht="15" hidden="false" customHeight="false" outlineLevel="0" collapsed="false">
      <c r="A25" s="5" t="s">
        <v>594</v>
      </c>
      <c r="B25" s="29" t="n">
        <v>271</v>
      </c>
      <c r="C25" s="29" t="n">
        <v>1188</v>
      </c>
    </row>
    <row r="26" customFormat="false" ht="15" hidden="false" customHeight="false" outlineLevel="0" collapsed="false">
      <c r="A26" s="5" t="s">
        <v>595</v>
      </c>
      <c r="B26" s="13" t="n">
        <v>4.1</v>
      </c>
      <c r="C26" s="13" t="n">
        <v>4.2</v>
      </c>
    </row>
    <row r="27" customFormat="false" ht="15" hidden="false" customHeight="false" outlineLevel="0" collapsed="false">
      <c r="A27" s="5" t="s">
        <v>596</v>
      </c>
      <c r="B27" s="29" t="n">
        <v>184</v>
      </c>
      <c r="C27" s="29" t="n">
        <v>879</v>
      </c>
    </row>
    <row r="28" customFormat="false" ht="15" hidden="false" customHeight="false" outlineLevel="0" collapsed="false">
      <c r="A28" s="11" t="s">
        <v>597</v>
      </c>
      <c r="B28" s="49" t="n">
        <f aca="false">IF(AND(ISNUMBER(B21),ISNUMBER(B25)),B21/B25-1,"")</f>
        <v>-0.044280442804428</v>
      </c>
      <c r="C28" s="49" t="n">
        <f aca="false">IF(AND(ISNUMBER(C21),ISNUMBER(C25)),C21/C25-1,"")</f>
        <v>0.0345117845117846</v>
      </c>
    </row>
    <row r="29" customFormat="false" ht="15" hidden="false" customHeight="false" outlineLevel="0" collapsed="false">
      <c r="A29" s="11" t="s">
        <v>598</v>
      </c>
      <c r="B29" s="49" t="n">
        <f aca="false">IF(AND(ISNUMBER(B23),ISNUMBER(B27)),B23/B27-1,"")</f>
        <v>-0.0434782608695652</v>
      </c>
      <c r="C29" s="49" t="n">
        <f aca="false">IF(AND(ISNUMBER(C23),ISNUMBER(C27)),C23/C27-1,"")</f>
        <v>0.00568828213879402</v>
      </c>
    </row>
    <row r="31" customFormat="false" ht="30" hidden="false" customHeight="true" outlineLevel="0" collapsed="false">
      <c r="A31" s="8" t="s">
        <v>599</v>
      </c>
      <c r="B31" s="8" t="s">
        <v>587</v>
      </c>
      <c r="C31" s="8" t="s">
        <v>588</v>
      </c>
    </row>
    <row r="32" customFormat="false" ht="15" hidden="false" customHeight="false" outlineLevel="0" collapsed="false">
      <c r="A32" s="5" t="s">
        <v>600</v>
      </c>
      <c r="B32" s="13" t="n">
        <v>13.1</v>
      </c>
      <c r="C32" s="13" t="n">
        <v>12.8</v>
      </c>
    </row>
    <row r="33" customFormat="false" ht="15" hidden="false" customHeight="false" outlineLevel="0" collapsed="false">
      <c r="A33" s="5" t="s">
        <v>601</v>
      </c>
      <c r="B33" s="13" t="n">
        <v>12.2</v>
      </c>
      <c r="C33" s="13" t="n">
        <v>13</v>
      </c>
    </row>
    <row r="34" customFormat="false" ht="15" hidden="false" customHeight="false" outlineLevel="0" collapsed="false">
      <c r="A34" s="5" t="s">
        <v>602</v>
      </c>
      <c r="B34" s="13" t="n">
        <v>13</v>
      </c>
      <c r="C34" s="13" t="n">
        <v>11.9</v>
      </c>
    </row>
    <row r="35" customFormat="false" ht="15" hidden="false" customHeight="false" outlineLevel="0" collapsed="false">
      <c r="A35" s="5" t="s">
        <v>603</v>
      </c>
      <c r="B35" s="13" t="n">
        <v>13.6</v>
      </c>
      <c r="C35" s="13" t="n">
        <v>12.5</v>
      </c>
    </row>
    <row r="36" customFormat="false" ht="15" hidden="false" customHeight="false" outlineLevel="0" collapsed="false">
      <c r="A36" s="11" t="s">
        <v>604</v>
      </c>
      <c r="B36" s="12" t="n">
        <f aca="false">IF(COUNT(B32:B35)=0,"",AVERAGE(B32:B35))</f>
        <v>12.975</v>
      </c>
      <c r="C36" s="12" t="n">
        <f aca="false">IF(COUNT(C32:C35)=0,"",AVERAGE(C32:C35))</f>
        <v>12.55</v>
      </c>
    </row>
  </sheetData>
  <conditionalFormatting sqref="E6:E10">
    <cfRule type="expression" priority="2" aboveAverage="0" equalAverage="0" bottom="0" percent="0" rank="0" text="" dxfId="0">
      <formula>E6="Yes"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E6="No"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E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1" topLeftCell="A3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6"/>
    <col collapsed="false" customWidth="true" hidden="false" outlineLevel="0" max="5" min="5" style="0" width="14"/>
  </cols>
  <sheetData>
    <row r="1" customFormat="false" ht="19.7" hidden="false" customHeight="false" outlineLevel="0" collapsed="false">
      <c r="A1" s="6" t="s">
        <v>607</v>
      </c>
    </row>
    <row r="2" customFormat="false" ht="15" hidden="false" customHeight="false" outlineLevel="0" collapsed="false">
      <c r="A2" s="3" t="s">
        <v>567</v>
      </c>
    </row>
    <row r="3" customFormat="false" ht="15" hidden="false" customHeight="false" outlineLevel="0" collapsed="false">
      <c r="A3" s="7" t="s">
        <v>44</v>
      </c>
    </row>
    <row r="5" customFormat="false" ht="30" hidden="false" customHeight="true" outlineLevel="0" collapsed="false">
      <c r="A5" s="8" t="s">
        <v>568</v>
      </c>
      <c r="B5" s="8" t="s">
        <v>337</v>
      </c>
      <c r="C5" s="8" t="s">
        <v>569</v>
      </c>
      <c r="D5" s="8" t="s">
        <v>570</v>
      </c>
      <c r="E5" s="8" t="s">
        <v>571</v>
      </c>
    </row>
    <row r="6" customFormat="false" ht="15" hidden="false" customHeight="false" outlineLevel="0" collapsed="false">
      <c r="A6" s="5" t="s">
        <v>572</v>
      </c>
      <c r="B6" s="46" t="n">
        <v>2.32</v>
      </c>
      <c r="C6" s="46" t="n">
        <v>2.3</v>
      </c>
      <c r="D6" s="47" t="n">
        <f aca="false">IF(AND(ISNUMBER(B6),ISNUMBER(C6)),B6-C6,"")</f>
        <v>0.02</v>
      </c>
      <c r="E6" s="14" t="str">
        <f aca="false">IF(D6="","",IF(D6&gt;=0,"Yes","No"))</f>
        <v>Yes</v>
      </c>
    </row>
    <row r="7" customFormat="false" ht="15" hidden="false" customHeight="false" outlineLevel="0" collapsed="false">
      <c r="A7" s="5" t="s">
        <v>573</v>
      </c>
      <c r="B7" s="27" t="n">
        <v>0.168</v>
      </c>
      <c r="C7" s="27" t="n">
        <v>0.16</v>
      </c>
      <c r="D7" s="23" t="n">
        <f aca="false">IF(AND(ISNUMBER(B7),ISNUMBER(C7)),B7-C7,"")</f>
        <v>0.00800000000000001</v>
      </c>
      <c r="E7" s="14" t="str">
        <f aca="false">IF(D7="","",IF(D7&gt;=0,"Yes","No"))</f>
        <v>Yes</v>
      </c>
    </row>
    <row r="8" customFormat="false" ht="15" hidden="false" customHeight="false" outlineLevel="0" collapsed="false">
      <c r="A8" s="5" t="s">
        <v>574</v>
      </c>
      <c r="B8" s="46" t="n">
        <v>29.5</v>
      </c>
      <c r="C8" s="46" t="n">
        <v>29</v>
      </c>
      <c r="D8" s="47" t="n">
        <f aca="false">IF(AND(ISNUMBER(B8),ISNUMBER(C8)),B8-C8,"")</f>
        <v>0.5</v>
      </c>
      <c r="E8" s="14" t="str">
        <f aca="false">IF(D8="","",IF(D8&gt;=0,"Yes","No"))</f>
        <v>Yes</v>
      </c>
    </row>
    <row r="9" customFormat="false" ht="15" hidden="false" customHeight="false" outlineLevel="0" collapsed="false">
      <c r="A9" s="5" t="s">
        <v>575</v>
      </c>
      <c r="B9" s="9" t="s">
        <v>577</v>
      </c>
      <c r="C9" s="9" t="s">
        <v>577</v>
      </c>
      <c r="D9" s="48" t="n">
        <f aca="false">IF(OR(B9="",C9=""),"",IFERROR(MATCH(C9,CreditScale,0)-MATCH(B9,CreditScale,0),""))</f>
        <v>0</v>
      </c>
      <c r="E9" s="14" t="str">
        <f aca="false">IF(D9="","",IF(D9&gt;=0,"Yes","No"))</f>
        <v>Yes</v>
      </c>
    </row>
    <row r="10" customFormat="false" ht="15" hidden="false" customHeight="false" outlineLevel="0" collapsed="false">
      <c r="A10" s="5" t="s">
        <v>578</v>
      </c>
      <c r="B10" s="42" t="n">
        <v>74</v>
      </c>
      <c r="C10" s="42" t="n">
        <v>74</v>
      </c>
      <c r="D10" s="10" t="n">
        <f aca="false">IF(AND(ISNUMBER(B10),ISNUMBER(C10)),B10-C10,"")</f>
        <v>0</v>
      </c>
      <c r="E10" s="14" t="str">
        <f aca="false">IF(D10="","",IF(D10&gt;=0,"Yes","No"))</f>
        <v>Yes</v>
      </c>
    </row>
    <row r="12" customFormat="false" ht="30" hidden="false" customHeight="true" outlineLevel="0" collapsed="false">
      <c r="A12" s="8" t="s">
        <v>579</v>
      </c>
      <c r="B12" s="8" t="s">
        <v>580</v>
      </c>
    </row>
    <row r="13" customFormat="false" ht="15" hidden="false" customHeight="false" outlineLevel="0" collapsed="false">
      <c r="A13" s="5" t="s">
        <v>581</v>
      </c>
      <c r="B13" s="42" t="n">
        <v>89</v>
      </c>
    </row>
    <row r="14" customFormat="false" ht="15" hidden="false" customHeight="false" outlineLevel="0" collapsed="false">
      <c r="A14" s="5" t="s">
        <v>582</v>
      </c>
      <c r="B14" s="42" t="n">
        <v>1</v>
      </c>
    </row>
    <row r="15" customFormat="false" ht="15" hidden="false" customHeight="false" outlineLevel="0" collapsed="false">
      <c r="A15" s="5" t="s">
        <v>583</v>
      </c>
      <c r="B15" s="28" t="n">
        <v>498000</v>
      </c>
    </row>
    <row r="16" customFormat="false" ht="15" hidden="false" customHeight="false" outlineLevel="0" collapsed="false">
      <c r="A16" s="5" t="s">
        <v>584</v>
      </c>
      <c r="B16" s="28" t="n">
        <v>24800</v>
      </c>
    </row>
    <row r="17" customFormat="false" ht="15" hidden="false" customHeight="false" outlineLevel="0" collapsed="false">
      <c r="A17" s="5" t="s">
        <v>585</v>
      </c>
      <c r="B17" s="28" t="n">
        <v>23500</v>
      </c>
    </row>
    <row r="19" customFormat="false" ht="30" hidden="false" customHeight="true" outlineLevel="0" collapsed="false">
      <c r="A19" s="8" t="s">
        <v>586</v>
      </c>
      <c r="B19" s="8" t="s">
        <v>587</v>
      </c>
      <c r="C19" s="8" t="s">
        <v>588</v>
      </c>
    </row>
    <row r="20" customFormat="false" ht="15" hidden="false" customHeight="false" outlineLevel="0" collapsed="false">
      <c r="A20" s="5" t="s">
        <v>589</v>
      </c>
      <c r="B20" s="28" t="n">
        <v>1720</v>
      </c>
      <c r="C20" s="28" t="n">
        <v>142</v>
      </c>
    </row>
    <row r="21" customFormat="false" ht="15" hidden="false" customHeight="false" outlineLevel="0" collapsed="false">
      <c r="A21" s="5" t="s">
        <v>590</v>
      </c>
      <c r="B21" s="29" t="n">
        <v>255</v>
      </c>
      <c r="C21" s="29" t="n">
        <v>1219</v>
      </c>
    </row>
    <row r="22" customFormat="false" ht="15" hidden="false" customHeight="false" outlineLevel="0" collapsed="false">
      <c r="A22" s="5" t="s">
        <v>591</v>
      </c>
      <c r="B22" s="13" t="n">
        <v>4.3</v>
      </c>
      <c r="C22" s="13" t="n">
        <v>4.6</v>
      </c>
    </row>
    <row r="23" customFormat="false" ht="15" hidden="false" customHeight="false" outlineLevel="0" collapsed="false">
      <c r="A23" s="5" t="s">
        <v>592</v>
      </c>
      <c r="B23" s="29" t="n">
        <v>171</v>
      </c>
      <c r="C23" s="29" t="n">
        <v>870</v>
      </c>
    </row>
    <row r="24" customFormat="false" ht="15" hidden="false" customHeight="false" outlineLevel="0" collapsed="false">
      <c r="A24" s="5" t="s">
        <v>593</v>
      </c>
      <c r="B24" s="27" t="n">
        <v>0.135</v>
      </c>
      <c r="C24" s="27" t="n">
        <v>0.112</v>
      </c>
    </row>
    <row r="25" customFormat="false" ht="15" hidden="false" customHeight="false" outlineLevel="0" collapsed="false">
      <c r="A25" s="5" t="s">
        <v>594</v>
      </c>
      <c r="B25" s="29" t="n">
        <v>268</v>
      </c>
      <c r="C25" s="29" t="n">
        <v>1181</v>
      </c>
    </row>
    <row r="26" customFormat="false" ht="15" hidden="false" customHeight="false" outlineLevel="0" collapsed="false">
      <c r="A26" s="5" t="s">
        <v>595</v>
      </c>
      <c r="B26" s="13" t="n">
        <v>4.2</v>
      </c>
      <c r="C26" s="13" t="n">
        <v>4.3</v>
      </c>
    </row>
    <row r="27" customFormat="false" ht="15" hidden="false" customHeight="false" outlineLevel="0" collapsed="false">
      <c r="A27" s="5" t="s">
        <v>596</v>
      </c>
      <c r="B27" s="29" t="n">
        <v>181</v>
      </c>
      <c r="C27" s="29" t="n">
        <v>871</v>
      </c>
    </row>
    <row r="28" customFormat="false" ht="15" hidden="false" customHeight="false" outlineLevel="0" collapsed="false">
      <c r="A28" s="11" t="s">
        <v>597</v>
      </c>
      <c r="B28" s="49" t="n">
        <f aca="false">IF(AND(ISNUMBER(B21),ISNUMBER(B25)),B21/B25-1,"")</f>
        <v>-0.0485074626865671</v>
      </c>
      <c r="C28" s="49" t="n">
        <f aca="false">IF(AND(ISNUMBER(C21),ISNUMBER(C25)),C21/C25-1,"")</f>
        <v>0.0321761219305674</v>
      </c>
    </row>
    <row r="29" customFormat="false" ht="15" hidden="false" customHeight="false" outlineLevel="0" collapsed="false">
      <c r="A29" s="11" t="s">
        <v>598</v>
      </c>
      <c r="B29" s="49" t="n">
        <f aca="false">IF(AND(ISNUMBER(B23),ISNUMBER(B27)),B23/B27-1,"")</f>
        <v>-0.0552486187845304</v>
      </c>
      <c r="C29" s="49" t="n">
        <f aca="false">IF(AND(ISNUMBER(C23),ISNUMBER(C27)),C23/C27-1,"")</f>
        <v>-0.00114810562571754</v>
      </c>
    </row>
    <row r="31" customFormat="false" ht="30" hidden="false" customHeight="true" outlineLevel="0" collapsed="false">
      <c r="A31" s="8" t="s">
        <v>599</v>
      </c>
      <c r="B31" s="8" t="s">
        <v>587</v>
      </c>
      <c r="C31" s="8" t="s">
        <v>588</v>
      </c>
    </row>
    <row r="32" customFormat="false" ht="15" hidden="false" customHeight="false" outlineLevel="0" collapsed="false">
      <c r="A32" s="5" t="s">
        <v>600</v>
      </c>
      <c r="B32" s="13" t="n">
        <v>13.8</v>
      </c>
      <c r="C32" s="13" t="n">
        <v>13.4</v>
      </c>
    </row>
    <row r="33" customFormat="false" ht="15" hidden="false" customHeight="false" outlineLevel="0" collapsed="false">
      <c r="A33" s="5" t="s">
        <v>601</v>
      </c>
      <c r="B33" s="13" t="n">
        <v>12.9</v>
      </c>
      <c r="C33" s="13" t="n">
        <v>13.6</v>
      </c>
    </row>
    <row r="34" customFormat="false" ht="15" hidden="false" customHeight="false" outlineLevel="0" collapsed="false">
      <c r="A34" s="5" t="s">
        <v>602</v>
      </c>
      <c r="B34" s="13" t="n">
        <v>13.5</v>
      </c>
      <c r="C34" s="13" t="n">
        <v>12.5</v>
      </c>
    </row>
    <row r="35" customFormat="false" ht="15" hidden="false" customHeight="false" outlineLevel="0" collapsed="false">
      <c r="A35" s="5" t="s">
        <v>603</v>
      </c>
      <c r="B35" s="13" t="n">
        <v>14.1</v>
      </c>
      <c r="C35" s="13" t="n">
        <v>13</v>
      </c>
    </row>
    <row r="36" customFormat="false" ht="15" hidden="false" customHeight="false" outlineLevel="0" collapsed="false">
      <c r="A36" s="11" t="s">
        <v>604</v>
      </c>
      <c r="B36" s="12" t="n">
        <f aca="false">IF(COUNT(B32:B35)=0,"",AVERAGE(B32:B35))</f>
        <v>13.575</v>
      </c>
      <c r="C36" s="12" t="n">
        <f aca="false">IF(COUNT(C32:C35)=0,"",AVERAGE(C32:C35))</f>
        <v>13.125</v>
      </c>
    </row>
  </sheetData>
  <conditionalFormatting sqref="E6:E10">
    <cfRule type="expression" priority="2" aboveAverage="0" equalAverage="0" bottom="0" percent="0" rank="0" text="" dxfId="0">
      <formula>E6="Yes"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E6="No"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L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4" min="2" style="0" width="12"/>
    <col collapsed="false" customWidth="true" hidden="true" outlineLevel="0" max="12" min="12" style="0" width="13"/>
  </cols>
  <sheetData>
    <row r="1" customFormat="false" ht="19.7" hidden="false" customHeight="false" outlineLevel="0" collapsed="false">
      <c r="A1" s="6" t="s">
        <v>608</v>
      </c>
    </row>
    <row r="2" customFormat="false" ht="15" hidden="false" customHeight="false" outlineLevel="0" collapsed="false">
      <c r="A2" s="3" t="s">
        <v>609</v>
      </c>
    </row>
    <row r="3" customFormat="false" ht="15" hidden="false" customHeight="false" outlineLevel="0" collapsed="false">
      <c r="A3" s="7" t="s">
        <v>44</v>
      </c>
    </row>
    <row r="5" customFormat="false" ht="30" hidden="false" customHeight="true" outlineLevel="0" collapsed="false">
      <c r="A5" s="8" t="s">
        <v>333</v>
      </c>
      <c r="B5" s="8" t="s">
        <v>399</v>
      </c>
      <c r="C5" s="8" t="s">
        <v>400</v>
      </c>
      <c r="D5" s="8" t="s">
        <v>401</v>
      </c>
    </row>
    <row r="6" customFormat="false" ht="15" hidden="false" customHeight="false" outlineLevel="0" collapsed="false">
      <c r="A6" s="11" t="s">
        <v>610</v>
      </c>
      <c r="B6" s="47" t="n">
        <f aca="false">IF('Y6 Results'!B6="","",'Y6 Results'!B6)</f>
        <v>1.85</v>
      </c>
      <c r="C6" s="47" t="n">
        <f aca="false">IF('Y7 Results'!B6="","",'Y7 Results'!B6)</f>
        <v>2.1</v>
      </c>
      <c r="D6" s="47" t="n">
        <f aca="false">IF('Y8 Results'!B6="","",'Y8 Results'!B6)</f>
        <v>2.32</v>
      </c>
      <c r="L6" s="50" t="s">
        <v>611</v>
      </c>
    </row>
    <row r="7" customFormat="false" ht="15" hidden="false" customHeight="false" outlineLevel="0" collapsed="false">
      <c r="A7" s="5" t="s">
        <v>612</v>
      </c>
      <c r="B7" s="47" t="n">
        <f aca="false">IF('Y6 Results'!C6="","",'Y6 Results'!C6)</f>
        <v>2</v>
      </c>
      <c r="C7" s="47" t="n">
        <f aca="false">IF('Y7 Results'!C6="","",'Y7 Results'!C6)</f>
        <v>2.15</v>
      </c>
      <c r="D7" s="47" t="n">
        <f aca="false">IF('Y8 Results'!C6="","",'Y8 Results'!C6)</f>
        <v>2.3</v>
      </c>
      <c r="L7" s="50" t="s">
        <v>613</v>
      </c>
    </row>
    <row r="8" customFormat="false" ht="15" hidden="false" customHeight="false" outlineLevel="0" collapsed="false">
      <c r="A8" s="11" t="s">
        <v>614</v>
      </c>
      <c r="B8" s="23" t="n">
        <f aca="false">IF('Y6 Results'!B7="","",'Y6 Results'!B7)</f>
        <v>0.142</v>
      </c>
      <c r="C8" s="23" t="n">
        <f aca="false">IF('Y7 Results'!B7="","",'Y7 Results'!B7)</f>
        <v>0.155</v>
      </c>
      <c r="D8" s="23" t="n">
        <f aca="false">IF('Y8 Results'!B7="","",'Y8 Results'!B7)</f>
        <v>0.168</v>
      </c>
      <c r="L8" s="50" t="s">
        <v>615</v>
      </c>
    </row>
    <row r="9" customFormat="false" ht="15" hidden="false" customHeight="false" outlineLevel="0" collapsed="false">
      <c r="A9" s="5" t="s">
        <v>616</v>
      </c>
      <c r="B9" s="23" t="n">
        <f aca="false">IF('Y6 Results'!C7="","",'Y6 Results'!C7)</f>
        <v>0.15</v>
      </c>
      <c r="C9" s="23" t="n">
        <f aca="false">IF('Y7 Results'!C7="","",'Y7 Results'!C7)</f>
        <v>0.155</v>
      </c>
      <c r="D9" s="23" t="n">
        <f aca="false">IF('Y8 Results'!C7="","",'Y8 Results'!C7)</f>
        <v>0.16</v>
      </c>
      <c r="L9" s="50" t="s">
        <v>617</v>
      </c>
    </row>
    <row r="10" customFormat="false" ht="15" hidden="false" customHeight="false" outlineLevel="0" collapsed="false">
      <c r="A10" s="11" t="s">
        <v>574</v>
      </c>
      <c r="B10" s="47" t="n">
        <f aca="false">IF('Y6 Results'!B8="","",'Y6 Results'!B8)</f>
        <v>22.4</v>
      </c>
      <c r="C10" s="47" t="n">
        <f aca="false">IF('Y7 Results'!B8="","",'Y7 Results'!B8)</f>
        <v>26.1</v>
      </c>
      <c r="D10" s="47" t="n">
        <f aca="false">IF('Y8 Results'!B8="","",'Y8 Results'!B8)</f>
        <v>29.5</v>
      </c>
      <c r="L10" s="50" t="s">
        <v>618</v>
      </c>
    </row>
    <row r="11" customFormat="false" ht="15" hidden="false" customHeight="false" outlineLevel="0" collapsed="false">
      <c r="A11" s="5" t="s">
        <v>619</v>
      </c>
      <c r="B11" s="47" t="n">
        <f aca="false">IF('Y6 Results'!C8="","",'Y6 Results'!C8)</f>
        <v>25</v>
      </c>
      <c r="C11" s="47" t="n">
        <f aca="false">IF('Y7 Results'!C8="","",'Y7 Results'!C8)</f>
        <v>27</v>
      </c>
      <c r="D11" s="47" t="n">
        <f aca="false">IF('Y8 Results'!C8="","",'Y8 Results'!C8)</f>
        <v>29</v>
      </c>
      <c r="L11" s="50" t="s">
        <v>382</v>
      </c>
    </row>
    <row r="12" customFormat="false" ht="15" hidden="false" customHeight="false" outlineLevel="0" collapsed="false">
      <c r="A12" s="11" t="s">
        <v>575</v>
      </c>
      <c r="B12" s="14" t="str">
        <f aca="false">IF('Y6 Results'!B9="","",'Y6 Results'!B9)</f>
        <v>B+</v>
      </c>
      <c r="C12" s="14" t="str">
        <f aca="false">IF('Y7 Results'!B9="","",'Y7 Results'!B9)</f>
        <v>BB-</v>
      </c>
      <c r="D12" s="14" t="str">
        <f aca="false">IF('Y8 Results'!B9="","",'Y8 Results'!B9)</f>
        <v>BB</v>
      </c>
      <c r="L12" s="50" t="s">
        <v>620</v>
      </c>
    </row>
    <row r="13" customFormat="false" ht="15" hidden="false" customHeight="false" outlineLevel="0" collapsed="false">
      <c r="A13" s="11" t="s">
        <v>621</v>
      </c>
      <c r="B13" s="10" t="n">
        <f aca="false">IF(B12="","",IFERROR(22-MATCH(B12,CreditScale,0),""))</f>
        <v>8</v>
      </c>
      <c r="C13" s="10" t="n">
        <f aca="false">IF(C12="","",IFERROR(22-MATCH(C12,CreditScale,0),""))</f>
        <v>9</v>
      </c>
      <c r="D13" s="10" t="n">
        <f aca="false">IF(D12="","",IFERROR(22-MATCH(D12,CreditScale,0),""))</f>
        <v>10</v>
      </c>
      <c r="L13" s="50" t="s">
        <v>622</v>
      </c>
    </row>
    <row r="14" customFormat="false" ht="15" hidden="false" customHeight="false" outlineLevel="0" collapsed="false">
      <c r="A14" s="11" t="s">
        <v>578</v>
      </c>
      <c r="B14" s="10" t="n">
        <f aca="false">IF('Y6 Results'!B10="","",'Y6 Results'!B10)</f>
        <v>68</v>
      </c>
      <c r="C14" s="10" t="n">
        <f aca="false">IF('Y7 Results'!B10="","",'Y7 Results'!B10)</f>
        <v>71</v>
      </c>
      <c r="D14" s="10" t="n">
        <f aca="false">IF('Y8 Results'!B10="","",'Y8 Results'!B10)</f>
        <v>74</v>
      </c>
      <c r="L14" s="50" t="s">
        <v>623</v>
      </c>
    </row>
    <row r="15" customFormat="false" ht="15" hidden="false" customHeight="false" outlineLevel="0" collapsed="false">
      <c r="A15" s="5" t="s">
        <v>624</v>
      </c>
      <c r="B15" s="10" t="n">
        <f aca="false">IF('Y6 Results'!C10="","",'Y6 Results'!C10)</f>
        <v>70</v>
      </c>
      <c r="C15" s="10" t="n">
        <f aca="false">IF('Y7 Results'!C10="","",'Y7 Results'!C10)</f>
        <v>72</v>
      </c>
      <c r="D15" s="10" t="n">
        <f aca="false">IF('Y8 Results'!C10="","",'Y8 Results'!C10)</f>
        <v>74</v>
      </c>
      <c r="L15" s="50" t="s">
        <v>625</v>
      </c>
    </row>
    <row r="16" customFormat="false" ht="15" hidden="false" customHeight="false" outlineLevel="0" collapsed="false">
      <c r="A16" s="11" t="s">
        <v>626</v>
      </c>
      <c r="B16" s="10" t="n">
        <f aca="false">IF('Y6 Results'!B13="","",'Y6 Results'!B13)</f>
        <v>78</v>
      </c>
      <c r="C16" s="10" t="n">
        <f aca="false">IF('Y7 Results'!B13="","",'Y7 Results'!B13)</f>
        <v>84</v>
      </c>
      <c r="D16" s="10" t="n">
        <f aca="false">IF('Y8 Results'!B13="","",'Y8 Results'!B13)</f>
        <v>89</v>
      </c>
      <c r="L16" s="50" t="s">
        <v>627</v>
      </c>
    </row>
    <row r="17" customFormat="false" ht="15" hidden="false" customHeight="false" outlineLevel="0" collapsed="false">
      <c r="A17" s="11" t="s">
        <v>118</v>
      </c>
      <c r="B17" s="10" t="n">
        <f aca="false">IF('Y6 Results'!B14="","",'Y6 Results'!B14)</f>
        <v>3</v>
      </c>
      <c r="C17" s="10" t="n">
        <f aca="false">IF('Y7 Results'!B14="","",'Y7 Results'!B14)</f>
        <v>2</v>
      </c>
      <c r="D17" s="10" t="n">
        <f aca="false">IF('Y8 Results'!B14="","",'Y8 Results'!B14)</f>
        <v>1</v>
      </c>
      <c r="L17" s="50" t="s">
        <v>577</v>
      </c>
    </row>
    <row r="18" customFormat="false" ht="15" hidden="false" customHeight="false" outlineLevel="0" collapsed="false">
      <c r="A18" s="11" t="s">
        <v>583</v>
      </c>
      <c r="B18" s="51" t="n">
        <f aca="false">IF('Y6 Results'!B15="","",'Y6 Results'!B15)</f>
        <v>412000</v>
      </c>
      <c r="C18" s="51" t="n">
        <f aca="false">IF('Y7 Results'!B15="","",'Y7 Results'!B15)</f>
        <v>455000</v>
      </c>
      <c r="D18" s="51" t="n">
        <f aca="false">IF('Y8 Results'!B15="","",'Y8 Results'!B15)</f>
        <v>498000</v>
      </c>
      <c r="L18" s="50" t="s">
        <v>606</v>
      </c>
    </row>
    <row r="19" customFormat="false" ht="15" hidden="false" customHeight="false" outlineLevel="0" collapsed="false">
      <c r="A19" s="11" t="s">
        <v>584</v>
      </c>
      <c r="B19" s="51" t="n">
        <f aca="false">IF('Y6 Results'!B16="","",'Y6 Results'!B16)</f>
        <v>18500</v>
      </c>
      <c r="C19" s="51" t="n">
        <f aca="false">IF('Y7 Results'!B16="","",'Y7 Results'!B16)</f>
        <v>21900</v>
      </c>
      <c r="D19" s="51" t="n">
        <f aca="false">IF('Y8 Results'!B16="","",'Y8 Results'!B16)</f>
        <v>24800</v>
      </c>
      <c r="L19" s="50" t="s">
        <v>576</v>
      </c>
    </row>
    <row r="20" customFormat="false" ht="15" hidden="false" customHeight="false" outlineLevel="0" collapsed="false">
      <c r="A20" s="11" t="s">
        <v>585</v>
      </c>
      <c r="B20" s="51" t="n">
        <f aca="false">IF('Y6 Results'!B17="","",'Y6 Results'!B17)</f>
        <v>14200</v>
      </c>
      <c r="C20" s="51" t="n">
        <f aca="false">IF('Y7 Results'!B17="","",'Y7 Results'!B17)</f>
        <v>19800</v>
      </c>
      <c r="D20" s="51" t="n">
        <f aca="false">IF('Y8 Results'!B17="","",'Y8 Results'!B17)</f>
        <v>23500</v>
      </c>
      <c r="L20" s="50" t="s">
        <v>384</v>
      </c>
    </row>
    <row r="21" customFormat="false" ht="15" hidden="false" customHeight="false" outlineLevel="0" collapsed="false">
      <c r="A21" s="11" t="s">
        <v>628</v>
      </c>
      <c r="B21" s="12" t="n">
        <f aca="false">IF('Y6 Results'!B36="","",'Y6 Results'!B36)</f>
        <v>12.225</v>
      </c>
      <c r="C21" s="12" t="n">
        <f aca="false">IF('Y7 Results'!B36="","",'Y7 Results'!B36)</f>
        <v>12.975</v>
      </c>
      <c r="D21" s="12" t="n">
        <f aca="false">IF('Y8 Results'!B36="","",'Y8 Results'!B36)</f>
        <v>13.575</v>
      </c>
      <c r="L21" s="50" t="s">
        <v>629</v>
      </c>
    </row>
    <row r="22" customFormat="false" ht="15" hidden="false" customHeight="false" outlineLevel="0" collapsed="false">
      <c r="A22" s="11" t="s">
        <v>630</v>
      </c>
      <c r="B22" s="12" t="n">
        <f aca="false">IF('Y6 Results'!C36="","",'Y6 Results'!C36)</f>
        <v>11.975</v>
      </c>
      <c r="C22" s="12" t="n">
        <f aca="false">IF('Y7 Results'!C36="","",'Y7 Results'!C36)</f>
        <v>12.55</v>
      </c>
      <c r="D22" s="12" t="n">
        <f aca="false">IF('Y8 Results'!C36="","",'Y8 Results'!C36)</f>
        <v>13.125</v>
      </c>
      <c r="L22" s="50" t="s">
        <v>631</v>
      </c>
    </row>
    <row r="23" customFormat="false" ht="15" hidden="false" customHeight="false" outlineLevel="0" collapsed="false">
      <c r="A23" s="11" t="s">
        <v>632</v>
      </c>
      <c r="B23" s="33" t="n">
        <f aca="false">IF('Y6 Results'!B23="","",'Y6 Results'!B23)</f>
        <v>182</v>
      </c>
      <c r="C23" s="33" t="n">
        <f aca="false">IF('Y7 Results'!B23="","",'Y7 Results'!B23)</f>
        <v>176</v>
      </c>
      <c r="D23" s="33" t="n">
        <f aca="false">IF('Y8 Results'!B23="","",'Y8 Results'!B23)</f>
        <v>171</v>
      </c>
      <c r="L23" s="50" t="s">
        <v>633</v>
      </c>
    </row>
    <row r="24" customFormat="false" ht="15" hidden="false" customHeight="false" outlineLevel="0" collapsed="false">
      <c r="A24" s="5" t="s">
        <v>634</v>
      </c>
      <c r="B24" s="33" t="n">
        <f aca="false">IF('Y6 Results'!B27="","",'Y6 Results'!B27)</f>
        <v>186</v>
      </c>
      <c r="C24" s="33" t="n">
        <f aca="false">IF('Y7 Results'!B27="","",'Y7 Results'!B27)</f>
        <v>184</v>
      </c>
      <c r="D24" s="33" t="n">
        <f aca="false">IF('Y8 Results'!B27="","",'Y8 Results'!B27)</f>
        <v>181</v>
      </c>
      <c r="L24" s="50" t="s">
        <v>635</v>
      </c>
    </row>
    <row r="25" customFormat="false" ht="15" hidden="false" customHeight="false" outlineLevel="0" collapsed="false">
      <c r="A25" s="11" t="s">
        <v>636</v>
      </c>
      <c r="B25" s="33" t="n">
        <f aca="false">IF('Y6 Results'!C23="","",'Y6 Results'!C23)</f>
        <v>905</v>
      </c>
      <c r="C25" s="33" t="n">
        <f aca="false">IF('Y7 Results'!C23="","",'Y7 Results'!C23)</f>
        <v>884</v>
      </c>
      <c r="D25" s="33" t="n">
        <f aca="false">IF('Y8 Results'!C23="","",'Y8 Results'!C23)</f>
        <v>870</v>
      </c>
      <c r="L25" s="50" t="s">
        <v>637</v>
      </c>
    </row>
    <row r="26" customFormat="false" ht="15" hidden="false" customHeight="false" outlineLevel="0" collapsed="false">
      <c r="A26" s="5" t="s">
        <v>638</v>
      </c>
      <c r="B26" s="33" t="n">
        <f aca="false">IF('Y6 Results'!C27="","",'Y6 Results'!C27)</f>
        <v>890</v>
      </c>
      <c r="C26" s="33" t="n">
        <f aca="false">IF('Y7 Results'!C27="","",'Y7 Results'!C27)</f>
        <v>879</v>
      </c>
      <c r="D26" s="33" t="n">
        <f aca="false">IF('Y8 Results'!C27="","",'Y8 Results'!C27)</f>
        <v>871</v>
      </c>
      <c r="L26" s="50" t="s">
        <v>385</v>
      </c>
    </row>
    <row r="27" customFormat="false" ht="15" hidden="false" customHeight="false" outlineLevel="0" collapsed="false">
      <c r="A27" s="11" t="s">
        <v>639</v>
      </c>
      <c r="B27" s="33" t="n">
        <f aca="false">IF('Y6 Results'!B21="","",'Y6 Results'!B21)</f>
        <v>264</v>
      </c>
      <c r="C27" s="33" t="n">
        <f aca="false">IF('Y7 Results'!B21="","",'Y7 Results'!B21)</f>
        <v>259</v>
      </c>
      <c r="D27" s="33" t="n">
        <f aca="false">IF('Y8 Results'!B21="","",'Y8 Results'!B21)</f>
        <v>255</v>
      </c>
    </row>
    <row r="28" customFormat="false" ht="15" hidden="false" customHeight="false" outlineLevel="0" collapsed="false">
      <c r="A28" s="11" t="s">
        <v>640</v>
      </c>
      <c r="B28" s="33" t="n">
        <f aca="false">IF('Y6 Results'!C21="","",'Y6 Results'!C21)</f>
        <v>1237</v>
      </c>
      <c r="C28" s="33" t="n">
        <f aca="false">IF('Y7 Results'!C21="","",'Y7 Results'!C21)</f>
        <v>1229</v>
      </c>
      <c r="D28" s="33" t="n">
        <f aca="false">IF('Y8 Results'!C21="","",'Y8 Results'!C21)</f>
        <v>1219</v>
      </c>
    </row>
    <row r="29" customFormat="false" ht="15" hidden="false" customHeight="false" outlineLevel="0" collapsed="false">
      <c r="A29" s="11" t="s">
        <v>641</v>
      </c>
      <c r="B29" s="12" t="n">
        <f aca="false">IF('Y6 Results'!B22="","",'Y6 Results'!B22)</f>
        <v>4</v>
      </c>
      <c r="C29" s="12" t="n">
        <f aca="false">IF('Y7 Results'!B22="","",'Y7 Results'!B22)</f>
        <v>4.2</v>
      </c>
      <c r="D29" s="12" t="n">
        <f aca="false">IF('Y8 Results'!B22="","",'Y8 Results'!B22)</f>
        <v>4.3</v>
      </c>
    </row>
    <row r="30" customFormat="false" ht="15" hidden="false" customHeight="false" outlineLevel="0" collapsed="false">
      <c r="A30" s="11" t="s">
        <v>642</v>
      </c>
      <c r="B30" s="12" t="n">
        <f aca="false">IF('Y6 Results'!C22="","",'Y6 Results'!C22)</f>
        <v>4.2</v>
      </c>
      <c r="C30" s="12" t="n">
        <f aca="false">IF('Y7 Results'!C22="","",'Y7 Results'!C22)</f>
        <v>4.4</v>
      </c>
      <c r="D30" s="12" t="n">
        <f aca="false">IF('Y8 Results'!C22="","",'Y8 Results'!C22)</f>
        <v>4.6</v>
      </c>
    </row>
    <row r="31" customFormat="false" ht="15" hidden="false" customHeight="false" outlineLevel="0" collapsed="false">
      <c r="A31" s="11" t="s">
        <v>643</v>
      </c>
      <c r="B31" s="23" t="n">
        <f aca="false">IF('Y6 Results'!B24="","",'Y6 Results'!B24)</f>
        <v>0.11</v>
      </c>
      <c r="C31" s="23" t="n">
        <f aca="false">IF('Y7 Results'!B24="","",'Y7 Results'!B24)</f>
        <v>0.125</v>
      </c>
      <c r="D31" s="23" t="n">
        <f aca="false">IF('Y8 Results'!B24="","",'Y8 Results'!B24)</f>
        <v>0.135</v>
      </c>
    </row>
    <row r="32" customFormat="false" ht="15" hidden="false" customHeight="false" outlineLevel="0" collapsed="false">
      <c r="A32" s="11" t="s">
        <v>644</v>
      </c>
      <c r="B32" s="23" t="n">
        <f aca="false">IF('Y6 Results'!C24="","",'Y6 Results'!C24)</f>
        <v>0.09</v>
      </c>
      <c r="C32" s="23" t="n">
        <f aca="false">IF('Y7 Results'!C24="","",'Y7 Results'!C24)</f>
        <v>0.105</v>
      </c>
      <c r="D32" s="23" t="n">
        <f aca="false">IF('Y8 Results'!C24="","",'Y8 Results'!C24)</f>
        <v>0.112</v>
      </c>
    </row>
    <row r="33" customFormat="false" ht="15" hidden="false" customHeight="false" outlineLevel="0" collapsed="false">
      <c r="A33" s="5" t="s">
        <v>645</v>
      </c>
      <c r="B33" s="33" t="n">
        <f aca="false">IF('Y6 Results'!B25="","",'Y6 Results'!B25)</f>
        <v>276</v>
      </c>
      <c r="C33" s="33" t="n">
        <f aca="false">IF('Y7 Results'!B25="","",'Y7 Results'!B25)</f>
        <v>271</v>
      </c>
      <c r="D33" s="33" t="n">
        <f aca="false">IF('Y8 Results'!B25="","",'Y8 Results'!B25)</f>
        <v>268</v>
      </c>
    </row>
    <row r="34" customFormat="false" ht="15" hidden="false" customHeight="false" outlineLevel="0" collapsed="false">
      <c r="A34" s="5" t="s">
        <v>646</v>
      </c>
      <c r="B34" s="33" t="n">
        <f aca="false">IF('Y6 Results'!C25="","",'Y6 Results'!C25)</f>
        <v>1195</v>
      </c>
      <c r="C34" s="33" t="n">
        <f aca="false">IF('Y7 Results'!C25="","",'Y7 Results'!C25)</f>
        <v>1188</v>
      </c>
      <c r="D34" s="33" t="n">
        <f aca="false">IF('Y8 Results'!C25="","",'Y8 Results'!C25)</f>
        <v>1181</v>
      </c>
    </row>
    <row r="35" customFormat="false" ht="15" hidden="false" customHeight="false" outlineLevel="0" collapsed="false">
      <c r="A35" s="5" t="s">
        <v>647</v>
      </c>
      <c r="B35" s="12" t="n">
        <f aca="false">IF('Y6 Results'!B26="","",'Y6 Results'!B26)</f>
        <v>4</v>
      </c>
      <c r="C35" s="12" t="n">
        <f aca="false">IF('Y7 Results'!B26="","",'Y7 Results'!B26)</f>
        <v>4.1</v>
      </c>
      <c r="D35" s="12" t="n">
        <f aca="false">IF('Y8 Results'!B26="","",'Y8 Results'!B26)</f>
        <v>4.2</v>
      </c>
    </row>
    <row r="36" customFormat="false" ht="15" hidden="false" customHeight="false" outlineLevel="0" collapsed="false">
      <c r="A36" s="5" t="s">
        <v>648</v>
      </c>
      <c r="B36" s="12" t="n">
        <f aca="false">IF('Y6 Results'!C26="","",'Y6 Results'!C26)</f>
        <v>4.1</v>
      </c>
      <c r="C36" s="12" t="n">
        <f aca="false">IF('Y7 Results'!C26="","",'Y7 Results'!C26)</f>
        <v>4.2</v>
      </c>
      <c r="D36" s="12" t="n">
        <f aca="false">IF('Y8 Results'!C26="","",'Y8 Results'!C26)</f>
        <v>4.3</v>
      </c>
    </row>
    <row r="37" customFormat="false" ht="15" hidden="false" customHeight="false" outlineLevel="0" collapsed="false">
      <c r="A37" s="5" t="s">
        <v>649</v>
      </c>
      <c r="B37" s="49" t="n">
        <f aca="false">IF('Y6 Results'!B28="","",'Y6 Results'!B28)</f>
        <v>-0.0434782608695652</v>
      </c>
      <c r="C37" s="49" t="n">
        <f aca="false">IF('Y7 Results'!B28="","",'Y7 Results'!B28)</f>
        <v>-0.044280442804428</v>
      </c>
      <c r="D37" s="49" t="n">
        <f aca="false">IF('Y8 Results'!B28="","",'Y8 Results'!B28)</f>
        <v>-0.0485074626865671</v>
      </c>
    </row>
    <row r="38" customFormat="false" ht="15" hidden="false" customHeight="false" outlineLevel="0" collapsed="false">
      <c r="A38" s="5" t="s">
        <v>650</v>
      </c>
      <c r="B38" s="49" t="n">
        <f aca="false">IF('Y6 Results'!B29="","",'Y6 Results'!B29)</f>
        <v>-0.021505376344086</v>
      </c>
      <c r="C38" s="49" t="n">
        <f aca="false">IF('Y7 Results'!B29="","",'Y7 Results'!B29)</f>
        <v>-0.0434782608695652</v>
      </c>
      <c r="D38" s="49" t="n">
        <f aca="false">IF('Y8 Results'!B29="","",'Y8 Results'!B29)</f>
        <v>-0.0552486187845304</v>
      </c>
    </row>
    <row r="39" customFormat="false" ht="15" hidden="false" customHeight="false" outlineLevel="0" collapsed="false">
      <c r="A39" s="5" t="s">
        <v>651</v>
      </c>
      <c r="B39" s="49" t="n">
        <f aca="false">IF('Y6 Results'!C28="","",'Y6 Results'!C28)</f>
        <v>0.0351464435146442</v>
      </c>
      <c r="C39" s="49" t="n">
        <f aca="false">IF('Y7 Results'!C28="","",'Y7 Results'!C28)</f>
        <v>0.0345117845117846</v>
      </c>
      <c r="D39" s="49" t="n">
        <f aca="false">IF('Y8 Results'!C28="","",'Y8 Results'!C28)</f>
        <v>0.0321761219305674</v>
      </c>
    </row>
    <row r="40" customFormat="false" ht="15" hidden="false" customHeight="false" outlineLevel="0" collapsed="false">
      <c r="A40" s="5" t="s">
        <v>652</v>
      </c>
      <c r="B40" s="49" t="n">
        <f aca="false">IF('Y6 Results'!C29="","",'Y6 Results'!C29)</f>
        <v>0.0168539325842696</v>
      </c>
      <c r="C40" s="49" t="n">
        <f aca="false">IF('Y7 Results'!C29="","",'Y7 Results'!C29)</f>
        <v>0.00568828213879402</v>
      </c>
      <c r="D40" s="49" t="n">
        <f aca="false">IF('Y8 Results'!C29="","",'Y8 Results'!C29)</f>
        <v>-0.00114810562571754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D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11"/>
  </cols>
  <sheetData>
    <row r="1" customFormat="false" ht="19.7" hidden="false" customHeight="false" outlineLevel="0" collapsed="false">
      <c r="A1" s="6" t="s">
        <v>653</v>
      </c>
    </row>
    <row r="2" customFormat="false" ht="15" hidden="false" customHeight="false" outlineLevel="0" collapsed="false">
      <c r="A2" s="3" t="s">
        <v>654</v>
      </c>
    </row>
    <row r="3" customFormat="false" ht="15" hidden="false" customHeight="false" outlineLevel="0" collapsed="false">
      <c r="A3" s="7" t="s">
        <v>44</v>
      </c>
    </row>
    <row r="5" customFormat="false" ht="30" hidden="false" customHeight="true" outlineLevel="0" collapsed="false">
      <c r="A5" s="8" t="s">
        <v>626</v>
      </c>
      <c r="B5" s="8" t="s">
        <v>399</v>
      </c>
      <c r="C5" s="8" t="s">
        <v>400</v>
      </c>
      <c r="D5" s="8" t="s">
        <v>401</v>
      </c>
    </row>
    <row r="6" customFormat="false" ht="15" hidden="false" customHeight="false" outlineLevel="0" collapsed="false">
      <c r="A6" s="52" t="s">
        <v>655</v>
      </c>
      <c r="B6" s="42" t="n">
        <v>80</v>
      </c>
      <c r="C6" s="42" t="n">
        <v>84</v>
      </c>
      <c r="D6" s="42" t="n">
        <v>84</v>
      </c>
    </row>
    <row r="7" customFormat="false" ht="15" hidden="false" customHeight="false" outlineLevel="0" collapsed="false">
      <c r="A7" s="52" t="s">
        <v>656</v>
      </c>
      <c r="B7" s="42" t="n">
        <v>72</v>
      </c>
      <c r="C7" s="42" t="n">
        <v>75</v>
      </c>
      <c r="D7" s="42" t="n">
        <v>72</v>
      </c>
    </row>
    <row r="8" customFormat="false" ht="15" hidden="false" customHeight="false" outlineLevel="0" collapsed="false">
      <c r="A8" s="4" t="s">
        <v>657</v>
      </c>
      <c r="B8" s="53" t="n">
        <v>78</v>
      </c>
      <c r="C8" s="53" t="n">
        <v>84</v>
      </c>
      <c r="D8" s="53" t="n">
        <v>89</v>
      </c>
    </row>
    <row r="9" customFormat="false" ht="15" hidden="false" customHeight="false" outlineLevel="0" collapsed="false">
      <c r="A9" s="52" t="s">
        <v>658</v>
      </c>
      <c r="B9" s="42" t="n">
        <v>85</v>
      </c>
      <c r="C9" s="42" t="n">
        <v>85</v>
      </c>
      <c r="D9" s="42" t="n">
        <v>93</v>
      </c>
    </row>
    <row r="10" customFormat="false" ht="15" hidden="false" customHeight="false" outlineLevel="0" collapsed="false">
      <c r="A10" s="52" t="s">
        <v>659</v>
      </c>
      <c r="B10" s="42" t="n">
        <v>70</v>
      </c>
      <c r="C10" s="42" t="n">
        <v>71</v>
      </c>
      <c r="D10" s="42" t="n">
        <v>68</v>
      </c>
    </row>
    <row r="11" customFormat="false" ht="15" hidden="false" customHeight="false" outlineLevel="0" collapsed="false">
      <c r="A11" s="52" t="s">
        <v>660</v>
      </c>
      <c r="B11" s="42" t="n">
        <v>75</v>
      </c>
      <c r="C11" s="42" t="n">
        <v>77</v>
      </c>
      <c r="D11" s="42" t="n">
        <v>71</v>
      </c>
    </row>
    <row r="12" customFormat="false" ht="15" hidden="false" customHeight="false" outlineLevel="0" collapsed="false">
      <c r="A12" s="52" t="s">
        <v>661</v>
      </c>
      <c r="B12" s="42" t="n">
        <v>82</v>
      </c>
      <c r="C12" s="42" t="n">
        <v>84</v>
      </c>
      <c r="D12" s="42" t="n">
        <v>88</v>
      </c>
    </row>
    <row r="13" customFormat="false" ht="15" hidden="false" customHeight="false" outlineLevel="0" collapsed="false">
      <c r="A13" s="52" t="s">
        <v>662</v>
      </c>
      <c r="B13" s="42" t="n">
        <v>68</v>
      </c>
      <c r="C13" s="42" t="n">
        <v>69</v>
      </c>
      <c r="D13" s="42" t="n">
        <v>70</v>
      </c>
    </row>
    <row r="15" customFormat="false" ht="30" hidden="false" customHeight="true" outlineLevel="0" collapsed="false">
      <c r="A15" s="8" t="s">
        <v>118</v>
      </c>
      <c r="B15" s="8" t="s">
        <v>399</v>
      </c>
      <c r="C15" s="8" t="s">
        <v>400</v>
      </c>
      <c r="D15" s="8" t="s">
        <v>401</v>
      </c>
    </row>
    <row r="16" customFormat="false" ht="15" hidden="false" customHeight="false" outlineLevel="0" collapsed="false">
      <c r="A16" s="52" t="s">
        <v>655</v>
      </c>
      <c r="B16" s="42" t="n">
        <v>3</v>
      </c>
      <c r="C16" s="42" t="n">
        <v>2</v>
      </c>
      <c r="D16" s="42" t="n">
        <v>4</v>
      </c>
    </row>
    <row r="17" customFormat="false" ht="15" hidden="false" customHeight="false" outlineLevel="0" collapsed="false">
      <c r="A17" s="52" t="s">
        <v>656</v>
      </c>
      <c r="B17" s="42" t="n">
        <v>6</v>
      </c>
      <c r="C17" s="42" t="n">
        <v>6</v>
      </c>
      <c r="D17" s="42" t="n">
        <v>5</v>
      </c>
    </row>
    <row r="18" customFormat="false" ht="15" hidden="false" customHeight="false" outlineLevel="0" collapsed="false">
      <c r="A18" s="4" t="s">
        <v>657</v>
      </c>
      <c r="B18" s="53" t="n">
        <v>4</v>
      </c>
      <c r="C18" s="53" t="n">
        <v>3</v>
      </c>
      <c r="D18" s="53" t="n">
        <v>2</v>
      </c>
    </row>
    <row r="19" customFormat="false" ht="15" hidden="false" customHeight="false" outlineLevel="0" collapsed="false">
      <c r="A19" s="52" t="s">
        <v>658</v>
      </c>
      <c r="B19" s="42" t="n">
        <v>1</v>
      </c>
      <c r="C19" s="42" t="n">
        <v>1</v>
      </c>
      <c r="D19" s="42" t="n">
        <v>1</v>
      </c>
    </row>
    <row r="20" customFormat="false" ht="15" hidden="false" customHeight="false" outlineLevel="0" collapsed="false">
      <c r="A20" s="52" t="s">
        <v>659</v>
      </c>
      <c r="B20" s="42" t="n">
        <v>7</v>
      </c>
      <c r="C20" s="42" t="n">
        <v>7</v>
      </c>
      <c r="D20" s="42" t="n">
        <v>8</v>
      </c>
    </row>
    <row r="21" customFormat="false" ht="15" hidden="false" customHeight="false" outlineLevel="0" collapsed="false">
      <c r="A21" s="52" t="s">
        <v>660</v>
      </c>
      <c r="B21" s="42" t="n">
        <v>5</v>
      </c>
      <c r="C21" s="42" t="n">
        <v>5</v>
      </c>
      <c r="D21" s="42" t="n">
        <v>6</v>
      </c>
    </row>
    <row r="22" customFormat="false" ht="15" hidden="false" customHeight="false" outlineLevel="0" collapsed="false">
      <c r="A22" s="52" t="s">
        <v>661</v>
      </c>
      <c r="B22" s="42" t="n">
        <v>2</v>
      </c>
      <c r="C22" s="42" t="n">
        <v>4</v>
      </c>
      <c r="D22" s="42" t="n">
        <v>3</v>
      </c>
    </row>
    <row r="23" customFormat="false" ht="15" hidden="false" customHeight="false" outlineLevel="0" collapsed="false">
      <c r="A23" s="52" t="s">
        <v>662</v>
      </c>
      <c r="B23" s="42" t="n">
        <v>8</v>
      </c>
      <c r="C23" s="42" t="n">
        <v>8</v>
      </c>
      <c r="D23" s="42" t="n">
        <v>7</v>
      </c>
    </row>
    <row r="25" customFormat="false" ht="30" hidden="false" customHeight="true" outlineLevel="0" collapsed="false">
      <c r="A25" s="8" t="s">
        <v>639</v>
      </c>
      <c r="B25" s="8" t="s">
        <v>399</v>
      </c>
      <c r="C25" s="8" t="s">
        <v>400</v>
      </c>
      <c r="D25" s="8" t="s">
        <v>401</v>
      </c>
    </row>
    <row r="26" customFormat="false" ht="15" hidden="false" customHeight="false" outlineLevel="0" collapsed="false">
      <c r="A26" s="52" t="s">
        <v>655</v>
      </c>
      <c r="B26" s="29" t="n">
        <v>243</v>
      </c>
      <c r="C26" s="29" t="n">
        <v>243</v>
      </c>
      <c r="D26" s="29" t="n">
        <v>242</v>
      </c>
    </row>
    <row r="27" customFormat="false" ht="15" hidden="false" customHeight="false" outlineLevel="0" collapsed="false">
      <c r="A27" s="52" t="s">
        <v>656</v>
      </c>
      <c r="B27" s="29" t="n">
        <v>253</v>
      </c>
      <c r="C27" s="29" t="n">
        <v>249</v>
      </c>
      <c r="D27" s="29" t="n">
        <v>253</v>
      </c>
    </row>
    <row r="28" customFormat="false" ht="15" hidden="false" customHeight="false" outlineLevel="0" collapsed="false">
      <c r="A28" s="4" t="s">
        <v>657</v>
      </c>
      <c r="B28" s="54" t="n">
        <v>256</v>
      </c>
      <c r="C28" s="54" t="n">
        <v>257</v>
      </c>
      <c r="D28" s="54" t="n">
        <v>253</v>
      </c>
    </row>
    <row r="29" customFormat="false" ht="15" hidden="false" customHeight="false" outlineLevel="0" collapsed="false">
      <c r="A29" s="52" t="s">
        <v>658</v>
      </c>
      <c r="B29" s="29" t="n">
        <v>269</v>
      </c>
      <c r="C29" s="29" t="n">
        <v>265</v>
      </c>
      <c r="D29" s="29" t="n">
        <v>262</v>
      </c>
    </row>
    <row r="30" customFormat="false" ht="15" hidden="false" customHeight="false" outlineLevel="0" collapsed="false">
      <c r="A30" s="52" t="s">
        <v>659</v>
      </c>
      <c r="B30" s="29" t="n">
        <v>273</v>
      </c>
      <c r="C30" s="29" t="n">
        <v>276</v>
      </c>
      <c r="D30" s="29" t="n">
        <v>270</v>
      </c>
    </row>
    <row r="31" customFormat="false" ht="15" hidden="false" customHeight="false" outlineLevel="0" collapsed="false">
      <c r="A31" s="52" t="s">
        <v>660</v>
      </c>
      <c r="B31" s="29" t="n">
        <v>285</v>
      </c>
      <c r="C31" s="29" t="n">
        <v>287</v>
      </c>
      <c r="D31" s="29" t="n">
        <v>279</v>
      </c>
    </row>
    <row r="32" customFormat="false" ht="15" hidden="false" customHeight="false" outlineLevel="0" collapsed="false">
      <c r="A32" s="52" t="s">
        <v>661</v>
      </c>
      <c r="B32" s="29" t="n">
        <v>290</v>
      </c>
      <c r="C32" s="29" t="n">
        <v>298</v>
      </c>
      <c r="D32" s="29" t="n">
        <v>299</v>
      </c>
    </row>
    <row r="33" customFormat="false" ht="15" hidden="false" customHeight="false" outlineLevel="0" collapsed="false">
      <c r="A33" s="52" t="s">
        <v>662</v>
      </c>
      <c r="B33" s="29" t="n">
        <v>309</v>
      </c>
      <c r="C33" s="29" t="n">
        <v>306</v>
      </c>
      <c r="D33" s="29" t="n">
        <v>305</v>
      </c>
    </row>
    <row r="35" customFormat="false" ht="30" hidden="false" customHeight="true" outlineLevel="0" collapsed="false">
      <c r="A35" s="8" t="s">
        <v>641</v>
      </c>
      <c r="B35" s="8" t="s">
        <v>399</v>
      </c>
      <c r="C35" s="8" t="s">
        <v>400</v>
      </c>
      <c r="D35" s="8" t="s">
        <v>401</v>
      </c>
    </row>
    <row r="36" customFormat="false" ht="15" hidden="false" customHeight="false" outlineLevel="0" collapsed="false">
      <c r="A36" s="52" t="s">
        <v>655</v>
      </c>
      <c r="B36" s="13" t="n">
        <v>3.5</v>
      </c>
      <c r="C36" s="13" t="n">
        <v>3.5</v>
      </c>
      <c r="D36" s="13" t="n">
        <v>3.6</v>
      </c>
    </row>
    <row r="37" customFormat="false" ht="15" hidden="false" customHeight="false" outlineLevel="0" collapsed="false">
      <c r="A37" s="52" t="s">
        <v>656</v>
      </c>
      <c r="B37" s="13" t="n">
        <v>3.7</v>
      </c>
      <c r="C37" s="13" t="n">
        <v>3.7</v>
      </c>
      <c r="D37" s="13" t="n">
        <v>3.7</v>
      </c>
    </row>
    <row r="38" customFormat="false" ht="15" hidden="false" customHeight="false" outlineLevel="0" collapsed="false">
      <c r="A38" s="4" t="s">
        <v>657</v>
      </c>
      <c r="B38" s="55" t="n">
        <v>3.8</v>
      </c>
      <c r="C38" s="55" t="n">
        <v>3.7</v>
      </c>
      <c r="D38" s="55" t="n">
        <v>3.7</v>
      </c>
    </row>
    <row r="39" customFormat="false" ht="15" hidden="false" customHeight="false" outlineLevel="0" collapsed="false">
      <c r="A39" s="52" t="s">
        <v>658</v>
      </c>
      <c r="B39" s="13" t="n">
        <v>4</v>
      </c>
      <c r="C39" s="13" t="n">
        <v>4</v>
      </c>
      <c r="D39" s="13" t="n">
        <v>3.9</v>
      </c>
    </row>
    <row r="40" customFormat="false" ht="15" hidden="false" customHeight="false" outlineLevel="0" collapsed="false">
      <c r="A40" s="52" t="s">
        <v>659</v>
      </c>
      <c r="B40" s="13" t="n">
        <v>4.1</v>
      </c>
      <c r="C40" s="13" t="n">
        <v>4.1</v>
      </c>
      <c r="D40" s="13" t="n">
        <v>4.1</v>
      </c>
    </row>
    <row r="41" customFormat="false" ht="15" hidden="false" customHeight="false" outlineLevel="0" collapsed="false">
      <c r="A41" s="52" t="s">
        <v>660</v>
      </c>
      <c r="B41" s="13" t="n">
        <v>4.3</v>
      </c>
      <c r="C41" s="13" t="n">
        <v>4.3</v>
      </c>
      <c r="D41" s="13" t="n">
        <v>4.3</v>
      </c>
    </row>
    <row r="42" customFormat="false" ht="15" hidden="false" customHeight="false" outlineLevel="0" collapsed="false">
      <c r="A42" s="52" t="s">
        <v>661</v>
      </c>
      <c r="B42" s="13" t="n">
        <v>4.5</v>
      </c>
      <c r="C42" s="13" t="n">
        <v>4.5</v>
      </c>
      <c r="D42" s="13" t="n">
        <v>4.4</v>
      </c>
    </row>
    <row r="43" customFormat="false" ht="15" hidden="false" customHeight="false" outlineLevel="0" collapsed="false">
      <c r="A43" s="52" t="s">
        <v>662</v>
      </c>
      <c r="B43" s="13" t="n">
        <v>4.5</v>
      </c>
      <c r="C43" s="13" t="n">
        <v>4.6</v>
      </c>
      <c r="D43" s="13" t="n">
        <v>4.5</v>
      </c>
    </row>
    <row r="45" customFormat="false" ht="30" hidden="false" customHeight="true" outlineLevel="0" collapsed="false">
      <c r="A45" s="8" t="s">
        <v>663</v>
      </c>
      <c r="B45" s="8" t="s">
        <v>399</v>
      </c>
      <c r="C45" s="8" t="s">
        <v>400</v>
      </c>
      <c r="D45" s="8" t="s">
        <v>401</v>
      </c>
    </row>
    <row r="46" customFormat="false" ht="15" hidden="false" customHeight="false" outlineLevel="0" collapsed="false">
      <c r="A46" s="52" t="s">
        <v>655</v>
      </c>
      <c r="B46" s="13" t="n">
        <v>11.7</v>
      </c>
      <c r="C46" s="13" t="n">
        <v>14.8</v>
      </c>
      <c r="D46" s="13" t="n">
        <v>12.9</v>
      </c>
    </row>
    <row r="47" customFormat="false" ht="15" hidden="false" customHeight="false" outlineLevel="0" collapsed="false">
      <c r="A47" s="52" t="s">
        <v>656</v>
      </c>
      <c r="B47" s="13" t="n">
        <v>13.1</v>
      </c>
      <c r="C47" s="13" t="n">
        <v>13</v>
      </c>
      <c r="D47" s="13" t="n">
        <v>12.9</v>
      </c>
    </row>
    <row r="48" customFormat="false" ht="15" hidden="false" customHeight="false" outlineLevel="0" collapsed="false">
      <c r="A48" s="4" t="s">
        <v>657</v>
      </c>
      <c r="B48" s="55" t="n">
        <v>10.7</v>
      </c>
      <c r="C48" s="55" t="n">
        <v>10.3</v>
      </c>
      <c r="D48" s="55" t="n">
        <v>14.6</v>
      </c>
    </row>
    <row r="49" customFormat="false" ht="15" hidden="false" customHeight="false" outlineLevel="0" collapsed="false">
      <c r="A49" s="52" t="s">
        <v>658</v>
      </c>
      <c r="B49" s="13" t="n">
        <v>12.4</v>
      </c>
      <c r="C49" s="13" t="n">
        <v>12.1</v>
      </c>
      <c r="D49" s="13" t="n">
        <v>9.9</v>
      </c>
    </row>
    <row r="50" customFormat="false" ht="15" hidden="false" customHeight="false" outlineLevel="0" collapsed="false">
      <c r="A50" s="52" t="s">
        <v>659</v>
      </c>
      <c r="B50" s="13" t="n">
        <v>14.7</v>
      </c>
      <c r="C50" s="13" t="n">
        <v>11.8</v>
      </c>
      <c r="D50" s="13" t="n">
        <v>14.1</v>
      </c>
    </row>
    <row r="51" customFormat="false" ht="15" hidden="false" customHeight="false" outlineLevel="0" collapsed="false">
      <c r="A51" s="52" t="s">
        <v>660</v>
      </c>
      <c r="B51" s="13" t="n">
        <v>13.5</v>
      </c>
      <c r="C51" s="13" t="n">
        <v>13</v>
      </c>
      <c r="D51" s="13" t="n">
        <v>14.1</v>
      </c>
    </row>
    <row r="52" customFormat="false" ht="15" hidden="false" customHeight="false" outlineLevel="0" collapsed="false">
      <c r="A52" s="52" t="s">
        <v>661</v>
      </c>
      <c r="B52" s="13" t="n">
        <v>13</v>
      </c>
      <c r="C52" s="13" t="n">
        <v>9.7</v>
      </c>
      <c r="D52" s="13" t="n">
        <v>12.8</v>
      </c>
    </row>
    <row r="53" customFormat="false" ht="15" hidden="false" customHeight="false" outlineLevel="0" collapsed="false">
      <c r="A53" s="52" t="s">
        <v>662</v>
      </c>
      <c r="B53" s="13" t="n">
        <v>14.7</v>
      </c>
      <c r="C53" s="13" t="n">
        <v>10.5</v>
      </c>
      <c r="D53" s="13" t="n">
        <v>9.7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2026-10-07T23:18:15Z</dcterms:created>
  <dc:creator>openpyxl</dc:creator>
  <dc:description/>
  <dc:language>en-US</dc:language>
  <cp:lastModifiedBy/>
  <dcterms:modified xsi:type="dcterms:W3CDTF">2026-10-07T19:18:19Z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